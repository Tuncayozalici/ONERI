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BuÇalışmaKitabı"/>
  <mc:AlternateContent xmlns:mc="http://schemas.openxmlformats.org/markup-compatibility/2006">
    <mc:Choice Requires="x15">
      <x15ac:absPath xmlns:x15ac="http://schemas.microsoft.com/office/spreadsheetml/2010/11/ac" url="/Users/tuncay/Desktop/"/>
    </mc:Choice>
  </mc:AlternateContent>
  <xr:revisionPtr revIDLastSave="0" documentId="13_ncr:1_{50CDD5AC-AC1C-254C-BA0C-A8986EB03ED9}" xr6:coauthVersionLast="47" xr6:coauthVersionMax="47" xr10:uidLastSave="{00000000-0000-0000-0000-000000000000}"/>
  <bookViews>
    <workbookView xWindow="1620" yWindow="1140" windowWidth="29040" windowHeight="14460" tabRatio="898" xr2:uid="{00000000-000D-0000-FFFF-FFFF00000000}"/>
  </bookViews>
  <sheets>
    <sheet name="Veriler" sheetId="3" r:id="rId1"/>
    <sheet name="Sayfa1" sheetId="4" r:id="rId2"/>
  </sheets>
  <definedNames>
    <definedName name="_xlnm._FilterDatabase" localSheetId="1" hidden="1">Sayfa1!$A$1:$D$124</definedName>
    <definedName name="_xlnm._FilterDatabase" localSheetId="0" hidden="1">Veriler!$B$1:$R$941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7" i="3" l="1"/>
  <c r="H1181" i="3"/>
  <c r="F1181" i="3"/>
  <c r="E1181" i="3"/>
  <c r="H1180" i="3"/>
  <c r="F1180" i="3"/>
  <c r="E1180" i="3"/>
  <c r="H1179" i="3"/>
  <c r="F1179" i="3"/>
  <c r="E1179" i="3"/>
  <c r="H1178" i="3"/>
  <c r="F1178" i="3"/>
  <c r="E1178" i="3"/>
  <c r="H1177" i="3"/>
  <c r="H1176" i="3"/>
  <c r="F1176" i="3"/>
  <c r="E1176" i="3"/>
  <c r="H1175" i="3"/>
  <c r="F1175" i="3"/>
  <c r="E1175" i="3"/>
  <c r="H1174" i="3"/>
  <c r="F1174" i="3"/>
  <c r="E1174" i="3"/>
  <c r="J1167" i="3"/>
  <c r="D146" i="4"/>
  <c r="D145" i="4"/>
  <c r="C1169" i="3"/>
  <c r="H1173" i="3"/>
  <c r="F1173" i="3"/>
  <c r="E1173" i="3"/>
  <c r="H1172" i="3"/>
  <c r="F1172" i="3"/>
  <c r="E1172" i="3"/>
  <c r="H1171" i="3"/>
  <c r="F1171" i="3"/>
  <c r="E1171" i="3"/>
  <c r="H1170" i="3"/>
  <c r="F1170" i="3"/>
  <c r="E1170" i="3"/>
  <c r="E1169" i="3"/>
  <c r="H1168" i="3"/>
  <c r="F1168" i="3"/>
  <c r="E1168" i="3"/>
  <c r="H1167" i="3"/>
  <c r="F1167" i="3"/>
  <c r="E1167" i="3"/>
  <c r="H1166" i="3"/>
  <c r="F1166" i="3"/>
  <c r="E1166" i="3"/>
  <c r="D144" i="4"/>
  <c r="D1161" i="3"/>
  <c r="C1161" i="3"/>
  <c r="H1165" i="3"/>
  <c r="F1165" i="3"/>
  <c r="E1165" i="3"/>
  <c r="H1164" i="3"/>
  <c r="F1164" i="3"/>
  <c r="E1164" i="3"/>
  <c r="H1163" i="3"/>
  <c r="F1163" i="3"/>
  <c r="E1163" i="3"/>
  <c r="H1162" i="3"/>
  <c r="F1162" i="3"/>
  <c r="E1162" i="3"/>
  <c r="E1161" i="3"/>
  <c r="H1160" i="3"/>
  <c r="F1160" i="3"/>
  <c r="E1160" i="3"/>
  <c r="H1159" i="3"/>
  <c r="F1159" i="3"/>
  <c r="E1159" i="3"/>
  <c r="H1158" i="3"/>
  <c r="F1158" i="3"/>
  <c r="E1158" i="3"/>
  <c r="D143" i="4"/>
  <c r="D142" i="4"/>
  <c r="D1153" i="3"/>
  <c r="C1153" i="3"/>
  <c r="H1157" i="3"/>
  <c r="F1157" i="3"/>
  <c r="E1157" i="3"/>
  <c r="H1156" i="3"/>
  <c r="F1156" i="3"/>
  <c r="E1156" i="3"/>
  <c r="H1155" i="3"/>
  <c r="F1155" i="3"/>
  <c r="E1155" i="3"/>
  <c r="H1154" i="3"/>
  <c r="F1154" i="3"/>
  <c r="E1154" i="3"/>
  <c r="E1153" i="3"/>
  <c r="H1152" i="3"/>
  <c r="F1152" i="3"/>
  <c r="E1152" i="3"/>
  <c r="H1151" i="3"/>
  <c r="F1151" i="3"/>
  <c r="E1151" i="3"/>
  <c r="H1150" i="3"/>
  <c r="F1150" i="3"/>
  <c r="E1150" i="3"/>
  <c r="D1145" i="3"/>
  <c r="C1145" i="3"/>
  <c r="H1149" i="3"/>
  <c r="F1149" i="3"/>
  <c r="E1149" i="3"/>
  <c r="H1148" i="3"/>
  <c r="F1148" i="3"/>
  <c r="E1148" i="3"/>
  <c r="H1147" i="3"/>
  <c r="F1147" i="3"/>
  <c r="E1147" i="3"/>
  <c r="H1146" i="3"/>
  <c r="F1146" i="3"/>
  <c r="E1146" i="3"/>
  <c r="E1145" i="3"/>
  <c r="H1144" i="3"/>
  <c r="F1144" i="3"/>
  <c r="E1144" i="3"/>
  <c r="H1143" i="3"/>
  <c r="F1143" i="3"/>
  <c r="E1143" i="3"/>
  <c r="H1142" i="3"/>
  <c r="F1142" i="3"/>
  <c r="E1142" i="3"/>
  <c r="D1137" i="3"/>
  <c r="C1137" i="3"/>
  <c r="H1141" i="3"/>
  <c r="F1141" i="3"/>
  <c r="E1141" i="3"/>
  <c r="H1140" i="3"/>
  <c r="F1140" i="3"/>
  <c r="E1140" i="3"/>
  <c r="H1139" i="3"/>
  <c r="F1139" i="3"/>
  <c r="E1139" i="3"/>
  <c r="H1138" i="3"/>
  <c r="F1138" i="3"/>
  <c r="E1138" i="3"/>
  <c r="H1137" i="3"/>
  <c r="H1136" i="3"/>
  <c r="F1136" i="3"/>
  <c r="E1136" i="3"/>
  <c r="H1135" i="3"/>
  <c r="F1135" i="3"/>
  <c r="E1135" i="3"/>
  <c r="H1134" i="3"/>
  <c r="F1134" i="3"/>
  <c r="E1134" i="3"/>
  <c r="D141" i="4"/>
  <c r="C1129" i="3"/>
  <c r="H1133" i="3"/>
  <c r="F1133" i="3"/>
  <c r="E1133" i="3"/>
  <c r="H1132" i="3"/>
  <c r="F1132" i="3"/>
  <c r="E1132" i="3"/>
  <c r="H1131" i="3"/>
  <c r="F1131" i="3"/>
  <c r="E1131" i="3"/>
  <c r="H1130" i="3"/>
  <c r="F1130" i="3"/>
  <c r="E1130" i="3"/>
  <c r="E1129" i="3"/>
  <c r="H1128" i="3"/>
  <c r="F1128" i="3"/>
  <c r="E1128" i="3"/>
  <c r="H1127" i="3"/>
  <c r="F1127" i="3"/>
  <c r="E1127" i="3"/>
  <c r="H1126" i="3"/>
  <c r="F1126" i="3"/>
  <c r="E1126" i="3"/>
  <c r="D1121" i="3"/>
  <c r="C1121" i="3"/>
  <c r="E1121" i="3" s="1"/>
  <c r="H1125" i="3"/>
  <c r="F1125" i="3"/>
  <c r="E1125" i="3"/>
  <c r="H1124" i="3"/>
  <c r="F1124" i="3"/>
  <c r="E1124" i="3"/>
  <c r="H1123" i="3"/>
  <c r="F1123" i="3"/>
  <c r="E1123" i="3"/>
  <c r="H1122" i="3"/>
  <c r="F1122" i="3"/>
  <c r="E1122" i="3"/>
  <c r="H1120" i="3"/>
  <c r="F1120" i="3"/>
  <c r="E1120" i="3"/>
  <c r="H1119" i="3"/>
  <c r="F1119" i="3"/>
  <c r="E1119" i="3"/>
  <c r="H1118" i="3"/>
  <c r="F1118" i="3"/>
  <c r="E1118" i="3"/>
  <c r="D1113" i="3"/>
  <c r="C1113" i="3"/>
  <c r="H1117" i="3"/>
  <c r="F1117" i="3"/>
  <c r="E1117" i="3"/>
  <c r="H1116" i="3"/>
  <c r="F1116" i="3"/>
  <c r="E1116" i="3"/>
  <c r="H1115" i="3"/>
  <c r="F1115" i="3"/>
  <c r="E1115" i="3"/>
  <c r="H1114" i="3"/>
  <c r="F1114" i="3"/>
  <c r="E1114" i="3"/>
  <c r="E1113" i="3"/>
  <c r="H1112" i="3"/>
  <c r="F1112" i="3"/>
  <c r="E1112" i="3"/>
  <c r="H1111" i="3"/>
  <c r="F1111" i="3"/>
  <c r="E1111" i="3"/>
  <c r="H1110" i="3"/>
  <c r="F1110" i="3"/>
  <c r="E1110" i="3"/>
  <c r="D140" i="4"/>
  <c r="D1105" i="3"/>
  <c r="C1105" i="3"/>
  <c r="H1109" i="3"/>
  <c r="F1109" i="3"/>
  <c r="E1109" i="3"/>
  <c r="H1108" i="3"/>
  <c r="F1108" i="3"/>
  <c r="E1108" i="3"/>
  <c r="H1107" i="3"/>
  <c r="F1107" i="3"/>
  <c r="E1107" i="3"/>
  <c r="H1106" i="3"/>
  <c r="F1106" i="3"/>
  <c r="E1106" i="3"/>
  <c r="H1104" i="3"/>
  <c r="F1104" i="3"/>
  <c r="E1104" i="3"/>
  <c r="H1103" i="3"/>
  <c r="F1103" i="3"/>
  <c r="E1103" i="3"/>
  <c r="H1102" i="3"/>
  <c r="F1102" i="3"/>
  <c r="E1102" i="3"/>
  <c r="D139" i="4"/>
  <c r="D1097" i="3"/>
  <c r="C1097" i="3"/>
  <c r="E1097" i="3" s="1"/>
  <c r="H1101" i="3"/>
  <c r="F1101" i="3"/>
  <c r="E1101" i="3"/>
  <c r="H1100" i="3"/>
  <c r="F1100" i="3"/>
  <c r="E1100" i="3"/>
  <c r="H1099" i="3"/>
  <c r="F1099" i="3"/>
  <c r="E1099" i="3"/>
  <c r="H1098" i="3"/>
  <c r="F1098" i="3"/>
  <c r="E1098" i="3"/>
  <c r="H1096" i="3"/>
  <c r="F1096" i="3"/>
  <c r="E1096" i="3"/>
  <c r="H1095" i="3"/>
  <c r="F1095" i="3"/>
  <c r="E1095" i="3"/>
  <c r="H1094" i="3"/>
  <c r="F1094" i="3"/>
  <c r="E1094" i="3"/>
  <c r="D138" i="4"/>
  <c r="H1093" i="3"/>
  <c r="F1093" i="3"/>
  <c r="E1093" i="3"/>
  <c r="H1092" i="3"/>
  <c r="F1092" i="3"/>
  <c r="E1092" i="3"/>
  <c r="H1091" i="3"/>
  <c r="F1091" i="3"/>
  <c r="E1091" i="3"/>
  <c r="H1090" i="3"/>
  <c r="F1090" i="3"/>
  <c r="E1090" i="3"/>
  <c r="E1089" i="3"/>
  <c r="H1088" i="3"/>
  <c r="F1088" i="3"/>
  <c r="E1088" i="3"/>
  <c r="H1087" i="3"/>
  <c r="F1087" i="3"/>
  <c r="E1087" i="3"/>
  <c r="H1086" i="3"/>
  <c r="F1086" i="3"/>
  <c r="E1086" i="3"/>
  <c r="D137" i="4"/>
  <c r="D1081" i="3"/>
  <c r="C1081" i="3"/>
  <c r="H1085" i="3"/>
  <c r="F1085" i="3"/>
  <c r="E1085" i="3"/>
  <c r="H1084" i="3"/>
  <c r="F1084" i="3"/>
  <c r="E1084" i="3"/>
  <c r="H1083" i="3"/>
  <c r="F1083" i="3"/>
  <c r="E1083" i="3"/>
  <c r="H1082" i="3"/>
  <c r="F1082" i="3"/>
  <c r="E1082" i="3"/>
  <c r="E1081" i="3"/>
  <c r="H1080" i="3"/>
  <c r="F1080" i="3"/>
  <c r="E1080" i="3"/>
  <c r="H1079" i="3"/>
  <c r="F1079" i="3"/>
  <c r="E1079" i="3"/>
  <c r="H1078" i="3"/>
  <c r="F1078" i="3"/>
  <c r="E1078" i="3"/>
  <c r="D136" i="4"/>
  <c r="D1073" i="3"/>
  <c r="C1073" i="3"/>
  <c r="E1073" i="3" s="1"/>
  <c r="H1077" i="3"/>
  <c r="F1077" i="3"/>
  <c r="E1077" i="3"/>
  <c r="H1076" i="3"/>
  <c r="F1076" i="3"/>
  <c r="E1076" i="3"/>
  <c r="H1075" i="3"/>
  <c r="F1075" i="3"/>
  <c r="E1075" i="3"/>
  <c r="H1074" i="3"/>
  <c r="F1074" i="3"/>
  <c r="E1074" i="3"/>
  <c r="H1072" i="3"/>
  <c r="F1072" i="3"/>
  <c r="E1072" i="3"/>
  <c r="H1071" i="3"/>
  <c r="F1071" i="3"/>
  <c r="E1071" i="3"/>
  <c r="H1070" i="3"/>
  <c r="F1070" i="3"/>
  <c r="E1070" i="3"/>
  <c r="D135" i="4"/>
  <c r="D1065" i="3"/>
  <c r="C1065" i="3"/>
  <c r="H1069" i="3"/>
  <c r="F1069" i="3"/>
  <c r="E1069" i="3"/>
  <c r="H1068" i="3"/>
  <c r="F1068" i="3"/>
  <c r="E1068" i="3"/>
  <c r="H1067" i="3"/>
  <c r="F1067" i="3"/>
  <c r="E1067" i="3"/>
  <c r="H1066" i="3"/>
  <c r="F1066" i="3"/>
  <c r="E1066" i="3"/>
  <c r="E1065" i="3"/>
  <c r="H1064" i="3"/>
  <c r="F1064" i="3"/>
  <c r="E1064" i="3"/>
  <c r="H1063" i="3"/>
  <c r="F1063" i="3"/>
  <c r="E1063" i="3"/>
  <c r="H1062" i="3"/>
  <c r="F1062" i="3"/>
  <c r="E1062" i="3"/>
  <c r="D1057" i="3"/>
  <c r="C1057" i="3"/>
  <c r="H1061" i="3"/>
  <c r="F1061" i="3"/>
  <c r="E1061" i="3"/>
  <c r="H1060" i="3"/>
  <c r="F1060" i="3"/>
  <c r="E1060" i="3"/>
  <c r="H1059" i="3"/>
  <c r="F1059" i="3"/>
  <c r="E1059" i="3"/>
  <c r="H1058" i="3"/>
  <c r="F1058" i="3"/>
  <c r="E1058" i="3"/>
  <c r="H1056" i="3"/>
  <c r="F1056" i="3"/>
  <c r="E1056" i="3"/>
  <c r="H1055" i="3"/>
  <c r="F1055" i="3"/>
  <c r="E1055" i="3"/>
  <c r="H1054" i="3"/>
  <c r="F1054" i="3"/>
  <c r="E1054" i="3"/>
  <c r="D134" i="4"/>
  <c r="D133" i="4"/>
  <c r="D1049" i="3"/>
  <c r="C1049" i="3"/>
  <c r="H1053" i="3"/>
  <c r="F1053" i="3"/>
  <c r="E1053" i="3"/>
  <c r="H1052" i="3"/>
  <c r="F1052" i="3"/>
  <c r="E1052" i="3"/>
  <c r="H1051" i="3"/>
  <c r="F1051" i="3"/>
  <c r="E1051" i="3"/>
  <c r="H1050" i="3"/>
  <c r="F1050" i="3"/>
  <c r="E1050" i="3"/>
  <c r="H1049" i="3"/>
  <c r="H1048" i="3"/>
  <c r="F1048" i="3"/>
  <c r="E1048" i="3"/>
  <c r="H1047" i="3"/>
  <c r="F1047" i="3"/>
  <c r="E1047" i="3"/>
  <c r="H1046" i="3"/>
  <c r="F1046" i="3"/>
  <c r="E1046" i="3"/>
  <c r="D132" i="4"/>
  <c r="C1041" i="3"/>
  <c r="H1045" i="3"/>
  <c r="F1045" i="3"/>
  <c r="E1045" i="3"/>
  <c r="H1044" i="3"/>
  <c r="F1044" i="3"/>
  <c r="E1044" i="3"/>
  <c r="H1042" i="3"/>
  <c r="F1042" i="3"/>
  <c r="E1042" i="3"/>
  <c r="E1041" i="3"/>
  <c r="H1040" i="3"/>
  <c r="F1040" i="3"/>
  <c r="E1040" i="3"/>
  <c r="H1039" i="3"/>
  <c r="F1039" i="3"/>
  <c r="E1039" i="3"/>
  <c r="H1038" i="3"/>
  <c r="F1038" i="3"/>
  <c r="E1038" i="3"/>
  <c r="D131" i="4"/>
  <c r="D1035" i="3"/>
  <c r="D1033" i="3"/>
  <c r="C1033" i="3"/>
  <c r="H1037" i="3"/>
  <c r="F1037" i="3"/>
  <c r="E1037" i="3"/>
  <c r="H1036" i="3"/>
  <c r="F1036" i="3"/>
  <c r="E1036" i="3"/>
  <c r="H1035" i="3"/>
  <c r="F1035" i="3"/>
  <c r="E1035" i="3"/>
  <c r="H1034" i="3"/>
  <c r="F1034" i="3"/>
  <c r="E1034" i="3"/>
  <c r="E1033" i="3"/>
  <c r="H1032" i="3"/>
  <c r="F1032" i="3"/>
  <c r="E1032" i="3"/>
  <c r="H1031" i="3"/>
  <c r="F1031" i="3"/>
  <c r="E1031" i="3"/>
  <c r="H1030" i="3"/>
  <c r="F1030" i="3"/>
  <c r="E1030" i="3"/>
  <c r="D1025" i="3"/>
  <c r="D130" i="4"/>
  <c r="C1025" i="3"/>
  <c r="E1025" i="3" s="1"/>
  <c r="H1029" i="3"/>
  <c r="F1029" i="3"/>
  <c r="E1029" i="3"/>
  <c r="H1028" i="3"/>
  <c r="F1028" i="3"/>
  <c r="E1028" i="3"/>
  <c r="H1027" i="3"/>
  <c r="F1027" i="3"/>
  <c r="E1027" i="3"/>
  <c r="H1026" i="3"/>
  <c r="F1026" i="3"/>
  <c r="E1026" i="3"/>
  <c r="H1024" i="3"/>
  <c r="F1024" i="3"/>
  <c r="E1024" i="3"/>
  <c r="H1023" i="3"/>
  <c r="F1023" i="3"/>
  <c r="E1023" i="3"/>
  <c r="H1022" i="3"/>
  <c r="F1022" i="3"/>
  <c r="E1022" i="3"/>
  <c r="D1017" i="3"/>
  <c r="D129" i="4"/>
  <c r="D128" i="4"/>
  <c r="D127" i="4"/>
  <c r="C1017" i="3"/>
  <c r="H1021" i="3"/>
  <c r="F1021" i="3"/>
  <c r="E1021" i="3"/>
  <c r="H1020" i="3"/>
  <c r="F1020" i="3"/>
  <c r="E1020" i="3"/>
  <c r="H1018" i="3"/>
  <c r="F1018" i="3"/>
  <c r="E1018" i="3"/>
  <c r="H1016" i="3"/>
  <c r="F1016" i="3"/>
  <c r="E1016" i="3"/>
  <c r="H1015" i="3"/>
  <c r="F1015" i="3"/>
  <c r="E1015" i="3"/>
  <c r="H1014" i="3"/>
  <c r="F1014" i="3"/>
  <c r="E1014" i="3"/>
  <c r="D1009" i="3"/>
  <c r="D126" i="4"/>
  <c r="D125" i="4"/>
  <c r="D1011" i="3"/>
  <c r="C1009" i="3"/>
  <c r="E1009" i="3" s="1"/>
  <c r="H1013" i="3"/>
  <c r="F1013" i="3"/>
  <c r="E1013" i="3"/>
  <c r="H1012" i="3"/>
  <c r="F1012" i="3"/>
  <c r="E1012" i="3"/>
  <c r="H1010" i="3"/>
  <c r="F1010" i="3"/>
  <c r="E1010" i="3"/>
  <c r="H1008" i="3"/>
  <c r="F1008" i="3"/>
  <c r="E1008" i="3"/>
  <c r="H1007" i="3"/>
  <c r="F1007" i="3"/>
  <c r="E1007" i="3"/>
  <c r="H1006" i="3"/>
  <c r="F1006" i="3"/>
  <c r="E1006" i="3"/>
  <c r="D124" i="4"/>
  <c r="D1001" i="3"/>
  <c r="C1001" i="3"/>
  <c r="H1005" i="3"/>
  <c r="F1005" i="3"/>
  <c r="E1005" i="3"/>
  <c r="H1004" i="3"/>
  <c r="F1004" i="3"/>
  <c r="E1004" i="3"/>
  <c r="H1003" i="3"/>
  <c r="F1003" i="3"/>
  <c r="E1003" i="3"/>
  <c r="H1002" i="3"/>
  <c r="F1002" i="3"/>
  <c r="E1002" i="3"/>
  <c r="E1001" i="3"/>
  <c r="H1000" i="3"/>
  <c r="F1000" i="3"/>
  <c r="E1000" i="3"/>
  <c r="H999" i="3"/>
  <c r="F999" i="3"/>
  <c r="E999" i="3"/>
  <c r="H998" i="3"/>
  <c r="F998" i="3"/>
  <c r="E998" i="3"/>
  <c r="D123" i="4"/>
  <c r="D122" i="4"/>
  <c r="D121" i="4"/>
  <c r="D120" i="4"/>
  <c r="D993" i="3"/>
  <c r="C993" i="3"/>
  <c r="H997" i="3"/>
  <c r="F997" i="3"/>
  <c r="E997" i="3"/>
  <c r="H996" i="3"/>
  <c r="F996" i="3"/>
  <c r="E996" i="3"/>
  <c r="H995" i="3"/>
  <c r="F995" i="3"/>
  <c r="E995" i="3"/>
  <c r="H994" i="3"/>
  <c r="F994" i="3"/>
  <c r="E994" i="3"/>
  <c r="H992" i="3"/>
  <c r="F992" i="3"/>
  <c r="E992" i="3"/>
  <c r="H991" i="3"/>
  <c r="F991" i="3"/>
  <c r="E991" i="3"/>
  <c r="H990" i="3"/>
  <c r="F990" i="3"/>
  <c r="E990" i="3"/>
  <c r="D985" i="3"/>
  <c r="C985" i="3"/>
  <c r="H989" i="3"/>
  <c r="F989" i="3"/>
  <c r="E989" i="3"/>
  <c r="H988" i="3"/>
  <c r="F988" i="3"/>
  <c r="E988" i="3"/>
  <c r="H987" i="3"/>
  <c r="F987" i="3"/>
  <c r="E987" i="3"/>
  <c r="H986" i="3"/>
  <c r="F986" i="3"/>
  <c r="E986" i="3"/>
  <c r="H984" i="3"/>
  <c r="F984" i="3"/>
  <c r="E984" i="3"/>
  <c r="H983" i="3"/>
  <c r="F983" i="3"/>
  <c r="E983" i="3"/>
  <c r="H982" i="3"/>
  <c r="F982" i="3"/>
  <c r="E982" i="3"/>
  <c r="D119" i="4"/>
  <c r="C977" i="3"/>
  <c r="D977" i="3"/>
  <c r="H981" i="3"/>
  <c r="F981" i="3"/>
  <c r="E981" i="3"/>
  <c r="H980" i="3"/>
  <c r="F980" i="3"/>
  <c r="E980" i="3"/>
  <c r="H979" i="3"/>
  <c r="F979" i="3"/>
  <c r="E979" i="3"/>
  <c r="H978" i="3"/>
  <c r="F978" i="3"/>
  <c r="E978" i="3"/>
  <c r="H976" i="3"/>
  <c r="F976" i="3"/>
  <c r="E976" i="3"/>
  <c r="H975" i="3"/>
  <c r="F975" i="3"/>
  <c r="E975" i="3"/>
  <c r="H974" i="3"/>
  <c r="F974" i="3"/>
  <c r="E974" i="3"/>
  <c r="D118" i="4"/>
  <c r="D969" i="3"/>
  <c r="C969" i="3"/>
  <c r="H973" i="3"/>
  <c r="F973" i="3"/>
  <c r="E973" i="3"/>
  <c r="H972" i="3"/>
  <c r="F972" i="3"/>
  <c r="E972" i="3"/>
  <c r="H971" i="3"/>
  <c r="F971" i="3"/>
  <c r="E971" i="3"/>
  <c r="H970" i="3"/>
  <c r="F970" i="3"/>
  <c r="E970" i="3"/>
  <c r="H968" i="3"/>
  <c r="F968" i="3"/>
  <c r="E968" i="3"/>
  <c r="H967" i="3"/>
  <c r="F967" i="3"/>
  <c r="E967" i="3"/>
  <c r="H966" i="3"/>
  <c r="F966" i="3"/>
  <c r="E966" i="3"/>
  <c r="D117" i="4"/>
  <c r="D116" i="4"/>
  <c r="D115" i="4"/>
  <c r="D961" i="3"/>
  <c r="C961" i="3"/>
  <c r="H965" i="3"/>
  <c r="F965" i="3"/>
  <c r="E965" i="3"/>
  <c r="H964" i="3"/>
  <c r="F964" i="3"/>
  <c r="E964" i="3"/>
  <c r="H963" i="3"/>
  <c r="F963" i="3"/>
  <c r="E963" i="3"/>
  <c r="H962" i="3"/>
  <c r="F962" i="3"/>
  <c r="E962" i="3"/>
  <c r="H960" i="3"/>
  <c r="F960" i="3"/>
  <c r="E960" i="3"/>
  <c r="H959" i="3"/>
  <c r="F959" i="3"/>
  <c r="E959" i="3"/>
  <c r="H958" i="3"/>
  <c r="F958" i="3"/>
  <c r="E958" i="3"/>
  <c r="D113" i="4"/>
  <c r="D114" i="4"/>
  <c r="D953" i="3"/>
  <c r="C953" i="3"/>
  <c r="H957" i="3"/>
  <c r="F957" i="3"/>
  <c r="E957" i="3"/>
  <c r="H956" i="3"/>
  <c r="F956" i="3"/>
  <c r="E956" i="3"/>
  <c r="H955" i="3"/>
  <c r="F955" i="3"/>
  <c r="E955" i="3"/>
  <c r="H954" i="3"/>
  <c r="F954" i="3"/>
  <c r="E954" i="3"/>
  <c r="H952" i="3"/>
  <c r="F952" i="3"/>
  <c r="E952" i="3"/>
  <c r="H951" i="3"/>
  <c r="F951" i="3"/>
  <c r="E951" i="3"/>
  <c r="H950" i="3"/>
  <c r="F950" i="3"/>
  <c r="E950" i="3"/>
  <c r="D945" i="3"/>
  <c r="C945" i="3"/>
  <c r="H949" i="3"/>
  <c r="F949" i="3"/>
  <c r="E949" i="3"/>
  <c r="H948" i="3"/>
  <c r="F948" i="3"/>
  <c r="E948" i="3"/>
  <c r="H947" i="3"/>
  <c r="F947" i="3"/>
  <c r="E947" i="3"/>
  <c r="H946" i="3"/>
  <c r="F946" i="3"/>
  <c r="E946" i="3"/>
  <c r="H944" i="3"/>
  <c r="F944" i="3"/>
  <c r="E944" i="3"/>
  <c r="H943" i="3"/>
  <c r="F943" i="3"/>
  <c r="E943" i="3"/>
  <c r="H942" i="3"/>
  <c r="F942" i="3"/>
  <c r="E942" i="3"/>
  <c r="D112" i="4"/>
  <c r="D111" i="4"/>
  <c r="D937" i="3"/>
  <c r="C937" i="3"/>
  <c r="E937" i="3"/>
  <c r="H941" i="3"/>
  <c r="F941" i="3"/>
  <c r="E941" i="3"/>
  <c r="H940" i="3"/>
  <c r="F940" i="3"/>
  <c r="E940" i="3"/>
  <c r="H939" i="3"/>
  <c r="F939" i="3"/>
  <c r="E939" i="3"/>
  <c r="H938" i="3"/>
  <c r="F938" i="3"/>
  <c r="E938" i="3"/>
  <c r="H936" i="3"/>
  <c r="F936" i="3"/>
  <c r="E936" i="3"/>
  <c r="H935" i="3"/>
  <c r="F935" i="3"/>
  <c r="E935" i="3"/>
  <c r="H934" i="3"/>
  <c r="F934" i="3"/>
  <c r="E934" i="3"/>
  <c r="D929" i="3"/>
  <c r="C929" i="3"/>
  <c r="H933" i="3"/>
  <c r="F933" i="3"/>
  <c r="E933" i="3"/>
  <c r="H932" i="3"/>
  <c r="F932" i="3"/>
  <c r="E932" i="3"/>
  <c r="H931" i="3"/>
  <c r="F931" i="3"/>
  <c r="E931" i="3"/>
  <c r="H930" i="3"/>
  <c r="F930" i="3"/>
  <c r="E930" i="3"/>
  <c r="H929" i="3"/>
  <c r="H928" i="3"/>
  <c r="F928" i="3"/>
  <c r="E928" i="3"/>
  <c r="H927" i="3"/>
  <c r="F927" i="3"/>
  <c r="E927" i="3"/>
  <c r="H926" i="3"/>
  <c r="F926" i="3"/>
  <c r="E926" i="3"/>
  <c r="C921" i="3"/>
  <c r="E921" i="3" s="1"/>
  <c r="H925" i="3"/>
  <c r="F925" i="3"/>
  <c r="E925" i="3"/>
  <c r="H924" i="3"/>
  <c r="F924" i="3"/>
  <c r="E924" i="3"/>
  <c r="H923" i="3"/>
  <c r="F923" i="3"/>
  <c r="E923" i="3"/>
  <c r="H922" i="3"/>
  <c r="F922" i="3"/>
  <c r="E922" i="3"/>
  <c r="H920" i="3"/>
  <c r="F920" i="3"/>
  <c r="E920" i="3"/>
  <c r="H919" i="3"/>
  <c r="F919" i="3"/>
  <c r="E919" i="3"/>
  <c r="H918" i="3"/>
  <c r="F918" i="3"/>
  <c r="E918" i="3"/>
  <c r="D110" i="4"/>
  <c r="D109" i="4"/>
  <c r="D913" i="3"/>
  <c r="C913" i="3"/>
  <c r="H917" i="3"/>
  <c r="F917" i="3"/>
  <c r="E917" i="3"/>
  <c r="H916" i="3"/>
  <c r="F916" i="3"/>
  <c r="E916" i="3"/>
  <c r="H915" i="3"/>
  <c r="F915" i="3"/>
  <c r="E915" i="3"/>
  <c r="H914" i="3"/>
  <c r="F914" i="3"/>
  <c r="E914" i="3"/>
  <c r="H912" i="3"/>
  <c r="F912" i="3"/>
  <c r="E912" i="3"/>
  <c r="H911" i="3"/>
  <c r="F911" i="3"/>
  <c r="E911" i="3"/>
  <c r="H910" i="3"/>
  <c r="F910" i="3"/>
  <c r="E910" i="3"/>
  <c r="D108" i="4"/>
  <c r="H909" i="3"/>
  <c r="F909" i="3"/>
  <c r="E909" i="3"/>
  <c r="H908" i="3"/>
  <c r="F908" i="3"/>
  <c r="E908" i="3"/>
  <c r="H907" i="3"/>
  <c r="F907" i="3"/>
  <c r="E907" i="3"/>
  <c r="H906" i="3"/>
  <c r="F906" i="3"/>
  <c r="E906" i="3"/>
  <c r="E905" i="3"/>
  <c r="H904" i="3"/>
  <c r="F904" i="3"/>
  <c r="E904" i="3"/>
  <c r="H903" i="3"/>
  <c r="F903" i="3"/>
  <c r="E903" i="3"/>
  <c r="H902" i="3"/>
  <c r="F902" i="3"/>
  <c r="E902" i="3"/>
  <c r="D897" i="3"/>
  <c r="D107" i="4"/>
  <c r="D106" i="4"/>
  <c r="C897" i="3"/>
  <c r="H901" i="3"/>
  <c r="F901" i="3"/>
  <c r="E901" i="3"/>
  <c r="H900" i="3"/>
  <c r="F900" i="3"/>
  <c r="E900" i="3"/>
  <c r="H899" i="3"/>
  <c r="F899" i="3"/>
  <c r="E899" i="3"/>
  <c r="H898" i="3"/>
  <c r="F898" i="3"/>
  <c r="E898" i="3"/>
  <c r="H896" i="3"/>
  <c r="F896" i="3"/>
  <c r="E896" i="3"/>
  <c r="H895" i="3"/>
  <c r="F895" i="3"/>
  <c r="E895" i="3"/>
  <c r="H894" i="3"/>
  <c r="F894" i="3"/>
  <c r="E894" i="3"/>
  <c r="D104" i="4"/>
  <c r="D105" i="4"/>
  <c r="D889" i="3"/>
  <c r="C889" i="3"/>
  <c r="H893" i="3"/>
  <c r="F893" i="3"/>
  <c r="E893" i="3"/>
  <c r="H892" i="3"/>
  <c r="F892" i="3"/>
  <c r="E892" i="3"/>
  <c r="H891" i="3"/>
  <c r="F891" i="3"/>
  <c r="E891" i="3"/>
  <c r="H890" i="3"/>
  <c r="F890" i="3"/>
  <c r="E890" i="3"/>
  <c r="E889" i="3"/>
  <c r="H888" i="3"/>
  <c r="F888" i="3"/>
  <c r="E888" i="3"/>
  <c r="H887" i="3"/>
  <c r="F887" i="3"/>
  <c r="E887" i="3"/>
  <c r="H886" i="3"/>
  <c r="F886" i="3"/>
  <c r="E886" i="3"/>
  <c r="D881" i="3"/>
  <c r="H881" i="3" s="1"/>
  <c r="C881" i="3"/>
  <c r="H885" i="3"/>
  <c r="F885" i="3"/>
  <c r="E885" i="3"/>
  <c r="H884" i="3"/>
  <c r="F884" i="3"/>
  <c r="E884" i="3"/>
  <c r="H883" i="3"/>
  <c r="F883" i="3"/>
  <c r="E883" i="3"/>
  <c r="H882" i="3"/>
  <c r="F882" i="3"/>
  <c r="E882" i="3"/>
  <c r="H880" i="3"/>
  <c r="F880" i="3"/>
  <c r="E880" i="3"/>
  <c r="H879" i="3"/>
  <c r="H878" i="3"/>
  <c r="F878" i="3"/>
  <c r="E878" i="3"/>
  <c r="D103" i="4"/>
  <c r="E1177" i="3" l="1"/>
  <c r="F1177" i="3"/>
  <c r="H1169" i="3"/>
  <c r="F1169" i="3"/>
  <c r="H1161" i="3"/>
  <c r="F1161" i="3"/>
  <c r="F1153" i="3"/>
  <c r="H1153" i="3"/>
  <c r="F1145" i="3"/>
  <c r="H1145" i="3"/>
  <c r="E1137" i="3"/>
  <c r="F1137" i="3"/>
  <c r="H1129" i="3"/>
  <c r="F1129" i="3"/>
  <c r="F1121" i="3"/>
  <c r="H1121" i="3"/>
  <c r="E1105" i="3"/>
  <c r="F1113" i="3"/>
  <c r="H1113" i="3"/>
  <c r="H1097" i="3"/>
  <c r="F1097" i="3"/>
  <c r="F1105" i="3"/>
  <c r="H1105" i="3"/>
  <c r="H1089" i="3"/>
  <c r="F1089" i="3"/>
  <c r="H1081" i="3"/>
  <c r="F1081" i="3"/>
  <c r="F1073" i="3"/>
  <c r="H1073" i="3"/>
  <c r="E1057" i="3"/>
  <c r="E913" i="3"/>
  <c r="H1011" i="3"/>
  <c r="F1011" i="3"/>
  <c r="E1011" i="3"/>
  <c r="F1065" i="3"/>
  <c r="H1065" i="3"/>
  <c r="H1057" i="3"/>
  <c r="F1057" i="3"/>
  <c r="E1049" i="3"/>
  <c r="F1049" i="3"/>
  <c r="F1043" i="3"/>
  <c r="H1043" i="3"/>
  <c r="E1043" i="3"/>
  <c r="F1041" i="3"/>
  <c r="H1041" i="3"/>
  <c r="H1033" i="3"/>
  <c r="F1033" i="3"/>
  <c r="F1025" i="3"/>
  <c r="H1025" i="3"/>
  <c r="E1017" i="3"/>
  <c r="E993" i="3"/>
  <c r="E969" i="3"/>
  <c r="E1019" i="3"/>
  <c r="F1019" i="3"/>
  <c r="H1019" i="3"/>
  <c r="H1017" i="3"/>
  <c r="F1017" i="3"/>
  <c r="E897" i="3"/>
  <c r="F1009" i="3"/>
  <c r="H1009" i="3"/>
  <c r="H1001" i="3"/>
  <c r="F1001" i="3"/>
  <c r="E985" i="3"/>
  <c r="E961" i="3"/>
  <c r="E953" i="3"/>
  <c r="E945" i="3"/>
  <c r="H913" i="3"/>
  <c r="F913" i="3"/>
  <c r="F993" i="3"/>
  <c r="H993" i="3"/>
  <c r="H985" i="3"/>
  <c r="F985" i="3"/>
  <c r="F977" i="3"/>
  <c r="E977" i="3"/>
  <c r="H977" i="3"/>
  <c r="H969" i="3"/>
  <c r="F969" i="3"/>
  <c r="H961" i="3"/>
  <c r="F961" i="3"/>
  <c r="H953" i="3"/>
  <c r="F953" i="3"/>
  <c r="H945" i="3"/>
  <c r="F945" i="3"/>
  <c r="H937" i="3"/>
  <c r="F937" i="3"/>
  <c r="F929" i="3"/>
  <c r="E929" i="3"/>
  <c r="F921" i="3"/>
  <c r="H921" i="3"/>
  <c r="H905" i="3"/>
  <c r="F905" i="3"/>
  <c r="H897" i="3"/>
  <c r="F897" i="3"/>
  <c r="H889" i="3"/>
  <c r="F889" i="3"/>
  <c r="E881" i="3"/>
  <c r="F881" i="3"/>
  <c r="E879" i="3"/>
  <c r="F879" i="3"/>
  <c r="D873" i="3"/>
  <c r="H873" i="3" s="1"/>
  <c r="C873" i="3"/>
  <c r="E873" i="3" s="1"/>
  <c r="D871" i="3"/>
  <c r="F871" i="3" s="1"/>
  <c r="H877" i="3"/>
  <c r="F877" i="3"/>
  <c r="E877" i="3"/>
  <c r="H876" i="3"/>
  <c r="F876" i="3"/>
  <c r="E876" i="3"/>
  <c r="H875" i="3"/>
  <c r="F875" i="3"/>
  <c r="E875" i="3"/>
  <c r="H874" i="3"/>
  <c r="F874" i="3"/>
  <c r="E874" i="3"/>
  <c r="H872" i="3"/>
  <c r="F872" i="3"/>
  <c r="E872" i="3"/>
  <c r="H870" i="3"/>
  <c r="F870" i="3"/>
  <c r="E870" i="3"/>
  <c r="D865" i="3"/>
  <c r="H865" i="3" s="1"/>
  <c r="C865" i="3"/>
  <c r="H869" i="3"/>
  <c r="F869" i="3"/>
  <c r="E869" i="3"/>
  <c r="H868" i="3"/>
  <c r="F868" i="3"/>
  <c r="E868" i="3"/>
  <c r="H867" i="3"/>
  <c r="F867" i="3"/>
  <c r="E867" i="3"/>
  <c r="H866" i="3"/>
  <c r="F866" i="3"/>
  <c r="E866" i="3"/>
  <c r="H864" i="3"/>
  <c r="F864" i="3"/>
  <c r="E864" i="3"/>
  <c r="H863" i="3"/>
  <c r="F863" i="3"/>
  <c r="E863" i="3"/>
  <c r="H862" i="3"/>
  <c r="F862" i="3"/>
  <c r="E862" i="3"/>
  <c r="D857" i="3"/>
  <c r="H857" i="3" s="1"/>
  <c r="C857" i="3"/>
  <c r="H861" i="3"/>
  <c r="F861" i="3"/>
  <c r="E861" i="3"/>
  <c r="H860" i="3"/>
  <c r="F860" i="3"/>
  <c r="E860" i="3"/>
  <c r="H859" i="3"/>
  <c r="F859" i="3"/>
  <c r="E859" i="3"/>
  <c r="H858" i="3"/>
  <c r="F858" i="3"/>
  <c r="E858" i="3"/>
  <c r="H856" i="3"/>
  <c r="F856" i="3"/>
  <c r="E856" i="3"/>
  <c r="H855" i="3"/>
  <c r="F855" i="3"/>
  <c r="E855" i="3"/>
  <c r="H854" i="3"/>
  <c r="F854" i="3"/>
  <c r="E854" i="3"/>
  <c r="D849" i="3"/>
  <c r="H851" i="3"/>
  <c r="C849" i="3"/>
  <c r="H849" i="3"/>
  <c r="H843" i="3"/>
  <c r="H853" i="3"/>
  <c r="F853" i="3"/>
  <c r="E853" i="3"/>
  <c r="H852" i="3"/>
  <c r="F852" i="3"/>
  <c r="E852" i="3"/>
  <c r="F851" i="3"/>
  <c r="E851" i="3"/>
  <c r="H850" i="3"/>
  <c r="F850" i="3"/>
  <c r="E850" i="3"/>
  <c r="H848" i="3"/>
  <c r="F848" i="3"/>
  <c r="E848" i="3"/>
  <c r="H847" i="3"/>
  <c r="F847" i="3"/>
  <c r="E847" i="3"/>
  <c r="H846" i="3"/>
  <c r="F846" i="3"/>
  <c r="E846" i="3"/>
  <c r="E842" i="3"/>
  <c r="E843" i="3"/>
  <c r="E844" i="3"/>
  <c r="E845" i="3"/>
  <c r="D841" i="3"/>
  <c r="E840" i="3"/>
  <c r="E839" i="3"/>
  <c r="H845" i="3"/>
  <c r="F845" i="3"/>
  <c r="H844" i="3"/>
  <c r="F844" i="3"/>
  <c r="F843" i="3"/>
  <c r="H842" i="3"/>
  <c r="F842" i="3"/>
  <c r="H840" i="3"/>
  <c r="F840" i="3"/>
  <c r="H839" i="3"/>
  <c r="F839" i="3"/>
  <c r="H838" i="3"/>
  <c r="F838" i="3"/>
  <c r="E838" i="3"/>
  <c r="D833" i="3"/>
  <c r="F849" i="3" l="1"/>
  <c r="E865" i="3"/>
  <c r="E841" i="3"/>
  <c r="H841" i="3"/>
  <c r="E871" i="3"/>
  <c r="H871" i="3"/>
  <c r="F873" i="3"/>
  <c r="F865" i="3"/>
  <c r="E857" i="3"/>
  <c r="F857" i="3"/>
  <c r="E849" i="3"/>
  <c r="F841" i="3"/>
  <c r="C833" i="3"/>
  <c r="F833" i="3" s="1"/>
  <c r="H837" i="3"/>
  <c r="F837" i="3"/>
  <c r="E837" i="3"/>
  <c r="H836" i="3"/>
  <c r="F836" i="3"/>
  <c r="E836" i="3"/>
  <c r="H835" i="3"/>
  <c r="F835" i="3"/>
  <c r="E835" i="3"/>
  <c r="H834" i="3"/>
  <c r="F834" i="3"/>
  <c r="E834" i="3"/>
  <c r="H832" i="3"/>
  <c r="F832" i="3"/>
  <c r="E832" i="3"/>
  <c r="H831" i="3"/>
  <c r="F831" i="3"/>
  <c r="E831" i="3"/>
  <c r="H830" i="3"/>
  <c r="F830" i="3"/>
  <c r="E830" i="3"/>
  <c r="D825" i="3"/>
  <c r="E833" i="3" l="1"/>
  <c r="H833" i="3"/>
  <c r="C825" i="3"/>
  <c r="E825" i="3" s="1"/>
  <c r="H829" i="3"/>
  <c r="F829" i="3"/>
  <c r="E829" i="3"/>
  <c r="H828" i="3"/>
  <c r="F828" i="3"/>
  <c r="E828" i="3"/>
  <c r="H827" i="3"/>
  <c r="F827" i="3"/>
  <c r="E827" i="3"/>
  <c r="H826" i="3"/>
  <c r="F826" i="3"/>
  <c r="E826" i="3"/>
  <c r="H825" i="3"/>
  <c r="H824" i="3"/>
  <c r="F824" i="3"/>
  <c r="E824" i="3"/>
  <c r="H823" i="3"/>
  <c r="F823" i="3"/>
  <c r="E823" i="3"/>
  <c r="H822" i="3"/>
  <c r="F822" i="3"/>
  <c r="E822" i="3"/>
  <c r="D102" i="4"/>
  <c r="D817" i="3"/>
  <c r="F825" i="3" l="1"/>
  <c r="H817" i="3"/>
  <c r="C817" i="3"/>
  <c r="H821" i="3"/>
  <c r="F821" i="3"/>
  <c r="E821" i="3"/>
  <c r="H820" i="3"/>
  <c r="F820" i="3"/>
  <c r="E820" i="3"/>
  <c r="H819" i="3"/>
  <c r="F819" i="3"/>
  <c r="E819" i="3"/>
  <c r="H818" i="3"/>
  <c r="F818" i="3"/>
  <c r="E818" i="3"/>
  <c r="H816" i="3"/>
  <c r="F816" i="3"/>
  <c r="E816" i="3"/>
  <c r="H815" i="3"/>
  <c r="F815" i="3"/>
  <c r="E815" i="3"/>
  <c r="H814" i="3"/>
  <c r="F814" i="3"/>
  <c r="E814" i="3"/>
  <c r="D101" i="4"/>
  <c r="D100" i="4"/>
  <c r="D99" i="4"/>
  <c r="C809" i="3"/>
  <c r="E809" i="3" s="1"/>
  <c r="H813" i="3"/>
  <c r="F813" i="3"/>
  <c r="E813" i="3"/>
  <c r="H812" i="3"/>
  <c r="F812" i="3"/>
  <c r="E812" i="3"/>
  <c r="H811" i="3"/>
  <c r="F811" i="3"/>
  <c r="E811" i="3"/>
  <c r="H810" i="3"/>
  <c r="F810" i="3"/>
  <c r="E810" i="3"/>
  <c r="H809" i="3"/>
  <c r="H808" i="3"/>
  <c r="F808" i="3"/>
  <c r="E808" i="3"/>
  <c r="H807" i="3"/>
  <c r="F807" i="3"/>
  <c r="E807" i="3"/>
  <c r="H806" i="3"/>
  <c r="F806" i="3"/>
  <c r="E806" i="3"/>
  <c r="D97" i="4"/>
  <c r="D98" i="4"/>
  <c r="H803" i="3"/>
  <c r="D801" i="3"/>
  <c r="H801" i="3" s="1"/>
  <c r="C801" i="3"/>
  <c r="H805" i="3"/>
  <c r="F805" i="3"/>
  <c r="E805" i="3"/>
  <c r="H804" i="3"/>
  <c r="F804" i="3"/>
  <c r="E804" i="3"/>
  <c r="H802" i="3"/>
  <c r="F802" i="3"/>
  <c r="E802" i="3"/>
  <c r="H800" i="3"/>
  <c r="F800" i="3"/>
  <c r="E800" i="3"/>
  <c r="H799" i="3"/>
  <c r="F799" i="3"/>
  <c r="E799" i="3"/>
  <c r="H798" i="3"/>
  <c r="F798" i="3"/>
  <c r="E798" i="3"/>
  <c r="D93" i="4"/>
  <c r="D94" i="4"/>
  <c r="D95" i="4"/>
  <c r="D96" i="4"/>
  <c r="D92" i="4"/>
  <c r="E817" i="3" l="1"/>
  <c r="F817" i="3"/>
  <c r="F809" i="3"/>
  <c r="E803" i="3"/>
  <c r="F803" i="3"/>
  <c r="E801" i="3"/>
  <c r="F801" i="3"/>
  <c r="D793" i="3"/>
  <c r="H793" i="3" s="1"/>
  <c r="C793" i="3"/>
  <c r="H797" i="3"/>
  <c r="F797" i="3"/>
  <c r="E797" i="3"/>
  <c r="H796" i="3"/>
  <c r="F796" i="3"/>
  <c r="E796" i="3"/>
  <c r="H795" i="3"/>
  <c r="F795" i="3"/>
  <c r="E795" i="3"/>
  <c r="H794" i="3"/>
  <c r="F794" i="3"/>
  <c r="E794" i="3"/>
  <c r="H792" i="3"/>
  <c r="F792" i="3"/>
  <c r="E792" i="3"/>
  <c r="H791" i="3"/>
  <c r="F791" i="3"/>
  <c r="E791" i="3"/>
  <c r="H790" i="3"/>
  <c r="F790" i="3"/>
  <c r="E790" i="3"/>
  <c r="D91" i="4"/>
  <c r="D785" i="3"/>
  <c r="C785" i="3"/>
  <c r="E793" i="3" l="1"/>
  <c r="F793" i="3"/>
  <c r="H789" i="3"/>
  <c r="F789" i="3"/>
  <c r="E789" i="3"/>
  <c r="H788" i="3"/>
  <c r="F788" i="3"/>
  <c r="E788" i="3"/>
  <c r="H787" i="3"/>
  <c r="F787" i="3"/>
  <c r="E787" i="3"/>
  <c r="H786" i="3"/>
  <c r="F786" i="3"/>
  <c r="E786" i="3"/>
  <c r="H785" i="3"/>
  <c r="E785" i="3"/>
  <c r="H784" i="3"/>
  <c r="F784" i="3"/>
  <c r="E784" i="3"/>
  <c r="H783" i="3"/>
  <c r="F783" i="3"/>
  <c r="E783" i="3"/>
  <c r="H782" i="3"/>
  <c r="F782" i="3"/>
  <c r="E782" i="3"/>
  <c r="D90" i="4"/>
  <c r="D89" i="4"/>
  <c r="D777" i="3"/>
  <c r="F785" i="3" l="1"/>
  <c r="H777" i="3"/>
  <c r="C777" i="3"/>
  <c r="E777" i="3" s="1"/>
  <c r="H781" i="3"/>
  <c r="F781" i="3"/>
  <c r="E781" i="3"/>
  <c r="H780" i="3"/>
  <c r="F780" i="3"/>
  <c r="E780" i="3"/>
  <c r="H779" i="3"/>
  <c r="F779" i="3"/>
  <c r="E779" i="3"/>
  <c r="H778" i="3"/>
  <c r="F778" i="3"/>
  <c r="E778" i="3"/>
  <c r="H776" i="3"/>
  <c r="F776" i="3"/>
  <c r="E776" i="3"/>
  <c r="H775" i="3"/>
  <c r="F775" i="3"/>
  <c r="E775" i="3"/>
  <c r="H774" i="3"/>
  <c r="F774" i="3"/>
  <c r="E774" i="3"/>
  <c r="D769" i="3"/>
  <c r="F777" i="3" l="1"/>
  <c r="H769" i="3"/>
  <c r="C769" i="3"/>
  <c r="E769" i="3" s="1"/>
  <c r="H773" i="3"/>
  <c r="F773" i="3"/>
  <c r="E773" i="3"/>
  <c r="H772" i="3"/>
  <c r="F772" i="3"/>
  <c r="E772" i="3"/>
  <c r="H771" i="3"/>
  <c r="F771" i="3"/>
  <c r="E771" i="3"/>
  <c r="H770" i="3"/>
  <c r="F770" i="3"/>
  <c r="E770" i="3"/>
  <c r="H768" i="3"/>
  <c r="F768" i="3"/>
  <c r="E768" i="3"/>
  <c r="H767" i="3"/>
  <c r="F767" i="3"/>
  <c r="E767" i="3"/>
  <c r="H766" i="3"/>
  <c r="F766" i="3"/>
  <c r="E766" i="3"/>
  <c r="D761" i="3"/>
  <c r="C761" i="3"/>
  <c r="F761" i="3" s="1"/>
  <c r="H765" i="3"/>
  <c r="F765" i="3"/>
  <c r="E765" i="3"/>
  <c r="H764" i="3"/>
  <c r="F764" i="3"/>
  <c r="E764" i="3"/>
  <c r="H763" i="3"/>
  <c r="F763" i="3"/>
  <c r="E763" i="3"/>
  <c r="H762" i="3"/>
  <c r="F762" i="3"/>
  <c r="E762" i="3"/>
  <c r="H760" i="3"/>
  <c r="F760" i="3"/>
  <c r="E760" i="3"/>
  <c r="H759" i="3"/>
  <c r="F759" i="3"/>
  <c r="E759" i="3"/>
  <c r="H758" i="3"/>
  <c r="F758" i="3"/>
  <c r="E758" i="3"/>
  <c r="J753" i="3"/>
  <c r="D88" i="4"/>
  <c r="F769" i="3" l="1"/>
  <c r="E761" i="3"/>
  <c r="H761" i="3"/>
  <c r="D753" i="3"/>
  <c r="H753" i="3" s="1"/>
  <c r="C753" i="3"/>
  <c r="H757" i="3"/>
  <c r="F757" i="3"/>
  <c r="E757" i="3"/>
  <c r="H756" i="3"/>
  <c r="F756" i="3"/>
  <c r="E756" i="3"/>
  <c r="H755" i="3"/>
  <c r="F755" i="3"/>
  <c r="E755" i="3"/>
  <c r="H754" i="3"/>
  <c r="F754" i="3"/>
  <c r="E754" i="3"/>
  <c r="H752" i="3"/>
  <c r="F752" i="3"/>
  <c r="E752" i="3"/>
  <c r="H751" i="3"/>
  <c r="F751" i="3"/>
  <c r="E751" i="3"/>
  <c r="H750" i="3"/>
  <c r="F750" i="3"/>
  <c r="E750" i="3"/>
  <c r="D87" i="4"/>
  <c r="D745" i="3"/>
  <c r="E753" i="3" l="1"/>
  <c r="F753" i="3"/>
  <c r="C745" i="3"/>
  <c r="E745" i="3" s="1"/>
  <c r="H749" i="3"/>
  <c r="F749" i="3"/>
  <c r="E749" i="3"/>
  <c r="H748" i="3"/>
  <c r="F748" i="3"/>
  <c r="E748" i="3"/>
  <c r="H747" i="3"/>
  <c r="F747" i="3"/>
  <c r="E747" i="3"/>
  <c r="H746" i="3"/>
  <c r="F746" i="3"/>
  <c r="E746" i="3"/>
  <c r="H745" i="3"/>
  <c r="H744" i="3"/>
  <c r="F744" i="3"/>
  <c r="E744" i="3"/>
  <c r="H743" i="3"/>
  <c r="F743" i="3"/>
  <c r="E743" i="3"/>
  <c r="H742" i="3"/>
  <c r="F742" i="3"/>
  <c r="E742" i="3"/>
  <c r="D737" i="3"/>
  <c r="C737" i="3"/>
  <c r="E734" i="3"/>
  <c r="F734" i="3"/>
  <c r="H734" i="3"/>
  <c r="E735" i="3"/>
  <c r="F735" i="3"/>
  <c r="H735" i="3"/>
  <c r="E736" i="3"/>
  <c r="F736" i="3"/>
  <c r="H736" i="3"/>
  <c r="E738" i="3"/>
  <c r="F738" i="3"/>
  <c r="H738" i="3"/>
  <c r="E739" i="3"/>
  <c r="F739" i="3"/>
  <c r="H739" i="3"/>
  <c r="E740" i="3"/>
  <c r="F740" i="3"/>
  <c r="H740" i="3"/>
  <c r="E741" i="3"/>
  <c r="F741" i="3"/>
  <c r="H741" i="3"/>
  <c r="C729" i="3"/>
  <c r="E729" i="3" s="1"/>
  <c r="H733" i="3"/>
  <c r="F733" i="3"/>
  <c r="E733" i="3"/>
  <c r="H732" i="3"/>
  <c r="F732" i="3"/>
  <c r="E732" i="3"/>
  <c r="H731" i="3"/>
  <c r="F731" i="3"/>
  <c r="E731" i="3"/>
  <c r="H730" i="3"/>
  <c r="F730" i="3"/>
  <c r="E730" i="3"/>
  <c r="H729" i="3"/>
  <c r="H728" i="3"/>
  <c r="F728" i="3"/>
  <c r="E728" i="3"/>
  <c r="H727" i="3"/>
  <c r="F727" i="3"/>
  <c r="E727" i="3"/>
  <c r="H726" i="3"/>
  <c r="F726" i="3"/>
  <c r="E726" i="3"/>
  <c r="D86" i="4"/>
  <c r="D721" i="3"/>
  <c r="H721" i="3" s="1"/>
  <c r="C721" i="3"/>
  <c r="H725" i="3"/>
  <c r="F725" i="3"/>
  <c r="E725" i="3"/>
  <c r="H724" i="3"/>
  <c r="F724" i="3"/>
  <c r="E724" i="3"/>
  <c r="H723" i="3"/>
  <c r="F723" i="3"/>
  <c r="E723" i="3"/>
  <c r="H722" i="3"/>
  <c r="F722" i="3"/>
  <c r="E722" i="3"/>
  <c r="H720" i="3"/>
  <c r="F720" i="3"/>
  <c r="E720" i="3"/>
  <c r="H719" i="3"/>
  <c r="F719" i="3"/>
  <c r="E719" i="3"/>
  <c r="H718" i="3"/>
  <c r="F718" i="3"/>
  <c r="E718" i="3"/>
  <c r="D713" i="3"/>
  <c r="C713" i="3"/>
  <c r="E721" i="3" l="1"/>
  <c r="F737" i="3"/>
  <c r="F745" i="3"/>
  <c r="H737" i="3"/>
  <c r="E737" i="3"/>
  <c r="F729" i="3"/>
  <c r="F721" i="3"/>
  <c r="H717" i="3"/>
  <c r="F717" i="3"/>
  <c r="E717" i="3"/>
  <c r="H716" i="3"/>
  <c r="F716" i="3"/>
  <c r="E716" i="3"/>
  <c r="H715" i="3"/>
  <c r="F715" i="3"/>
  <c r="E715" i="3"/>
  <c r="H714" i="3"/>
  <c r="F714" i="3"/>
  <c r="E714" i="3"/>
  <c r="H713" i="3"/>
  <c r="E713" i="3"/>
  <c r="H712" i="3"/>
  <c r="F712" i="3"/>
  <c r="E712" i="3"/>
  <c r="H711" i="3"/>
  <c r="F711" i="3"/>
  <c r="E711" i="3"/>
  <c r="H710" i="3"/>
  <c r="F710" i="3"/>
  <c r="E710" i="3"/>
  <c r="D85" i="4"/>
  <c r="F713" i="3" l="1"/>
  <c r="D705" i="3"/>
  <c r="H705" i="3"/>
  <c r="C705" i="3"/>
  <c r="H709" i="3"/>
  <c r="F709" i="3"/>
  <c r="E709" i="3"/>
  <c r="H708" i="3"/>
  <c r="F708" i="3"/>
  <c r="E708" i="3"/>
  <c r="H707" i="3"/>
  <c r="F707" i="3"/>
  <c r="E707" i="3"/>
  <c r="H706" i="3"/>
  <c r="F706" i="3"/>
  <c r="E706" i="3"/>
  <c r="H704" i="3"/>
  <c r="F704" i="3"/>
  <c r="E704" i="3"/>
  <c r="H703" i="3"/>
  <c r="F703" i="3"/>
  <c r="E703" i="3"/>
  <c r="H702" i="3"/>
  <c r="F702" i="3"/>
  <c r="E702" i="3"/>
  <c r="D697" i="3"/>
  <c r="C697" i="3"/>
  <c r="H701" i="3"/>
  <c r="F701" i="3"/>
  <c r="E701" i="3"/>
  <c r="H700" i="3"/>
  <c r="F700" i="3"/>
  <c r="E700" i="3"/>
  <c r="H699" i="3"/>
  <c r="F699" i="3"/>
  <c r="E699" i="3"/>
  <c r="H698" i="3"/>
  <c r="F698" i="3"/>
  <c r="E698" i="3"/>
  <c r="H696" i="3"/>
  <c r="F696" i="3"/>
  <c r="E696" i="3"/>
  <c r="H695" i="3"/>
  <c r="F695" i="3"/>
  <c r="E695" i="3"/>
  <c r="H694" i="3"/>
  <c r="F694" i="3"/>
  <c r="E694" i="3"/>
  <c r="D689" i="3"/>
  <c r="H689" i="3" s="1"/>
  <c r="C689" i="3"/>
  <c r="H693" i="3"/>
  <c r="F693" i="3"/>
  <c r="E693" i="3"/>
  <c r="H692" i="3"/>
  <c r="F692" i="3"/>
  <c r="E692" i="3"/>
  <c r="H691" i="3"/>
  <c r="F691" i="3"/>
  <c r="E691" i="3"/>
  <c r="H690" i="3"/>
  <c r="F690" i="3"/>
  <c r="E690" i="3"/>
  <c r="H688" i="3"/>
  <c r="F688" i="3"/>
  <c r="E688" i="3"/>
  <c r="H687" i="3"/>
  <c r="F687" i="3"/>
  <c r="E687" i="3"/>
  <c r="H686" i="3"/>
  <c r="F686" i="3"/>
  <c r="E686" i="3"/>
  <c r="D84" i="4"/>
  <c r="D681" i="3"/>
  <c r="C681" i="3"/>
  <c r="E681" i="3" s="1"/>
  <c r="H685" i="3"/>
  <c r="F685" i="3"/>
  <c r="E685" i="3"/>
  <c r="H684" i="3"/>
  <c r="F684" i="3"/>
  <c r="E684" i="3"/>
  <c r="H683" i="3"/>
  <c r="F683" i="3"/>
  <c r="E683" i="3"/>
  <c r="H682" i="3"/>
  <c r="F682" i="3"/>
  <c r="E682" i="3"/>
  <c r="H680" i="3"/>
  <c r="F680" i="3"/>
  <c r="E680" i="3"/>
  <c r="H679" i="3"/>
  <c r="F679" i="3"/>
  <c r="E679" i="3"/>
  <c r="H678" i="3"/>
  <c r="F678" i="3"/>
  <c r="E678" i="3"/>
  <c r="D673" i="3"/>
  <c r="D83" i="4"/>
  <c r="D82" i="4"/>
  <c r="D81" i="4"/>
  <c r="E705" i="3" l="1"/>
  <c r="F705" i="3"/>
  <c r="F697" i="3"/>
  <c r="E697" i="3"/>
  <c r="H697" i="3"/>
  <c r="E689" i="3"/>
  <c r="F689" i="3"/>
  <c r="F681" i="3"/>
  <c r="H681" i="3"/>
  <c r="C673" i="3"/>
  <c r="E673" i="3" s="1"/>
  <c r="H677" i="3"/>
  <c r="F677" i="3"/>
  <c r="E677" i="3"/>
  <c r="H676" i="3"/>
  <c r="F676" i="3"/>
  <c r="E676" i="3"/>
  <c r="H675" i="3"/>
  <c r="F675" i="3"/>
  <c r="E675" i="3"/>
  <c r="H674" i="3"/>
  <c r="F674" i="3"/>
  <c r="E674" i="3"/>
  <c r="H673" i="3"/>
  <c r="H672" i="3"/>
  <c r="F672" i="3"/>
  <c r="E672" i="3"/>
  <c r="H671" i="3"/>
  <c r="F671" i="3"/>
  <c r="E671" i="3"/>
  <c r="H670" i="3"/>
  <c r="F670" i="3"/>
  <c r="E670" i="3"/>
  <c r="D80" i="4"/>
  <c r="D665" i="3"/>
  <c r="C665" i="3"/>
  <c r="H669" i="3"/>
  <c r="F669" i="3"/>
  <c r="E669" i="3"/>
  <c r="H668" i="3"/>
  <c r="F668" i="3"/>
  <c r="E668" i="3"/>
  <c r="H667" i="3"/>
  <c r="F667" i="3"/>
  <c r="E667" i="3"/>
  <c r="H666" i="3"/>
  <c r="F666" i="3"/>
  <c r="E666" i="3"/>
  <c r="H664" i="3"/>
  <c r="F664" i="3"/>
  <c r="E664" i="3"/>
  <c r="H663" i="3"/>
  <c r="F663" i="3"/>
  <c r="E663" i="3"/>
  <c r="H662" i="3"/>
  <c r="F662" i="3"/>
  <c r="E662" i="3"/>
  <c r="D79" i="4"/>
  <c r="H661" i="3"/>
  <c r="F661" i="3"/>
  <c r="E661" i="3"/>
  <c r="H660" i="3"/>
  <c r="F660" i="3"/>
  <c r="E660" i="3"/>
  <c r="H659" i="3"/>
  <c r="F659" i="3"/>
  <c r="E659" i="3"/>
  <c r="H658" i="3"/>
  <c r="F658" i="3"/>
  <c r="E658" i="3"/>
  <c r="F657" i="3"/>
  <c r="H656" i="3"/>
  <c r="F656" i="3"/>
  <c r="E656" i="3"/>
  <c r="H655" i="3"/>
  <c r="F655" i="3"/>
  <c r="E655" i="3"/>
  <c r="H654" i="3"/>
  <c r="F654" i="3"/>
  <c r="E654" i="3"/>
  <c r="D649" i="3"/>
  <c r="H649" i="3" s="1"/>
  <c r="H653" i="3"/>
  <c r="F653" i="3"/>
  <c r="E653" i="3"/>
  <c r="H652" i="3"/>
  <c r="F652" i="3"/>
  <c r="E652" i="3"/>
  <c r="H651" i="3"/>
  <c r="F651" i="3"/>
  <c r="E651" i="3"/>
  <c r="H650" i="3"/>
  <c r="F650" i="3"/>
  <c r="E650" i="3"/>
  <c r="H648" i="3"/>
  <c r="F648" i="3"/>
  <c r="E648" i="3"/>
  <c r="H647" i="3"/>
  <c r="F647" i="3"/>
  <c r="E647" i="3"/>
  <c r="H646" i="3"/>
  <c r="F646" i="3"/>
  <c r="E646" i="3"/>
  <c r="D78" i="4"/>
  <c r="H665" i="3" l="1"/>
  <c r="F665" i="3"/>
  <c r="F673" i="3"/>
  <c r="E665" i="3"/>
  <c r="H657" i="3"/>
  <c r="E657" i="3"/>
  <c r="E649" i="3"/>
  <c r="F649" i="3"/>
  <c r="D641" i="3"/>
  <c r="H641" i="3" s="1"/>
  <c r="C641" i="3"/>
  <c r="H645" i="3"/>
  <c r="F645" i="3"/>
  <c r="E645" i="3"/>
  <c r="H644" i="3"/>
  <c r="F644" i="3"/>
  <c r="E644" i="3"/>
  <c r="H643" i="3"/>
  <c r="F643" i="3"/>
  <c r="E643" i="3"/>
  <c r="H642" i="3"/>
  <c r="F642" i="3"/>
  <c r="E642" i="3"/>
  <c r="H640" i="3"/>
  <c r="F640" i="3"/>
  <c r="E640" i="3"/>
  <c r="H639" i="3"/>
  <c r="F639" i="3"/>
  <c r="E639" i="3"/>
  <c r="H638" i="3"/>
  <c r="F638" i="3"/>
  <c r="E638" i="3"/>
  <c r="D633" i="3"/>
  <c r="H633" i="3" s="1"/>
  <c r="D77" i="4"/>
  <c r="H637" i="3"/>
  <c r="F637" i="3"/>
  <c r="E637" i="3"/>
  <c r="H636" i="3"/>
  <c r="F636" i="3"/>
  <c r="E636" i="3"/>
  <c r="H635" i="3"/>
  <c r="F635" i="3"/>
  <c r="E635" i="3"/>
  <c r="H634" i="3"/>
  <c r="F634" i="3"/>
  <c r="E634" i="3"/>
  <c r="H632" i="3"/>
  <c r="F632" i="3"/>
  <c r="E632" i="3"/>
  <c r="H631" i="3"/>
  <c r="F631" i="3"/>
  <c r="E631" i="3"/>
  <c r="H630" i="3"/>
  <c r="F630" i="3"/>
  <c r="E630" i="3"/>
  <c r="D75" i="4"/>
  <c r="D76" i="4"/>
  <c r="D74" i="4"/>
  <c r="E641" i="3" l="1"/>
  <c r="F641" i="3"/>
  <c r="E633" i="3"/>
  <c r="F633" i="3"/>
  <c r="D625" i="3"/>
  <c r="C625" i="3"/>
  <c r="H629" i="3"/>
  <c r="F629" i="3"/>
  <c r="E629" i="3"/>
  <c r="H628" i="3"/>
  <c r="F628" i="3"/>
  <c r="E628" i="3"/>
  <c r="H627" i="3"/>
  <c r="F627" i="3"/>
  <c r="E627" i="3"/>
  <c r="H626" i="3"/>
  <c r="F626" i="3"/>
  <c r="E626" i="3"/>
  <c r="H624" i="3"/>
  <c r="F624" i="3"/>
  <c r="E624" i="3"/>
  <c r="H623" i="3"/>
  <c r="F623" i="3"/>
  <c r="E623" i="3"/>
  <c r="H622" i="3"/>
  <c r="F622" i="3"/>
  <c r="E622" i="3"/>
  <c r="C617" i="3"/>
  <c r="E617" i="3" s="1"/>
  <c r="H621" i="3"/>
  <c r="F621" i="3"/>
  <c r="E621" i="3"/>
  <c r="H620" i="3"/>
  <c r="F620" i="3"/>
  <c r="E620" i="3"/>
  <c r="H619" i="3"/>
  <c r="F619" i="3"/>
  <c r="E619" i="3"/>
  <c r="H618" i="3"/>
  <c r="F618" i="3"/>
  <c r="E618" i="3"/>
  <c r="H617" i="3"/>
  <c r="H616" i="3"/>
  <c r="F616" i="3"/>
  <c r="E616" i="3"/>
  <c r="H615" i="3"/>
  <c r="F615" i="3"/>
  <c r="E615" i="3"/>
  <c r="H614" i="3"/>
  <c r="F614" i="3"/>
  <c r="E614" i="3"/>
  <c r="F625" i="3" l="1"/>
  <c r="H625" i="3"/>
  <c r="E625" i="3"/>
  <c r="F617" i="3"/>
  <c r="H613" i="3"/>
  <c r="F613" i="3"/>
  <c r="E613" i="3"/>
  <c r="H612" i="3"/>
  <c r="F612" i="3"/>
  <c r="E612" i="3"/>
  <c r="H611" i="3"/>
  <c r="F611" i="3"/>
  <c r="E611" i="3"/>
  <c r="H610" i="3"/>
  <c r="F610" i="3"/>
  <c r="E610" i="3"/>
  <c r="H609" i="3"/>
  <c r="F609" i="3"/>
  <c r="E609" i="3"/>
  <c r="H608" i="3"/>
  <c r="F608" i="3"/>
  <c r="E608" i="3"/>
  <c r="H607" i="3"/>
  <c r="F607" i="3"/>
  <c r="E607" i="3"/>
  <c r="H606" i="3"/>
  <c r="F606" i="3"/>
  <c r="E606" i="3"/>
  <c r="H605" i="3"/>
  <c r="F605" i="3"/>
  <c r="E605" i="3"/>
  <c r="H604" i="3"/>
  <c r="F604" i="3"/>
  <c r="E604" i="3"/>
  <c r="H603" i="3"/>
  <c r="F603" i="3"/>
  <c r="E603" i="3"/>
  <c r="H602" i="3"/>
  <c r="F602" i="3"/>
  <c r="E602" i="3"/>
  <c r="H601" i="3"/>
  <c r="F601" i="3"/>
  <c r="E601" i="3"/>
  <c r="H600" i="3"/>
  <c r="F600" i="3"/>
  <c r="E600" i="3"/>
  <c r="H599" i="3"/>
  <c r="F599" i="3"/>
  <c r="E599" i="3"/>
  <c r="H598" i="3"/>
  <c r="F598" i="3"/>
  <c r="E598" i="3"/>
  <c r="D73" i="4"/>
  <c r="H597" i="3"/>
  <c r="F597" i="3"/>
  <c r="E597" i="3"/>
  <c r="H596" i="3"/>
  <c r="F596" i="3"/>
  <c r="E596" i="3"/>
  <c r="H595" i="3"/>
  <c r="F595" i="3"/>
  <c r="E595" i="3"/>
  <c r="H594" i="3"/>
  <c r="F594" i="3"/>
  <c r="E594" i="3"/>
  <c r="H593" i="3"/>
  <c r="F593" i="3"/>
  <c r="E593" i="3"/>
  <c r="H592" i="3"/>
  <c r="F592" i="3"/>
  <c r="E592" i="3"/>
  <c r="H591" i="3"/>
  <c r="F591" i="3"/>
  <c r="E591" i="3"/>
  <c r="H590" i="3"/>
  <c r="F590" i="3"/>
  <c r="E590" i="3"/>
  <c r="H589" i="3"/>
  <c r="F589" i="3"/>
  <c r="E589" i="3"/>
  <c r="H588" i="3"/>
  <c r="F588" i="3"/>
  <c r="E588" i="3"/>
  <c r="H587" i="3"/>
  <c r="F587" i="3"/>
  <c r="E587" i="3"/>
  <c r="H586" i="3"/>
  <c r="F586" i="3"/>
  <c r="E586" i="3"/>
  <c r="H585" i="3"/>
  <c r="F585" i="3"/>
  <c r="E585" i="3"/>
  <c r="H584" i="3"/>
  <c r="F584" i="3"/>
  <c r="E584" i="3"/>
  <c r="H583" i="3"/>
  <c r="F583" i="3"/>
  <c r="E583" i="3"/>
  <c r="H582" i="3"/>
  <c r="F582" i="3"/>
  <c r="E582" i="3"/>
  <c r="D72" i="4"/>
  <c r="D71" i="4"/>
  <c r="D70" i="4"/>
  <c r="H581" i="3"/>
  <c r="F581" i="3"/>
  <c r="E581" i="3"/>
  <c r="H580" i="3"/>
  <c r="F580" i="3"/>
  <c r="E580" i="3"/>
  <c r="H579" i="3"/>
  <c r="F579" i="3"/>
  <c r="E579" i="3"/>
  <c r="H578" i="3"/>
  <c r="F578" i="3"/>
  <c r="E578" i="3"/>
  <c r="H577" i="3"/>
  <c r="F577" i="3"/>
  <c r="E577" i="3"/>
  <c r="H576" i="3"/>
  <c r="F576" i="3"/>
  <c r="E576" i="3"/>
  <c r="H575" i="3"/>
  <c r="F575" i="3"/>
  <c r="E575" i="3"/>
  <c r="H574" i="3"/>
  <c r="F574" i="3"/>
  <c r="E574" i="3"/>
  <c r="D69" i="4"/>
  <c r="H573" i="3"/>
  <c r="F573" i="3"/>
  <c r="E573" i="3"/>
  <c r="H572" i="3"/>
  <c r="F572" i="3"/>
  <c r="E572" i="3"/>
  <c r="H571" i="3"/>
  <c r="F571" i="3"/>
  <c r="E571" i="3"/>
  <c r="H570" i="3"/>
  <c r="F570" i="3"/>
  <c r="E570" i="3"/>
  <c r="H569" i="3"/>
  <c r="F569" i="3"/>
  <c r="E569" i="3"/>
  <c r="H568" i="3"/>
  <c r="F568" i="3"/>
  <c r="E568" i="3"/>
  <c r="H567" i="3"/>
  <c r="F567" i="3"/>
  <c r="E567" i="3"/>
  <c r="H566" i="3"/>
  <c r="F566" i="3"/>
  <c r="E566" i="3"/>
  <c r="D68" i="4"/>
  <c r="D67" i="4"/>
  <c r="H565" i="3"/>
  <c r="F565" i="3"/>
  <c r="E565" i="3"/>
  <c r="H564" i="3"/>
  <c r="F564" i="3"/>
  <c r="E564" i="3"/>
  <c r="H563" i="3"/>
  <c r="F563" i="3"/>
  <c r="E563" i="3"/>
  <c r="H562" i="3"/>
  <c r="F562" i="3"/>
  <c r="E562" i="3"/>
  <c r="H561" i="3"/>
  <c r="F561" i="3"/>
  <c r="E561" i="3"/>
  <c r="H560" i="3"/>
  <c r="F560" i="3"/>
  <c r="E560" i="3"/>
  <c r="H559" i="3"/>
  <c r="F559" i="3"/>
  <c r="E559" i="3"/>
  <c r="H558" i="3"/>
  <c r="F558" i="3"/>
  <c r="E558" i="3"/>
  <c r="D66" i="4"/>
  <c r="F550" i="3" l="1"/>
  <c r="H557" i="3" l="1"/>
  <c r="F557" i="3"/>
  <c r="E557" i="3"/>
  <c r="H556" i="3"/>
  <c r="F556" i="3"/>
  <c r="E556" i="3"/>
  <c r="H555" i="3"/>
  <c r="F555" i="3"/>
  <c r="E555" i="3"/>
  <c r="H554" i="3"/>
  <c r="F554" i="3"/>
  <c r="E554" i="3"/>
  <c r="H553" i="3"/>
  <c r="F553" i="3"/>
  <c r="E553" i="3"/>
  <c r="H552" i="3"/>
  <c r="F552" i="3"/>
  <c r="E552" i="3"/>
  <c r="H551" i="3"/>
  <c r="F551" i="3"/>
  <c r="E551" i="3"/>
  <c r="H550" i="3"/>
  <c r="E550" i="3"/>
  <c r="D65" i="4"/>
  <c r="H549" i="3" l="1"/>
  <c r="F549" i="3"/>
  <c r="E549" i="3"/>
  <c r="H548" i="3"/>
  <c r="F548" i="3"/>
  <c r="E548" i="3"/>
  <c r="H547" i="3"/>
  <c r="F547" i="3"/>
  <c r="E547" i="3"/>
  <c r="H546" i="3"/>
  <c r="F546" i="3"/>
  <c r="E546" i="3"/>
  <c r="H545" i="3"/>
  <c r="F545" i="3"/>
  <c r="E545" i="3"/>
  <c r="H544" i="3"/>
  <c r="F544" i="3"/>
  <c r="E544" i="3"/>
  <c r="H543" i="3"/>
  <c r="F543" i="3"/>
  <c r="E543" i="3"/>
  <c r="H542" i="3"/>
  <c r="F542" i="3"/>
  <c r="E542" i="3"/>
  <c r="D64" i="4"/>
  <c r="D63" i="4"/>
  <c r="H541" i="3" l="1"/>
  <c r="F541" i="3"/>
  <c r="E541" i="3"/>
  <c r="H540" i="3"/>
  <c r="F540" i="3"/>
  <c r="E540" i="3"/>
  <c r="H539" i="3"/>
  <c r="F539" i="3"/>
  <c r="E539" i="3"/>
  <c r="H538" i="3"/>
  <c r="F538" i="3"/>
  <c r="E538" i="3"/>
  <c r="H537" i="3"/>
  <c r="F537" i="3"/>
  <c r="E537" i="3"/>
  <c r="H536" i="3"/>
  <c r="F536" i="3"/>
  <c r="E536" i="3"/>
  <c r="H535" i="3"/>
  <c r="F535" i="3"/>
  <c r="E535" i="3"/>
  <c r="H534" i="3"/>
  <c r="F534" i="3"/>
  <c r="E534" i="3"/>
  <c r="D61" i="4"/>
  <c r="D62" i="4"/>
  <c r="D60" i="4"/>
  <c r="H533" i="3"/>
  <c r="F533" i="3"/>
  <c r="E533" i="3"/>
  <c r="H532" i="3"/>
  <c r="F532" i="3"/>
  <c r="E532" i="3"/>
  <c r="H531" i="3"/>
  <c r="F531" i="3"/>
  <c r="E531" i="3"/>
  <c r="H530" i="3"/>
  <c r="F530" i="3"/>
  <c r="E530" i="3"/>
  <c r="H529" i="3"/>
  <c r="F529" i="3"/>
  <c r="E529" i="3"/>
  <c r="H528" i="3"/>
  <c r="F528" i="3"/>
  <c r="E528" i="3"/>
  <c r="H527" i="3"/>
  <c r="F527" i="3"/>
  <c r="E527" i="3"/>
  <c r="H526" i="3"/>
  <c r="F526" i="3"/>
  <c r="E526" i="3"/>
  <c r="D59" i="4"/>
  <c r="H525" i="3"/>
  <c r="F525" i="3"/>
  <c r="E525" i="3"/>
  <c r="H524" i="3"/>
  <c r="F524" i="3"/>
  <c r="E524" i="3"/>
  <c r="H523" i="3"/>
  <c r="F523" i="3"/>
  <c r="E523" i="3"/>
  <c r="H522" i="3"/>
  <c r="F522" i="3"/>
  <c r="E522" i="3"/>
  <c r="H521" i="3"/>
  <c r="F521" i="3"/>
  <c r="E521" i="3"/>
  <c r="H520" i="3"/>
  <c r="F520" i="3"/>
  <c r="E520" i="3"/>
  <c r="H519" i="3"/>
  <c r="F519" i="3"/>
  <c r="E519" i="3"/>
  <c r="H518" i="3"/>
  <c r="F518" i="3"/>
  <c r="E518" i="3"/>
  <c r="D56" i="4"/>
  <c r="D55" i="4"/>
  <c r="D58" i="4"/>
  <c r="D57" i="4"/>
  <c r="H517" i="3"/>
  <c r="F517" i="3"/>
  <c r="E517" i="3"/>
  <c r="H516" i="3"/>
  <c r="F516" i="3"/>
  <c r="E516" i="3"/>
  <c r="H515" i="3"/>
  <c r="F515" i="3"/>
  <c r="E515" i="3"/>
  <c r="H514" i="3"/>
  <c r="F514" i="3"/>
  <c r="E514" i="3"/>
  <c r="H513" i="3"/>
  <c r="F513" i="3"/>
  <c r="E513" i="3"/>
  <c r="H512" i="3"/>
  <c r="F512" i="3"/>
  <c r="E512" i="3"/>
  <c r="H511" i="3"/>
  <c r="F511" i="3"/>
  <c r="E511" i="3"/>
  <c r="H510" i="3"/>
  <c r="F510" i="3"/>
  <c r="E510" i="3"/>
  <c r="H509" i="3"/>
  <c r="F509" i="3"/>
  <c r="E509" i="3"/>
  <c r="H508" i="3"/>
  <c r="F508" i="3"/>
  <c r="E508" i="3"/>
  <c r="H507" i="3"/>
  <c r="F507" i="3"/>
  <c r="E507" i="3"/>
  <c r="H506" i="3"/>
  <c r="F506" i="3"/>
  <c r="E506" i="3"/>
  <c r="H505" i="3"/>
  <c r="F505" i="3"/>
  <c r="E505" i="3"/>
  <c r="H504" i="3"/>
  <c r="F504" i="3"/>
  <c r="E504" i="3"/>
  <c r="H503" i="3"/>
  <c r="F503" i="3"/>
  <c r="E503" i="3"/>
  <c r="H502" i="3"/>
  <c r="F502" i="3"/>
  <c r="E502" i="3"/>
  <c r="D54" i="4"/>
  <c r="H501" i="3" l="1"/>
  <c r="F501" i="3"/>
  <c r="E501" i="3"/>
  <c r="H500" i="3"/>
  <c r="F500" i="3"/>
  <c r="E500" i="3"/>
  <c r="H499" i="3"/>
  <c r="F499" i="3"/>
  <c r="E499" i="3"/>
  <c r="H498" i="3"/>
  <c r="F498" i="3"/>
  <c r="E498" i="3"/>
  <c r="H497" i="3"/>
  <c r="F497" i="3"/>
  <c r="E497" i="3"/>
  <c r="H496" i="3"/>
  <c r="F496" i="3"/>
  <c r="E496" i="3"/>
  <c r="H495" i="3"/>
  <c r="F495" i="3"/>
  <c r="E495" i="3"/>
  <c r="H494" i="3"/>
  <c r="F494" i="3"/>
  <c r="E494" i="3"/>
  <c r="D53" i="4"/>
  <c r="H493" i="3" l="1"/>
  <c r="F493" i="3"/>
  <c r="E493" i="3"/>
  <c r="H492" i="3"/>
  <c r="F492" i="3"/>
  <c r="E492" i="3"/>
  <c r="H491" i="3"/>
  <c r="F491" i="3"/>
  <c r="E491" i="3"/>
  <c r="H490" i="3"/>
  <c r="F490" i="3"/>
  <c r="E490" i="3"/>
  <c r="H489" i="3"/>
  <c r="F489" i="3"/>
  <c r="E489" i="3"/>
  <c r="H488" i="3"/>
  <c r="F488" i="3"/>
  <c r="E488" i="3"/>
  <c r="H487" i="3"/>
  <c r="F487" i="3"/>
  <c r="E487" i="3"/>
  <c r="H486" i="3"/>
  <c r="F486" i="3"/>
  <c r="E486" i="3"/>
  <c r="D52" i="4"/>
  <c r="H485" i="3"/>
  <c r="F485" i="3"/>
  <c r="E485" i="3"/>
  <c r="H484" i="3"/>
  <c r="F484" i="3"/>
  <c r="E484" i="3"/>
  <c r="H483" i="3"/>
  <c r="F483" i="3"/>
  <c r="E483" i="3"/>
  <c r="H482" i="3"/>
  <c r="F482" i="3"/>
  <c r="E482" i="3"/>
  <c r="H481" i="3"/>
  <c r="F481" i="3"/>
  <c r="E481" i="3"/>
  <c r="H480" i="3"/>
  <c r="F480" i="3"/>
  <c r="E480" i="3"/>
  <c r="H479" i="3"/>
  <c r="F479" i="3"/>
  <c r="E479" i="3"/>
  <c r="H478" i="3"/>
  <c r="F478" i="3"/>
  <c r="E478" i="3"/>
  <c r="D51" i="4"/>
  <c r="H477" i="3"/>
  <c r="F477" i="3"/>
  <c r="E477" i="3"/>
  <c r="H476" i="3"/>
  <c r="F476" i="3"/>
  <c r="E476" i="3"/>
  <c r="H475" i="3"/>
  <c r="F475" i="3"/>
  <c r="E475" i="3"/>
  <c r="H474" i="3"/>
  <c r="F474" i="3"/>
  <c r="E474" i="3"/>
  <c r="H473" i="3"/>
  <c r="F473" i="3"/>
  <c r="E473" i="3"/>
  <c r="H472" i="3"/>
  <c r="F472" i="3"/>
  <c r="E472" i="3"/>
  <c r="H471" i="3"/>
  <c r="F471" i="3"/>
  <c r="E471" i="3"/>
  <c r="H470" i="3"/>
  <c r="F470" i="3"/>
  <c r="E470" i="3"/>
  <c r="D50" i="4"/>
  <c r="H469" i="3"/>
  <c r="F469" i="3"/>
  <c r="E469" i="3"/>
  <c r="H468" i="3"/>
  <c r="F468" i="3"/>
  <c r="E468" i="3"/>
  <c r="H467" i="3"/>
  <c r="F467" i="3"/>
  <c r="E467" i="3"/>
  <c r="H466" i="3"/>
  <c r="F466" i="3"/>
  <c r="E466" i="3"/>
  <c r="H465" i="3"/>
  <c r="F465" i="3"/>
  <c r="E465" i="3"/>
  <c r="H464" i="3"/>
  <c r="F464" i="3"/>
  <c r="E464" i="3"/>
  <c r="H463" i="3"/>
  <c r="F463" i="3"/>
  <c r="E463" i="3"/>
  <c r="H462" i="3"/>
  <c r="F462" i="3"/>
  <c r="E462" i="3"/>
  <c r="D49" i="4"/>
  <c r="H461" i="3" l="1"/>
  <c r="F461" i="3"/>
  <c r="E461" i="3"/>
  <c r="H460" i="3"/>
  <c r="F460" i="3"/>
  <c r="E460" i="3"/>
  <c r="H459" i="3"/>
  <c r="F459" i="3"/>
  <c r="E459" i="3"/>
  <c r="H458" i="3"/>
  <c r="F458" i="3"/>
  <c r="E458" i="3"/>
  <c r="H457" i="3"/>
  <c r="F457" i="3"/>
  <c r="E457" i="3"/>
  <c r="H456" i="3"/>
  <c r="F456" i="3"/>
  <c r="E456" i="3"/>
  <c r="H455" i="3"/>
  <c r="F455" i="3"/>
  <c r="E455" i="3"/>
  <c r="H454" i="3"/>
  <c r="F454" i="3"/>
  <c r="E454" i="3"/>
  <c r="D47" i="4"/>
  <c r="D48" i="4"/>
  <c r="D46" i="4"/>
  <c r="H453" i="3"/>
  <c r="F453" i="3"/>
  <c r="E453" i="3"/>
  <c r="H452" i="3"/>
  <c r="F452" i="3"/>
  <c r="E452" i="3"/>
  <c r="H451" i="3"/>
  <c r="F451" i="3"/>
  <c r="E451" i="3"/>
  <c r="H450" i="3"/>
  <c r="F450" i="3"/>
  <c r="E450" i="3"/>
  <c r="H449" i="3"/>
  <c r="F449" i="3"/>
  <c r="E449" i="3"/>
  <c r="H448" i="3"/>
  <c r="F448" i="3"/>
  <c r="E448" i="3"/>
  <c r="H447" i="3"/>
  <c r="F447" i="3"/>
  <c r="E447" i="3"/>
  <c r="H446" i="3"/>
  <c r="F446" i="3"/>
  <c r="E446" i="3"/>
  <c r="D45" i="4"/>
  <c r="H445" i="3" l="1"/>
  <c r="F445" i="3"/>
  <c r="E445" i="3"/>
  <c r="H444" i="3"/>
  <c r="F444" i="3"/>
  <c r="E444" i="3"/>
  <c r="H443" i="3"/>
  <c r="F443" i="3"/>
  <c r="E443" i="3"/>
  <c r="H442" i="3"/>
  <c r="F442" i="3"/>
  <c r="E442" i="3"/>
  <c r="H441" i="3"/>
  <c r="F441" i="3"/>
  <c r="E441" i="3"/>
  <c r="H440" i="3"/>
  <c r="F440" i="3"/>
  <c r="E440" i="3"/>
  <c r="H439" i="3"/>
  <c r="F439" i="3"/>
  <c r="E439" i="3"/>
  <c r="H438" i="3"/>
  <c r="F438" i="3"/>
  <c r="E438" i="3"/>
  <c r="D44" i="4"/>
  <c r="D43" i="4"/>
  <c r="H437" i="3"/>
  <c r="F437" i="3"/>
  <c r="E437" i="3"/>
  <c r="H436" i="3"/>
  <c r="F436" i="3"/>
  <c r="E436" i="3"/>
  <c r="H435" i="3"/>
  <c r="F435" i="3"/>
  <c r="E435" i="3"/>
  <c r="H434" i="3"/>
  <c r="F434" i="3"/>
  <c r="E434" i="3"/>
  <c r="H433" i="3"/>
  <c r="F433" i="3"/>
  <c r="E433" i="3"/>
  <c r="H432" i="3"/>
  <c r="F432" i="3"/>
  <c r="E432" i="3"/>
  <c r="H431" i="3"/>
  <c r="F431" i="3"/>
  <c r="E431" i="3"/>
  <c r="H430" i="3"/>
  <c r="F430" i="3"/>
  <c r="E430" i="3"/>
  <c r="D40" i="4"/>
  <c r="D41" i="4"/>
  <c r="D42" i="4"/>
  <c r="D39" i="4"/>
  <c r="E429" i="3"/>
  <c r="F429" i="3"/>
  <c r="H429" i="3"/>
  <c r="D36" i="4"/>
  <c r="D37" i="4"/>
  <c r="D38" i="4"/>
  <c r="D35" i="4"/>
  <c r="H428" i="3"/>
  <c r="F428" i="3"/>
  <c r="E428" i="3"/>
  <c r="H427" i="3"/>
  <c r="F427" i="3"/>
  <c r="E427" i="3"/>
  <c r="H426" i="3"/>
  <c r="F426" i="3"/>
  <c r="E426" i="3"/>
  <c r="H425" i="3"/>
  <c r="F425" i="3"/>
  <c r="E425" i="3"/>
  <c r="H424" i="3"/>
  <c r="F424" i="3"/>
  <c r="E424" i="3"/>
  <c r="H423" i="3"/>
  <c r="F423" i="3"/>
  <c r="E423" i="3"/>
  <c r="H422" i="3"/>
  <c r="F422" i="3"/>
  <c r="E422" i="3"/>
  <c r="E421" i="3"/>
  <c r="H413" i="3" l="1"/>
  <c r="H421" i="3"/>
  <c r="F421" i="3"/>
  <c r="H420" i="3"/>
  <c r="F420" i="3"/>
  <c r="E420" i="3"/>
  <c r="H419" i="3"/>
  <c r="F419" i="3"/>
  <c r="E419" i="3"/>
  <c r="H418" i="3"/>
  <c r="F418" i="3"/>
  <c r="E418" i="3"/>
  <c r="H417" i="3"/>
  <c r="F417" i="3"/>
  <c r="E417" i="3"/>
  <c r="H416" i="3"/>
  <c r="F416" i="3"/>
  <c r="E416" i="3"/>
  <c r="H415" i="3"/>
  <c r="F415" i="3"/>
  <c r="E415" i="3"/>
  <c r="D33" i="4"/>
  <c r="D34" i="4"/>
  <c r="E413" i="3"/>
  <c r="E412" i="3"/>
  <c r="E411" i="3"/>
  <c r="E410" i="3"/>
  <c r="E409" i="3"/>
  <c r="H414" i="3"/>
  <c r="F414" i="3"/>
  <c r="E414" i="3"/>
  <c r="H412" i="3"/>
  <c r="F412" i="3"/>
  <c r="H411" i="3"/>
  <c r="F411" i="3"/>
  <c r="H410" i="3"/>
  <c r="F410" i="3"/>
  <c r="H409" i="3"/>
  <c r="F409" i="3"/>
  <c r="H408" i="3"/>
  <c r="F408" i="3"/>
  <c r="E408" i="3"/>
  <c r="D32" i="4"/>
  <c r="D31" i="4"/>
  <c r="D30" i="4"/>
  <c r="H407" i="3"/>
  <c r="F407" i="3"/>
  <c r="E407" i="3"/>
  <c r="H406" i="3"/>
  <c r="F406" i="3"/>
  <c r="E406" i="3"/>
  <c r="H405" i="3"/>
  <c r="F405" i="3"/>
  <c r="E405" i="3"/>
  <c r="H404" i="3"/>
  <c r="F404" i="3"/>
  <c r="E404" i="3"/>
  <c r="H403" i="3"/>
  <c r="F403" i="3"/>
  <c r="E403" i="3"/>
  <c r="H402" i="3"/>
  <c r="F402" i="3"/>
  <c r="E402" i="3"/>
  <c r="H401" i="3"/>
  <c r="F401" i="3"/>
  <c r="E401" i="3"/>
  <c r="D29" i="4"/>
  <c r="H400" i="3"/>
  <c r="F400" i="3"/>
  <c r="E400" i="3"/>
  <c r="H399" i="3"/>
  <c r="F399" i="3"/>
  <c r="E399" i="3"/>
  <c r="H398" i="3"/>
  <c r="F398" i="3"/>
  <c r="E398" i="3"/>
  <c r="H397" i="3"/>
  <c r="F397" i="3"/>
  <c r="E397" i="3"/>
  <c r="H396" i="3"/>
  <c r="F396" i="3"/>
  <c r="E396" i="3"/>
  <c r="H395" i="3"/>
  <c r="F395" i="3"/>
  <c r="E395" i="3"/>
  <c r="H394" i="3"/>
  <c r="F394" i="3"/>
  <c r="E394" i="3"/>
  <c r="D28" i="4"/>
  <c r="H393" i="3"/>
  <c r="H392" i="3"/>
  <c r="H391" i="3"/>
  <c r="H390" i="3"/>
  <c r="H389" i="3"/>
  <c r="H388" i="3"/>
  <c r="F390" i="3"/>
  <c r="F389" i="3"/>
  <c r="F391" i="3"/>
  <c r="F392" i="3"/>
  <c r="F393" i="3"/>
  <c r="E393" i="3"/>
  <c r="E392" i="3"/>
  <c r="E391" i="3"/>
  <c r="E390" i="3"/>
  <c r="E389" i="3"/>
  <c r="E388" i="3"/>
  <c r="E387" i="3"/>
  <c r="F388" i="3"/>
  <c r="H387" i="3"/>
  <c r="F387" i="3"/>
  <c r="D27" i="4"/>
  <c r="H386" i="3"/>
  <c r="F386" i="3"/>
  <c r="E386" i="3"/>
  <c r="H385" i="3"/>
  <c r="F385" i="3"/>
  <c r="E385" i="3"/>
  <c r="H384" i="3"/>
  <c r="F384" i="3"/>
  <c r="E384" i="3"/>
  <c r="H383" i="3"/>
  <c r="F383" i="3"/>
  <c r="E383" i="3"/>
  <c r="H382" i="3"/>
  <c r="F382" i="3"/>
  <c r="E382" i="3"/>
  <c r="H381" i="3"/>
  <c r="F381" i="3"/>
  <c r="E381" i="3"/>
  <c r="H380" i="3"/>
  <c r="F380" i="3"/>
  <c r="E380" i="3"/>
  <c r="D26" i="4"/>
  <c r="D25" i="4"/>
  <c r="F379" i="3"/>
  <c r="H379" i="3"/>
  <c r="E379" i="3"/>
  <c r="H378" i="3"/>
  <c r="F378" i="3"/>
  <c r="E378" i="3"/>
  <c r="H377" i="3"/>
  <c r="F377" i="3"/>
  <c r="E377" i="3"/>
  <c r="H376" i="3"/>
  <c r="F376" i="3"/>
  <c r="E376" i="3"/>
  <c r="H375" i="3"/>
  <c r="F375" i="3"/>
  <c r="E375" i="3"/>
  <c r="H374" i="3"/>
  <c r="F374" i="3"/>
  <c r="E374" i="3"/>
  <c r="H373" i="3"/>
  <c r="F373" i="3"/>
  <c r="E373" i="3"/>
  <c r="E367" i="3"/>
  <c r="F367" i="3"/>
  <c r="H367" i="3"/>
  <c r="E368" i="3"/>
  <c r="F368" i="3"/>
  <c r="H368" i="3"/>
  <c r="E369" i="3"/>
  <c r="F369" i="3"/>
  <c r="H369" i="3"/>
  <c r="E370" i="3"/>
  <c r="F370" i="3"/>
  <c r="H370" i="3"/>
  <c r="E371" i="3"/>
  <c r="F371" i="3"/>
  <c r="H371" i="3"/>
  <c r="E372" i="3"/>
  <c r="H372" i="3"/>
  <c r="D24" i="4"/>
  <c r="E359" i="3"/>
  <c r="F359" i="3"/>
  <c r="H359" i="3"/>
  <c r="E360" i="3"/>
  <c r="F360" i="3"/>
  <c r="H360" i="3"/>
  <c r="E361" i="3"/>
  <c r="F361" i="3"/>
  <c r="H361" i="3"/>
  <c r="E362" i="3"/>
  <c r="F362" i="3"/>
  <c r="H362" i="3"/>
  <c r="E363" i="3"/>
  <c r="F363" i="3"/>
  <c r="H363" i="3"/>
  <c r="E364" i="3"/>
  <c r="F364" i="3"/>
  <c r="H364" i="3"/>
  <c r="E365" i="3"/>
  <c r="H365" i="3"/>
  <c r="D23" i="4"/>
  <c r="H358" i="3"/>
  <c r="F358" i="3"/>
  <c r="E358" i="3"/>
  <c r="H357" i="3"/>
  <c r="F357" i="3"/>
  <c r="E357" i="3"/>
  <c r="H356" i="3"/>
  <c r="F356" i="3"/>
  <c r="E356" i="3"/>
  <c r="H355" i="3"/>
  <c r="F355" i="3"/>
  <c r="E355" i="3"/>
  <c r="H354" i="3"/>
  <c r="F354" i="3"/>
  <c r="E354" i="3"/>
  <c r="H353" i="3"/>
  <c r="F353" i="3"/>
  <c r="E353" i="3"/>
  <c r="H352" i="3"/>
  <c r="F352" i="3"/>
  <c r="E352" i="3"/>
  <c r="D21" i="4"/>
  <c r="D22" i="4"/>
  <c r="D20" i="4"/>
  <c r="F413" i="3" l="1"/>
  <c r="E333" i="3"/>
  <c r="D18" i="4"/>
  <c r="D17" i="4"/>
  <c r="D16" i="4"/>
  <c r="D15" i="4"/>
  <c r="E345" i="3"/>
  <c r="F345" i="3"/>
  <c r="H345" i="3"/>
  <c r="E346" i="3"/>
  <c r="F346" i="3"/>
  <c r="H346" i="3"/>
  <c r="E347" i="3"/>
  <c r="F347" i="3"/>
  <c r="H347" i="3"/>
  <c r="E348" i="3"/>
  <c r="F348" i="3"/>
  <c r="H348" i="3"/>
  <c r="E349" i="3"/>
  <c r="F349" i="3"/>
  <c r="H349" i="3"/>
  <c r="E350" i="3"/>
  <c r="F350" i="3"/>
  <c r="H350" i="3"/>
  <c r="E351" i="3"/>
  <c r="F351" i="3"/>
  <c r="H351" i="3"/>
  <c r="E338" i="3"/>
  <c r="F338" i="3"/>
  <c r="H338" i="3"/>
  <c r="E339" i="3"/>
  <c r="F339" i="3"/>
  <c r="H339" i="3"/>
  <c r="E340" i="3"/>
  <c r="F340" i="3"/>
  <c r="H340" i="3"/>
  <c r="E341" i="3"/>
  <c r="F341" i="3"/>
  <c r="H341" i="3"/>
  <c r="E342" i="3"/>
  <c r="F342" i="3"/>
  <c r="H342" i="3"/>
  <c r="E343" i="3"/>
  <c r="F343" i="3"/>
  <c r="H343" i="3"/>
  <c r="E344" i="3"/>
  <c r="F344" i="3"/>
  <c r="H344" i="3"/>
  <c r="E324" i="3"/>
  <c r="F324" i="3"/>
  <c r="H324" i="3"/>
  <c r="E325" i="3"/>
  <c r="F325" i="3"/>
  <c r="H325" i="3"/>
  <c r="E326" i="3"/>
  <c r="F326" i="3"/>
  <c r="H326" i="3"/>
  <c r="E327" i="3"/>
  <c r="F327" i="3"/>
  <c r="H327" i="3"/>
  <c r="E328" i="3"/>
  <c r="F328" i="3"/>
  <c r="H328" i="3"/>
  <c r="E329" i="3"/>
  <c r="F329" i="3"/>
  <c r="H329" i="3"/>
  <c r="E330" i="3"/>
  <c r="F330" i="3"/>
  <c r="H330" i="3"/>
  <c r="E331" i="3"/>
  <c r="F331" i="3"/>
  <c r="H331" i="3"/>
  <c r="E332" i="3"/>
  <c r="F332" i="3"/>
  <c r="H332" i="3"/>
  <c r="H333" i="3"/>
  <c r="E334" i="3"/>
  <c r="F334" i="3"/>
  <c r="H334" i="3"/>
  <c r="E335" i="3"/>
  <c r="F335" i="3"/>
  <c r="H335" i="3"/>
  <c r="E336" i="3"/>
  <c r="F336" i="3"/>
  <c r="H336" i="3"/>
  <c r="E337" i="3"/>
  <c r="F337" i="3"/>
  <c r="H337" i="3"/>
  <c r="D14" i="4"/>
  <c r="D13" i="4"/>
  <c r="H323" i="3"/>
  <c r="F323" i="3"/>
  <c r="E323" i="3"/>
  <c r="H322" i="3"/>
  <c r="F322" i="3"/>
  <c r="E322" i="3"/>
  <c r="H321" i="3"/>
  <c r="F321" i="3"/>
  <c r="E321" i="3"/>
  <c r="H320" i="3"/>
  <c r="F320" i="3"/>
  <c r="E320" i="3"/>
  <c r="H319" i="3"/>
  <c r="F319" i="3"/>
  <c r="E319" i="3"/>
  <c r="H318" i="3"/>
  <c r="F318" i="3"/>
  <c r="E318" i="3"/>
  <c r="H317" i="3"/>
  <c r="F317" i="3"/>
  <c r="E317" i="3"/>
  <c r="D11" i="4"/>
  <c r="D12" i="4"/>
  <c r="H313" i="3"/>
  <c r="H316" i="3" l="1"/>
  <c r="F316" i="3"/>
  <c r="E316" i="3"/>
  <c r="H315" i="3"/>
  <c r="F315" i="3"/>
  <c r="E315" i="3"/>
  <c r="H314" i="3"/>
  <c r="F314" i="3"/>
  <c r="E314" i="3"/>
  <c r="F313" i="3"/>
  <c r="E313" i="3"/>
  <c r="H312" i="3"/>
  <c r="F312" i="3"/>
  <c r="E312" i="3"/>
  <c r="H311" i="3"/>
  <c r="F311" i="3"/>
  <c r="E311" i="3"/>
  <c r="H310" i="3"/>
  <c r="F310" i="3"/>
  <c r="E310" i="3"/>
  <c r="D9" i="4"/>
  <c r="D10" i="4"/>
  <c r="D8" i="4"/>
  <c r="H309" i="3"/>
  <c r="F309" i="3"/>
  <c r="E309" i="3"/>
  <c r="H308" i="3"/>
  <c r="F308" i="3"/>
  <c r="E308" i="3"/>
  <c r="H307" i="3"/>
  <c r="F307" i="3"/>
  <c r="E307" i="3"/>
  <c r="H306" i="3"/>
  <c r="F306" i="3"/>
  <c r="E306" i="3"/>
  <c r="H305" i="3"/>
  <c r="F305" i="3"/>
  <c r="E305" i="3"/>
  <c r="H304" i="3"/>
  <c r="F304" i="3"/>
  <c r="E304" i="3"/>
  <c r="H303" i="3"/>
  <c r="F303" i="3"/>
  <c r="E303" i="3"/>
  <c r="H302" i="3"/>
  <c r="F302" i="3"/>
  <c r="E302" i="3"/>
  <c r="H301" i="3"/>
  <c r="F301" i="3"/>
  <c r="E301" i="3"/>
  <c r="H300" i="3"/>
  <c r="F300" i="3"/>
  <c r="E300" i="3"/>
  <c r="H299" i="3"/>
  <c r="F299" i="3"/>
  <c r="E299" i="3"/>
  <c r="H298" i="3"/>
  <c r="F298" i="3"/>
  <c r="E298" i="3"/>
  <c r="H297" i="3"/>
  <c r="F297" i="3"/>
  <c r="E297" i="3"/>
  <c r="H296" i="3"/>
  <c r="F296" i="3"/>
  <c r="E296" i="3"/>
  <c r="D6" i="4"/>
  <c r="D5" i="4"/>
  <c r="D4" i="4"/>
  <c r="H295" i="3"/>
  <c r="F295" i="3"/>
  <c r="E295" i="3"/>
  <c r="H294" i="3"/>
  <c r="F294" i="3"/>
  <c r="H293" i="3"/>
  <c r="F293" i="3"/>
  <c r="E293" i="3"/>
  <c r="H292" i="3"/>
  <c r="F292" i="3"/>
  <c r="E292" i="3"/>
  <c r="H291" i="3"/>
  <c r="F291" i="3"/>
  <c r="E291" i="3"/>
  <c r="H290" i="3"/>
  <c r="F290" i="3"/>
  <c r="E290" i="3"/>
  <c r="H289" i="3"/>
  <c r="F289" i="3"/>
  <c r="E289" i="3"/>
  <c r="C287" i="3"/>
  <c r="F287" i="3" s="1"/>
  <c r="D3" i="4"/>
  <c r="D2" i="4"/>
  <c r="H288" i="3"/>
  <c r="F288" i="3"/>
  <c r="E288" i="3"/>
  <c r="H287" i="3"/>
  <c r="H286" i="3"/>
  <c r="F286" i="3"/>
  <c r="E286" i="3"/>
  <c r="H285" i="3"/>
  <c r="F285" i="3"/>
  <c r="E285" i="3"/>
  <c r="H284" i="3"/>
  <c r="F284" i="3"/>
  <c r="E284" i="3"/>
  <c r="H283" i="3"/>
  <c r="F283" i="3"/>
  <c r="E283" i="3"/>
  <c r="H282" i="3"/>
  <c r="F282" i="3"/>
  <c r="E282" i="3"/>
  <c r="H280" i="3"/>
  <c r="H279" i="3"/>
  <c r="H274" i="3"/>
  <c r="H275" i="3"/>
  <c r="H276" i="3"/>
  <c r="H277" i="3"/>
  <c r="H278" i="3"/>
  <c r="H281" i="3"/>
  <c r="H273" i="3"/>
  <c r="H271" i="3"/>
  <c r="F271" i="3"/>
  <c r="F272" i="3"/>
  <c r="F273" i="3"/>
  <c r="F274" i="3"/>
  <c r="F275" i="3"/>
  <c r="F276" i="3"/>
  <c r="F277" i="3"/>
  <c r="F278" i="3"/>
  <c r="F279" i="3"/>
  <c r="F280" i="3"/>
  <c r="F281" i="3"/>
  <c r="E271" i="3"/>
  <c r="E272" i="3"/>
  <c r="E273" i="3"/>
  <c r="E274" i="3"/>
  <c r="E275" i="3"/>
  <c r="E276" i="3"/>
  <c r="E277" i="3"/>
  <c r="E278" i="3"/>
  <c r="E279" i="3"/>
  <c r="E280" i="3"/>
  <c r="E281" i="3"/>
  <c r="E270" i="3"/>
  <c r="H272" i="3"/>
  <c r="H270" i="3"/>
  <c r="F270" i="3"/>
  <c r="H269" i="3"/>
  <c r="F269" i="3"/>
  <c r="E269" i="3"/>
  <c r="H268" i="3"/>
  <c r="F268" i="3"/>
  <c r="E268" i="3"/>
  <c r="E261" i="3"/>
  <c r="E262" i="3"/>
  <c r="E263" i="3"/>
  <c r="E264" i="3"/>
  <c r="E265" i="3"/>
  <c r="E266" i="3"/>
  <c r="E267" i="3"/>
  <c r="F261" i="3"/>
  <c r="H261" i="3"/>
  <c r="F262" i="3"/>
  <c r="H262" i="3"/>
  <c r="F263" i="3"/>
  <c r="H263" i="3"/>
  <c r="F264" i="3"/>
  <c r="H264" i="3"/>
  <c r="F265" i="3"/>
  <c r="H265" i="3"/>
  <c r="F266" i="3"/>
  <c r="H266" i="3"/>
  <c r="F267" i="3"/>
  <c r="H267" i="3"/>
  <c r="E254" i="3"/>
  <c r="F254" i="3"/>
  <c r="H254" i="3"/>
  <c r="E255" i="3"/>
  <c r="F255" i="3"/>
  <c r="H255" i="3"/>
  <c r="E256" i="3"/>
  <c r="F256" i="3"/>
  <c r="H256" i="3"/>
  <c r="E257" i="3"/>
  <c r="F257" i="3"/>
  <c r="H257" i="3"/>
  <c r="E258" i="3"/>
  <c r="F258" i="3"/>
  <c r="H258" i="3"/>
  <c r="E259" i="3"/>
  <c r="F259" i="3"/>
  <c r="H259" i="3"/>
  <c r="E260" i="3"/>
  <c r="F260" i="3"/>
  <c r="H260" i="3"/>
  <c r="E247" i="3"/>
  <c r="F247" i="3"/>
  <c r="H247" i="3"/>
  <c r="E248" i="3"/>
  <c r="F248" i="3"/>
  <c r="H248" i="3"/>
  <c r="E249" i="3"/>
  <c r="F249" i="3"/>
  <c r="H249" i="3"/>
  <c r="E250" i="3"/>
  <c r="F250" i="3"/>
  <c r="H250" i="3"/>
  <c r="E251" i="3"/>
  <c r="F251" i="3"/>
  <c r="H251" i="3"/>
  <c r="E252" i="3"/>
  <c r="F252" i="3"/>
  <c r="H252" i="3"/>
  <c r="E253" i="3"/>
  <c r="F253" i="3"/>
  <c r="H253" i="3"/>
  <c r="E240" i="3"/>
  <c r="F240" i="3"/>
  <c r="H240" i="3"/>
  <c r="E241" i="3"/>
  <c r="F241" i="3"/>
  <c r="H241" i="3"/>
  <c r="E242" i="3"/>
  <c r="F242" i="3"/>
  <c r="H242" i="3"/>
  <c r="E243" i="3"/>
  <c r="F243" i="3"/>
  <c r="H243" i="3"/>
  <c r="E244" i="3"/>
  <c r="F244" i="3"/>
  <c r="H244" i="3"/>
  <c r="E245" i="3"/>
  <c r="F245" i="3"/>
  <c r="H245" i="3"/>
  <c r="E246" i="3"/>
  <c r="F246" i="3"/>
  <c r="H246" i="3"/>
  <c r="E233" i="3"/>
  <c r="F233" i="3"/>
  <c r="H233" i="3"/>
  <c r="E234" i="3"/>
  <c r="F234" i="3"/>
  <c r="H234" i="3"/>
  <c r="E235" i="3"/>
  <c r="F235" i="3"/>
  <c r="H235" i="3"/>
  <c r="E236" i="3"/>
  <c r="F236" i="3"/>
  <c r="H236" i="3"/>
  <c r="E237" i="3"/>
  <c r="F237" i="3"/>
  <c r="H237" i="3"/>
  <c r="E238" i="3"/>
  <c r="F238" i="3"/>
  <c r="H238" i="3"/>
  <c r="E239" i="3"/>
  <c r="F239" i="3"/>
  <c r="H239" i="3"/>
  <c r="F229" i="3"/>
  <c r="H232" i="3"/>
  <c r="F232" i="3"/>
  <c r="E232" i="3"/>
  <c r="H231" i="3"/>
  <c r="F231" i="3"/>
  <c r="E231" i="3"/>
  <c r="H230" i="3"/>
  <c r="F230" i="3"/>
  <c r="E230" i="3"/>
  <c r="H229" i="3"/>
  <c r="E229" i="3"/>
  <c r="H228" i="3"/>
  <c r="F228" i="3"/>
  <c r="E228" i="3"/>
  <c r="H227" i="3"/>
  <c r="F227" i="3"/>
  <c r="E227" i="3"/>
  <c r="H226" i="3"/>
  <c r="F226" i="3"/>
  <c r="E226" i="3"/>
  <c r="H225" i="3"/>
  <c r="F225" i="3"/>
  <c r="E225" i="3"/>
  <c r="H224" i="3"/>
  <c r="F224" i="3"/>
  <c r="E224" i="3"/>
  <c r="H223" i="3"/>
  <c r="F223" i="3"/>
  <c r="E223" i="3"/>
  <c r="H222" i="3"/>
  <c r="F222" i="3"/>
  <c r="E222" i="3"/>
  <c r="H221" i="3"/>
  <c r="F221" i="3"/>
  <c r="E221" i="3"/>
  <c r="H220" i="3"/>
  <c r="F220" i="3"/>
  <c r="E220" i="3"/>
  <c r="H219" i="3"/>
  <c r="F219" i="3"/>
  <c r="E219" i="3"/>
  <c r="E212" i="3"/>
  <c r="F212" i="3"/>
  <c r="H212" i="3"/>
  <c r="E213" i="3"/>
  <c r="F213" i="3"/>
  <c r="H213" i="3"/>
  <c r="E214" i="3"/>
  <c r="F214" i="3"/>
  <c r="H214" i="3"/>
  <c r="E215" i="3"/>
  <c r="F215" i="3"/>
  <c r="H215" i="3"/>
  <c r="E216" i="3"/>
  <c r="F216" i="3"/>
  <c r="H216" i="3"/>
  <c r="E217" i="3"/>
  <c r="F217" i="3"/>
  <c r="H217" i="3"/>
  <c r="E218" i="3"/>
  <c r="F218" i="3"/>
  <c r="H218" i="3"/>
  <c r="E205" i="3"/>
  <c r="F205" i="3"/>
  <c r="H205" i="3"/>
  <c r="E206" i="3"/>
  <c r="F206" i="3"/>
  <c r="H206" i="3"/>
  <c r="E207" i="3"/>
  <c r="F207" i="3"/>
  <c r="H207" i="3"/>
  <c r="E208" i="3"/>
  <c r="F208" i="3"/>
  <c r="H208" i="3"/>
  <c r="E209" i="3"/>
  <c r="F209" i="3"/>
  <c r="H209" i="3"/>
  <c r="E210" i="3"/>
  <c r="F210" i="3"/>
  <c r="H210" i="3"/>
  <c r="E211" i="3"/>
  <c r="F211" i="3"/>
  <c r="H211" i="3"/>
  <c r="H204" i="3"/>
  <c r="F204" i="3"/>
  <c r="E204" i="3"/>
  <c r="H203" i="3"/>
  <c r="F203" i="3"/>
  <c r="E203" i="3"/>
  <c r="H202" i="3"/>
  <c r="F202" i="3"/>
  <c r="E202" i="3"/>
  <c r="H201" i="3"/>
  <c r="F201" i="3"/>
  <c r="E201" i="3"/>
  <c r="H200" i="3"/>
  <c r="F200" i="3"/>
  <c r="E200" i="3"/>
  <c r="H199" i="3"/>
  <c r="F199" i="3"/>
  <c r="E199" i="3"/>
  <c r="H198" i="3"/>
  <c r="F198" i="3"/>
  <c r="E198" i="3"/>
  <c r="H197" i="3"/>
  <c r="F197" i="3"/>
  <c r="E197" i="3"/>
  <c r="H196" i="3"/>
  <c r="F196" i="3"/>
  <c r="E196" i="3"/>
  <c r="H195" i="3"/>
  <c r="F195" i="3"/>
  <c r="E195" i="3"/>
  <c r="H194" i="3"/>
  <c r="F194" i="3"/>
  <c r="E194" i="3"/>
  <c r="H193" i="3"/>
  <c r="F193" i="3"/>
  <c r="E193" i="3"/>
  <c r="H192" i="3"/>
  <c r="F192" i="3"/>
  <c r="E192" i="3"/>
  <c r="H191" i="3"/>
  <c r="F191" i="3"/>
  <c r="E191" i="3"/>
  <c r="H190" i="3"/>
  <c r="F190" i="3"/>
  <c r="E190" i="3"/>
  <c r="H189" i="3"/>
  <c r="F189" i="3"/>
  <c r="E189" i="3"/>
  <c r="H188" i="3"/>
  <c r="F188" i="3"/>
  <c r="E188" i="3"/>
  <c r="H187" i="3"/>
  <c r="F187" i="3"/>
  <c r="E187" i="3"/>
  <c r="H186" i="3"/>
  <c r="F186" i="3"/>
  <c r="E186" i="3"/>
  <c r="H185" i="3"/>
  <c r="F185" i="3"/>
  <c r="E185" i="3"/>
  <c r="H184" i="3"/>
  <c r="F184" i="3"/>
  <c r="E184" i="3"/>
  <c r="H183" i="3"/>
  <c r="F183" i="3"/>
  <c r="E183" i="3"/>
  <c r="H182" i="3"/>
  <c r="F182" i="3"/>
  <c r="E182" i="3"/>
  <c r="H181" i="3"/>
  <c r="F181" i="3"/>
  <c r="E181" i="3"/>
  <c r="H180" i="3"/>
  <c r="F180" i="3"/>
  <c r="E180" i="3"/>
  <c r="H179" i="3"/>
  <c r="F179" i="3"/>
  <c r="E179" i="3"/>
  <c r="H178" i="3"/>
  <c r="F178" i="3"/>
  <c r="E178" i="3"/>
  <c r="H177" i="3"/>
  <c r="F177" i="3"/>
  <c r="E177" i="3"/>
  <c r="E176" i="3"/>
  <c r="F176" i="3"/>
  <c r="H176" i="3"/>
  <c r="E170" i="3"/>
  <c r="F170" i="3"/>
  <c r="H170" i="3"/>
  <c r="E171" i="3"/>
  <c r="F171" i="3"/>
  <c r="H171" i="3"/>
  <c r="E172" i="3"/>
  <c r="F172" i="3"/>
  <c r="H172" i="3"/>
  <c r="E173" i="3"/>
  <c r="F173" i="3"/>
  <c r="H173" i="3"/>
  <c r="E174" i="3"/>
  <c r="F174" i="3"/>
  <c r="H174" i="3"/>
  <c r="E175" i="3"/>
  <c r="F175" i="3"/>
  <c r="H175" i="3"/>
  <c r="H169" i="3"/>
  <c r="F169" i="3"/>
  <c r="E169" i="3"/>
  <c r="H168" i="3"/>
  <c r="F168" i="3"/>
  <c r="E168" i="3"/>
  <c r="H167" i="3"/>
  <c r="F167" i="3"/>
  <c r="E167" i="3"/>
  <c r="H166" i="3"/>
  <c r="F166" i="3"/>
  <c r="E166" i="3"/>
  <c r="H165" i="3"/>
  <c r="F165" i="3"/>
  <c r="E165" i="3"/>
  <c r="H164" i="3"/>
  <c r="F164" i="3"/>
  <c r="E164" i="3"/>
  <c r="H163" i="3"/>
  <c r="F163" i="3"/>
  <c r="E163" i="3"/>
  <c r="H162" i="3"/>
  <c r="F162" i="3"/>
  <c r="E162" i="3"/>
  <c r="H161" i="3"/>
  <c r="F161" i="3"/>
  <c r="E161" i="3"/>
  <c r="H160" i="3"/>
  <c r="F160" i="3"/>
  <c r="E160" i="3"/>
  <c r="H159" i="3"/>
  <c r="F159" i="3"/>
  <c r="E159" i="3"/>
  <c r="H158" i="3"/>
  <c r="F158" i="3"/>
  <c r="E158" i="3"/>
  <c r="H157" i="3"/>
  <c r="F157" i="3"/>
  <c r="E157" i="3"/>
  <c r="H156" i="3"/>
  <c r="F156" i="3"/>
  <c r="E156" i="3"/>
  <c r="H155" i="3"/>
  <c r="F155" i="3"/>
  <c r="E155" i="3"/>
  <c r="H154" i="3"/>
  <c r="F154" i="3"/>
  <c r="E154" i="3"/>
  <c r="H153" i="3"/>
  <c r="F153" i="3"/>
  <c r="E153" i="3"/>
  <c r="H152" i="3"/>
  <c r="F152" i="3"/>
  <c r="E152" i="3"/>
  <c r="H151" i="3"/>
  <c r="F151" i="3"/>
  <c r="E151" i="3"/>
  <c r="H150" i="3"/>
  <c r="F150" i="3"/>
  <c r="E150" i="3"/>
  <c r="H149" i="3"/>
  <c r="F149" i="3"/>
  <c r="E149" i="3"/>
  <c r="H148" i="3"/>
  <c r="F148" i="3"/>
  <c r="E148" i="3"/>
  <c r="H147" i="3"/>
  <c r="F147" i="3"/>
  <c r="E147" i="3"/>
  <c r="H146" i="3"/>
  <c r="F146" i="3"/>
  <c r="E146" i="3"/>
  <c r="H145" i="3"/>
  <c r="F145" i="3"/>
  <c r="E145" i="3"/>
  <c r="H144" i="3"/>
  <c r="F144" i="3"/>
  <c r="E144" i="3"/>
  <c r="H143" i="3"/>
  <c r="F143" i="3"/>
  <c r="E143" i="3"/>
  <c r="H142" i="3"/>
  <c r="F142" i="3"/>
  <c r="E142" i="3"/>
  <c r="H141" i="3"/>
  <c r="F141" i="3"/>
  <c r="E141" i="3"/>
  <c r="H140" i="3"/>
  <c r="F140" i="3"/>
  <c r="E140" i="3"/>
  <c r="H139" i="3"/>
  <c r="F139" i="3"/>
  <c r="E139" i="3"/>
  <c r="H138" i="3"/>
  <c r="F138" i="3"/>
  <c r="E138" i="3"/>
  <c r="H137" i="3"/>
  <c r="F137" i="3"/>
  <c r="E137" i="3"/>
  <c r="H136" i="3"/>
  <c r="F136" i="3"/>
  <c r="E136" i="3"/>
  <c r="H135" i="3"/>
  <c r="F135" i="3"/>
  <c r="E135" i="3"/>
  <c r="H134" i="3"/>
  <c r="F134" i="3"/>
  <c r="E134" i="3"/>
  <c r="H133" i="3"/>
  <c r="F133" i="3"/>
  <c r="E133" i="3"/>
  <c r="H132" i="3"/>
  <c r="F132" i="3"/>
  <c r="E132" i="3"/>
  <c r="H131" i="3"/>
  <c r="F131" i="3"/>
  <c r="E131" i="3"/>
  <c r="H130" i="3"/>
  <c r="F130" i="3"/>
  <c r="E130" i="3"/>
  <c r="H129" i="3"/>
  <c r="F129" i="3"/>
  <c r="E129" i="3"/>
  <c r="H128" i="3"/>
  <c r="F128" i="3"/>
  <c r="E128" i="3"/>
  <c r="H122" i="3"/>
  <c r="H123" i="3"/>
  <c r="H124" i="3"/>
  <c r="H125" i="3"/>
  <c r="H126" i="3"/>
  <c r="H127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H120" i="3"/>
  <c r="H121" i="3"/>
  <c r="E121" i="3"/>
  <c r="E120" i="3"/>
  <c r="E119" i="3"/>
  <c r="E118" i="3"/>
  <c r="E117" i="3"/>
  <c r="E116" i="3"/>
  <c r="F121" i="3"/>
  <c r="H119" i="3"/>
  <c r="F120" i="3"/>
  <c r="F119" i="3"/>
  <c r="H118" i="3"/>
  <c r="F118" i="3"/>
  <c r="H117" i="3"/>
  <c r="F117" i="3"/>
  <c r="F116" i="3"/>
  <c r="H116" i="3"/>
  <c r="H115" i="3"/>
  <c r="F115" i="3"/>
  <c r="E115" i="3"/>
  <c r="H114" i="3"/>
  <c r="F114" i="3"/>
  <c r="E114" i="3"/>
  <c r="H113" i="3"/>
  <c r="F113" i="3"/>
  <c r="E113" i="3"/>
  <c r="H112" i="3"/>
  <c r="F112" i="3"/>
  <c r="E112" i="3"/>
  <c r="H111" i="3"/>
  <c r="F111" i="3"/>
  <c r="E111" i="3"/>
  <c r="H110" i="3"/>
  <c r="F110" i="3"/>
  <c r="E110" i="3"/>
  <c r="H109" i="3"/>
  <c r="F109" i="3"/>
  <c r="E109" i="3"/>
  <c r="H108" i="3"/>
  <c r="F108" i="3"/>
  <c r="E108" i="3"/>
  <c r="H107" i="3"/>
  <c r="F107" i="3"/>
  <c r="E107" i="3"/>
  <c r="H106" i="3"/>
  <c r="F106" i="3"/>
  <c r="E106" i="3"/>
  <c r="H105" i="3"/>
  <c r="F105" i="3"/>
  <c r="E105" i="3"/>
  <c r="H104" i="3"/>
  <c r="F104" i="3"/>
  <c r="E104" i="3"/>
  <c r="H103" i="3"/>
  <c r="F103" i="3"/>
  <c r="E103" i="3"/>
  <c r="H102" i="3"/>
  <c r="F102" i="3"/>
  <c r="E102" i="3"/>
  <c r="H101" i="3"/>
  <c r="F101" i="3"/>
  <c r="E101" i="3"/>
  <c r="H100" i="3"/>
  <c r="F100" i="3"/>
  <c r="E100" i="3"/>
  <c r="H99" i="3"/>
  <c r="F99" i="3"/>
  <c r="E99" i="3"/>
  <c r="H98" i="3"/>
  <c r="F98" i="3"/>
  <c r="E98" i="3"/>
  <c r="H97" i="3"/>
  <c r="F97" i="3"/>
  <c r="E97" i="3"/>
  <c r="H96" i="3"/>
  <c r="F96" i="3"/>
  <c r="E96" i="3"/>
  <c r="H95" i="3"/>
  <c r="F95" i="3"/>
  <c r="E95" i="3"/>
  <c r="H94" i="3"/>
  <c r="F94" i="3"/>
  <c r="E94" i="3"/>
  <c r="H93" i="3"/>
  <c r="F93" i="3"/>
  <c r="E93" i="3"/>
  <c r="H92" i="3"/>
  <c r="F92" i="3"/>
  <c r="E92" i="3"/>
  <c r="H91" i="3"/>
  <c r="H90" i="3"/>
  <c r="H89" i="3"/>
  <c r="H88" i="3"/>
  <c r="H87" i="3"/>
  <c r="H86" i="3"/>
  <c r="E91" i="3"/>
  <c r="F91" i="3"/>
  <c r="E90" i="3"/>
  <c r="F90" i="3"/>
  <c r="E89" i="3"/>
  <c r="F89" i="3"/>
  <c r="E88" i="3"/>
  <c r="F88" i="3"/>
  <c r="E87" i="3"/>
  <c r="F87" i="3"/>
  <c r="E86" i="3"/>
  <c r="F86" i="3"/>
  <c r="H84" i="3"/>
  <c r="H85" i="3"/>
  <c r="E294" i="3" l="1"/>
  <c r="E287" i="3"/>
  <c r="E85" i="3"/>
  <c r="F85" i="3"/>
  <c r="E84" i="3"/>
  <c r="F84" i="3"/>
  <c r="E83" i="3"/>
  <c r="F83" i="3"/>
  <c r="H83" i="3"/>
  <c r="E82" i="3"/>
  <c r="F82" i="3"/>
  <c r="H82" i="3"/>
  <c r="E81" i="3"/>
  <c r="F81" i="3"/>
  <c r="H81" i="3"/>
  <c r="H80" i="3"/>
  <c r="F80" i="3"/>
  <c r="E80" i="3"/>
  <c r="H78" i="3"/>
  <c r="F78" i="3"/>
  <c r="E78" i="3"/>
  <c r="H77" i="3"/>
  <c r="F77" i="3"/>
  <c r="E77" i="3"/>
  <c r="H76" i="3"/>
  <c r="F76" i="3"/>
  <c r="E76" i="3"/>
  <c r="H75" i="3"/>
  <c r="F75" i="3"/>
  <c r="E75" i="3"/>
  <c r="H74" i="3"/>
  <c r="F74" i="3"/>
  <c r="E74" i="3"/>
  <c r="H70" i="3"/>
  <c r="F70" i="3"/>
  <c r="E70" i="3"/>
  <c r="H66" i="3"/>
  <c r="F66" i="3"/>
  <c r="E66" i="3"/>
  <c r="H65" i="3"/>
  <c r="F65" i="3"/>
  <c r="E65" i="3"/>
  <c r="H63" i="3"/>
  <c r="F63" i="3"/>
  <c r="E63" i="3"/>
  <c r="H60" i="3"/>
  <c r="F60" i="3"/>
  <c r="E60" i="3"/>
  <c r="H59" i="3"/>
  <c r="F59" i="3"/>
  <c r="E59" i="3"/>
  <c r="H58" i="3"/>
  <c r="F58" i="3"/>
  <c r="E58" i="3"/>
  <c r="H57" i="3"/>
  <c r="F57" i="3"/>
  <c r="E57" i="3"/>
  <c r="H56" i="3"/>
  <c r="F56" i="3"/>
  <c r="E56" i="3"/>
  <c r="H54" i="3"/>
  <c r="F54" i="3"/>
  <c r="E54" i="3"/>
  <c r="H53" i="3"/>
  <c r="F53" i="3"/>
  <c r="E53" i="3"/>
  <c r="H52" i="3"/>
  <c r="F52" i="3"/>
  <c r="E52" i="3"/>
  <c r="H51" i="3"/>
  <c r="F51" i="3"/>
  <c r="E51" i="3"/>
  <c r="H50" i="3"/>
  <c r="F50" i="3"/>
  <c r="E50" i="3"/>
  <c r="H48" i="3"/>
  <c r="F48" i="3"/>
  <c r="E48" i="3"/>
  <c r="H47" i="3"/>
  <c r="F47" i="3"/>
  <c r="E47" i="3"/>
  <c r="H46" i="3"/>
  <c r="F46" i="3"/>
  <c r="E46" i="3"/>
  <c r="H45" i="3"/>
  <c r="F45" i="3"/>
  <c r="E45" i="3"/>
  <c r="H44" i="3"/>
  <c r="F44" i="3"/>
  <c r="E44" i="3"/>
  <c r="H43" i="3"/>
  <c r="F43" i="3"/>
  <c r="E43" i="3"/>
  <c r="H42" i="3"/>
  <c r="F42" i="3"/>
  <c r="E42" i="3"/>
  <c r="H41" i="3"/>
  <c r="F41" i="3"/>
  <c r="E41" i="3"/>
  <c r="H40" i="3"/>
  <c r="F40" i="3"/>
  <c r="E40" i="3"/>
  <c r="H39" i="3"/>
  <c r="F39" i="3"/>
  <c r="E39" i="3"/>
  <c r="H38" i="3"/>
  <c r="F38" i="3"/>
  <c r="E38" i="3"/>
  <c r="H37" i="3"/>
  <c r="F37" i="3"/>
  <c r="E37" i="3"/>
  <c r="H36" i="3"/>
  <c r="F36" i="3"/>
  <c r="E36" i="3"/>
  <c r="H35" i="3"/>
  <c r="F35" i="3"/>
  <c r="E35" i="3"/>
  <c r="H34" i="3"/>
  <c r="F34" i="3"/>
  <c r="E34" i="3"/>
  <c r="H33" i="3"/>
  <c r="F33" i="3"/>
  <c r="E33" i="3"/>
  <c r="H32" i="3"/>
  <c r="F32" i="3"/>
  <c r="E32" i="3"/>
  <c r="H31" i="3"/>
  <c r="F31" i="3"/>
  <c r="E31" i="3"/>
  <c r="H30" i="3"/>
  <c r="F30" i="3"/>
  <c r="E30" i="3"/>
  <c r="H29" i="3"/>
  <c r="F29" i="3"/>
  <c r="E29" i="3"/>
  <c r="H28" i="3"/>
  <c r="F28" i="3"/>
  <c r="E28" i="3"/>
  <c r="H27" i="3"/>
  <c r="F27" i="3"/>
  <c r="E27" i="3"/>
  <c r="H26" i="3"/>
  <c r="F26" i="3"/>
  <c r="E26" i="3"/>
  <c r="H25" i="3"/>
  <c r="F25" i="3"/>
  <c r="E25" i="3"/>
  <c r="H24" i="3"/>
  <c r="F24" i="3"/>
  <c r="E24" i="3"/>
  <c r="H23" i="3"/>
  <c r="F23" i="3"/>
  <c r="E23" i="3"/>
  <c r="H22" i="3"/>
  <c r="F22" i="3"/>
  <c r="E22" i="3"/>
  <c r="H21" i="3"/>
  <c r="F21" i="3"/>
  <c r="E21" i="3"/>
  <c r="H20" i="3"/>
  <c r="F20" i="3"/>
  <c r="E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</calcChain>
</file>

<file path=xl/sharedStrings.xml><?xml version="1.0" encoding="utf-8"?>
<sst xmlns="http://schemas.openxmlformats.org/spreadsheetml/2006/main" count="1342" uniqueCount="141">
  <si>
    <t>Üretime Verilen Parça Sayısı</t>
  </si>
  <si>
    <t>Üretilen Parça Sayısı</t>
  </si>
  <si>
    <t>Kalan Parça Sayısı</t>
  </si>
  <si>
    <t>Plana Uyum Oranı</t>
  </si>
  <si>
    <t>Günlük İşçi Sayısı</t>
  </si>
  <si>
    <t>İşçi Başına Düşen Parça Sayısı</t>
  </si>
  <si>
    <t>Tarih</t>
  </si>
  <si>
    <t>PVC</t>
  </si>
  <si>
    <t>CNC</t>
  </si>
  <si>
    <t>KESON</t>
  </si>
  <si>
    <t>METAL</t>
  </si>
  <si>
    <t>BOYA</t>
  </si>
  <si>
    <t>MONTAJ</t>
  </si>
  <si>
    <t xml:space="preserve">Hatalı Ürünler </t>
  </si>
  <si>
    <t>Boya Renk Çeşitliliği</t>
  </si>
  <si>
    <t>Ahşap Renk Çeşitliliği</t>
  </si>
  <si>
    <t>PVC Renk Çeşitliliği</t>
  </si>
  <si>
    <t>KESİM</t>
  </si>
  <si>
    <t>Ürün Çeşitliliği</t>
  </si>
  <si>
    <t>Geride Kalmaya Sebep Olan Nedenler</t>
  </si>
  <si>
    <t>Oran</t>
  </si>
  <si>
    <t>Adet</t>
  </si>
  <si>
    <t>Hammadde Eksik(8mm Sac)</t>
  </si>
  <si>
    <t>Çizim Hatası (Yanlış Delinme)</t>
  </si>
  <si>
    <t>Hammadde Eksik( Denis Toplantı Ayak)</t>
  </si>
  <si>
    <t>Hammadde Eksik( Mebran)</t>
  </si>
  <si>
    <t>Planlama Eksikliği (Etiket Problemi)</t>
  </si>
  <si>
    <t>GECİKME YAŞANMAMIŞTIR</t>
  </si>
  <si>
    <t>Hammadde Eksik( Sac Geç Geldi )</t>
  </si>
  <si>
    <t>Kurumdan Gelmedi (Prime Sehpa)</t>
  </si>
  <si>
    <t>Hammadde Eksik ( Alüminyum Masa Çerçevesi)</t>
  </si>
  <si>
    <t>ÜR-GE (Çizim Hatası)</t>
  </si>
  <si>
    <t>Hammadde Eksik(Döşeme)</t>
  </si>
  <si>
    <t>İş Gecikmesi (Boya Bölümünden Gelmedi)</t>
  </si>
  <si>
    <t>İş Gecikmesi (CNC ve Metal Bölümünden Gelmedi)</t>
  </si>
  <si>
    <t>Hammadde Eksik(Metal çerçeve ve ayak)</t>
  </si>
  <si>
    <t>Hammadde Eksik(4 adet Sümen)</t>
  </si>
  <si>
    <t>Hammadde Eksik(5 adet Metal Çerçeve ve Ayak)</t>
  </si>
  <si>
    <t>Hammadde Eksik(2 adet Buz Gri PVC Bant)</t>
  </si>
  <si>
    <t>Hammadde Eksik(Boş Priz Seti)</t>
  </si>
  <si>
    <t>İş Gecikmesi (CNC Bölümünden Gelmedi)</t>
  </si>
  <si>
    <t>Hammadde Eksik(Buz Gri Bant)</t>
  </si>
  <si>
    <t>Hammadde Eksik(Ahşap)</t>
  </si>
  <si>
    <t>İş Gecikmesi (Kurum Bölümünden Gelmedi)</t>
  </si>
  <si>
    <t>Hammadde Eksik(Sümen)</t>
  </si>
  <si>
    <t>Hammadde Eksik(Mebran)</t>
  </si>
  <si>
    <t>Kurumdan Gelmedi (Gowall Mobil TV + Yazı Tahtası)</t>
  </si>
  <si>
    <t>Kurumdan Gelmedi (PRJ-MUZİPO CAGE ÖZEL MASA 70X70X50)</t>
  </si>
  <si>
    <t>Kurumdan Gelmedi (PRJ-Z04 VESTİYER DOLABI)</t>
  </si>
  <si>
    <t>Kurumdan Gelmedi (PRJ-B11 KOLON KAPLAMA)</t>
  </si>
  <si>
    <t>SAC LAZER</t>
  </si>
  <si>
    <t>CNC den Gelmedi (Silver Vestiyer 80x47x191 cm)</t>
  </si>
  <si>
    <t>Kurumdan Gelmedi (STD DISI-CAGE DOLAPLI HAREKETLİ KESON)</t>
  </si>
  <si>
    <t>Kurumdan Gelmedi (STD DISI-SİLVER KAPAKLI DOLAP 90X45X190)</t>
  </si>
  <si>
    <t>Kurumdan Gelmedi (PRJ-TESİSAT DOLABI 98X24X75)</t>
  </si>
  <si>
    <t>Hammadde Eksik ( Metal FLY KONSOL-SEHPA-MASA)</t>
  </si>
  <si>
    <t>Kurumdan Gelmedi (01 UPDOWN MASA ÜST DOSYALIK)</t>
  </si>
  <si>
    <t>Kurumdan Gelmedi (STD DISI-UPDOWN YÜKSEKLİK AYARLI MASA)</t>
  </si>
  <si>
    <t>İş Gecikmesi (Metal Bölümünden Gelmedi)</t>
  </si>
  <si>
    <t>Hammadde Eksik(SAFİR  SEHPA 90x60x43)Deri</t>
  </si>
  <si>
    <t>Hammadde Eksik(SAFİR ETAJER 90x60x75)Deri</t>
  </si>
  <si>
    <t>İş Gecikmesi (Boya-Metal Bölümünden Gelmedi)</t>
  </si>
  <si>
    <t>Tedarikçi Kaynaklı İş Gecikmesi(Laminant Geç Geldi)</t>
  </si>
  <si>
    <t>İş Gecikmesi (İNG Bank Kurumdan Gelmedi)</t>
  </si>
  <si>
    <t>İş Gecikmesi (Proje Ürünleri Kurumdan Gelmedi)</t>
  </si>
  <si>
    <t>İş Gecikmesi (Gowall ve Erikçe Ürünleri Kurumdan Gelmedi)</t>
  </si>
  <si>
    <t>İş Gecikmesi (Fly Konsollar Ürünleri Boyadan Gelmedi)</t>
  </si>
  <si>
    <t>Hammadde Eksik(BREZE MÜDÜR MASA 220x100x75)Deri</t>
  </si>
  <si>
    <t>İş Gecikmesi (MOTTO SEHPA ( C ) ve DENİS ELİPS TOPLANTI MASASI 240x110x75 Boyadan Gelmedi)</t>
  </si>
  <si>
    <t>İş Gecikmesi (TİN Ürünleri Kurumdan Gelmedi)</t>
  </si>
  <si>
    <t>İş Gecikmesi (VALENS YÖNETİCİ MASASI (SAĞ) 278x215x75)</t>
  </si>
  <si>
    <t>Hammadde Eksik(STONE SEHPA 70x55x45)Keçe</t>
  </si>
  <si>
    <t>İş Gecikmesi(Kurum UPDOWN WOOD BOX YÜKSEKLİK AYARLI 2'Lİ ÇALIŞMA MASASI 140X165X68-118)</t>
  </si>
  <si>
    <t>Hammadde Eksik(PLUS LİFE DÖRT KAPAKLI DOLAP (CAM+AHŞAP) 80X38X156)Ahşap</t>
  </si>
  <si>
    <t>İş Gecikmesi (TİN 3 ÇEKMECELİ KALEMLİKLİ KESON 40*45*68 Kesondan Gelmedi)</t>
  </si>
  <si>
    <t>İş Gecikmesi (PRJ- U DESIGN ÖZEL 4'LÜ ÇALIŞMA MASASI 240X140X75 Metal Boyadan Gelmedi)</t>
  </si>
  <si>
    <t>İş Gecikmesi (STD DISI-MOTTO SEHPA ( C ) 50x30x50)</t>
  </si>
  <si>
    <t>İş Gecikmesi (DENİS DİKDÖRTGEN TOPLANTI MASASI 240x110x75)</t>
  </si>
  <si>
    <t>İş Gecikmesi (PRJ-ÖZDİLEK ÖZEL LAYER DOLAP Kurum)</t>
  </si>
  <si>
    <t>İş Gecikmesi (GOWALL MOBİL KİTAPLIK 168x34x184)</t>
  </si>
  <si>
    <t>İş Gecikmesi (MAJÖR YÖNETİCİ MASASI (SAĞ) 257X196X76)</t>
  </si>
  <si>
    <t>İş Gecikmesi (ŞUBE DENİZBANK MÜŞTERİ TEMSİLCİ MASASI SOL (160x150x72))</t>
  </si>
  <si>
    <t>Hammadde Eksik ( Laminant MEVCUT KONSEPT ZİRAAT BANKASI 60X60 SEHPA (002))</t>
  </si>
  <si>
    <t>İş Gecikmesi (Metal STD DISI-DAİSY RESEPSİYON MASASI 170X70X75)</t>
  </si>
  <si>
    <t>İş Gecikmesi (Metal PLANET SEHPA 65x50x45)</t>
  </si>
  <si>
    <t>İş Gecikmesi (Metal VALENS SEHPA 95x65x43)</t>
  </si>
  <si>
    <t>İş Gecikmesi (PRJ-YÜKSEKLİK AYARLI TV EKLENTİLİ YÖNETİCİ MASASI)</t>
  </si>
  <si>
    <t>İş Gecikmesi (Kurum 2024 DENİZBANK ŞUBE  PERSONEL MASASI 160)</t>
  </si>
  <si>
    <t>İş Gecikmesi (PRJ ÜRÜNLERİ)</t>
  </si>
  <si>
    <t>İş Gecikmesi (Metal PİPE KAFE MASASI)</t>
  </si>
  <si>
    <t>İş Gecikmesi (Kurum PRİME SEHPA 3 60x50x50)</t>
  </si>
  <si>
    <t>İş Gecikmesi (Keson PRJ-PLUS LİFE KOMODİN 40*41,5*52,5)</t>
  </si>
  <si>
    <t>ÜR-GE (ÖLÇÜ EKSİKLİĞİ PRJ CAMLI DOLAP)</t>
  </si>
  <si>
    <t>İş Gecikmesi (GOWALL MOBİL TV ÜNİTESİ+YAZI TAHTASI 168x34x184)</t>
  </si>
  <si>
    <t>Hammadde Eksik ( Ral 7030 2024 DENİZBANK ŞUBE  MÜDÜR SEHPA)</t>
  </si>
  <si>
    <t>İş Gecikmesi (Metalden Yanlış İş Geldi Tekrardan Paket Açılacak)</t>
  </si>
  <si>
    <t>İş Gecikmesi (Denizbank ve İNG Bank Ürünleri)</t>
  </si>
  <si>
    <t>İş Gecikmesi (Boyadan İş Gelmedi)</t>
  </si>
  <si>
    <t>İş Gecikmesi (Kurumdan İş Gelmedi)</t>
  </si>
  <si>
    <t xml:space="preserve">İş Gecikmesi </t>
  </si>
  <si>
    <t>İş Gecikmesi (CNCden İş Gelmedi PİPE AHŞAP TABLALI C SEHPA 52x32x60)</t>
  </si>
  <si>
    <t>İş Gecikmesi (Metalden İş Gelmedi LOFT MASALAR)</t>
  </si>
  <si>
    <t>İş Gecikmesi (Metalden İş Gelmedi TİN KAPAKLI DOLAP 120x45x75)</t>
  </si>
  <si>
    <t>İş Gecikmesi (Metalden İş Gelmedi PİPE SEHPA AHŞAP Ø:40 H:40)</t>
  </si>
  <si>
    <t>Hammadde Eksik (8 mm Arkalık Dafne GEO Konsol)</t>
  </si>
  <si>
    <t>İş Gecikmesi (Metalden İş Gelmedi DENİS ELİPS TOPLANTI MASASI 210x100x75)</t>
  </si>
  <si>
    <t>Planlama Eksikliği (PALADIUM KONSOL ÜRÜNLERİ)</t>
  </si>
  <si>
    <t>Hammadde Eksik (EVOL AYAK SETİ (4 LÜ) Priz Seti)</t>
  </si>
  <si>
    <t>Hammadde Eksik (GOWALL MOBİL TV ÜNİTESİ+KUMAŞ PANEL 168x34x184 Kumaş Eksik)</t>
  </si>
  <si>
    <t>Hammadde Eksik (STD DISI-TİMY KONFİGÜRASYON  460 CM Kumaş Eksik)</t>
  </si>
  <si>
    <t>İş Gecikmesi (Kar Yağışı Sebebiyle Geriden Gelmiştir)</t>
  </si>
  <si>
    <t>İş Gecikmesi (2 Lİ ÇALIŞMA MASASI TABLASI 140X140X75, SPACE VE BREEZE ÜRÜNLERİ)</t>
  </si>
  <si>
    <t>Hammadde Eksik (8mm Sunta Eksik Silver Kapaklı Dolap , Motto ve Majör Ürünleri)</t>
  </si>
  <si>
    <t>Hammadde Eksik (8mm Sunta Eksik Denizbank Ürünleri)</t>
  </si>
  <si>
    <t>İş Gecikmesi  (STD DISI-LOFT TOPLANTI MASASI 280x120x77)</t>
  </si>
  <si>
    <t>Prime sehpa (Kurumdan İş gelmedi )</t>
  </si>
  <si>
    <t>Hammadde Eksik (Deri Eksik VALENS YÖNETİCİ MASASI (SAĞ) 278x215x75)</t>
  </si>
  <si>
    <t>İş Gecikmesi  (DENİS TOPLANTI MASASI Ø:110 H:75, STD DISI-LİNE ÖN PANEL (DÜZ) 125 CM (DESENSİZ))</t>
  </si>
  <si>
    <t>İş Gecikmesi  (İş Gelmedi)</t>
  </si>
  <si>
    <t>Hammadde Eksik (PVC Eksik PRJ-SOYUNMA DOLABI 170x32x50)</t>
  </si>
  <si>
    <t>İş Gecikmesi</t>
  </si>
  <si>
    <t>Hammadde Eksik (Deri Eksik SAFİR KONSOL 240x39x103)</t>
  </si>
  <si>
    <t>İş Gecikmesi  (Boya PİPE SEHPA Ø:50 H:45,PRİME SEHPA 6 60x50x35)</t>
  </si>
  <si>
    <t>ÜRÜNLER HAZIR Kurulum Tarihi Bekleniyor STD Dışı Ürünler</t>
  </si>
  <si>
    <t>25.02.2026 tarihli kurulumun beklenmesinden dolayı oluşan bir gecikme mevcuttur.</t>
  </si>
  <si>
    <t>İş Gecikmesi (Metalden ve Boyadan İş Gelmedi STD DISI-SAİL BAR MASASI 360x80x105)</t>
  </si>
  <si>
    <t>İş Gecikmesi (Kurumdan  İş Gelmedi PRJ-KOMBİ DOLABI 90X40X245)</t>
  </si>
  <si>
    <t>Koltuk İş Bekleme (Sümen SPACE MÜDÜR MASA 200x90x75)</t>
  </si>
  <si>
    <t>Koltuk İş Bekleme (Sümen VALENS YÖNETİCİ MASASI (SOL) 278x215x75)</t>
  </si>
  <si>
    <t>İş Gecikmesi(Boyadan Tabla Gelmedi 2024 ZİRAAT BANKASI  SEHPA KÜÇÜK (131)-2024 ZİRAAT BANKASI  SEHPA BÜYÜK (132))</t>
  </si>
  <si>
    <t>Erken Termin (TİN KESON 40*45*61,STEEL SEHPA 65x50x45,EVOL AYAK SETİ (4 LÜ))</t>
  </si>
  <si>
    <t>İş Gecikmesi ( Boyadan İş Gelmedi PİPE SEHPA METAL Ø:40 H:48)</t>
  </si>
  <si>
    <t>İş Gecikmesi ( Kurumdan İş Gelmedi ALBARAKATÜRK Ürünleri)</t>
  </si>
  <si>
    <t>İş Gecikmesi ( Kurumdan İş Gelmedi İNFORMATİK)</t>
  </si>
  <si>
    <t>İş Gecikmesi(ING BANK MÜDÜR ODASI ÇALIŞMA MASASI SAĞ (M10))</t>
  </si>
  <si>
    <t>İş Gecikmesi (Kurum-Boya)</t>
  </si>
  <si>
    <t>iş gecikmesi (kumaş ve tabla bekliyor)</t>
  </si>
  <si>
    <t>İş Gecikmesi (Kesondan İş Gelmedi)</t>
  </si>
  <si>
    <t>Erken Termin (OZGUR ASKILIK)</t>
  </si>
  <si>
    <t>İş Gecikmesi(Kurum 2024 DENİZBANK ŞUBE  GÜVENLİK BANKOSU)</t>
  </si>
  <si>
    <t>MODUL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</si>
</sst>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5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/>
      <bottom/>
      <diagonal/>
    </border>
  </borders>
  <cellStyleXfs count="2">
    <xf numFmtId="0" fontId="0" fillId="0" borderId="0"/>
    <xf numFmtId="43" fontId="76" fillId="0" borderId="0" applyFont="0" applyFill="0" applyBorder="0" applyAlignment="0" applyProtection="0"/>
  </cellStyleXfs>
  <cellXfs count="114">
    <xf numFmtId="0" fontId="0" fillId="0" borderId="0" xfId="0"/>
    <xf numFmtId="0" fontId="74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10" fontId="0" fillId="2" borderId="2" xfId="0" applyNumberFormat="1" applyFill="1" applyBorder="1"/>
    <xf numFmtId="4" fontId="0" fillId="2" borderId="2" xfId="0" applyNumberFormat="1" applyFill="1" applyBorder="1"/>
    <xf numFmtId="0" fontId="74" fillId="0" borderId="1" xfId="0" applyFont="1" applyBorder="1" applyAlignment="1">
      <alignment horizontal="center" vertical="center"/>
    </xf>
    <xf numFmtId="0" fontId="0" fillId="0" borderId="2" xfId="0" applyBorder="1"/>
    <xf numFmtId="10" fontId="0" fillId="0" borderId="2" xfId="0" applyNumberFormat="1" applyBorder="1"/>
    <xf numFmtId="4" fontId="0" fillId="0" borderId="2" xfId="0" applyNumberFormat="1" applyBorder="1"/>
    <xf numFmtId="14" fontId="0" fillId="2" borderId="3" xfId="0" applyNumberFormat="1" applyFill="1" applyBorder="1"/>
    <xf numFmtId="14" fontId="0" fillId="0" borderId="3" xfId="0" applyNumberFormat="1" applyBorder="1"/>
    <xf numFmtId="0" fontId="74" fillId="2" borderId="4" xfId="0" applyFont="1" applyFill="1" applyBorder="1" applyAlignment="1">
      <alignment horizontal="center" vertical="center"/>
    </xf>
    <xf numFmtId="0" fontId="0" fillId="2" borderId="0" xfId="0" applyFill="1"/>
    <xf numFmtId="10" fontId="0" fillId="2" borderId="0" xfId="0" applyNumberFormat="1" applyFill="1"/>
    <xf numFmtId="4" fontId="0" fillId="2" borderId="0" xfId="0" applyNumberFormat="1" applyFill="1"/>
    <xf numFmtId="0" fontId="74" fillId="0" borderId="4" xfId="0" applyFon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1" fontId="0" fillId="2" borderId="2" xfId="0" applyNumberFormat="1" applyFill="1" applyBorder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0" fontId="43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9" fillId="0" borderId="0" xfId="0" applyFont="1"/>
    <xf numFmtId="0" fontId="38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6" fillId="0" borderId="2" xfId="0" applyFont="1" applyBorder="1"/>
    <xf numFmtId="0" fontId="36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8" fillId="0" borderId="0" xfId="0" applyFont="1"/>
    <xf numFmtId="0" fontId="27" fillId="0" borderId="0" xfId="0" applyFont="1" applyAlignment="1">
      <alignment wrapText="1"/>
    </xf>
    <xf numFmtId="0" fontId="75" fillId="0" borderId="0" xfId="0" applyFont="1"/>
    <xf numFmtId="0" fontId="26" fillId="0" borderId="0" xfId="0" applyFont="1"/>
    <xf numFmtId="0" fontId="26" fillId="0" borderId="0" xfId="0" quotePrefix="1" applyFont="1" applyAlignment="1">
      <alignment horizontal="left"/>
    </xf>
    <xf numFmtId="0" fontId="74" fillId="2" borderId="1" xfId="0" quotePrefix="1" applyFont="1" applyFill="1" applyBorder="1" applyAlignment="1">
      <alignment horizontal="center" vertical="center"/>
    </xf>
    <xf numFmtId="0" fontId="25" fillId="0" borderId="0" xfId="0" applyFont="1" applyAlignment="1">
      <alignment wrapText="1"/>
    </xf>
    <xf numFmtId="0" fontId="24" fillId="0" borderId="0" xfId="0" applyFon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vertical="center"/>
    </xf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1" fillId="0" borderId="0" xfId="0" quotePrefix="1" applyFont="1" applyAlignment="1">
      <alignment horizontal="left"/>
    </xf>
    <xf numFmtId="0" fontId="20" fillId="0" borderId="0" xfId="0" quotePrefix="1" applyFont="1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/>
    <xf numFmtId="2" fontId="0" fillId="0" borderId="0" xfId="0" applyNumberFormat="1" applyAlignment="1">
      <alignment horizontal="right" vertical="center"/>
    </xf>
    <xf numFmtId="1" fontId="0" fillId="0" borderId="0" xfId="1" applyNumberFormat="1" applyFont="1" applyAlignment="1">
      <alignment horizontal="right" vertical="center"/>
    </xf>
    <xf numFmtId="2" fontId="0" fillId="0" borderId="0" xfId="0" applyNumberFormat="1" applyAlignment="1">
      <alignment horizontal="right"/>
    </xf>
    <xf numFmtId="0" fontId="19" fillId="0" borderId="0" xfId="0" quotePrefix="1" applyFont="1" applyAlignment="1">
      <alignment horizontal="left"/>
    </xf>
    <xf numFmtId="0" fontId="19" fillId="0" borderId="0" xfId="0" applyFont="1"/>
    <xf numFmtId="0" fontId="18" fillId="0" borderId="0" xfId="0" applyFont="1" applyAlignment="1">
      <alignment wrapText="1"/>
    </xf>
    <xf numFmtId="0" fontId="17" fillId="0" borderId="0" xfId="0" quotePrefix="1" applyFont="1" applyAlignment="1">
      <alignment horizontal="left"/>
    </xf>
    <xf numFmtId="0" fontId="17" fillId="0" borderId="0" xfId="0" applyFont="1"/>
    <xf numFmtId="0" fontId="16" fillId="0" borderId="0" xfId="0" applyFont="1"/>
    <xf numFmtId="0" fontId="15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2" xfId="0" applyFont="1" applyBorder="1"/>
    <xf numFmtId="0" fontId="12" fillId="0" borderId="0" xfId="0" applyFont="1" applyAlignment="1">
      <alignment wrapText="1"/>
    </xf>
    <xf numFmtId="0" fontId="11" fillId="0" borderId="0" xfId="0" applyFont="1"/>
    <xf numFmtId="0" fontId="10" fillId="0" borderId="0" xfId="0" quotePrefix="1" applyFont="1" applyAlignment="1">
      <alignment horizontal="left"/>
    </xf>
    <xf numFmtId="0" fontId="9" fillId="0" borderId="0" xfId="0" applyFont="1" applyAlignment="1">
      <alignment wrapText="1"/>
    </xf>
    <xf numFmtId="0" fontId="9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B1:R1181"/>
  <sheetViews>
    <sheetView tabSelected="1" topLeftCell="G1" zoomScaleNormal="100" workbookViewId="0">
      <pane ySplit="1" topLeftCell="A1121" activePane="bottomLeft" state="frozen"/>
      <selection pane="bottomLeft" activeCell="O1130" activeCellId="1" sqref="O1139 O1130"/>
    </sheetView>
  </sheetViews>
  <sheetFormatPr baseColWidth="10" defaultColWidth="9" defaultRowHeight="15" x14ac:dyDescent="0.2"/>
  <cols>
    <col min="2" max="2" width="12.5" bestFit="1" customWidth="1"/>
    <col min="3" max="3" width="26.1640625" customWidth="1"/>
    <col min="4" max="4" width="18.83203125" customWidth="1"/>
    <col min="5" max="5" width="16.33203125" customWidth="1"/>
    <col min="6" max="6" width="16.6640625" customWidth="1"/>
    <col min="7" max="7" width="15.83203125" customWidth="1"/>
    <col min="8" max="8" width="26.6640625" customWidth="1"/>
    <col min="9" max="9" width="11.5" customWidth="1"/>
    <col min="10" max="10" width="14.6640625" style="16" bestFit="1" customWidth="1"/>
    <col min="11" max="11" width="19.1640625" bestFit="1" customWidth="1"/>
    <col min="12" max="12" width="20.33203125" bestFit="1" customWidth="1"/>
    <col min="13" max="13" width="18.5" bestFit="1" customWidth="1"/>
    <col min="14" max="14" width="14.1640625" bestFit="1" customWidth="1"/>
  </cols>
  <sheetData>
    <row r="1" spans="2:1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13</v>
      </c>
      <c r="K1" t="s">
        <v>14</v>
      </c>
      <c r="L1" t="s">
        <v>15</v>
      </c>
      <c r="M1" t="s">
        <v>16</v>
      </c>
      <c r="N1" t="s">
        <v>18</v>
      </c>
      <c r="O1" t="s">
        <v>140</v>
      </c>
    </row>
    <row r="2" spans="2:15" x14ac:dyDescent="0.2">
      <c r="B2" s="1" t="s">
        <v>7</v>
      </c>
      <c r="C2" s="2">
        <v>605</v>
      </c>
      <c r="D2" s="2">
        <v>605</v>
      </c>
      <c r="E2" s="2">
        <v>0</v>
      </c>
      <c r="F2" s="3">
        <f t="shared" ref="F2:F60" si="0">D2/C2</f>
        <v>1</v>
      </c>
      <c r="G2" s="2">
        <v>5</v>
      </c>
      <c r="H2" s="4">
        <f t="shared" ref="H2:H60" si="1">D2/G2</f>
        <v>121</v>
      </c>
      <c r="I2" s="9">
        <v>45880</v>
      </c>
    </row>
    <row r="3" spans="2:15" x14ac:dyDescent="0.2">
      <c r="B3" s="5" t="s">
        <v>8</v>
      </c>
      <c r="C3" s="6">
        <v>606</v>
      </c>
      <c r="D3" s="6">
        <v>460</v>
      </c>
      <c r="E3" s="6">
        <v>146</v>
      </c>
      <c r="F3" s="7">
        <f t="shared" si="0"/>
        <v>0.75907590759075905</v>
      </c>
      <c r="G3" s="6">
        <v>8</v>
      </c>
      <c r="H3" s="8">
        <f t="shared" si="1"/>
        <v>57.5</v>
      </c>
      <c r="I3" s="10">
        <v>45880</v>
      </c>
    </row>
    <row r="4" spans="2:15" x14ac:dyDescent="0.2">
      <c r="B4" s="1" t="s">
        <v>9</v>
      </c>
      <c r="C4" s="2">
        <v>335</v>
      </c>
      <c r="D4" s="2">
        <v>297</v>
      </c>
      <c r="E4" s="2">
        <v>38</v>
      </c>
      <c r="F4" s="3">
        <f t="shared" si="0"/>
        <v>0.88656716417910453</v>
      </c>
      <c r="G4" s="2">
        <v>7</v>
      </c>
      <c r="H4" s="4">
        <f t="shared" si="1"/>
        <v>42.428571428571431</v>
      </c>
      <c r="I4" s="9">
        <v>45880</v>
      </c>
    </row>
    <row r="5" spans="2:15" x14ac:dyDescent="0.2">
      <c r="B5" s="5" t="s">
        <v>10</v>
      </c>
      <c r="C5" s="6">
        <v>452</v>
      </c>
      <c r="D5" s="6">
        <v>429</v>
      </c>
      <c r="E5" s="6">
        <v>23</v>
      </c>
      <c r="F5" s="7">
        <f t="shared" si="0"/>
        <v>0.94911504424778759</v>
      </c>
      <c r="G5" s="6">
        <v>10</v>
      </c>
      <c r="H5" s="8">
        <f t="shared" si="1"/>
        <v>42.9</v>
      </c>
      <c r="I5" s="10">
        <v>45880</v>
      </c>
    </row>
    <row r="6" spans="2:15" x14ac:dyDescent="0.2">
      <c r="B6" s="1" t="s">
        <v>11</v>
      </c>
      <c r="C6" s="2">
        <v>411</v>
      </c>
      <c r="D6" s="2">
        <v>392</v>
      </c>
      <c r="E6" s="2">
        <v>19</v>
      </c>
      <c r="F6" s="3">
        <f t="shared" si="0"/>
        <v>0.95377128953771284</v>
      </c>
      <c r="G6" s="2">
        <v>8</v>
      </c>
      <c r="H6" s="4">
        <f t="shared" si="1"/>
        <v>49</v>
      </c>
      <c r="I6" s="9">
        <v>45880</v>
      </c>
    </row>
    <row r="7" spans="2:15" x14ac:dyDescent="0.2">
      <c r="B7" s="5" t="s">
        <v>12</v>
      </c>
      <c r="C7" s="6">
        <v>228</v>
      </c>
      <c r="D7" s="6">
        <v>222</v>
      </c>
      <c r="E7" s="6">
        <v>6</v>
      </c>
      <c r="F7" s="7">
        <f t="shared" si="0"/>
        <v>0.97368421052631582</v>
      </c>
      <c r="G7" s="6">
        <v>19</v>
      </c>
      <c r="H7" s="8">
        <f t="shared" si="1"/>
        <v>11.684210526315789</v>
      </c>
      <c r="I7" s="10">
        <v>45880</v>
      </c>
    </row>
    <row r="8" spans="2:15" x14ac:dyDescent="0.2">
      <c r="B8" s="1" t="s">
        <v>7</v>
      </c>
      <c r="C8" s="2">
        <v>407</v>
      </c>
      <c r="D8" s="2">
        <v>290</v>
      </c>
      <c r="E8" s="2">
        <v>117</v>
      </c>
      <c r="F8" s="3">
        <f t="shared" si="0"/>
        <v>0.71253071253071254</v>
      </c>
      <c r="G8" s="2">
        <v>3</v>
      </c>
      <c r="H8" s="4">
        <f t="shared" si="1"/>
        <v>96.666666666666671</v>
      </c>
      <c r="I8" s="9">
        <v>45881</v>
      </c>
    </row>
    <row r="9" spans="2:15" x14ac:dyDescent="0.2">
      <c r="B9" s="5" t="s">
        <v>8</v>
      </c>
      <c r="C9" s="6">
        <v>590</v>
      </c>
      <c r="D9" s="6">
        <v>545</v>
      </c>
      <c r="E9" s="6">
        <v>45</v>
      </c>
      <c r="F9" s="7">
        <f t="shared" si="0"/>
        <v>0.92372881355932202</v>
      </c>
      <c r="G9" s="6">
        <v>9</v>
      </c>
      <c r="H9" s="8">
        <f t="shared" si="1"/>
        <v>60.555555555555557</v>
      </c>
      <c r="I9" s="10">
        <v>45881</v>
      </c>
    </row>
    <row r="10" spans="2:15" x14ac:dyDescent="0.2">
      <c r="B10" s="1" t="s">
        <v>9</v>
      </c>
      <c r="C10" s="2">
        <v>62</v>
      </c>
      <c r="D10" s="2">
        <v>33</v>
      </c>
      <c r="E10" s="2">
        <v>29</v>
      </c>
      <c r="F10" s="3">
        <f t="shared" si="0"/>
        <v>0.532258064516129</v>
      </c>
      <c r="G10" s="2">
        <v>7</v>
      </c>
      <c r="H10" s="4">
        <f t="shared" si="1"/>
        <v>4.7142857142857144</v>
      </c>
      <c r="I10" s="9">
        <v>45881</v>
      </c>
    </row>
    <row r="11" spans="2:15" x14ac:dyDescent="0.2">
      <c r="B11" s="5" t="s">
        <v>10</v>
      </c>
      <c r="C11" s="6">
        <v>986</v>
      </c>
      <c r="D11" s="6">
        <v>589</v>
      </c>
      <c r="E11" s="6">
        <v>397</v>
      </c>
      <c r="F11" s="7">
        <f t="shared" si="0"/>
        <v>0.5973630831643002</v>
      </c>
      <c r="G11" s="6">
        <v>11</v>
      </c>
      <c r="H11" s="8">
        <f t="shared" si="1"/>
        <v>53.545454545454547</v>
      </c>
      <c r="I11" s="10">
        <v>45881</v>
      </c>
    </row>
    <row r="12" spans="2:15" x14ac:dyDescent="0.2">
      <c r="B12" s="1" t="s">
        <v>11</v>
      </c>
      <c r="C12" s="2">
        <v>789</v>
      </c>
      <c r="D12" s="2">
        <v>415</v>
      </c>
      <c r="E12" s="2">
        <v>374</v>
      </c>
      <c r="F12" s="3">
        <f t="shared" si="0"/>
        <v>0.52598225602027882</v>
      </c>
      <c r="G12" s="2">
        <v>8</v>
      </c>
      <c r="H12" s="4">
        <f t="shared" si="1"/>
        <v>51.875</v>
      </c>
      <c r="I12" s="9">
        <v>45881</v>
      </c>
    </row>
    <row r="13" spans="2:15" x14ac:dyDescent="0.2">
      <c r="B13" s="5" t="s">
        <v>12</v>
      </c>
      <c r="C13" s="6">
        <v>150</v>
      </c>
      <c r="D13" s="6">
        <v>144</v>
      </c>
      <c r="E13" s="6">
        <v>6</v>
      </c>
      <c r="F13" s="7">
        <f t="shared" si="0"/>
        <v>0.96</v>
      </c>
      <c r="G13" s="6">
        <v>20</v>
      </c>
      <c r="H13" s="8">
        <f t="shared" si="1"/>
        <v>7.2</v>
      </c>
      <c r="I13" s="10">
        <v>45881</v>
      </c>
    </row>
    <row r="14" spans="2:15" x14ac:dyDescent="0.2">
      <c r="B14" s="1" t="s">
        <v>7</v>
      </c>
      <c r="C14" s="2">
        <v>1359</v>
      </c>
      <c r="D14" s="2">
        <v>1090</v>
      </c>
      <c r="E14" s="2">
        <v>269</v>
      </c>
      <c r="F14" s="3">
        <f t="shared" si="0"/>
        <v>0.80206033848417957</v>
      </c>
      <c r="G14" s="2">
        <v>3</v>
      </c>
      <c r="H14" s="4">
        <f t="shared" si="1"/>
        <v>363.33333333333331</v>
      </c>
      <c r="I14" s="9">
        <v>45882</v>
      </c>
    </row>
    <row r="15" spans="2:15" x14ac:dyDescent="0.2">
      <c r="B15" s="5" t="s">
        <v>8</v>
      </c>
      <c r="C15" s="6">
        <v>529</v>
      </c>
      <c r="D15" s="6">
        <v>458</v>
      </c>
      <c r="E15" s="6">
        <v>71</v>
      </c>
      <c r="F15" s="7">
        <f t="shared" si="0"/>
        <v>0.86578449905482047</v>
      </c>
      <c r="G15" s="6">
        <v>9</v>
      </c>
      <c r="H15" s="8">
        <f t="shared" si="1"/>
        <v>50.888888888888886</v>
      </c>
      <c r="I15" s="10">
        <v>45882</v>
      </c>
    </row>
    <row r="16" spans="2:15" x14ac:dyDescent="0.2">
      <c r="B16" s="1" t="s">
        <v>9</v>
      </c>
      <c r="C16" s="2">
        <v>75</v>
      </c>
      <c r="D16" s="2">
        <v>68</v>
      </c>
      <c r="E16" s="2">
        <v>7</v>
      </c>
      <c r="F16" s="3">
        <f t="shared" si="0"/>
        <v>0.90666666666666662</v>
      </c>
      <c r="G16" s="2">
        <v>7</v>
      </c>
      <c r="H16" s="4">
        <f t="shared" si="1"/>
        <v>9.7142857142857135</v>
      </c>
      <c r="I16" s="9">
        <v>45882</v>
      </c>
    </row>
    <row r="17" spans="2:9" x14ac:dyDescent="0.2">
      <c r="B17" s="5" t="s">
        <v>10</v>
      </c>
      <c r="C17" s="6">
        <v>1326</v>
      </c>
      <c r="D17" s="6">
        <v>256</v>
      </c>
      <c r="E17" s="6">
        <v>1070</v>
      </c>
      <c r="F17" s="7">
        <f t="shared" si="0"/>
        <v>0.19306184012066366</v>
      </c>
      <c r="G17" s="6">
        <v>11</v>
      </c>
      <c r="H17" s="8">
        <f t="shared" si="1"/>
        <v>23.272727272727273</v>
      </c>
      <c r="I17" s="10">
        <v>45882</v>
      </c>
    </row>
    <row r="18" spans="2:9" x14ac:dyDescent="0.2">
      <c r="B18" s="1" t="s">
        <v>11</v>
      </c>
      <c r="C18" s="2">
        <v>1089</v>
      </c>
      <c r="D18" s="2">
        <v>580</v>
      </c>
      <c r="E18" s="2">
        <v>509</v>
      </c>
      <c r="F18" s="3">
        <f t="shared" si="0"/>
        <v>0.53259871441689621</v>
      </c>
      <c r="G18" s="2">
        <v>8</v>
      </c>
      <c r="H18" s="4">
        <f t="shared" si="1"/>
        <v>72.5</v>
      </c>
      <c r="I18" s="9">
        <v>45882</v>
      </c>
    </row>
    <row r="19" spans="2:9" x14ac:dyDescent="0.2">
      <c r="B19" s="5" t="s">
        <v>12</v>
      </c>
      <c r="C19" s="6">
        <v>150</v>
      </c>
      <c r="D19" s="6">
        <v>140</v>
      </c>
      <c r="E19" s="6">
        <v>10</v>
      </c>
      <c r="F19" s="7">
        <f t="shared" si="0"/>
        <v>0.93333333333333335</v>
      </c>
      <c r="G19" s="6">
        <v>20</v>
      </c>
      <c r="H19" s="8">
        <f t="shared" si="1"/>
        <v>7</v>
      </c>
      <c r="I19" s="10">
        <v>45882</v>
      </c>
    </row>
    <row r="20" spans="2:9" x14ac:dyDescent="0.2">
      <c r="B20" s="1" t="s">
        <v>7</v>
      </c>
      <c r="C20" s="2">
        <v>202</v>
      </c>
      <c r="D20" s="2">
        <v>37</v>
      </c>
      <c r="E20" s="2">
        <f t="shared" ref="E20:E60" si="2">C20-D20</f>
        <v>165</v>
      </c>
      <c r="F20" s="3">
        <f t="shared" si="0"/>
        <v>0.18316831683168316</v>
      </c>
      <c r="G20" s="2">
        <v>5</v>
      </c>
      <c r="H20" s="4">
        <f t="shared" si="1"/>
        <v>7.4</v>
      </c>
      <c r="I20" s="9">
        <v>45883</v>
      </c>
    </row>
    <row r="21" spans="2:9" x14ac:dyDescent="0.2">
      <c r="B21" s="5" t="s">
        <v>8</v>
      </c>
      <c r="C21" s="6">
        <v>1099</v>
      </c>
      <c r="D21" s="6">
        <v>668</v>
      </c>
      <c r="E21" s="6">
        <f t="shared" si="2"/>
        <v>431</v>
      </c>
      <c r="F21" s="7">
        <f t="shared" si="0"/>
        <v>0.60782529572338495</v>
      </c>
      <c r="G21" s="6">
        <v>7</v>
      </c>
      <c r="H21" s="8">
        <f t="shared" si="1"/>
        <v>95.428571428571431</v>
      </c>
      <c r="I21" s="10">
        <v>45883</v>
      </c>
    </row>
    <row r="22" spans="2:9" x14ac:dyDescent="0.2">
      <c r="B22" s="1" t="s">
        <v>9</v>
      </c>
      <c r="C22" s="2">
        <v>120</v>
      </c>
      <c r="D22" s="2">
        <v>120</v>
      </c>
      <c r="E22" s="2">
        <f t="shared" si="2"/>
        <v>0</v>
      </c>
      <c r="F22" s="3">
        <f t="shared" si="0"/>
        <v>1</v>
      </c>
      <c r="G22" s="2">
        <v>8</v>
      </c>
      <c r="H22" s="4">
        <f t="shared" si="1"/>
        <v>15</v>
      </c>
      <c r="I22" s="9">
        <v>45883</v>
      </c>
    </row>
    <row r="23" spans="2:9" x14ac:dyDescent="0.2">
      <c r="B23" s="5" t="s">
        <v>10</v>
      </c>
      <c r="C23" s="6">
        <v>932</v>
      </c>
      <c r="D23" s="6">
        <v>0</v>
      </c>
      <c r="E23" s="6">
        <f t="shared" si="2"/>
        <v>932</v>
      </c>
      <c r="F23" s="7">
        <f t="shared" si="0"/>
        <v>0</v>
      </c>
      <c r="G23" s="6">
        <v>11</v>
      </c>
      <c r="H23" s="8">
        <f t="shared" si="1"/>
        <v>0</v>
      </c>
      <c r="I23" s="10">
        <v>45883</v>
      </c>
    </row>
    <row r="24" spans="2:9" x14ac:dyDescent="0.2">
      <c r="B24" s="1" t="s">
        <v>11</v>
      </c>
      <c r="C24" s="2">
        <v>857</v>
      </c>
      <c r="D24" s="2">
        <v>437</v>
      </c>
      <c r="E24" s="2">
        <f t="shared" si="2"/>
        <v>420</v>
      </c>
      <c r="F24" s="3">
        <f t="shared" si="0"/>
        <v>0.50991831971995327</v>
      </c>
      <c r="G24" s="2">
        <v>7</v>
      </c>
      <c r="H24" s="4">
        <f t="shared" si="1"/>
        <v>62.428571428571431</v>
      </c>
      <c r="I24" s="9">
        <v>45883</v>
      </c>
    </row>
    <row r="25" spans="2:9" x14ac:dyDescent="0.2">
      <c r="B25" s="5" t="s">
        <v>12</v>
      </c>
      <c r="C25" s="6">
        <v>204</v>
      </c>
      <c r="D25" s="6">
        <v>200</v>
      </c>
      <c r="E25" s="6">
        <f t="shared" si="2"/>
        <v>4</v>
      </c>
      <c r="F25" s="7">
        <f t="shared" si="0"/>
        <v>0.98039215686274506</v>
      </c>
      <c r="G25" s="6">
        <v>20</v>
      </c>
      <c r="H25" s="8">
        <f t="shared" si="1"/>
        <v>10</v>
      </c>
      <c r="I25" s="10">
        <v>45883</v>
      </c>
    </row>
    <row r="26" spans="2:9" x14ac:dyDescent="0.2">
      <c r="B26" s="1" t="s">
        <v>7</v>
      </c>
      <c r="C26" s="2">
        <v>871</v>
      </c>
      <c r="D26" s="2">
        <v>707</v>
      </c>
      <c r="E26" s="2">
        <f t="shared" si="2"/>
        <v>164</v>
      </c>
      <c r="F26" s="3">
        <f t="shared" si="0"/>
        <v>0.81171067738231917</v>
      </c>
      <c r="G26" s="2">
        <v>4</v>
      </c>
      <c r="H26" s="4">
        <f t="shared" si="1"/>
        <v>176.75</v>
      </c>
      <c r="I26" s="9">
        <v>45884</v>
      </c>
    </row>
    <row r="27" spans="2:9" x14ac:dyDescent="0.2">
      <c r="B27" s="5" t="s">
        <v>8</v>
      </c>
      <c r="C27" s="6">
        <v>367</v>
      </c>
      <c r="D27" s="6">
        <v>156</v>
      </c>
      <c r="E27" s="6">
        <f t="shared" si="2"/>
        <v>211</v>
      </c>
      <c r="F27" s="7">
        <f t="shared" si="0"/>
        <v>0.42506811989100818</v>
      </c>
      <c r="G27" s="6">
        <v>6</v>
      </c>
      <c r="H27" s="8">
        <f t="shared" si="1"/>
        <v>26</v>
      </c>
      <c r="I27" s="10">
        <v>45884</v>
      </c>
    </row>
    <row r="28" spans="2:9" x14ac:dyDescent="0.2">
      <c r="B28" s="1" t="s">
        <v>9</v>
      </c>
      <c r="C28" s="2">
        <v>390</v>
      </c>
      <c r="D28" s="2">
        <v>352</v>
      </c>
      <c r="E28" s="2">
        <f t="shared" si="2"/>
        <v>38</v>
      </c>
      <c r="F28" s="3">
        <f t="shared" si="0"/>
        <v>0.90256410256410258</v>
      </c>
      <c r="G28" s="2">
        <v>6</v>
      </c>
      <c r="H28" s="4">
        <f t="shared" si="1"/>
        <v>58.666666666666664</v>
      </c>
      <c r="I28" s="9">
        <v>45884</v>
      </c>
    </row>
    <row r="29" spans="2:9" x14ac:dyDescent="0.2">
      <c r="B29" s="5" t="s">
        <v>10</v>
      </c>
      <c r="C29" s="6">
        <v>1546</v>
      </c>
      <c r="D29" s="6">
        <v>180</v>
      </c>
      <c r="E29" s="6">
        <f t="shared" si="2"/>
        <v>1366</v>
      </c>
      <c r="F29" s="7">
        <f t="shared" si="0"/>
        <v>0.11642949547218628</v>
      </c>
      <c r="G29" s="6">
        <v>14</v>
      </c>
      <c r="H29" s="8">
        <f t="shared" si="1"/>
        <v>12.857142857142858</v>
      </c>
      <c r="I29" s="10">
        <v>45884</v>
      </c>
    </row>
    <row r="30" spans="2:9" x14ac:dyDescent="0.2">
      <c r="B30" s="1" t="s">
        <v>11</v>
      </c>
      <c r="C30" s="2">
        <v>1459</v>
      </c>
      <c r="D30" s="2">
        <v>969</v>
      </c>
      <c r="E30" s="2">
        <f t="shared" si="2"/>
        <v>490</v>
      </c>
      <c r="F30" s="3">
        <f t="shared" si="0"/>
        <v>0.66415352981494169</v>
      </c>
      <c r="G30" s="2">
        <v>7</v>
      </c>
      <c r="H30" s="4">
        <f t="shared" si="1"/>
        <v>138.42857142857142</v>
      </c>
      <c r="I30" s="9">
        <v>45884</v>
      </c>
    </row>
    <row r="31" spans="2:9" x14ac:dyDescent="0.2">
      <c r="B31" s="5" t="s">
        <v>12</v>
      </c>
      <c r="C31" s="6">
        <v>266</v>
      </c>
      <c r="D31" s="6">
        <v>265</v>
      </c>
      <c r="E31" s="6">
        <f t="shared" si="2"/>
        <v>1</v>
      </c>
      <c r="F31" s="7">
        <f t="shared" si="0"/>
        <v>0.99624060150375937</v>
      </c>
      <c r="G31" s="6">
        <v>18</v>
      </c>
      <c r="H31" s="8">
        <f t="shared" si="1"/>
        <v>14.722222222222221</v>
      </c>
      <c r="I31" s="10">
        <v>45884</v>
      </c>
    </row>
    <row r="32" spans="2:9" x14ac:dyDescent="0.2">
      <c r="B32" s="1" t="s">
        <v>7</v>
      </c>
      <c r="C32" s="2">
        <v>261</v>
      </c>
      <c r="D32" s="2">
        <v>259</v>
      </c>
      <c r="E32" s="2">
        <f t="shared" si="2"/>
        <v>2</v>
      </c>
      <c r="F32" s="3">
        <f t="shared" si="0"/>
        <v>0.9923371647509579</v>
      </c>
      <c r="G32" s="2">
        <v>4</v>
      </c>
      <c r="H32" s="4">
        <f t="shared" si="1"/>
        <v>64.75</v>
      </c>
      <c r="I32" s="9">
        <v>45887</v>
      </c>
    </row>
    <row r="33" spans="2:9" x14ac:dyDescent="0.2">
      <c r="B33" s="5" t="s">
        <v>8</v>
      </c>
      <c r="C33" s="6">
        <v>909</v>
      </c>
      <c r="D33" s="6">
        <v>346</v>
      </c>
      <c r="E33" s="6">
        <f t="shared" si="2"/>
        <v>563</v>
      </c>
      <c r="F33" s="7">
        <f t="shared" si="0"/>
        <v>0.38063806380638066</v>
      </c>
      <c r="G33" s="6">
        <v>8</v>
      </c>
      <c r="H33" s="8">
        <f t="shared" si="1"/>
        <v>43.25</v>
      </c>
      <c r="I33" s="10">
        <v>45887</v>
      </c>
    </row>
    <row r="34" spans="2:9" x14ac:dyDescent="0.2">
      <c r="B34" s="1" t="s">
        <v>9</v>
      </c>
      <c r="C34" s="2">
        <v>44</v>
      </c>
      <c r="D34" s="2">
        <v>43</v>
      </c>
      <c r="E34" s="2">
        <f t="shared" si="2"/>
        <v>1</v>
      </c>
      <c r="F34" s="3">
        <f t="shared" si="0"/>
        <v>0.97727272727272729</v>
      </c>
      <c r="G34" s="2">
        <v>5</v>
      </c>
      <c r="H34" s="4">
        <f t="shared" si="1"/>
        <v>8.6</v>
      </c>
      <c r="I34" s="9">
        <v>45887</v>
      </c>
    </row>
    <row r="35" spans="2:9" x14ac:dyDescent="0.2">
      <c r="B35" s="5" t="s">
        <v>10</v>
      </c>
      <c r="C35" s="6">
        <v>456</v>
      </c>
      <c r="D35" s="6">
        <v>0</v>
      </c>
      <c r="E35" s="6">
        <f t="shared" si="2"/>
        <v>456</v>
      </c>
      <c r="F35" s="7">
        <f t="shared" si="0"/>
        <v>0</v>
      </c>
      <c r="G35" s="6">
        <v>11</v>
      </c>
      <c r="H35" s="8">
        <f t="shared" si="1"/>
        <v>0</v>
      </c>
      <c r="I35" s="10">
        <v>45887</v>
      </c>
    </row>
    <row r="36" spans="2:9" x14ac:dyDescent="0.2">
      <c r="B36" s="1" t="s">
        <v>11</v>
      </c>
      <c r="C36" s="2">
        <v>1031</v>
      </c>
      <c r="D36" s="2">
        <v>798</v>
      </c>
      <c r="E36" s="2">
        <f t="shared" si="2"/>
        <v>233</v>
      </c>
      <c r="F36" s="3">
        <f t="shared" si="0"/>
        <v>0.77400581959262849</v>
      </c>
      <c r="G36" s="2">
        <v>7</v>
      </c>
      <c r="H36" s="4">
        <f t="shared" si="1"/>
        <v>114</v>
      </c>
      <c r="I36" s="9">
        <v>45887</v>
      </c>
    </row>
    <row r="37" spans="2:9" x14ac:dyDescent="0.2">
      <c r="B37" s="5" t="s">
        <v>12</v>
      </c>
      <c r="C37" s="6">
        <v>203</v>
      </c>
      <c r="D37" s="6">
        <v>140</v>
      </c>
      <c r="E37" s="6">
        <f t="shared" si="2"/>
        <v>63</v>
      </c>
      <c r="F37" s="7">
        <f t="shared" si="0"/>
        <v>0.68965517241379315</v>
      </c>
      <c r="G37" s="6">
        <v>19</v>
      </c>
      <c r="H37" s="8">
        <f t="shared" si="1"/>
        <v>7.3684210526315788</v>
      </c>
      <c r="I37" s="10">
        <v>45887</v>
      </c>
    </row>
    <row r="38" spans="2:9" x14ac:dyDescent="0.2">
      <c r="B38" s="1" t="s">
        <v>7</v>
      </c>
      <c r="C38" s="2">
        <v>219</v>
      </c>
      <c r="D38" s="2">
        <v>219</v>
      </c>
      <c r="E38" s="2">
        <f t="shared" si="2"/>
        <v>0</v>
      </c>
      <c r="F38" s="3">
        <f t="shared" si="0"/>
        <v>1</v>
      </c>
      <c r="G38" s="2">
        <v>4</v>
      </c>
      <c r="H38" s="4">
        <f t="shared" si="1"/>
        <v>54.75</v>
      </c>
      <c r="I38" s="9">
        <v>45888</v>
      </c>
    </row>
    <row r="39" spans="2:9" x14ac:dyDescent="0.2">
      <c r="B39" s="5" t="s">
        <v>8</v>
      </c>
      <c r="C39" s="6">
        <v>245</v>
      </c>
      <c r="D39" s="6">
        <v>184</v>
      </c>
      <c r="E39" s="6">
        <f t="shared" si="2"/>
        <v>61</v>
      </c>
      <c r="F39" s="7">
        <f t="shared" si="0"/>
        <v>0.75102040816326532</v>
      </c>
      <c r="G39" s="6">
        <v>9</v>
      </c>
      <c r="H39" s="8">
        <f t="shared" si="1"/>
        <v>20.444444444444443</v>
      </c>
      <c r="I39" s="10">
        <v>45888</v>
      </c>
    </row>
    <row r="40" spans="2:9" x14ac:dyDescent="0.2">
      <c r="B40" s="1" t="s">
        <v>9</v>
      </c>
      <c r="C40" s="2">
        <v>298</v>
      </c>
      <c r="D40" s="2">
        <v>279</v>
      </c>
      <c r="E40" s="2">
        <f t="shared" si="2"/>
        <v>19</v>
      </c>
      <c r="F40" s="3">
        <f t="shared" si="0"/>
        <v>0.93624161073825507</v>
      </c>
      <c r="G40" s="2">
        <v>5</v>
      </c>
      <c r="H40" s="4">
        <f t="shared" si="1"/>
        <v>55.8</v>
      </c>
      <c r="I40" s="9">
        <v>45888</v>
      </c>
    </row>
    <row r="41" spans="2:9" x14ac:dyDescent="0.2">
      <c r="B41" s="5" t="s">
        <v>10</v>
      </c>
      <c r="C41" s="6">
        <v>18</v>
      </c>
      <c r="D41" s="6">
        <v>18</v>
      </c>
      <c r="E41" s="6">
        <f t="shared" si="2"/>
        <v>0</v>
      </c>
      <c r="F41" s="7">
        <f t="shared" si="0"/>
        <v>1</v>
      </c>
      <c r="G41" s="6">
        <v>14</v>
      </c>
      <c r="H41" s="8">
        <f t="shared" si="1"/>
        <v>1.2857142857142858</v>
      </c>
      <c r="I41" s="10">
        <v>45888</v>
      </c>
    </row>
    <row r="42" spans="2:9" x14ac:dyDescent="0.2">
      <c r="B42" s="1" t="s">
        <v>11</v>
      </c>
      <c r="C42" s="2">
        <v>1243</v>
      </c>
      <c r="D42" s="2">
        <v>307</v>
      </c>
      <c r="E42" s="2">
        <f t="shared" si="2"/>
        <v>936</v>
      </c>
      <c r="F42" s="3">
        <f t="shared" si="0"/>
        <v>0.24698310539018503</v>
      </c>
      <c r="G42" s="2">
        <v>7</v>
      </c>
      <c r="H42" s="4">
        <f t="shared" si="1"/>
        <v>43.857142857142854</v>
      </c>
      <c r="I42" s="9">
        <v>45888</v>
      </c>
    </row>
    <row r="43" spans="2:9" x14ac:dyDescent="0.2">
      <c r="B43" s="5" t="s">
        <v>12</v>
      </c>
      <c r="C43" s="6">
        <v>348</v>
      </c>
      <c r="D43" s="6">
        <v>231</v>
      </c>
      <c r="E43" s="6">
        <f t="shared" si="2"/>
        <v>117</v>
      </c>
      <c r="F43" s="7">
        <f t="shared" si="0"/>
        <v>0.66379310344827591</v>
      </c>
      <c r="G43" s="6">
        <v>19</v>
      </c>
      <c r="H43" s="8">
        <f t="shared" si="1"/>
        <v>12.157894736842104</v>
      </c>
      <c r="I43" s="10">
        <v>45888</v>
      </c>
    </row>
    <row r="44" spans="2:9" x14ac:dyDescent="0.2">
      <c r="B44" s="1" t="s">
        <v>7</v>
      </c>
      <c r="C44" s="2">
        <v>609</v>
      </c>
      <c r="D44" s="2">
        <v>609</v>
      </c>
      <c r="E44" s="2">
        <f t="shared" si="2"/>
        <v>0</v>
      </c>
      <c r="F44" s="3">
        <f t="shared" si="0"/>
        <v>1</v>
      </c>
      <c r="G44" s="2">
        <v>4</v>
      </c>
      <c r="H44" s="4">
        <f t="shared" si="1"/>
        <v>152.25</v>
      </c>
      <c r="I44" s="9">
        <v>45889</v>
      </c>
    </row>
    <row r="45" spans="2:9" x14ac:dyDescent="0.2">
      <c r="B45" s="5" t="s">
        <v>8</v>
      </c>
      <c r="C45" s="6">
        <v>217</v>
      </c>
      <c r="D45" s="6">
        <v>140</v>
      </c>
      <c r="E45" s="6">
        <f t="shared" si="2"/>
        <v>77</v>
      </c>
      <c r="F45" s="7">
        <f t="shared" si="0"/>
        <v>0.64516129032258063</v>
      </c>
      <c r="G45" s="6">
        <v>9</v>
      </c>
      <c r="H45" s="8">
        <f t="shared" si="1"/>
        <v>15.555555555555555</v>
      </c>
      <c r="I45" s="10">
        <v>45889</v>
      </c>
    </row>
    <row r="46" spans="2:9" x14ac:dyDescent="0.2">
      <c r="B46" s="1" t="s">
        <v>9</v>
      </c>
      <c r="C46" s="2">
        <v>92</v>
      </c>
      <c r="D46" s="2">
        <v>81</v>
      </c>
      <c r="E46" s="2">
        <f t="shared" si="2"/>
        <v>11</v>
      </c>
      <c r="F46" s="3">
        <f t="shared" si="0"/>
        <v>0.88043478260869568</v>
      </c>
      <c r="G46" s="2">
        <v>5</v>
      </c>
      <c r="H46" s="4">
        <f t="shared" si="1"/>
        <v>16.2</v>
      </c>
      <c r="I46" s="9">
        <v>45889</v>
      </c>
    </row>
    <row r="47" spans="2:9" x14ac:dyDescent="0.2">
      <c r="B47" s="5" t="s">
        <v>10</v>
      </c>
      <c r="C47" s="6">
        <v>588</v>
      </c>
      <c r="D47" s="6">
        <v>585</v>
      </c>
      <c r="E47" s="6">
        <f t="shared" si="2"/>
        <v>3</v>
      </c>
      <c r="F47" s="7">
        <f t="shared" si="0"/>
        <v>0.99489795918367352</v>
      </c>
      <c r="G47" s="6">
        <v>14</v>
      </c>
      <c r="H47" s="8">
        <f t="shared" si="1"/>
        <v>41.785714285714285</v>
      </c>
      <c r="I47" s="10">
        <v>45889</v>
      </c>
    </row>
    <row r="48" spans="2:9" x14ac:dyDescent="0.2">
      <c r="B48" s="1" t="s">
        <v>11</v>
      </c>
      <c r="C48" s="2">
        <v>622</v>
      </c>
      <c r="D48" s="2">
        <v>242</v>
      </c>
      <c r="E48" s="2">
        <f t="shared" si="2"/>
        <v>380</v>
      </c>
      <c r="F48" s="3">
        <f t="shared" si="0"/>
        <v>0.38906752411575563</v>
      </c>
      <c r="G48" s="2">
        <v>7</v>
      </c>
      <c r="H48" s="4">
        <f t="shared" si="1"/>
        <v>34.571428571428569</v>
      </c>
      <c r="I48" s="9">
        <v>45889</v>
      </c>
    </row>
    <row r="49" spans="2:9" x14ac:dyDescent="0.2">
      <c r="B49" s="5" t="s">
        <v>12</v>
      </c>
      <c r="C49" s="6"/>
      <c r="D49" s="6"/>
      <c r="E49" s="6"/>
      <c r="F49" s="6"/>
      <c r="G49" s="6"/>
      <c r="H49" s="6"/>
      <c r="I49" s="10">
        <v>45889</v>
      </c>
    </row>
    <row r="50" spans="2:9" x14ac:dyDescent="0.2">
      <c r="B50" s="1" t="s">
        <v>7</v>
      </c>
      <c r="C50" s="2">
        <v>629</v>
      </c>
      <c r="D50" s="2">
        <v>585</v>
      </c>
      <c r="E50" s="2">
        <f t="shared" si="2"/>
        <v>44</v>
      </c>
      <c r="F50" s="3">
        <f t="shared" si="0"/>
        <v>0.93004769475357707</v>
      </c>
      <c r="G50" s="2">
        <v>4</v>
      </c>
      <c r="H50" s="4">
        <f t="shared" si="1"/>
        <v>146.25</v>
      </c>
      <c r="I50" s="9">
        <v>45890</v>
      </c>
    </row>
    <row r="51" spans="2:9" x14ac:dyDescent="0.2">
      <c r="B51" s="5" t="s">
        <v>8</v>
      </c>
      <c r="C51" s="6">
        <v>584</v>
      </c>
      <c r="D51" s="6">
        <v>465</v>
      </c>
      <c r="E51" s="6">
        <f t="shared" si="2"/>
        <v>119</v>
      </c>
      <c r="F51" s="7">
        <f t="shared" si="0"/>
        <v>0.79623287671232879</v>
      </c>
      <c r="G51" s="6">
        <v>7</v>
      </c>
      <c r="H51" s="8">
        <f t="shared" si="1"/>
        <v>66.428571428571431</v>
      </c>
      <c r="I51" s="10">
        <v>45890</v>
      </c>
    </row>
    <row r="52" spans="2:9" x14ac:dyDescent="0.2">
      <c r="B52" s="1" t="s">
        <v>9</v>
      </c>
      <c r="C52" s="2">
        <v>12</v>
      </c>
      <c r="D52" s="2">
        <v>4</v>
      </c>
      <c r="E52" s="2">
        <f t="shared" si="2"/>
        <v>8</v>
      </c>
      <c r="F52" s="3">
        <f t="shared" si="0"/>
        <v>0.33333333333333331</v>
      </c>
      <c r="G52" s="2">
        <v>7</v>
      </c>
      <c r="H52" s="4">
        <f t="shared" si="1"/>
        <v>0.5714285714285714</v>
      </c>
      <c r="I52" s="9">
        <v>45890</v>
      </c>
    </row>
    <row r="53" spans="2:9" x14ac:dyDescent="0.2">
      <c r="B53" s="5" t="s">
        <v>10</v>
      </c>
      <c r="C53" s="6">
        <v>280</v>
      </c>
      <c r="D53" s="6">
        <v>280</v>
      </c>
      <c r="E53" s="6">
        <f t="shared" si="2"/>
        <v>0</v>
      </c>
      <c r="F53" s="7">
        <f t="shared" si="0"/>
        <v>1</v>
      </c>
      <c r="G53" s="6">
        <v>14</v>
      </c>
      <c r="H53" s="8">
        <f t="shared" si="1"/>
        <v>20</v>
      </c>
      <c r="I53" s="10">
        <v>45890</v>
      </c>
    </row>
    <row r="54" spans="2:9" x14ac:dyDescent="0.2">
      <c r="B54" s="1" t="s">
        <v>11</v>
      </c>
      <c r="C54" s="2">
        <v>402</v>
      </c>
      <c r="D54" s="2">
        <v>163</v>
      </c>
      <c r="E54" s="2">
        <f t="shared" si="2"/>
        <v>239</v>
      </c>
      <c r="F54" s="3">
        <f t="shared" si="0"/>
        <v>0.40547263681592038</v>
      </c>
      <c r="G54" s="2">
        <v>7</v>
      </c>
      <c r="H54" s="4">
        <f t="shared" si="1"/>
        <v>23.285714285714285</v>
      </c>
      <c r="I54" s="9">
        <v>45890</v>
      </c>
    </row>
    <row r="55" spans="2:9" x14ac:dyDescent="0.2">
      <c r="B55" s="5" t="s">
        <v>12</v>
      </c>
      <c r="C55" s="6"/>
      <c r="D55" s="6"/>
      <c r="E55" s="6"/>
      <c r="F55" s="6"/>
      <c r="G55" s="6"/>
      <c r="H55" s="6"/>
      <c r="I55" s="10">
        <v>45890</v>
      </c>
    </row>
    <row r="56" spans="2:9" x14ac:dyDescent="0.2">
      <c r="B56" s="1" t="s">
        <v>7</v>
      </c>
      <c r="C56" s="2">
        <v>418</v>
      </c>
      <c r="D56" s="2">
        <v>406</v>
      </c>
      <c r="E56" s="2">
        <f t="shared" si="2"/>
        <v>12</v>
      </c>
      <c r="F56" s="3">
        <f t="shared" si="0"/>
        <v>0.9712918660287081</v>
      </c>
      <c r="G56" s="2">
        <v>4</v>
      </c>
      <c r="H56" s="4">
        <f t="shared" si="1"/>
        <v>101.5</v>
      </c>
      <c r="I56" s="9">
        <v>45891</v>
      </c>
    </row>
    <row r="57" spans="2:9" x14ac:dyDescent="0.2">
      <c r="B57" s="5" t="s">
        <v>8</v>
      </c>
      <c r="C57" s="6">
        <v>695</v>
      </c>
      <c r="D57" s="6">
        <v>394</v>
      </c>
      <c r="E57" s="6">
        <f t="shared" si="2"/>
        <v>301</v>
      </c>
      <c r="F57" s="7">
        <f t="shared" si="0"/>
        <v>0.56690647482014389</v>
      </c>
      <c r="G57" s="6">
        <v>6</v>
      </c>
      <c r="H57" s="8">
        <f t="shared" si="1"/>
        <v>65.666666666666671</v>
      </c>
      <c r="I57" s="10">
        <v>45891</v>
      </c>
    </row>
    <row r="58" spans="2:9" x14ac:dyDescent="0.2">
      <c r="B58" s="1" t="s">
        <v>9</v>
      </c>
      <c r="C58" s="2">
        <v>157</v>
      </c>
      <c r="D58" s="2">
        <v>134</v>
      </c>
      <c r="E58" s="2">
        <f t="shared" si="2"/>
        <v>23</v>
      </c>
      <c r="F58" s="3">
        <f t="shared" si="0"/>
        <v>0.85350318471337583</v>
      </c>
      <c r="G58" s="2">
        <v>8</v>
      </c>
      <c r="H58" s="4">
        <f t="shared" si="1"/>
        <v>16.75</v>
      </c>
      <c r="I58" s="9">
        <v>45891</v>
      </c>
    </row>
    <row r="59" spans="2:9" x14ac:dyDescent="0.2">
      <c r="B59" s="5" t="s">
        <v>10</v>
      </c>
      <c r="C59" s="6">
        <v>297</v>
      </c>
      <c r="D59" s="6">
        <v>5</v>
      </c>
      <c r="E59" s="6">
        <f t="shared" si="2"/>
        <v>292</v>
      </c>
      <c r="F59" s="7">
        <f t="shared" si="0"/>
        <v>1.6835016835016835E-2</v>
      </c>
      <c r="G59" s="6">
        <v>13</v>
      </c>
      <c r="H59" s="8">
        <f t="shared" si="1"/>
        <v>0.38461538461538464</v>
      </c>
      <c r="I59" s="10">
        <v>45891</v>
      </c>
    </row>
    <row r="60" spans="2:9" x14ac:dyDescent="0.2">
      <c r="B60" s="1" t="s">
        <v>11</v>
      </c>
      <c r="C60" s="2">
        <v>646</v>
      </c>
      <c r="D60" s="2">
        <v>374</v>
      </c>
      <c r="E60" s="2">
        <f t="shared" si="2"/>
        <v>272</v>
      </c>
      <c r="F60" s="3">
        <f t="shared" si="0"/>
        <v>0.57894736842105265</v>
      </c>
      <c r="G60" s="2">
        <v>7</v>
      </c>
      <c r="H60" s="4">
        <f t="shared" si="1"/>
        <v>53.428571428571431</v>
      </c>
      <c r="I60" s="9">
        <v>45891</v>
      </c>
    </row>
    <row r="61" spans="2:9" x14ac:dyDescent="0.2">
      <c r="B61" s="5" t="s">
        <v>12</v>
      </c>
      <c r="C61" s="6"/>
      <c r="D61" s="6"/>
      <c r="E61" s="6"/>
      <c r="F61" s="6"/>
      <c r="G61" s="6"/>
      <c r="H61" s="6"/>
      <c r="I61" s="10">
        <v>45891</v>
      </c>
    </row>
    <row r="62" spans="2:9" x14ac:dyDescent="0.2">
      <c r="B62" s="1" t="s">
        <v>7</v>
      </c>
      <c r="C62" s="2"/>
      <c r="D62" s="2"/>
      <c r="E62" s="2"/>
      <c r="F62" s="2"/>
      <c r="G62" s="2"/>
      <c r="H62" s="2"/>
      <c r="I62" s="9">
        <v>45894</v>
      </c>
    </row>
    <row r="63" spans="2:9" x14ac:dyDescent="0.2">
      <c r="B63" s="5" t="s">
        <v>8</v>
      </c>
      <c r="C63" s="6">
        <v>60</v>
      </c>
      <c r="D63" s="6">
        <v>60</v>
      </c>
      <c r="E63" s="6">
        <f t="shared" ref="E63:E66" si="3">C63-D63</f>
        <v>0</v>
      </c>
      <c r="F63" s="7">
        <f t="shared" ref="F63:F66" si="4">D63/C63</f>
        <v>1</v>
      </c>
      <c r="G63" s="6">
        <v>6</v>
      </c>
      <c r="H63" s="8">
        <f t="shared" ref="H63:H66" si="5">D63/G63</f>
        <v>10</v>
      </c>
      <c r="I63" s="10">
        <v>45894</v>
      </c>
    </row>
    <row r="64" spans="2:9" x14ac:dyDescent="0.2">
      <c r="B64" s="1" t="s">
        <v>9</v>
      </c>
      <c r="C64" s="2"/>
      <c r="D64" s="2"/>
      <c r="E64" s="2"/>
      <c r="F64" s="2"/>
      <c r="G64" s="2"/>
      <c r="H64" s="2"/>
      <c r="I64" s="9">
        <v>45894</v>
      </c>
    </row>
    <row r="65" spans="2:9" x14ac:dyDescent="0.2">
      <c r="B65" s="5" t="s">
        <v>10</v>
      </c>
      <c r="C65" s="6">
        <v>192</v>
      </c>
      <c r="D65" s="6">
        <v>192</v>
      </c>
      <c r="E65" s="6">
        <f t="shared" si="3"/>
        <v>0</v>
      </c>
      <c r="F65" s="7">
        <f t="shared" si="4"/>
        <v>1</v>
      </c>
      <c r="G65" s="6">
        <v>12</v>
      </c>
      <c r="H65" s="8">
        <f t="shared" si="5"/>
        <v>16</v>
      </c>
      <c r="I65" s="10">
        <v>45894</v>
      </c>
    </row>
    <row r="66" spans="2:9" x14ac:dyDescent="0.2">
      <c r="B66" s="1" t="s">
        <v>11</v>
      </c>
      <c r="C66" s="2">
        <v>11</v>
      </c>
      <c r="D66" s="2">
        <v>11</v>
      </c>
      <c r="E66" s="2">
        <f t="shared" si="3"/>
        <v>0</v>
      </c>
      <c r="F66" s="3">
        <f t="shared" si="4"/>
        <v>1</v>
      </c>
      <c r="G66" s="2">
        <v>9</v>
      </c>
      <c r="H66" s="4">
        <f t="shared" si="5"/>
        <v>1.2222222222222223</v>
      </c>
      <c r="I66" s="9">
        <v>45894</v>
      </c>
    </row>
    <row r="67" spans="2:9" x14ac:dyDescent="0.2">
      <c r="B67" s="5" t="s">
        <v>12</v>
      </c>
      <c r="C67" s="6"/>
      <c r="D67" s="6"/>
      <c r="E67" s="6"/>
      <c r="F67" s="6"/>
      <c r="G67" s="6"/>
      <c r="H67" s="6"/>
      <c r="I67" s="10">
        <v>45895</v>
      </c>
    </row>
    <row r="68" spans="2:9" x14ac:dyDescent="0.2">
      <c r="B68" s="1" t="s">
        <v>7</v>
      </c>
      <c r="C68" s="2"/>
      <c r="D68" s="2"/>
      <c r="E68" s="2"/>
      <c r="F68" s="2"/>
      <c r="G68" s="2"/>
      <c r="H68" s="2"/>
      <c r="I68" s="9">
        <v>45895</v>
      </c>
    </row>
    <row r="69" spans="2:9" x14ac:dyDescent="0.2">
      <c r="B69" s="5" t="s">
        <v>8</v>
      </c>
      <c r="C69" s="6"/>
      <c r="D69" s="6"/>
      <c r="E69" s="6"/>
      <c r="F69" s="6"/>
      <c r="G69" s="6"/>
      <c r="H69" s="6"/>
      <c r="I69" s="10">
        <v>45895</v>
      </c>
    </row>
    <row r="70" spans="2:9" x14ac:dyDescent="0.2">
      <c r="B70" s="1" t="s">
        <v>9</v>
      </c>
      <c r="C70" s="2">
        <v>24</v>
      </c>
      <c r="D70" s="2">
        <v>24</v>
      </c>
      <c r="E70" s="2">
        <f t="shared" ref="E70" si="6">C70-D70</f>
        <v>0</v>
      </c>
      <c r="F70" s="3">
        <f t="shared" ref="F70" si="7">D70/C70</f>
        <v>1</v>
      </c>
      <c r="G70" s="2">
        <v>8</v>
      </c>
      <c r="H70" s="4">
        <f t="shared" ref="H70" si="8">D70/G70</f>
        <v>3</v>
      </c>
      <c r="I70" s="9">
        <v>45895</v>
      </c>
    </row>
    <row r="71" spans="2:9" x14ac:dyDescent="0.2">
      <c r="B71" s="5" t="s">
        <v>10</v>
      </c>
      <c r="C71" s="6"/>
      <c r="D71" s="6"/>
      <c r="E71" s="6"/>
      <c r="F71" s="6"/>
      <c r="G71" s="6"/>
      <c r="H71" s="6"/>
      <c r="I71" s="10">
        <v>45895</v>
      </c>
    </row>
    <row r="72" spans="2:9" x14ac:dyDescent="0.2">
      <c r="B72" s="1" t="s">
        <v>11</v>
      </c>
      <c r="C72" s="2"/>
      <c r="D72" s="2"/>
      <c r="E72" s="2"/>
      <c r="F72" s="2"/>
      <c r="G72" s="2"/>
      <c r="H72" s="2"/>
      <c r="I72" s="9">
        <v>45895</v>
      </c>
    </row>
    <row r="73" spans="2:9" x14ac:dyDescent="0.2">
      <c r="B73" s="5" t="s">
        <v>12</v>
      </c>
      <c r="C73" s="6"/>
      <c r="D73" s="6"/>
      <c r="E73" s="6"/>
      <c r="F73" s="6"/>
      <c r="G73" s="6"/>
      <c r="H73" s="6"/>
      <c r="I73" s="10">
        <v>45895</v>
      </c>
    </row>
    <row r="74" spans="2:9" x14ac:dyDescent="0.2">
      <c r="B74" s="1" t="s">
        <v>7</v>
      </c>
      <c r="C74" s="2">
        <v>175</v>
      </c>
      <c r="D74" s="2">
        <v>171</v>
      </c>
      <c r="E74" s="2">
        <f t="shared" ref="E74:E91" si="9">C74-D74</f>
        <v>4</v>
      </c>
      <c r="F74" s="3">
        <f t="shared" ref="F74:F78" si="10">D74/C74</f>
        <v>0.97714285714285709</v>
      </c>
      <c r="G74" s="2">
        <v>2</v>
      </c>
      <c r="H74" s="4">
        <f t="shared" ref="H74:H78" si="11">D74/G74</f>
        <v>85.5</v>
      </c>
      <c r="I74" s="10">
        <v>45896</v>
      </c>
    </row>
    <row r="75" spans="2:9" x14ac:dyDescent="0.2">
      <c r="B75" s="5" t="s">
        <v>8</v>
      </c>
      <c r="C75" s="6">
        <v>436</v>
      </c>
      <c r="D75" s="6">
        <v>397</v>
      </c>
      <c r="E75" s="2">
        <f t="shared" si="9"/>
        <v>39</v>
      </c>
      <c r="F75" s="3">
        <f t="shared" si="10"/>
        <v>0.91055045871559637</v>
      </c>
      <c r="G75" s="2">
        <v>6</v>
      </c>
      <c r="H75" s="4">
        <f t="shared" si="11"/>
        <v>66.166666666666671</v>
      </c>
      <c r="I75" s="10">
        <v>45896</v>
      </c>
    </row>
    <row r="76" spans="2:9" x14ac:dyDescent="0.2">
      <c r="B76" s="1" t="s">
        <v>9</v>
      </c>
      <c r="C76" s="2">
        <v>166</v>
      </c>
      <c r="D76" s="2">
        <v>139</v>
      </c>
      <c r="E76" s="2">
        <f t="shared" si="9"/>
        <v>27</v>
      </c>
      <c r="F76" s="3">
        <f t="shared" si="10"/>
        <v>0.83734939759036142</v>
      </c>
      <c r="G76" s="2">
        <v>8</v>
      </c>
      <c r="H76" s="4">
        <f t="shared" si="11"/>
        <v>17.375</v>
      </c>
      <c r="I76" s="10">
        <v>45896</v>
      </c>
    </row>
    <row r="77" spans="2:9" x14ac:dyDescent="0.2">
      <c r="B77" s="5" t="s">
        <v>10</v>
      </c>
      <c r="C77" s="6">
        <v>332</v>
      </c>
      <c r="D77" s="6">
        <v>171</v>
      </c>
      <c r="E77" s="2">
        <f t="shared" si="9"/>
        <v>161</v>
      </c>
      <c r="F77" s="3">
        <f t="shared" si="10"/>
        <v>0.51506024096385539</v>
      </c>
      <c r="G77" s="6">
        <v>12</v>
      </c>
      <c r="H77" s="4">
        <f t="shared" si="11"/>
        <v>14.25</v>
      </c>
      <c r="I77" s="10">
        <v>45896</v>
      </c>
    </row>
    <row r="78" spans="2:9" x14ac:dyDescent="0.2">
      <c r="B78" s="1" t="s">
        <v>11</v>
      </c>
      <c r="C78" s="2">
        <v>511</v>
      </c>
      <c r="D78" s="2">
        <v>430</v>
      </c>
      <c r="E78" s="2">
        <f t="shared" si="9"/>
        <v>81</v>
      </c>
      <c r="F78" s="3">
        <f t="shared" si="10"/>
        <v>0.84148727984344418</v>
      </c>
      <c r="G78" s="6">
        <v>8</v>
      </c>
      <c r="H78" s="2">
        <f t="shared" si="11"/>
        <v>53.75</v>
      </c>
      <c r="I78" s="10">
        <v>45896</v>
      </c>
    </row>
    <row r="79" spans="2:9" x14ac:dyDescent="0.2">
      <c r="B79" s="5" t="s">
        <v>12</v>
      </c>
      <c r="C79" s="2"/>
      <c r="D79" s="6"/>
      <c r="E79" s="2"/>
      <c r="F79" s="3"/>
      <c r="G79" s="6"/>
      <c r="H79" s="2"/>
      <c r="I79" s="10">
        <v>45896</v>
      </c>
    </row>
    <row r="80" spans="2:9" x14ac:dyDescent="0.2">
      <c r="B80" s="1" t="s">
        <v>7</v>
      </c>
      <c r="C80" s="2">
        <v>375</v>
      </c>
      <c r="D80" s="2">
        <v>366</v>
      </c>
      <c r="E80" s="2">
        <f t="shared" si="9"/>
        <v>9</v>
      </c>
      <c r="F80" s="3">
        <f t="shared" ref="F80:F91" si="12">D80/C80</f>
        <v>0.97599999999999998</v>
      </c>
      <c r="G80" s="2">
        <v>2</v>
      </c>
      <c r="H80" s="2">
        <f t="shared" ref="H80:H91" si="13">D80/G80</f>
        <v>183</v>
      </c>
      <c r="I80" s="10">
        <v>45897</v>
      </c>
    </row>
    <row r="81" spans="2:9" x14ac:dyDescent="0.2">
      <c r="B81" s="5" t="s">
        <v>8</v>
      </c>
      <c r="C81" s="6">
        <v>144</v>
      </c>
      <c r="D81" s="6">
        <v>104</v>
      </c>
      <c r="E81" s="2">
        <f t="shared" si="9"/>
        <v>40</v>
      </c>
      <c r="F81" s="3">
        <f t="shared" si="12"/>
        <v>0.72222222222222221</v>
      </c>
      <c r="G81" s="2">
        <v>7</v>
      </c>
      <c r="H81" s="4">
        <f t="shared" si="13"/>
        <v>14.857142857142858</v>
      </c>
      <c r="I81" s="10">
        <v>45897</v>
      </c>
    </row>
    <row r="82" spans="2:9" x14ac:dyDescent="0.2">
      <c r="B82" s="1" t="s">
        <v>9</v>
      </c>
      <c r="C82" s="2">
        <v>80</v>
      </c>
      <c r="D82" s="2">
        <v>60</v>
      </c>
      <c r="E82" s="2">
        <f t="shared" si="9"/>
        <v>20</v>
      </c>
      <c r="F82" s="3">
        <f t="shared" si="12"/>
        <v>0.75</v>
      </c>
      <c r="G82" s="2">
        <v>8</v>
      </c>
      <c r="H82" s="4">
        <f t="shared" si="13"/>
        <v>7.5</v>
      </c>
      <c r="I82" s="10">
        <v>45897</v>
      </c>
    </row>
    <row r="83" spans="2:9" x14ac:dyDescent="0.2">
      <c r="B83" s="5" t="s">
        <v>10</v>
      </c>
      <c r="C83" s="6">
        <v>296</v>
      </c>
      <c r="D83" s="6">
        <v>35</v>
      </c>
      <c r="E83" s="2">
        <f t="shared" si="9"/>
        <v>261</v>
      </c>
      <c r="F83" s="3">
        <f t="shared" si="12"/>
        <v>0.11824324324324324</v>
      </c>
      <c r="G83" s="6">
        <v>12</v>
      </c>
      <c r="H83" s="4">
        <f t="shared" si="13"/>
        <v>2.9166666666666665</v>
      </c>
      <c r="I83" s="10">
        <v>45897</v>
      </c>
    </row>
    <row r="84" spans="2:9" x14ac:dyDescent="0.2">
      <c r="B84" s="1" t="s">
        <v>11</v>
      </c>
      <c r="C84" s="2">
        <v>407</v>
      </c>
      <c r="D84" s="2">
        <v>307</v>
      </c>
      <c r="E84" s="2">
        <f t="shared" si="9"/>
        <v>100</v>
      </c>
      <c r="F84" s="3">
        <f t="shared" si="12"/>
        <v>0.75429975429975427</v>
      </c>
      <c r="G84" s="6">
        <v>7</v>
      </c>
      <c r="H84" s="4">
        <f t="shared" si="13"/>
        <v>43.857142857142854</v>
      </c>
      <c r="I84" s="10">
        <v>45897</v>
      </c>
    </row>
    <row r="85" spans="2:9" x14ac:dyDescent="0.2">
      <c r="B85" s="5" t="s">
        <v>12</v>
      </c>
      <c r="C85" s="2">
        <v>94</v>
      </c>
      <c r="D85" s="6">
        <v>67</v>
      </c>
      <c r="E85" s="2">
        <f t="shared" si="9"/>
        <v>27</v>
      </c>
      <c r="F85" s="3">
        <f t="shared" si="12"/>
        <v>0.71276595744680848</v>
      </c>
      <c r="G85" s="6">
        <v>19</v>
      </c>
      <c r="H85" s="4">
        <f t="shared" si="13"/>
        <v>3.5263157894736841</v>
      </c>
      <c r="I85" s="10">
        <v>45897</v>
      </c>
    </row>
    <row r="86" spans="2:9" x14ac:dyDescent="0.2">
      <c r="B86" s="1" t="s">
        <v>7</v>
      </c>
      <c r="C86" s="2">
        <v>246</v>
      </c>
      <c r="D86" s="2">
        <v>240</v>
      </c>
      <c r="E86" s="2">
        <f t="shared" si="9"/>
        <v>6</v>
      </c>
      <c r="F86" s="3">
        <f t="shared" si="12"/>
        <v>0.97560975609756095</v>
      </c>
      <c r="G86" s="2">
        <v>2</v>
      </c>
      <c r="H86" s="4">
        <f t="shared" si="13"/>
        <v>120</v>
      </c>
      <c r="I86" s="10">
        <v>45898</v>
      </c>
    </row>
    <row r="87" spans="2:9" x14ac:dyDescent="0.2">
      <c r="B87" s="5" t="s">
        <v>8</v>
      </c>
      <c r="C87" s="6">
        <v>404</v>
      </c>
      <c r="D87" s="6">
        <v>303</v>
      </c>
      <c r="E87" s="2">
        <f t="shared" si="9"/>
        <v>101</v>
      </c>
      <c r="F87" s="3">
        <f t="shared" si="12"/>
        <v>0.75</v>
      </c>
      <c r="G87" s="2">
        <v>7</v>
      </c>
      <c r="H87" s="4">
        <f t="shared" si="13"/>
        <v>43.285714285714285</v>
      </c>
      <c r="I87" s="10">
        <v>45898</v>
      </c>
    </row>
    <row r="88" spans="2:9" x14ac:dyDescent="0.2">
      <c r="B88" s="1" t="s">
        <v>9</v>
      </c>
      <c r="C88" s="2">
        <v>16</v>
      </c>
      <c r="D88" s="2">
        <v>16</v>
      </c>
      <c r="E88" s="2">
        <f t="shared" si="9"/>
        <v>0</v>
      </c>
      <c r="F88" s="3">
        <f t="shared" si="12"/>
        <v>1</v>
      </c>
      <c r="G88" s="2">
        <v>5</v>
      </c>
      <c r="H88" s="4">
        <f t="shared" si="13"/>
        <v>3.2</v>
      </c>
      <c r="I88" s="10">
        <v>45898</v>
      </c>
    </row>
    <row r="89" spans="2:9" x14ac:dyDescent="0.2">
      <c r="B89" s="5" t="s">
        <v>10</v>
      </c>
      <c r="C89" s="6">
        <v>347</v>
      </c>
      <c r="D89" s="6">
        <v>85</v>
      </c>
      <c r="E89" s="2">
        <f t="shared" si="9"/>
        <v>262</v>
      </c>
      <c r="F89" s="3">
        <f t="shared" si="12"/>
        <v>0.24495677233429394</v>
      </c>
      <c r="G89" s="6">
        <v>7</v>
      </c>
      <c r="H89" s="4">
        <f t="shared" si="13"/>
        <v>12.142857142857142</v>
      </c>
      <c r="I89" s="10">
        <v>45898</v>
      </c>
    </row>
    <row r="90" spans="2:9" x14ac:dyDescent="0.2">
      <c r="B90" s="1" t="s">
        <v>11</v>
      </c>
      <c r="C90" s="2">
        <v>416</v>
      </c>
      <c r="D90" s="2">
        <v>284</v>
      </c>
      <c r="E90" s="2">
        <f t="shared" si="9"/>
        <v>132</v>
      </c>
      <c r="F90" s="3">
        <f t="shared" si="12"/>
        <v>0.68269230769230771</v>
      </c>
      <c r="G90" s="6">
        <v>7</v>
      </c>
      <c r="H90" s="4">
        <f t="shared" si="13"/>
        <v>40.571428571428569</v>
      </c>
      <c r="I90" s="10">
        <v>45898</v>
      </c>
    </row>
    <row r="91" spans="2:9" x14ac:dyDescent="0.2">
      <c r="B91" s="5" t="s">
        <v>12</v>
      </c>
      <c r="C91" s="2">
        <v>134</v>
      </c>
      <c r="D91" s="6">
        <v>128</v>
      </c>
      <c r="E91" s="2">
        <f t="shared" si="9"/>
        <v>6</v>
      </c>
      <c r="F91" s="3">
        <f t="shared" si="12"/>
        <v>0.95522388059701491</v>
      </c>
      <c r="G91" s="6">
        <v>20</v>
      </c>
      <c r="H91" s="4">
        <f t="shared" si="13"/>
        <v>6.4</v>
      </c>
      <c r="I91" s="10">
        <v>45898</v>
      </c>
    </row>
    <row r="92" spans="2:9" x14ac:dyDescent="0.2">
      <c r="B92" s="1" t="s">
        <v>7</v>
      </c>
      <c r="C92" s="2">
        <v>152</v>
      </c>
      <c r="D92" s="2">
        <v>143</v>
      </c>
      <c r="E92" s="2">
        <f t="shared" ref="E92:E97" si="14">C92-D92</f>
        <v>9</v>
      </c>
      <c r="F92" s="3">
        <f t="shared" ref="F92:F97" si="15">D92/C92</f>
        <v>0.94078947368421051</v>
      </c>
      <c r="G92" s="2">
        <v>2</v>
      </c>
      <c r="H92" s="4">
        <f t="shared" ref="H92:H97" si="16">D92/G92</f>
        <v>71.5</v>
      </c>
      <c r="I92" s="10">
        <v>45901</v>
      </c>
    </row>
    <row r="93" spans="2:9" x14ac:dyDescent="0.2">
      <c r="B93" s="5" t="s">
        <v>8</v>
      </c>
      <c r="C93" s="6">
        <v>276</v>
      </c>
      <c r="D93" s="6">
        <v>233</v>
      </c>
      <c r="E93" s="2">
        <f t="shared" si="14"/>
        <v>43</v>
      </c>
      <c r="F93" s="3">
        <f t="shared" si="15"/>
        <v>0.84420289855072461</v>
      </c>
      <c r="G93" s="2">
        <v>7</v>
      </c>
      <c r="H93" s="4">
        <f t="shared" si="16"/>
        <v>33.285714285714285</v>
      </c>
      <c r="I93" s="10">
        <v>45901</v>
      </c>
    </row>
    <row r="94" spans="2:9" x14ac:dyDescent="0.2">
      <c r="B94" s="1" t="s">
        <v>9</v>
      </c>
      <c r="C94" s="2">
        <v>71</v>
      </c>
      <c r="D94" s="2">
        <v>67</v>
      </c>
      <c r="E94" s="2">
        <f t="shared" si="14"/>
        <v>4</v>
      </c>
      <c r="F94" s="3">
        <f t="shared" si="15"/>
        <v>0.94366197183098588</v>
      </c>
      <c r="G94" s="2">
        <v>8</v>
      </c>
      <c r="H94" s="4">
        <f t="shared" si="16"/>
        <v>8.375</v>
      </c>
      <c r="I94" s="10">
        <v>45901</v>
      </c>
    </row>
    <row r="95" spans="2:9" x14ac:dyDescent="0.2">
      <c r="B95" s="5" t="s">
        <v>10</v>
      </c>
      <c r="C95" s="6">
        <v>307</v>
      </c>
      <c r="D95" s="6">
        <v>2</v>
      </c>
      <c r="E95" s="2">
        <f t="shared" si="14"/>
        <v>305</v>
      </c>
      <c r="F95" s="3">
        <f t="shared" si="15"/>
        <v>6.5146579804560263E-3</v>
      </c>
      <c r="G95" s="6">
        <v>13</v>
      </c>
      <c r="H95" s="4">
        <f t="shared" si="16"/>
        <v>0.15384615384615385</v>
      </c>
      <c r="I95" s="10">
        <v>45901</v>
      </c>
    </row>
    <row r="96" spans="2:9" x14ac:dyDescent="0.2">
      <c r="B96" s="1" t="s">
        <v>11</v>
      </c>
      <c r="C96" s="2">
        <v>264</v>
      </c>
      <c r="D96" s="2">
        <v>155</v>
      </c>
      <c r="E96" s="2">
        <f t="shared" si="14"/>
        <v>109</v>
      </c>
      <c r="F96" s="3">
        <f t="shared" si="15"/>
        <v>0.58712121212121215</v>
      </c>
      <c r="G96" s="6">
        <v>7</v>
      </c>
      <c r="H96" s="4">
        <f t="shared" si="16"/>
        <v>22.142857142857142</v>
      </c>
      <c r="I96" s="10">
        <v>45901</v>
      </c>
    </row>
    <row r="97" spans="2:9" x14ac:dyDescent="0.2">
      <c r="B97" s="5" t="s">
        <v>12</v>
      </c>
      <c r="C97" s="2">
        <v>210</v>
      </c>
      <c r="D97" s="6">
        <v>196</v>
      </c>
      <c r="E97" s="2">
        <f t="shared" si="14"/>
        <v>14</v>
      </c>
      <c r="F97" s="3">
        <f t="shared" si="15"/>
        <v>0.93333333333333335</v>
      </c>
      <c r="G97" s="6">
        <v>20</v>
      </c>
      <c r="H97" s="4">
        <f t="shared" si="16"/>
        <v>9.8000000000000007</v>
      </c>
      <c r="I97" s="10">
        <v>45901</v>
      </c>
    </row>
    <row r="98" spans="2:9" x14ac:dyDescent="0.2">
      <c r="B98" s="1" t="s">
        <v>7</v>
      </c>
      <c r="C98" s="2">
        <v>190</v>
      </c>
      <c r="D98" s="2">
        <v>171</v>
      </c>
      <c r="E98" s="2">
        <f t="shared" ref="E98:E103" si="17">C98-D98</f>
        <v>19</v>
      </c>
      <c r="F98" s="3">
        <f t="shared" ref="F98:F103" si="18">D98/C98</f>
        <v>0.9</v>
      </c>
      <c r="G98" s="2">
        <v>2</v>
      </c>
      <c r="H98" s="4">
        <f t="shared" ref="H98:H103" si="19">D98/G98</f>
        <v>85.5</v>
      </c>
      <c r="I98" s="10">
        <v>45902</v>
      </c>
    </row>
    <row r="99" spans="2:9" x14ac:dyDescent="0.2">
      <c r="B99" s="5" t="s">
        <v>8</v>
      </c>
      <c r="C99" s="6">
        <v>104</v>
      </c>
      <c r="D99" s="6">
        <v>91</v>
      </c>
      <c r="E99" s="2">
        <f t="shared" si="17"/>
        <v>13</v>
      </c>
      <c r="F99" s="3">
        <f t="shared" si="18"/>
        <v>0.875</v>
      </c>
      <c r="G99" s="2">
        <v>6</v>
      </c>
      <c r="H99" s="4">
        <f t="shared" si="19"/>
        <v>15.166666666666666</v>
      </c>
      <c r="I99" s="10">
        <v>45902</v>
      </c>
    </row>
    <row r="100" spans="2:9" x14ac:dyDescent="0.2">
      <c r="B100" s="1" t="s">
        <v>9</v>
      </c>
      <c r="C100" s="2">
        <v>156</v>
      </c>
      <c r="D100" s="2">
        <v>55</v>
      </c>
      <c r="E100" s="2">
        <f t="shared" si="17"/>
        <v>101</v>
      </c>
      <c r="F100" s="3">
        <f t="shared" si="18"/>
        <v>0.35256410256410259</v>
      </c>
      <c r="G100" s="2">
        <v>7</v>
      </c>
      <c r="H100" s="4">
        <f t="shared" si="19"/>
        <v>7.8571428571428568</v>
      </c>
      <c r="I100" s="10">
        <v>45902</v>
      </c>
    </row>
    <row r="101" spans="2:9" x14ac:dyDescent="0.2">
      <c r="B101" s="5" t="s">
        <v>10</v>
      </c>
      <c r="C101" s="6">
        <v>215</v>
      </c>
      <c r="D101" s="6">
        <v>139</v>
      </c>
      <c r="E101" s="2">
        <f t="shared" si="17"/>
        <v>76</v>
      </c>
      <c r="F101" s="3">
        <f t="shared" si="18"/>
        <v>0.64651162790697669</v>
      </c>
      <c r="G101" s="6">
        <v>12</v>
      </c>
      <c r="H101" s="4">
        <f t="shared" si="19"/>
        <v>11.583333333333334</v>
      </c>
      <c r="I101" s="10">
        <v>45902</v>
      </c>
    </row>
    <row r="102" spans="2:9" x14ac:dyDescent="0.2">
      <c r="B102" s="1" t="s">
        <v>11</v>
      </c>
      <c r="C102" s="2">
        <v>474</v>
      </c>
      <c r="D102" s="2">
        <v>345</v>
      </c>
      <c r="E102" s="2">
        <f t="shared" si="17"/>
        <v>129</v>
      </c>
      <c r="F102" s="3">
        <f t="shared" si="18"/>
        <v>0.72784810126582278</v>
      </c>
      <c r="G102" s="6">
        <v>8</v>
      </c>
      <c r="H102" s="4">
        <f t="shared" si="19"/>
        <v>43.125</v>
      </c>
      <c r="I102" s="10">
        <v>45902</v>
      </c>
    </row>
    <row r="103" spans="2:9" x14ac:dyDescent="0.2">
      <c r="B103" s="5" t="s">
        <v>12</v>
      </c>
      <c r="C103" s="2">
        <v>94</v>
      </c>
      <c r="D103" s="6">
        <v>94</v>
      </c>
      <c r="E103" s="2">
        <f t="shared" si="17"/>
        <v>0</v>
      </c>
      <c r="F103" s="3">
        <f t="shared" si="18"/>
        <v>1</v>
      </c>
      <c r="G103" s="6">
        <v>20</v>
      </c>
      <c r="H103" s="4">
        <f t="shared" si="19"/>
        <v>4.7</v>
      </c>
      <c r="I103" s="10">
        <v>45902</v>
      </c>
    </row>
    <row r="104" spans="2:9" x14ac:dyDescent="0.2">
      <c r="B104" s="1" t="s">
        <v>7</v>
      </c>
      <c r="C104" s="2">
        <v>353</v>
      </c>
      <c r="D104" s="2">
        <v>351</v>
      </c>
      <c r="E104" s="2">
        <f t="shared" ref="E104:E109" si="20">C104-D104</f>
        <v>2</v>
      </c>
      <c r="F104" s="3">
        <f t="shared" ref="F104:F109" si="21">D104/C104</f>
        <v>0.99433427762039661</v>
      </c>
      <c r="G104" s="2">
        <v>2</v>
      </c>
      <c r="H104" s="4">
        <f t="shared" ref="H104:H109" si="22">D104/G104</f>
        <v>175.5</v>
      </c>
      <c r="I104" s="10">
        <v>45903</v>
      </c>
    </row>
    <row r="105" spans="2:9" x14ac:dyDescent="0.2">
      <c r="B105" s="5" t="s">
        <v>8</v>
      </c>
      <c r="C105" s="6">
        <v>238</v>
      </c>
      <c r="D105" s="6">
        <v>169</v>
      </c>
      <c r="E105" s="2">
        <f t="shared" si="20"/>
        <v>69</v>
      </c>
      <c r="F105" s="3">
        <f t="shared" si="21"/>
        <v>0.71008403361344541</v>
      </c>
      <c r="G105" s="2">
        <v>4</v>
      </c>
      <c r="H105" s="4">
        <f t="shared" si="22"/>
        <v>42.25</v>
      </c>
      <c r="I105" s="10">
        <v>45903</v>
      </c>
    </row>
    <row r="106" spans="2:9" x14ac:dyDescent="0.2">
      <c r="B106" s="1" t="s">
        <v>9</v>
      </c>
      <c r="C106" s="2">
        <v>70</v>
      </c>
      <c r="D106" s="2">
        <v>66</v>
      </c>
      <c r="E106" s="2">
        <f t="shared" si="20"/>
        <v>4</v>
      </c>
      <c r="F106" s="3">
        <f t="shared" si="21"/>
        <v>0.94285714285714284</v>
      </c>
      <c r="G106" s="2">
        <v>7</v>
      </c>
      <c r="H106" s="4">
        <f t="shared" si="22"/>
        <v>9.4285714285714288</v>
      </c>
      <c r="I106" s="10">
        <v>45903</v>
      </c>
    </row>
    <row r="107" spans="2:9" x14ac:dyDescent="0.2">
      <c r="B107" s="5" t="s">
        <v>10</v>
      </c>
      <c r="C107" s="6">
        <v>357</v>
      </c>
      <c r="D107" s="6">
        <v>323</v>
      </c>
      <c r="E107" s="2">
        <f t="shared" si="20"/>
        <v>34</v>
      </c>
      <c r="F107" s="3">
        <f t="shared" si="21"/>
        <v>0.90476190476190477</v>
      </c>
      <c r="G107" s="6">
        <v>12</v>
      </c>
      <c r="H107" s="4">
        <f t="shared" si="22"/>
        <v>26.916666666666668</v>
      </c>
      <c r="I107" s="10">
        <v>45903</v>
      </c>
    </row>
    <row r="108" spans="2:9" x14ac:dyDescent="0.2">
      <c r="B108" s="1" t="s">
        <v>11</v>
      </c>
      <c r="C108" s="2">
        <v>300</v>
      </c>
      <c r="D108" s="2">
        <v>93</v>
      </c>
      <c r="E108" s="2">
        <f t="shared" si="20"/>
        <v>207</v>
      </c>
      <c r="F108" s="3">
        <f t="shared" si="21"/>
        <v>0.31</v>
      </c>
      <c r="G108" s="6">
        <v>8</v>
      </c>
      <c r="H108" s="4">
        <f t="shared" si="22"/>
        <v>11.625</v>
      </c>
      <c r="I108" s="10">
        <v>45903</v>
      </c>
    </row>
    <row r="109" spans="2:9" x14ac:dyDescent="0.2">
      <c r="B109" s="5" t="s">
        <v>12</v>
      </c>
      <c r="C109" s="2">
        <v>151</v>
      </c>
      <c r="D109" s="6">
        <v>138</v>
      </c>
      <c r="E109" s="2">
        <f t="shared" si="20"/>
        <v>13</v>
      </c>
      <c r="F109" s="3">
        <f t="shared" si="21"/>
        <v>0.91390728476821192</v>
      </c>
      <c r="G109" s="6">
        <v>20</v>
      </c>
      <c r="H109" s="4">
        <f t="shared" si="22"/>
        <v>6.9</v>
      </c>
      <c r="I109" s="10">
        <v>45903</v>
      </c>
    </row>
    <row r="110" spans="2:9" x14ac:dyDescent="0.2">
      <c r="B110" s="1" t="s">
        <v>7</v>
      </c>
      <c r="C110" s="2">
        <v>190</v>
      </c>
      <c r="D110" s="2">
        <v>190</v>
      </c>
      <c r="E110" s="2">
        <f t="shared" ref="E110:E121" si="23">C110-D110</f>
        <v>0</v>
      </c>
      <c r="F110" s="3">
        <f t="shared" ref="F110:F115" si="24">D110/C110</f>
        <v>1</v>
      </c>
      <c r="G110" s="2">
        <v>2</v>
      </c>
      <c r="H110" s="4">
        <f t="shared" ref="H110:H121" si="25">D110/G110</f>
        <v>95</v>
      </c>
      <c r="I110" s="10">
        <v>45904</v>
      </c>
    </row>
    <row r="111" spans="2:9" x14ac:dyDescent="0.2">
      <c r="B111" s="5" t="s">
        <v>8</v>
      </c>
      <c r="C111" s="6">
        <v>345</v>
      </c>
      <c r="D111" s="6">
        <v>249</v>
      </c>
      <c r="E111" s="2">
        <f t="shared" si="23"/>
        <v>96</v>
      </c>
      <c r="F111" s="3">
        <f t="shared" si="24"/>
        <v>0.72173913043478266</v>
      </c>
      <c r="G111" s="2">
        <v>4</v>
      </c>
      <c r="H111" s="4">
        <f t="shared" si="25"/>
        <v>62.25</v>
      </c>
      <c r="I111" s="10">
        <v>45904</v>
      </c>
    </row>
    <row r="112" spans="2:9" x14ac:dyDescent="0.2">
      <c r="B112" s="1" t="s">
        <v>9</v>
      </c>
      <c r="C112" s="2">
        <v>8</v>
      </c>
      <c r="D112" s="2">
        <v>8</v>
      </c>
      <c r="E112" s="2">
        <f t="shared" si="23"/>
        <v>0</v>
      </c>
      <c r="F112" s="3">
        <f t="shared" si="24"/>
        <v>1</v>
      </c>
      <c r="G112" s="2">
        <v>7</v>
      </c>
      <c r="H112" s="4">
        <f t="shared" si="25"/>
        <v>1.1428571428571428</v>
      </c>
      <c r="I112" s="10">
        <v>45904</v>
      </c>
    </row>
    <row r="113" spans="2:9" x14ac:dyDescent="0.2">
      <c r="B113" s="5" t="s">
        <v>10</v>
      </c>
      <c r="C113" s="6">
        <v>1320</v>
      </c>
      <c r="D113" s="6">
        <v>0</v>
      </c>
      <c r="E113" s="2">
        <f t="shared" si="23"/>
        <v>1320</v>
      </c>
      <c r="F113" s="3">
        <f t="shared" si="24"/>
        <v>0</v>
      </c>
      <c r="G113" s="6">
        <v>12</v>
      </c>
      <c r="H113" s="4">
        <f t="shared" si="25"/>
        <v>0</v>
      </c>
      <c r="I113" s="10">
        <v>45904</v>
      </c>
    </row>
    <row r="114" spans="2:9" x14ac:dyDescent="0.2">
      <c r="B114" s="1" t="s">
        <v>11</v>
      </c>
      <c r="C114" s="2">
        <v>403</v>
      </c>
      <c r="D114" s="2">
        <v>197</v>
      </c>
      <c r="E114" s="2">
        <f t="shared" si="23"/>
        <v>206</v>
      </c>
      <c r="F114" s="3">
        <f t="shared" si="24"/>
        <v>0.48883374689826303</v>
      </c>
      <c r="G114" s="6">
        <v>7</v>
      </c>
      <c r="H114" s="4">
        <f t="shared" si="25"/>
        <v>28.142857142857142</v>
      </c>
      <c r="I114" s="10">
        <v>45904</v>
      </c>
    </row>
    <row r="115" spans="2:9" x14ac:dyDescent="0.2">
      <c r="B115" s="5" t="s">
        <v>12</v>
      </c>
      <c r="C115" s="2">
        <v>200</v>
      </c>
      <c r="D115" s="6">
        <v>192</v>
      </c>
      <c r="E115" s="2">
        <f t="shared" si="23"/>
        <v>8</v>
      </c>
      <c r="F115" s="3">
        <f t="shared" si="24"/>
        <v>0.96</v>
      </c>
      <c r="G115" s="6">
        <v>21</v>
      </c>
      <c r="H115" s="4">
        <f t="shared" si="25"/>
        <v>9.1428571428571423</v>
      </c>
      <c r="I115" s="10">
        <v>45904</v>
      </c>
    </row>
    <row r="116" spans="2:9" x14ac:dyDescent="0.2">
      <c r="B116" s="11" t="s">
        <v>7</v>
      </c>
      <c r="C116" s="12">
        <v>160</v>
      </c>
      <c r="D116" s="12">
        <v>160</v>
      </c>
      <c r="E116" s="2">
        <f t="shared" si="23"/>
        <v>0</v>
      </c>
      <c r="F116" s="13">
        <f t="shared" ref="F116:F121" si="26">D116/C116</f>
        <v>1</v>
      </c>
      <c r="G116" s="12">
        <v>2</v>
      </c>
      <c r="H116" s="14">
        <f t="shared" si="25"/>
        <v>80</v>
      </c>
      <c r="I116" s="10">
        <v>45905</v>
      </c>
    </row>
    <row r="117" spans="2:9" x14ac:dyDescent="0.2">
      <c r="B117" s="15" t="s">
        <v>8</v>
      </c>
      <c r="C117" s="12">
        <v>181</v>
      </c>
      <c r="D117">
        <v>164</v>
      </c>
      <c r="E117" s="2">
        <f t="shared" si="23"/>
        <v>17</v>
      </c>
      <c r="F117" s="13">
        <f t="shared" si="26"/>
        <v>0.90607734806629836</v>
      </c>
      <c r="G117">
        <v>4</v>
      </c>
      <c r="H117" s="14">
        <f t="shared" si="25"/>
        <v>41</v>
      </c>
      <c r="I117" s="10">
        <v>45905</v>
      </c>
    </row>
    <row r="118" spans="2:9" x14ac:dyDescent="0.2">
      <c r="B118" s="11" t="s">
        <v>9</v>
      </c>
      <c r="C118" s="12">
        <v>72</v>
      </c>
      <c r="D118" s="12">
        <v>53</v>
      </c>
      <c r="E118" s="2">
        <f t="shared" si="23"/>
        <v>19</v>
      </c>
      <c r="F118" s="13">
        <f t="shared" si="26"/>
        <v>0.73611111111111116</v>
      </c>
      <c r="G118">
        <v>6</v>
      </c>
      <c r="H118" s="14">
        <f t="shared" si="25"/>
        <v>8.8333333333333339</v>
      </c>
      <c r="I118" s="10">
        <v>45905</v>
      </c>
    </row>
    <row r="119" spans="2:9" x14ac:dyDescent="0.2">
      <c r="B119" s="15" t="s">
        <v>10</v>
      </c>
      <c r="C119" s="12">
        <v>85</v>
      </c>
      <c r="D119">
        <v>50</v>
      </c>
      <c r="E119" s="2">
        <f t="shared" si="23"/>
        <v>35</v>
      </c>
      <c r="F119" s="13">
        <f t="shared" si="26"/>
        <v>0.58823529411764708</v>
      </c>
      <c r="G119">
        <v>11</v>
      </c>
      <c r="H119" s="14">
        <f t="shared" si="25"/>
        <v>4.5454545454545459</v>
      </c>
      <c r="I119" s="10">
        <v>45905</v>
      </c>
    </row>
    <row r="120" spans="2:9" x14ac:dyDescent="0.2">
      <c r="B120" s="11" t="s">
        <v>11</v>
      </c>
      <c r="C120" s="12">
        <v>336</v>
      </c>
      <c r="D120" s="12">
        <v>216</v>
      </c>
      <c r="E120" s="2">
        <f t="shared" si="23"/>
        <v>120</v>
      </c>
      <c r="F120" s="13">
        <f t="shared" si="26"/>
        <v>0.6428571428571429</v>
      </c>
      <c r="G120" s="12">
        <v>8</v>
      </c>
      <c r="H120" s="14">
        <f t="shared" si="25"/>
        <v>27</v>
      </c>
      <c r="I120" s="10">
        <v>45905</v>
      </c>
    </row>
    <row r="121" spans="2:9" x14ac:dyDescent="0.2">
      <c r="B121" s="15" t="s">
        <v>12</v>
      </c>
      <c r="C121" s="12">
        <v>112</v>
      </c>
      <c r="D121">
        <v>109</v>
      </c>
      <c r="E121" s="2">
        <f t="shared" si="23"/>
        <v>3</v>
      </c>
      <c r="F121" s="13">
        <f t="shared" si="26"/>
        <v>0.9732142857142857</v>
      </c>
      <c r="G121">
        <v>21</v>
      </c>
      <c r="H121" s="14">
        <f t="shared" si="25"/>
        <v>5.1904761904761907</v>
      </c>
      <c r="I121" s="10">
        <v>45905</v>
      </c>
    </row>
    <row r="122" spans="2:9" x14ac:dyDescent="0.2">
      <c r="B122" s="1" t="s">
        <v>7</v>
      </c>
      <c r="C122" s="2">
        <v>425</v>
      </c>
      <c r="D122" s="2">
        <v>415</v>
      </c>
      <c r="E122" s="2">
        <f t="shared" ref="E122:E127" si="27">C122-D122</f>
        <v>10</v>
      </c>
      <c r="F122" s="3">
        <f t="shared" ref="F122:F127" si="28">D122/C122</f>
        <v>0.97647058823529409</v>
      </c>
      <c r="G122" s="2">
        <v>4</v>
      </c>
      <c r="H122" s="4">
        <f t="shared" ref="H122:H127" si="29">D122/G122</f>
        <v>103.75</v>
      </c>
      <c r="I122" s="10">
        <v>45908</v>
      </c>
    </row>
    <row r="123" spans="2:9" x14ac:dyDescent="0.2">
      <c r="B123" s="5" t="s">
        <v>8</v>
      </c>
      <c r="C123" s="6">
        <v>173</v>
      </c>
      <c r="D123" s="6">
        <v>44</v>
      </c>
      <c r="E123" s="2">
        <f t="shared" si="27"/>
        <v>129</v>
      </c>
      <c r="F123" s="3">
        <f t="shared" si="28"/>
        <v>0.25433526011560692</v>
      </c>
      <c r="G123" s="2">
        <v>5</v>
      </c>
      <c r="H123" s="4">
        <f t="shared" si="29"/>
        <v>8.8000000000000007</v>
      </c>
      <c r="I123" s="10">
        <v>45908</v>
      </c>
    </row>
    <row r="124" spans="2:9" x14ac:dyDescent="0.2">
      <c r="B124" s="1" t="s">
        <v>9</v>
      </c>
      <c r="C124" s="2">
        <v>24</v>
      </c>
      <c r="D124" s="2">
        <v>24</v>
      </c>
      <c r="E124" s="2">
        <f t="shared" si="27"/>
        <v>0</v>
      </c>
      <c r="F124" s="3">
        <f t="shared" si="28"/>
        <v>1</v>
      </c>
      <c r="G124" s="2">
        <v>4</v>
      </c>
      <c r="H124" s="4">
        <f t="shared" si="29"/>
        <v>6</v>
      </c>
      <c r="I124" s="10">
        <v>45908</v>
      </c>
    </row>
    <row r="125" spans="2:9" x14ac:dyDescent="0.2">
      <c r="B125" s="5" t="s">
        <v>10</v>
      </c>
      <c r="C125" s="6">
        <v>518</v>
      </c>
      <c r="D125" s="6">
        <v>460</v>
      </c>
      <c r="E125" s="2">
        <f t="shared" si="27"/>
        <v>58</v>
      </c>
      <c r="F125" s="3">
        <f t="shared" si="28"/>
        <v>0.88803088803088803</v>
      </c>
      <c r="G125" s="6">
        <v>10</v>
      </c>
      <c r="H125" s="4">
        <f t="shared" si="29"/>
        <v>46</v>
      </c>
      <c r="I125" s="10">
        <v>45908</v>
      </c>
    </row>
    <row r="126" spans="2:9" x14ac:dyDescent="0.2">
      <c r="B126" s="1" t="s">
        <v>11</v>
      </c>
      <c r="C126" s="2">
        <v>1187</v>
      </c>
      <c r="D126" s="2">
        <v>1079</v>
      </c>
      <c r="E126" s="2">
        <f t="shared" si="27"/>
        <v>108</v>
      </c>
      <c r="F126" s="3">
        <f t="shared" si="28"/>
        <v>0.90901432181971353</v>
      </c>
      <c r="G126" s="6">
        <v>8</v>
      </c>
      <c r="H126" s="4">
        <f t="shared" si="29"/>
        <v>134.875</v>
      </c>
      <c r="I126" s="10">
        <v>45908</v>
      </c>
    </row>
    <row r="127" spans="2:9" x14ac:dyDescent="0.2">
      <c r="B127" s="5" t="s">
        <v>12</v>
      </c>
      <c r="C127" s="2">
        <v>77</v>
      </c>
      <c r="D127" s="6">
        <v>71</v>
      </c>
      <c r="E127" s="2">
        <f t="shared" si="27"/>
        <v>6</v>
      </c>
      <c r="F127" s="3">
        <f t="shared" si="28"/>
        <v>0.92207792207792205</v>
      </c>
      <c r="G127" s="6">
        <v>21</v>
      </c>
      <c r="H127" s="4">
        <f t="shared" si="29"/>
        <v>3.3809523809523809</v>
      </c>
      <c r="I127" s="10">
        <v>45908</v>
      </c>
    </row>
    <row r="128" spans="2:9" x14ac:dyDescent="0.2">
      <c r="B128" s="1" t="s">
        <v>7</v>
      </c>
      <c r="C128" s="2">
        <v>155</v>
      </c>
      <c r="D128" s="2">
        <v>155</v>
      </c>
      <c r="E128" s="2">
        <f t="shared" ref="E128:E133" si="30">C128-D128</f>
        <v>0</v>
      </c>
      <c r="F128" s="3">
        <f t="shared" ref="F128:F133" si="31">D128/C128</f>
        <v>1</v>
      </c>
      <c r="G128" s="2">
        <v>3</v>
      </c>
      <c r="H128" s="4">
        <f t="shared" ref="H128:H133" si="32">D128/G128</f>
        <v>51.666666666666664</v>
      </c>
      <c r="I128" s="10">
        <v>45909</v>
      </c>
    </row>
    <row r="129" spans="2:10" x14ac:dyDescent="0.2">
      <c r="B129" s="5" t="s">
        <v>8</v>
      </c>
      <c r="C129" s="6">
        <v>383</v>
      </c>
      <c r="D129" s="6">
        <v>367</v>
      </c>
      <c r="E129" s="2">
        <f t="shared" si="30"/>
        <v>16</v>
      </c>
      <c r="F129" s="3">
        <f t="shared" si="31"/>
        <v>0.95822454308093996</v>
      </c>
      <c r="G129" s="2">
        <v>5</v>
      </c>
      <c r="H129" s="4">
        <f t="shared" si="32"/>
        <v>73.400000000000006</v>
      </c>
      <c r="I129" s="10">
        <v>45909</v>
      </c>
      <c r="J129" s="17">
        <v>5</v>
      </c>
    </row>
    <row r="130" spans="2:10" x14ac:dyDescent="0.2">
      <c r="B130" s="1" t="s">
        <v>9</v>
      </c>
      <c r="C130" s="2">
        <v>23</v>
      </c>
      <c r="D130" s="2">
        <v>23</v>
      </c>
      <c r="E130" s="2">
        <f t="shared" si="30"/>
        <v>0</v>
      </c>
      <c r="F130" s="3">
        <f t="shared" si="31"/>
        <v>1</v>
      </c>
      <c r="G130" s="2">
        <v>7</v>
      </c>
      <c r="H130" s="4">
        <f t="shared" si="32"/>
        <v>3.2857142857142856</v>
      </c>
      <c r="I130" s="10">
        <v>45909</v>
      </c>
      <c r="J130" s="17"/>
    </row>
    <row r="131" spans="2:10" x14ac:dyDescent="0.2">
      <c r="B131" s="5" t="s">
        <v>10</v>
      </c>
      <c r="C131" s="6">
        <v>293</v>
      </c>
      <c r="D131" s="6">
        <v>5</v>
      </c>
      <c r="E131" s="2">
        <f t="shared" si="30"/>
        <v>288</v>
      </c>
      <c r="F131" s="3">
        <f t="shared" si="31"/>
        <v>1.7064846416382253E-2</v>
      </c>
      <c r="G131" s="6">
        <v>11</v>
      </c>
      <c r="H131" s="4">
        <f t="shared" si="32"/>
        <v>0.45454545454545453</v>
      </c>
      <c r="I131" s="10">
        <v>45909</v>
      </c>
      <c r="J131" s="17">
        <v>210</v>
      </c>
    </row>
    <row r="132" spans="2:10" x14ac:dyDescent="0.2">
      <c r="B132" s="1" t="s">
        <v>11</v>
      </c>
      <c r="C132" s="2">
        <v>411</v>
      </c>
      <c r="D132" s="2">
        <v>381</v>
      </c>
      <c r="E132" s="2">
        <f t="shared" si="30"/>
        <v>30</v>
      </c>
      <c r="F132" s="3">
        <f t="shared" si="31"/>
        <v>0.92700729927007297</v>
      </c>
      <c r="G132" s="6">
        <v>8</v>
      </c>
      <c r="H132" s="4">
        <f t="shared" si="32"/>
        <v>47.625</v>
      </c>
      <c r="I132" s="10">
        <v>45909</v>
      </c>
      <c r="J132" s="17">
        <v>67</v>
      </c>
    </row>
    <row r="133" spans="2:10" x14ac:dyDescent="0.2">
      <c r="B133" s="5" t="s">
        <v>12</v>
      </c>
      <c r="C133" s="2">
        <v>118</v>
      </c>
      <c r="D133" s="6">
        <v>91</v>
      </c>
      <c r="E133" s="2">
        <f t="shared" si="30"/>
        <v>27</v>
      </c>
      <c r="F133" s="3">
        <f t="shared" si="31"/>
        <v>0.77118644067796616</v>
      </c>
      <c r="G133" s="6">
        <v>21</v>
      </c>
      <c r="H133" s="4">
        <f t="shared" si="32"/>
        <v>4.333333333333333</v>
      </c>
      <c r="I133" s="10">
        <v>45909</v>
      </c>
      <c r="J133" s="17"/>
    </row>
    <row r="134" spans="2:10" x14ac:dyDescent="0.2">
      <c r="B134" s="1" t="s">
        <v>7</v>
      </c>
      <c r="C134" s="2">
        <v>299</v>
      </c>
      <c r="D134" s="2">
        <v>299</v>
      </c>
      <c r="E134" s="2">
        <f t="shared" ref="E134:E139" si="33">C134-D134</f>
        <v>0</v>
      </c>
      <c r="F134" s="3">
        <f t="shared" ref="F134:F139" si="34">D134/C134</f>
        <v>1</v>
      </c>
      <c r="G134" s="2">
        <v>4</v>
      </c>
      <c r="H134" s="4">
        <f t="shared" ref="H134:H139" si="35">D134/G134</f>
        <v>74.75</v>
      </c>
      <c r="I134" s="10">
        <v>45910</v>
      </c>
      <c r="J134" s="17">
        <v>2</v>
      </c>
    </row>
    <row r="135" spans="2:10" x14ac:dyDescent="0.2">
      <c r="B135" s="5" t="s">
        <v>8</v>
      </c>
      <c r="C135" s="6">
        <v>137</v>
      </c>
      <c r="D135" s="6">
        <v>130</v>
      </c>
      <c r="E135" s="2">
        <f t="shared" si="33"/>
        <v>7</v>
      </c>
      <c r="F135" s="3">
        <f t="shared" si="34"/>
        <v>0.94890510948905105</v>
      </c>
      <c r="G135" s="2">
        <v>7</v>
      </c>
      <c r="H135" s="4">
        <f t="shared" si="35"/>
        <v>18.571428571428573</v>
      </c>
      <c r="I135" s="10">
        <v>45910</v>
      </c>
      <c r="J135" s="17">
        <v>4</v>
      </c>
    </row>
    <row r="136" spans="2:10" x14ac:dyDescent="0.2">
      <c r="B136" s="1" t="s">
        <v>9</v>
      </c>
      <c r="C136" s="2">
        <v>105</v>
      </c>
      <c r="D136" s="2">
        <v>101</v>
      </c>
      <c r="E136" s="2">
        <f t="shared" si="33"/>
        <v>4</v>
      </c>
      <c r="F136" s="3">
        <f t="shared" si="34"/>
        <v>0.96190476190476193</v>
      </c>
      <c r="G136" s="2">
        <v>8</v>
      </c>
      <c r="H136" s="4">
        <f t="shared" si="35"/>
        <v>12.625</v>
      </c>
      <c r="I136" s="10">
        <v>45910</v>
      </c>
      <c r="J136" s="17"/>
    </row>
    <row r="137" spans="2:10" x14ac:dyDescent="0.2">
      <c r="B137" s="5" t="s">
        <v>10</v>
      </c>
      <c r="C137" s="6">
        <v>314</v>
      </c>
      <c r="D137" s="6">
        <v>151</v>
      </c>
      <c r="E137" s="2">
        <f t="shared" si="33"/>
        <v>163</v>
      </c>
      <c r="F137" s="3">
        <f t="shared" si="34"/>
        <v>0.48089171974522293</v>
      </c>
      <c r="G137" s="6">
        <v>11</v>
      </c>
      <c r="H137" s="4">
        <f t="shared" si="35"/>
        <v>13.727272727272727</v>
      </c>
      <c r="I137" s="10">
        <v>45910</v>
      </c>
      <c r="J137" s="17">
        <v>6</v>
      </c>
    </row>
    <row r="138" spans="2:10" x14ac:dyDescent="0.2">
      <c r="B138" s="1" t="s">
        <v>11</v>
      </c>
      <c r="C138" s="2">
        <v>447</v>
      </c>
      <c r="D138" s="2">
        <v>445</v>
      </c>
      <c r="E138" s="2">
        <f t="shared" si="33"/>
        <v>2</v>
      </c>
      <c r="F138" s="3">
        <f t="shared" si="34"/>
        <v>0.99552572706935127</v>
      </c>
      <c r="G138" s="6">
        <v>7</v>
      </c>
      <c r="H138" s="4">
        <f t="shared" si="35"/>
        <v>63.571428571428569</v>
      </c>
      <c r="I138" s="10">
        <v>45910</v>
      </c>
      <c r="J138" s="17"/>
    </row>
    <row r="139" spans="2:10" x14ac:dyDescent="0.2">
      <c r="B139" s="5" t="s">
        <v>12</v>
      </c>
      <c r="C139" s="2">
        <v>63</v>
      </c>
      <c r="D139" s="6">
        <v>61</v>
      </c>
      <c r="E139" s="2">
        <f t="shared" si="33"/>
        <v>2</v>
      </c>
      <c r="F139" s="3">
        <f t="shared" si="34"/>
        <v>0.96825396825396826</v>
      </c>
      <c r="G139" s="6">
        <v>19</v>
      </c>
      <c r="H139" s="4">
        <f t="shared" si="35"/>
        <v>3.2105263157894739</v>
      </c>
      <c r="I139" s="10">
        <v>45910</v>
      </c>
      <c r="J139" s="17">
        <v>1</v>
      </c>
    </row>
    <row r="140" spans="2:10" x14ac:dyDescent="0.2">
      <c r="B140" s="1" t="s">
        <v>7</v>
      </c>
      <c r="C140" s="2">
        <v>216</v>
      </c>
      <c r="D140" s="2">
        <v>216</v>
      </c>
      <c r="E140" s="2">
        <f t="shared" ref="E140:E145" si="36">C140-D140</f>
        <v>0</v>
      </c>
      <c r="F140" s="3">
        <f t="shared" ref="F140:F145" si="37">D140/C140</f>
        <v>1</v>
      </c>
      <c r="G140" s="2">
        <v>3</v>
      </c>
      <c r="H140" s="4">
        <f t="shared" ref="H140:H145" si="38">D140/G140</f>
        <v>72</v>
      </c>
      <c r="I140" s="10">
        <v>45911</v>
      </c>
      <c r="J140" s="17">
        <v>2</v>
      </c>
    </row>
    <row r="141" spans="2:10" x14ac:dyDescent="0.2">
      <c r="B141" s="5" t="s">
        <v>8</v>
      </c>
      <c r="C141" s="6">
        <v>254</v>
      </c>
      <c r="D141" s="6">
        <v>242</v>
      </c>
      <c r="E141" s="2">
        <f t="shared" si="36"/>
        <v>12</v>
      </c>
      <c r="F141" s="3">
        <f t="shared" si="37"/>
        <v>0.952755905511811</v>
      </c>
      <c r="G141" s="2">
        <v>7</v>
      </c>
      <c r="H141" s="4">
        <f t="shared" si="38"/>
        <v>34.571428571428569</v>
      </c>
      <c r="I141" s="10">
        <v>45911</v>
      </c>
      <c r="J141" s="17">
        <v>1</v>
      </c>
    </row>
    <row r="142" spans="2:10" x14ac:dyDescent="0.2">
      <c r="B142" s="1" t="s">
        <v>9</v>
      </c>
      <c r="C142" s="2">
        <v>10</v>
      </c>
      <c r="D142" s="2">
        <v>10</v>
      </c>
      <c r="E142" s="2">
        <f t="shared" si="36"/>
        <v>0</v>
      </c>
      <c r="F142" s="3">
        <f t="shared" si="37"/>
        <v>1</v>
      </c>
      <c r="G142" s="2">
        <v>6</v>
      </c>
      <c r="H142" s="4">
        <f t="shared" si="38"/>
        <v>1.6666666666666667</v>
      </c>
      <c r="I142" s="10">
        <v>45911</v>
      </c>
      <c r="J142" s="17">
        <v>0</v>
      </c>
    </row>
    <row r="143" spans="2:10" x14ac:dyDescent="0.2">
      <c r="B143" s="5" t="s">
        <v>10</v>
      </c>
      <c r="C143" s="6">
        <v>663</v>
      </c>
      <c r="D143" s="6">
        <v>352</v>
      </c>
      <c r="E143" s="2">
        <f t="shared" si="36"/>
        <v>311</v>
      </c>
      <c r="F143" s="3">
        <f t="shared" si="37"/>
        <v>0.53092006033182504</v>
      </c>
      <c r="G143" s="6">
        <v>10</v>
      </c>
      <c r="H143" s="4">
        <f t="shared" si="38"/>
        <v>35.200000000000003</v>
      </c>
      <c r="I143" s="10">
        <v>45911</v>
      </c>
      <c r="J143" s="17">
        <v>23</v>
      </c>
    </row>
    <row r="144" spans="2:10" x14ac:dyDescent="0.2">
      <c r="B144" s="1" t="s">
        <v>11</v>
      </c>
      <c r="C144" s="2">
        <v>506</v>
      </c>
      <c r="D144" s="2">
        <v>271</v>
      </c>
      <c r="E144" s="2">
        <f t="shared" si="36"/>
        <v>235</v>
      </c>
      <c r="F144" s="3">
        <f t="shared" si="37"/>
        <v>0.53557312252964429</v>
      </c>
      <c r="G144" s="6">
        <v>8</v>
      </c>
      <c r="H144" s="4">
        <f t="shared" si="38"/>
        <v>33.875</v>
      </c>
      <c r="I144" s="10">
        <v>45911</v>
      </c>
      <c r="J144" s="17">
        <v>4</v>
      </c>
    </row>
    <row r="145" spans="2:10" x14ac:dyDescent="0.2">
      <c r="B145" s="5" t="s">
        <v>12</v>
      </c>
      <c r="C145" s="2">
        <v>364</v>
      </c>
      <c r="D145" s="6">
        <v>333</v>
      </c>
      <c r="E145" s="2">
        <f t="shared" si="36"/>
        <v>31</v>
      </c>
      <c r="F145" s="3">
        <f t="shared" si="37"/>
        <v>0.9148351648351648</v>
      </c>
      <c r="G145" s="6">
        <v>19</v>
      </c>
      <c r="H145" s="4">
        <f t="shared" si="38"/>
        <v>17.526315789473685</v>
      </c>
      <c r="I145" s="10">
        <v>45911</v>
      </c>
      <c r="J145" s="17">
        <v>1</v>
      </c>
    </row>
    <row r="146" spans="2:10" x14ac:dyDescent="0.2">
      <c r="B146" s="1" t="s">
        <v>7</v>
      </c>
      <c r="C146" s="2">
        <v>414</v>
      </c>
      <c r="D146" s="2">
        <v>298</v>
      </c>
      <c r="E146" s="2">
        <f t="shared" ref="E146:E151" si="39">C146-D146</f>
        <v>116</v>
      </c>
      <c r="F146" s="3">
        <f t="shared" ref="F146:F151" si="40">D146/C146</f>
        <v>0.71980676328502413</v>
      </c>
      <c r="G146" s="2">
        <v>3</v>
      </c>
      <c r="H146" s="4">
        <f t="shared" ref="H146:H151" si="41">D146/G146</f>
        <v>99.333333333333329</v>
      </c>
      <c r="I146" s="10">
        <v>45912</v>
      </c>
      <c r="J146" s="17">
        <v>2</v>
      </c>
    </row>
    <row r="147" spans="2:10" x14ac:dyDescent="0.2">
      <c r="B147" s="5" t="s">
        <v>8</v>
      </c>
      <c r="C147" s="6">
        <v>305</v>
      </c>
      <c r="D147" s="6">
        <v>304</v>
      </c>
      <c r="E147" s="2">
        <f t="shared" si="39"/>
        <v>1</v>
      </c>
      <c r="F147" s="3">
        <f t="shared" si="40"/>
        <v>0.99672131147540988</v>
      </c>
      <c r="G147" s="2">
        <v>5</v>
      </c>
      <c r="H147" s="4">
        <f t="shared" si="41"/>
        <v>60.8</v>
      </c>
      <c r="I147" s="10">
        <v>45912</v>
      </c>
      <c r="J147" s="17">
        <v>4</v>
      </c>
    </row>
    <row r="148" spans="2:10" x14ac:dyDescent="0.2">
      <c r="B148" s="1" t="s">
        <v>9</v>
      </c>
      <c r="C148" s="2">
        <v>72</v>
      </c>
      <c r="D148" s="2">
        <v>70</v>
      </c>
      <c r="E148" s="2">
        <f t="shared" si="39"/>
        <v>2</v>
      </c>
      <c r="F148" s="3">
        <f t="shared" si="40"/>
        <v>0.97222222222222221</v>
      </c>
      <c r="G148" s="2">
        <v>7</v>
      </c>
      <c r="H148" s="4">
        <f t="shared" si="41"/>
        <v>10</v>
      </c>
      <c r="I148" s="10">
        <v>45912</v>
      </c>
      <c r="J148" s="17"/>
    </row>
    <row r="149" spans="2:10" x14ac:dyDescent="0.2">
      <c r="B149" s="5" t="s">
        <v>10</v>
      </c>
      <c r="C149" s="6">
        <v>248</v>
      </c>
      <c r="D149" s="6">
        <v>83</v>
      </c>
      <c r="E149" s="2">
        <f t="shared" si="39"/>
        <v>165</v>
      </c>
      <c r="F149" s="3">
        <f t="shared" si="40"/>
        <v>0.33467741935483869</v>
      </c>
      <c r="G149" s="6">
        <v>10</v>
      </c>
      <c r="H149" s="4">
        <f t="shared" si="41"/>
        <v>8.3000000000000007</v>
      </c>
      <c r="I149" s="10">
        <v>45912</v>
      </c>
      <c r="J149" s="17">
        <v>30</v>
      </c>
    </row>
    <row r="150" spans="2:10" x14ac:dyDescent="0.2">
      <c r="B150" s="1" t="s">
        <v>11</v>
      </c>
      <c r="C150" s="2">
        <v>639</v>
      </c>
      <c r="D150" s="2">
        <v>199</v>
      </c>
      <c r="E150" s="2">
        <f t="shared" si="39"/>
        <v>440</v>
      </c>
      <c r="F150" s="3">
        <f t="shared" si="40"/>
        <v>0.31142410015649452</v>
      </c>
      <c r="G150" s="6">
        <v>8</v>
      </c>
      <c r="H150" s="4">
        <f t="shared" si="41"/>
        <v>24.875</v>
      </c>
      <c r="I150" s="10">
        <v>45912</v>
      </c>
      <c r="J150" s="17"/>
    </row>
    <row r="151" spans="2:10" x14ac:dyDescent="0.2">
      <c r="B151" s="5" t="s">
        <v>12</v>
      </c>
      <c r="C151" s="2">
        <v>151</v>
      </c>
      <c r="D151" s="6">
        <v>141</v>
      </c>
      <c r="E151" s="2">
        <f t="shared" si="39"/>
        <v>10</v>
      </c>
      <c r="F151" s="3">
        <f t="shared" si="40"/>
        <v>0.93377483443708609</v>
      </c>
      <c r="G151" s="6">
        <v>18</v>
      </c>
      <c r="H151" s="4">
        <f t="shared" si="41"/>
        <v>7.833333333333333</v>
      </c>
      <c r="I151" s="10">
        <v>45912</v>
      </c>
      <c r="J151" s="17"/>
    </row>
    <row r="152" spans="2:10" x14ac:dyDescent="0.2">
      <c r="B152" s="1" t="s">
        <v>7</v>
      </c>
      <c r="C152" s="2">
        <v>90</v>
      </c>
      <c r="D152" s="2">
        <v>80</v>
      </c>
      <c r="E152" s="2">
        <f t="shared" ref="E152:E157" si="42">C152-D152</f>
        <v>10</v>
      </c>
      <c r="F152" s="3">
        <f t="shared" ref="F152:F157" si="43">D152/C152</f>
        <v>0.88888888888888884</v>
      </c>
      <c r="G152" s="2">
        <v>2</v>
      </c>
      <c r="H152" s="4">
        <f t="shared" ref="H152:H157" si="44">D152/G152</f>
        <v>40</v>
      </c>
      <c r="I152" s="10">
        <v>45915</v>
      </c>
      <c r="J152" s="17">
        <v>1</v>
      </c>
    </row>
    <row r="153" spans="2:10" x14ac:dyDescent="0.2">
      <c r="B153" s="5" t="s">
        <v>8</v>
      </c>
      <c r="C153" s="6">
        <v>316</v>
      </c>
      <c r="D153" s="6">
        <v>307</v>
      </c>
      <c r="E153" s="2">
        <f t="shared" si="42"/>
        <v>9</v>
      </c>
      <c r="F153" s="3">
        <f t="shared" si="43"/>
        <v>0.97151898734177211</v>
      </c>
      <c r="G153" s="2">
        <v>5</v>
      </c>
      <c r="H153" s="4">
        <f t="shared" si="44"/>
        <v>61.4</v>
      </c>
      <c r="I153" s="10">
        <v>45915</v>
      </c>
      <c r="J153" s="17"/>
    </row>
    <row r="154" spans="2:10" x14ac:dyDescent="0.2">
      <c r="B154" s="1" t="s">
        <v>9</v>
      </c>
      <c r="C154" s="2">
        <v>16</v>
      </c>
      <c r="D154" s="2">
        <v>14</v>
      </c>
      <c r="E154" s="2">
        <f t="shared" si="42"/>
        <v>2</v>
      </c>
      <c r="F154" s="3">
        <f t="shared" si="43"/>
        <v>0.875</v>
      </c>
      <c r="G154" s="2">
        <v>7</v>
      </c>
      <c r="H154" s="4">
        <f t="shared" si="44"/>
        <v>2</v>
      </c>
      <c r="I154" s="10">
        <v>45915</v>
      </c>
      <c r="J154" s="17"/>
    </row>
    <row r="155" spans="2:10" x14ac:dyDescent="0.2">
      <c r="B155" s="5" t="s">
        <v>10</v>
      </c>
      <c r="C155" s="6">
        <v>175</v>
      </c>
      <c r="D155" s="6">
        <v>114</v>
      </c>
      <c r="E155" s="2">
        <f t="shared" si="42"/>
        <v>61</v>
      </c>
      <c r="F155" s="3">
        <f t="shared" si="43"/>
        <v>0.65142857142857147</v>
      </c>
      <c r="G155" s="6">
        <v>9</v>
      </c>
      <c r="H155" s="4">
        <f t="shared" si="44"/>
        <v>12.666666666666666</v>
      </c>
      <c r="I155" s="10">
        <v>45915</v>
      </c>
      <c r="J155" s="17">
        <v>19</v>
      </c>
    </row>
    <row r="156" spans="2:10" x14ac:dyDescent="0.2">
      <c r="B156" s="1" t="s">
        <v>11</v>
      </c>
      <c r="C156" s="2">
        <v>148</v>
      </c>
      <c r="D156" s="2">
        <v>58</v>
      </c>
      <c r="E156" s="2">
        <f t="shared" si="42"/>
        <v>90</v>
      </c>
      <c r="F156" s="3">
        <f t="shared" si="43"/>
        <v>0.39189189189189189</v>
      </c>
      <c r="G156" s="6">
        <v>8</v>
      </c>
      <c r="H156" s="4">
        <f t="shared" si="44"/>
        <v>7.25</v>
      </c>
      <c r="I156" s="10">
        <v>45915</v>
      </c>
      <c r="J156" s="17">
        <v>16</v>
      </c>
    </row>
    <row r="157" spans="2:10" x14ac:dyDescent="0.2">
      <c r="B157" s="5" t="s">
        <v>12</v>
      </c>
      <c r="C157" s="2">
        <v>243</v>
      </c>
      <c r="D157" s="6">
        <v>223</v>
      </c>
      <c r="E157" s="2">
        <f t="shared" si="42"/>
        <v>20</v>
      </c>
      <c r="F157" s="3">
        <f t="shared" si="43"/>
        <v>0.91769547325102885</v>
      </c>
      <c r="G157" s="6">
        <v>18</v>
      </c>
      <c r="H157" s="4">
        <f t="shared" si="44"/>
        <v>12.388888888888889</v>
      </c>
      <c r="I157" s="10">
        <v>45915</v>
      </c>
      <c r="J157" s="17"/>
    </row>
    <row r="158" spans="2:10" x14ac:dyDescent="0.2">
      <c r="B158" s="1" t="s">
        <v>7</v>
      </c>
      <c r="C158" s="2">
        <v>34</v>
      </c>
      <c r="D158" s="2">
        <v>30</v>
      </c>
      <c r="E158" s="2">
        <f t="shared" ref="E158:E163" si="45">C158-D158</f>
        <v>4</v>
      </c>
      <c r="F158" s="3">
        <f t="shared" ref="F158:F163" si="46">D158/C158</f>
        <v>0.88235294117647056</v>
      </c>
      <c r="G158" s="2">
        <v>2</v>
      </c>
      <c r="H158" s="4">
        <f t="shared" ref="H158:H163" si="47">D158/G158</f>
        <v>15</v>
      </c>
      <c r="I158" s="10">
        <v>45916</v>
      </c>
      <c r="J158" s="17">
        <v>5</v>
      </c>
    </row>
    <row r="159" spans="2:10" x14ac:dyDescent="0.2">
      <c r="B159" s="5" t="s">
        <v>8</v>
      </c>
      <c r="C159" s="6">
        <v>188</v>
      </c>
      <c r="D159" s="6">
        <v>73</v>
      </c>
      <c r="E159" s="2">
        <f t="shared" si="45"/>
        <v>115</v>
      </c>
      <c r="F159" s="3">
        <f t="shared" si="46"/>
        <v>0.38829787234042551</v>
      </c>
      <c r="G159" s="2">
        <v>5</v>
      </c>
      <c r="H159" s="4">
        <f t="shared" si="47"/>
        <v>14.6</v>
      </c>
      <c r="I159" s="10">
        <v>45916</v>
      </c>
      <c r="J159" s="17">
        <v>2</v>
      </c>
    </row>
    <row r="160" spans="2:10" x14ac:dyDescent="0.2">
      <c r="B160" s="1" t="s">
        <v>9</v>
      </c>
      <c r="C160" s="2">
        <v>147</v>
      </c>
      <c r="D160" s="2">
        <v>71</v>
      </c>
      <c r="E160" s="2">
        <f t="shared" si="45"/>
        <v>76</v>
      </c>
      <c r="F160" s="3">
        <f t="shared" si="46"/>
        <v>0.48299319727891155</v>
      </c>
      <c r="G160" s="2">
        <v>7</v>
      </c>
      <c r="H160" s="4">
        <f t="shared" si="47"/>
        <v>10.142857142857142</v>
      </c>
      <c r="I160" s="10">
        <v>45916</v>
      </c>
      <c r="J160" s="17"/>
    </row>
    <row r="161" spans="2:14" x14ac:dyDescent="0.2">
      <c r="B161" s="5" t="s">
        <v>10</v>
      </c>
      <c r="C161" s="6">
        <v>130</v>
      </c>
      <c r="D161" s="6">
        <v>68</v>
      </c>
      <c r="E161" s="2">
        <f t="shared" si="45"/>
        <v>62</v>
      </c>
      <c r="F161" s="3">
        <f t="shared" si="46"/>
        <v>0.52307692307692311</v>
      </c>
      <c r="G161" s="6">
        <v>10</v>
      </c>
      <c r="H161" s="4">
        <f t="shared" si="47"/>
        <v>6.8</v>
      </c>
      <c r="I161" s="10">
        <v>45916</v>
      </c>
      <c r="J161" s="17">
        <v>2</v>
      </c>
    </row>
    <row r="162" spans="2:14" x14ac:dyDescent="0.2">
      <c r="B162" s="1" t="s">
        <v>11</v>
      </c>
      <c r="C162" s="2">
        <v>633</v>
      </c>
      <c r="D162" s="2">
        <v>548</v>
      </c>
      <c r="E162" s="2">
        <f t="shared" si="45"/>
        <v>85</v>
      </c>
      <c r="F162" s="3">
        <f t="shared" si="46"/>
        <v>0.86571879936808849</v>
      </c>
      <c r="G162" s="6">
        <v>8</v>
      </c>
      <c r="H162" s="4">
        <f t="shared" si="47"/>
        <v>68.5</v>
      </c>
      <c r="I162" s="10">
        <v>45916</v>
      </c>
      <c r="J162" s="17">
        <v>13</v>
      </c>
    </row>
    <row r="163" spans="2:14" x14ac:dyDescent="0.2">
      <c r="B163" s="5" t="s">
        <v>12</v>
      </c>
      <c r="C163" s="2">
        <v>114</v>
      </c>
      <c r="D163" s="6">
        <v>104</v>
      </c>
      <c r="E163" s="2">
        <f t="shared" si="45"/>
        <v>10</v>
      </c>
      <c r="F163" s="3">
        <f t="shared" si="46"/>
        <v>0.91228070175438591</v>
      </c>
      <c r="G163" s="6">
        <v>18</v>
      </c>
      <c r="H163" s="4">
        <f t="shared" si="47"/>
        <v>5.7777777777777777</v>
      </c>
      <c r="I163" s="10">
        <v>45916</v>
      </c>
      <c r="J163" s="17"/>
    </row>
    <row r="164" spans="2:14" x14ac:dyDescent="0.2">
      <c r="B164" s="1" t="s">
        <v>7</v>
      </c>
      <c r="C164" s="2">
        <v>129</v>
      </c>
      <c r="D164" s="2">
        <v>113</v>
      </c>
      <c r="E164" s="2">
        <f t="shared" ref="E164:E169" si="48">C164-D164</f>
        <v>16</v>
      </c>
      <c r="F164" s="3">
        <f t="shared" ref="F164:F169" si="49">D164/C164</f>
        <v>0.87596899224806202</v>
      </c>
      <c r="G164" s="2">
        <v>2</v>
      </c>
      <c r="H164" s="4">
        <f t="shared" ref="H164:H169" si="50">D164/G164</f>
        <v>56.5</v>
      </c>
      <c r="I164" s="10">
        <v>45917</v>
      </c>
      <c r="J164" s="17"/>
    </row>
    <row r="165" spans="2:14" x14ac:dyDescent="0.2">
      <c r="B165" s="5" t="s">
        <v>8</v>
      </c>
      <c r="C165" s="6">
        <v>109</v>
      </c>
      <c r="D165" s="6">
        <v>105</v>
      </c>
      <c r="E165" s="2">
        <f t="shared" si="48"/>
        <v>4</v>
      </c>
      <c r="F165" s="3">
        <f t="shared" si="49"/>
        <v>0.96330275229357798</v>
      </c>
      <c r="G165" s="2">
        <v>3</v>
      </c>
      <c r="H165" s="4">
        <f t="shared" si="50"/>
        <v>35</v>
      </c>
      <c r="I165" s="10">
        <v>45917</v>
      </c>
      <c r="J165" s="17">
        <v>5</v>
      </c>
    </row>
    <row r="166" spans="2:14" x14ac:dyDescent="0.2">
      <c r="B166" s="1" t="s">
        <v>9</v>
      </c>
      <c r="C166" s="2">
        <v>29</v>
      </c>
      <c r="D166" s="2">
        <v>21</v>
      </c>
      <c r="E166" s="2">
        <f t="shared" si="48"/>
        <v>8</v>
      </c>
      <c r="F166" s="3">
        <f t="shared" si="49"/>
        <v>0.72413793103448276</v>
      </c>
      <c r="G166" s="2">
        <v>7</v>
      </c>
      <c r="H166" s="4">
        <f t="shared" si="50"/>
        <v>3</v>
      </c>
      <c r="I166" s="10">
        <v>45917</v>
      </c>
      <c r="J166" s="17"/>
    </row>
    <row r="167" spans="2:14" x14ac:dyDescent="0.2">
      <c r="B167" s="5" t="s">
        <v>10</v>
      </c>
      <c r="C167" s="6">
        <v>207</v>
      </c>
      <c r="D167" s="6">
        <v>172</v>
      </c>
      <c r="E167" s="2">
        <f t="shared" si="48"/>
        <v>35</v>
      </c>
      <c r="F167" s="3">
        <f t="shared" si="49"/>
        <v>0.83091787439613529</v>
      </c>
      <c r="G167" s="6">
        <v>10</v>
      </c>
      <c r="H167" s="4">
        <f t="shared" si="50"/>
        <v>17.2</v>
      </c>
      <c r="I167" s="10">
        <v>45917</v>
      </c>
      <c r="J167" s="17"/>
    </row>
    <row r="168" spans="2:14" x14ac:dyDescent="0.2">
      <c r="B168" s="1" t="s">
        <v>11</v>
      </c>
      <c r="C168" s="2">
        <v>290</v>
      </c>
      <c r="D168" s="2">
        <v>255</v>
      </c>
      <c r="E168" s="2">
        <f t="shared" si="48"/>
        <v>35</v>
      </c>
      <c r="F168" s="3">
        <f t="shared" si="49"/>
        <v>0.87931034482758619</v>
      </c>
      <c r="G168" s="6">
        <v>8</v>
      </c>
      <c r="H168" s="4">
        <f t="shared" si="50"/>
        <v>31.875</v>
      </c>
      <c r="I168" s="10">
        <v>45917</v>
      </c>
      <c r="J168" s="17"/>
    </row>
    <row r="169" spans="2:14" x14ac:dyDescent="0.2">
      <c r="B169" s="5" t="s">
        <v>12</v>
      </c>
      <c r="C169" s="2">
        <v>70</v>
      </c>
      <c r="D169" s="6">
        <v>67</v>
      </c>
      <c r="E169" s="2">
        <f t="shared" si="48"/>
        <v>3</v>
      </c>
      <c r="F169" s="3">
        <f t="shared" si="49"/>
        <v>0.95714285714285718</v>
      </c>
      <c r="G169" s="6">
        <v>15</v>
      </c>
      <c r="H169" s="4">
        <f t="shared" si="50"/>
        <v>4.4666666666666668</v>
      </c>
      <c r="I169" s="10">
        <v>45917</v>
      </c>
      <c r="J169" s="17">
        <v>1</v>
      </c>
    </row>
    <row r="170" spans="2:14" x14ac:dyDescent="0.2">
      <c r="B170" s="1" t="s">
        <v>7</v>
      </c>
      <c r="C170" s="2">
        <v>129</v>
      </c>
      <c r="D170" s="2">
        <v>113</v>
      </c>
      <c r="E170" s="2">
        <f t="shared" ref="E170:E175" si="51">C170-D170</f>
        <v>16</v>
      </c>
      <c r="F170" s="3">
        <f t="shared" ref="F170:F175" si="52">D170/C170</f>
        <v>0.87596899224806202</v>
      </c>
      <c r="G170" s="2">
        <v>2</v>
      </c>
      <c r="H170" s="4">
        <f t="shared" ref="H170:H175" si="53">D170/G170</f>
        <v>56.5</v>
      </c>
      <c r="I170" s="10">
        <v>45918</v>
      </c>
      <c r="J170" s="17"/>
      <c r="K170" s="17"/>
      <c r="L170" s="17"/>
      <c r="M170" s="17">
        <v>10</v>
      </c>
    </row>
    <row r="171" spans="2:14" x14ac:dyDescent="0.2">
      <c r="B171" s="5" t="s">
        <v>8</v>
      </c>
      <c r="C171" s="6">
        <v>109</v>
      </c>
      <c r="D171" s="6">
        <v>105</v>
      </c>
      <c r="E171" s="2">
        <f t="shared" si="51"/>
        <v>4</v>
      </c>
      <c r="F171" s="3">
        <f t="shared" si="52"/>
        <v>0.96330275229357798</v>
      </c>
      <c r="G171" s="2">
        <v>2</v>
      </c>
      <c r="H171" s="4">
        <f t="shared" si="53"/>
        <v>52.5</v>
      </c>
      <c r="I171" s="10">
        <v>45918</v>
      </c>
      <c r="J171" s="17">
        <v>1</v>
      </c>
      <c r="K171" s="17"/>
      <c r="L171" s="17"/>
      <c r="M171" s="17"/>
    </row>
    <row r="172" spans="2:14" x14ac:dyDescent="0.2">
      <c r="B172" s="1" t="s">
        <v>9</v>
      </c>
      <c r="C172" s="2">
        <v>29</v>
      </c>
      <c r="D172" s="2">
        <v>24</v>
      </c>
      <c r="E172" s="2">
        <f t="shared" si="51"/>
        <v>5</v>
      </c>
      <c r="F172" s="3">
        <f t="shared" si="52"/>
        <v>0.82758620689655171</v>
      </c>
      <c r="G172" s="2">
        <v>4</v>
      </c>
      <c r="H172" s="4">
        <f t="shared" si="53"/>
        <v>6</v>
      </c>
      <c r="I172" s="10">
        <v>45918</v>
      </c>
      <c r="J172" s="17"/>
      <c r="K172" s="17"/>
      <c r="L172" s="17"/>
      <c r="M172" s="17"/>
    </row>
    <row r="173" spans="2:14" x14ac:dyDescent="0.2">
      <c r="B173" s="5" t="s">
        <v>10</v>
      </c>
      <c r="C173" s="6">
        <v>207</v>
      </c>
      <c r="D173" s="6">
        <v>179</v>
      </c>
      <c r="E173" s="2">
        <f t="shared" si="51"/>
        <v>28</v>
      </c>
      <c r="F173" s="3">
        <f t="shared" si="52"/>
        <v>0.86473429951690817</v>
      </c>
      <c r="G173" s="6">
        <v>10</v>
      </c>
      <c r="H173" s="4">
        <f t="shared" si="53"/>
        <v>17.899999999999999</v>
      </c>
      <c r="I173" s="10">
        <v>45918</v>
      </c>
      <c r="J173" s="17">
        <v>10</v>
      </c>
      <c r="K173" s="17"/>
      <c r="L173" s="17"/>
      <c r="M173" s="17"/>
    </row>
    <row r="174" spans="2:14" x14ac:dyDescent="0.2">
      <c r="B174" s="1" t="s">
        <v>11</v>
      </c>
      <c r="C174" s="2">
        <v>278</v>
      </c>
      <c r="D174" s="2">
        <v>255</v>
      </c>
      <c r="E174" s="2">
        <f t="shared" si="51"/>
        <v>23</v>
      </c>
      <c r="F174" s="3">
        <f t="shared" si="52"/>
        <v>0.91726618705035967</v>
      </c>
      <c r="G174" s="6">
        <v>8</v>
      </c>
      <c r="H174" s="4">
        <f t="shared" si="53"/>
        <v>31.875</v>
      </c>
      <c r="I174" s="10">
        <v>45918</v>
      </c>
      <c r="J174" s="17"/>
      <c r="K174" s="17">
        <v>7</v>
      </c>
      <c r="L174" s="17"/>
      <c r="M174" s="17"/>
    </row>
    <row r="175" spans="2:14" x14ac:dyDescent="0.2">
      <c r="B175" s="5" t="s">
        <v>12</v>
      </c>
      <c r="C175" s="2">
        <v>70</v>
      </c>
      <c r="D175" s="6">
        <v>70</v>
      </c>
      <c r="E175" s="2">
        <f t="shared" si="51"/>
        <v>0</v>
      </c>
      <c r="F175" s="3">
        <f t="shared" si="52"/>
        <v>1</v>
      </c>
      <c r="G175" s="6">
        <v>14</v>
      </c>
      <c r="H175" s="4">
        <f t="shared" si="53"/>
        <v>5</v>
      </c>
      <c r="I175" s="10">
        <v>45918</v>
      </c>
      <c r="J175" s="17"/>
      <c r="K175" s="17"/>
      <c r="L175" s="17"/>
      <c r="M175" s="17"/>
    </row>
    <row r="176" spans="2:14" x14ac:dyDescent="0.2">
      <c r="B176" s="5" t="s">
        <v>17</v>
      </c>
      <c r="C176" s="2">
        <v>269</v>
      </c>
      <c r="D176" s="6">
        <v>269</v>
      </c>
      <c r="E176" s="2">
        <f t="shared" ref="E176:E182" si="54">C176-D176</f>
        <v>0</v>
      </c>
      <c r="F176" s="3">
        <f t="shared" ref="F176:F182" si="55">D176/C176</f>
        <v>1</v>
      </c>
      <c r="G176" s="6">
        <v>5</v>
      </c>
      <c r="H176" s="4">
        <f t="shared" ref="H176:H182" si="56">D176/G176</f>
        <v>53.8</v>
      </c>
      <c r="I176" s="10">
        <v>45918</v>
      </c>
      <c r="K176" s="17"/>
      <c r="L176" s="17">
        <v>9</v>
      </c>
      <c r="M176" s="17"/>
      <c r="N176">
        <v>19</v>
      </c>
    </row>
    <row r="177" spans="2:14" x14ac:dyDescent="0.2">
      <c r="B177" s="1" t="s">
        <v>7</v>
      </c>
      <c r="C177" s="2">
        <v>241</v>
      </c>
      <c r="D177" s="2">
        <v>240</v>
      </c>
      <c r="E177" s="2">
        <f t="shared" si="54"/>
        <v>1</v>
      </c>
      <c r="F177" s="3">
        <f t="shared" si="55"/>
        <v>0.99585062240663902</v>
      </c>
      <c r="G177" s="2">
        <v>2</v>
      </c>
      <c r="H177" s="4">
        <f t="shared" si="56"/>
        <v>120</v>
      </c>
      <c r="I177" s="10">
        <v>45919</v>
      </c>
      <c r="J177" s="17"/>
      <c r="K177" s="17"/>
      <c r="L177" s="17"/>
      <c r="M177" s="17">
        <v>8</v>
      </c>
    </row>
    <row r="178" spans="2:14" x14ac:dyDescent="0.2">
      <c r="B178" s="5" t="s">
        <v>8</v>
      </c>
      <c r="C178" s="6">
        <v>163</v>
      </c>
      <c r="D178" s="6">
        <v>142</v>
      </c>
      <c r="E178" s="2">
        <f t="shared" si="54"/>
        <v>21</v>
      </c>
      <c r="F178" s="3">
        <f t="shared" si="55"/>
        <v>0.87116564417177911</v>
      </c>
      <c r="G178" s="2">
        <v>5</v>
      </c>
      <c r="H178" s="4">
        <f t="shared" si="56"/>
        <v>28.4</v>
      </c>
      <c r="I178" s="10">
        <v>45919</v>
      </c>
      <c r="J178" s="17">
        <v>3</v>
      </c>
      <c r="K178" s="17"/>
      <c r="L178" s="17"/>
      <c r="M178" s="17"/>
    </row>
    <row r="179" spans="2:14" x14ac:dyDescent="0.2">
      <c r="B179" s="1" t="s">
        <v>9</v>
      </c>
      <c r="C179" s="2">
        <v>23</v>
      </c>
      <c r="D179" s="2">
        <v>12</v>
      </c>
      <c r="E179" s="2">
        <f t="shared" si="54"/>
        <v>11</v>
      </c>
      <c r="F179" s="3">
        <f t="shared" si="55"/>
        <v>0.52173913043478259</v>
      </c>
      <c r="G179" s="2">
        <v>4</v>
      </c>
      <c r="H179" s="4">
        <f t="shared" si="56"/>
        <v>3</v>
      </c>
      <c r="I179" s="10">
        <v>45919</v>
      </c>
      <c r="J179" s="17"/>
      <c r="K179" s="17"/>
      <c r="L179" s="17"/>
      <c r="M179" s="17"/>
    </row>
    <row r="180" spans="2:14" x14ac:dyDescent="0.2">
      <c r="B180" s="5" t="s">
        <v>10</v>
      </c>
      <c r="C180" s="6">
        <v>297</v>
      </c>
      <c r="D180" s="6">
        <v>0</v>
      </c>
      <c r="E180" s="2">
        <f t="shared" si="54"/>
        <v>297</v>
      </c>
      <c r="F180" s="3">
        <f t="shared" si="55"/>
        <v>0</v>
      </c>
      <c r="G180" s="6">
        <v>10</v>
      </c>
      <c r="H180" s="4">
        <f t="shared" si="56"/>
        <v>0</v>
      </c>
      <c r="I180" s="10">
        <v>45919</v>
      </c>
      <c r="J180" s="17"/>
      <c r="K180" s="17"/>
      <c r="L180" s="17"/>
      <c r="M180" s="17"/>
    </row>
    <row r="181" spans="2:14" x14ac:dyDescent="0.2">
      <c r="B181" s="1" t="s">
        <v>11</v>
      </c>
      <c r="C181" s="2">
        <v>256</v>
      </c>
      <c r="D181" s="2">
        <v>220</v>
      </c>
      <c r="E181" s="2">
        <f t="shared" si="54"/>
        <v>36</v>
      </c>
      <c r="F181" s="3">
        <f t="shared" si="55"/>
        <v>0.859375</v>
      </c>
      <c r="G181" s="6">
        <v>8</v>
      </c>
      <c r="H181" s="4">
        <f t="shared" si="56"/>
        <v>27.5</v>
      </c>
      <c r="I181" s="10">
        <v>45919</v>
      </c>
      <c r="J181" s="17"/>
      <c r="K181" s="17">
        <v>9</v>
      </c>
      <c r="L181" s="17"/>
      <c r="M181" s="17"/>
    </row>
    <row r="182" spans="2:14" x14ac:dyDescent="0.2">
      <c r="B182" s="5" t="s">
        <v>12</v>
      </c>
      <c r="C182" s="2">
        <v>29</v>
      </c>
      <c r="D182" s="6">
        <v>29</v>
      </c>
      <c r="E182" s="2">
        <f t="shared" si="54"/>
        <v>0</v>
      </c>
      <c r="F182" s="3">
        <f t="shared" si="55"/>
        <v>1</v>
      </c>
      <c r="G182" s="6">
        <v>16</v>
      </c>
      <c r="H182" s="4">
        <f t="shared" si="56"/>
        <v>1.8125</v>
      </c>
      <c r="I182" s="10">
        <v>45919</v>
      </c>
      <c r="J182" s="17"/>
      <c r="K182" s="17"/>
      <c r="L182" s="17"/>
      <c r="M182" s="17"/>
    </row>
    <row r="183" spans="2:14" x14ac:dyDescent="0.2">
      <c r="B183" s="5" t="s">
        <v>17</v>
      </c>
      <c r="C183" s="2">
        <v>446</v>
      </c>
      <c r="D183" s="6">
        <v>164</v>
      </c>
      <c r="E183" s="2">
        <f t="shared" ref="E183:E189" si="57">C183-D183</f>
        <v>282</v>
      </c>
      <c r="F183" s="3">
        <f t="shared" ref="F183:F189" si="58">D183/C183</f>
        <v>0.36771300448430494</v>
      </c>
      <c r="G183" s="6">
        <v>5</v>
      </c>
      <c r="H183" s="4">
        <f t="shared" ref="H183:H189" si="59">D183/G183</f>
        <v>32.799999999999997</v>
      </c>
      <c r="I183" s="10">
        <v>45919</v>
      </c>
      <c r="K183" s="17"/>
      <c r="L183" s="17">
        <v>9</v>
      </c>
      <c r="M183" s="17"/>
      <c r="N183">
        <v>29</v>
      </c>
    </row>
    <row r="184" spans="2:14" x14ac:dyDescent="0.2">
      <c r="B184" s="1" t="s">
        <v>7</v>
      </c>
      <c r="C184" s="2">
        <v>135</v>
      </c>
      <c r="D184" s="2">
        <v>135</v>
      </c>
      <c r="E184" s="2">
        <f t="shared" si="57"/>
        <v>0</v>
      </c>
      <c r="F184" s="3">
        <f t="shared" si="58"/>
        <v>1</v>
      </c>
      <c r="G184" s="2">
        <v>2</v>
      </c>
      <c r="H184" s="4">
        <f t="shared" si="59"/>
        <v>67.5</v>
      </c>
      <c r="I184" s="10">
        <v>45922</v>
      </c>
      <c r="J184" s="17">
        <v>3</v>
      </c>
      <c r="K184" s="17"/>
      <c r="L184" s="17"/>
      <c r="M184" s="17">
        <v>8</v>
      </c>
    </row>
    <row r="185" spans="2:14" x14ac:dyDescent="0.2">
      <c r="B185" s="5" t="s">
        <v>8</v>
      </c>
      <c r="C185" s="6">
        <v>221</v>
      </c>
      <c r="D185" s="6">
        <v>203</v>
      </c>
      <c r="E185" s="2">
        <f t="shared" si="57"/>
        <v>18</v>
      </c>
      <c r="F185" s="3">
        <f t="shared" si="58"/>
        <v>0.91855203619909498</v>
      </c>
      <c r="G185" s="2">
        <v>4</v>
      </c>
      <c r="H185" s="4">
        <f t="shared" si="59"/>
        <v>50.75</v>
      </c>
      <c r="I185" s="10">
        <v>45922</v>
      </c>
      <c r="J185" s="17"/>
      <c r="K185" s="17"/>
      <c r="L185" s="17"/>
      <c r="M185" s="17"/>
    </row>
    <row r="186" spans="2:14" x14ac:dyDescent="0.2">
      <c r="B186" s="1" t="s">
        <v>9</v>
      </c>
      <c r="C186" s="2">
        <v>28</v>
      </c>
      <c r="D186" s="2">
        <v>28</v>
      </c>
      <c r="E186" s="2">
        <f t="shared" si="57"/>
        <v>0</v>
      </c>
      <c r="F186" s="3">
        <f t="shared" si="58"/>
        <v>1</v>
      </c>
      <c r="G186" s="2">
        <v>6</v>
      </c>
      <c r="H186" s="4">
        <f t="shared" si="59"/>
        <v>4.666666666666667</v>
      </c>
      <c r="I186" s="10">
        <v>45922</v>
      </c>
      <c r="J186" s="17"/>
      <c r="K186" s="17"/>
      <c r="L186" s="17"/>
      <c r="M186" s="17"/>
    </row>
    <row r="187" spans="2:14" x14ac:dyDescent="0.2">
      <c r="B187" s="5" t="s">
        <v>10</v>
      </c>
      <c r="C187" s="6">
        <v>218</v>
      </c>
      <c r="D187" s="6">
        <v>183</v>
      </c>
      <c r="E187" s="2">
        <f t="shared" si="57"/>
        <v>35</v>
      </c>
      <c r="F187" s="3">
        <f t="shared" si="58"/>
        <v>0.83944954128440363</v>
      </c>
      <c r="G187" s="6">
        <v>11</v>
      </c>
      <c r="H187" s="4">
        <f t="shared" si="59"/>
        <v>16.636363636363637</v>
      </c>
      <c r="I187" s="10">
        <v>45922</v>
      </c>
      <c r="J187" s="17">
        <v>3</v>
      </c>
      <c r="K187" s="17"/>
      <c r="L187" s="17"/>
      <c r="M187" s="17"/>
    </row>
    <row r="188" spans="2:14" x14ac:dyDescent="0.2">
      <c r="B188" s="1" t="s">
        <v>11</v>
      </c>
      <c r="C188" s="2">
        <v>303</v>
      </c>
      <c r="D188" s="2">
        <v>208</v>
      </c>
      <c r="E188" s="2">
        <f t="shared" si="57"/>
        <v>95</v>
      </c>
      <c r="F188" s="3">
        <f t="shared" si="58"/>
        <v>0.68646864686468645</v>
      </c>
      <c r="G188" s="6">
        <v>8</v>
      </c>
      <c r="H188" s="4">
        <f t="shared" si="59"/>
        <v>26</v>
      </c>
      <c r="I188" s="10">
        <v>45922</v>
      </c>
      <c r="J188" s="17">
        <v>3</v>
      </c>
      <c r="K188" s="17">
        <v>10</v>
      </c>
      <c r="L188" s="17"/>
      <c r="M188" s="17"/>
    </row>
    <row r="189" spans="2:14" x14ac:dyDescent="0.2">
      <c r="B189" s="5" t="s">
        <v>12</v>
      </c>
      <c r="C189" s="2">
        <v>10</v>
      </c>
      <c r="D189" s="6">
        <v>10</v>
      </c>
      <c r="E189" s="2">
        <f t="shared" si="57"/>
        <v>0</v>
      </c>
      <c r="F189" s="3">
        <f t="shared" si="58"/>
        <v>1</v>
      </c>
      <c r="G189" s="6">
        <v>16</v>
      </c>
      <c r="H189" s="4">
        <f t="shared" si="59"/>
        <v>0.625</v>
      </c>
      <c r="I189" s="10">
        <v>45922</v>
      </c>
      <c r="J189" s="17"/>
      <c r="K189" s="17"/>
      <c r="L189" s="17"/>
      <c r="M189" s="17"/>
    </row>
    <row r="190" spans="2:14" x14ac:dyDescent="0.2">
      <c r="B190" s="5" t="s">
        <v>17</v>
      </c>
      <c r="C190" s="2">
        <v>1263</v>
      </c>
      <c r="D190" s="6">
        <v>1209</v>
      </c>
      <c r="E190" s="2">
        <f t="shared" ref="E190:E196" si="60">C190-D190</f>
        <v>54</v>
      </c>
      <c r="F190" s="3">
        <f t="shared" ref="F190:F196" si="61">D190/C190</f>
        <v>0.95724465558194771</v>
      </c>
      <c r="G190" s="6">
        <v>6</v>
      </c>
      <c r="H190" s="4">
        <f t="shared" ref="H190:H196" si="62">D190/G190</f>
        <v>201.5</v>
      </c>
      <c r="I190" s="10">
        <v>45922</v>
      </c>
      <c r="K190" s="17"/>
      <c r="L190" s="17">
        <v>8</v>
      </c>
      <c r="M190" s="17"/>
      <c r="N190">
        <v>24</v>
      </c>
    </row>
    <row r="191" spans="2:14" x14ac:dyDescent="0.2">
      <c r="B191" s="1" t="s">
        <v>7</v>
      </c>
      <c r="C191" s="2">
        <v>850</v>
      </c>
      <c r="D191" s="2">
        <v>849</v>
      </c>
      <c r="E191" s="2">
        <f t="shared" si="60"/>
        <v>1</v>
      </c>
      <c r="F191" s="3">
        <f t="shared" si="61"/>
        <v>0.99882352941176467</v>
      </c>
      <c r="G191" s="2">
        <v>4</v>
      </c>
      <c r="H191" s="4">
        <f t="shared" si="62"/>
        <v>212.25</v>
      </c>
      <c r="I191" s="10">
        <v>45923</v>
      </c>
      <c r="J191" s="17"/>
      <c r="K191" s="17"/>
      <c r="L191" s="17"/>
      <c r="M191" s="17">
        <v>7</v>
      </c>
    </row>
    <row r="192" spans="2:14" x14ac:dyDescent="0.2">
      <c r="B192" s="5" t="s">
        <v>8</v>
      </c>
      <c r="C192" s="6">
        <v>90</v>
      </c>
      <c r="D192" s="6">
        <v>74</v>
      </c>
      <c r="E192" s="2">
        <f t="shared" si="60"/>
        <v>16</v>
      </c>
      <c r="F192" s="3">
        <f t="shared" si="61"/>
        <v>0.82222222222222219</v>
      </c>
      <c r="G192" s="2">
        <v>4</v>
      </c>
      <c r="H192" s="4">
        <f t="shared" si="62"/>
        <v>18.5</v>
      </c>
      <c r="I192" s="10">
        <v>45923</v>
      </c>
      <c r="J192" s="17">
        <v>5</v>
      </c>
      <c r="K192" s="17"/>
      <c r="L192" s="17"/>
      <c r="M192" s="17"/>
    </row>
    <row r="193" spans="2:14" x14ac:dyDescent="0.2">
      <c r="B193" s="1" t="s">
        <v>9</v>
      </c>
      <c r="C193" s="2">
        <v>56</v>
      </c>
      <c r="D193" s="2">
        <v>56</v>
      </c>
      <c r="E193" s="2">
        <f t="shared" si="60"/>
        <v>0</v>
      </c>
      <c r="F193" s="3">
        <f t="shared" si="61"/>
        <v>1</v>
      </c>
      <c r="G193" s="2">
        <v>5</v>
      </c>
      <c r="H193" s="4">
        <f t="shared" si="62"/>
        <v>11.2</v>
      </c>
      <c r="I193" s="10">
        <v>45923</v>
      </c>
      <c r="J193" s="17"/>
      <c r="K193" s="17"/>
      <c r="L193" s="17"/>
      <c r="M193" s="17"/>
    </row>
    <row r="194" spans="2:14" x14ac:dyDescent="0.2">
      <c r="B194" s="5" t="s">
        <v>10</v>
      </c>
      <c r="C194" s="6">
        <v>131</v>
      </c>
      <c r="D194" s="6">
        <v>131</v>
      </c>
      <c r="E194" s="2">
        <f t="shared" si="60"/>
        <v>0</v>
      </c>
      <c r="F194" s="3">
        <f t="shared" si="61"/>
        <v>1</v>
      </c>
      <c r="G194" s="6">
        <v>11</v>
      </c>
      <c r="H194" s="4">
        <f t="shared" si="62"/>
        <v>11.909090909090908</v>
      </c>
      <c r="I194" s="10">
        <v>45923</v>
      </c>
      <c r="J194" s="17"/>
      <c r="K194" s="17"/>
      <c r="L194" s="17"/>
      <c r="M194" s="17"/>
    </row>
    <row r="195" spans="2:14" x14ac:dyDescent="0.2">
      <c r="B195" s="1" t="s">
        <v>11</v>
      </c>
      <c r="C195" s="2">
        <v>406</v>
      </c>
      <c r="D195" s="2">
        <v>335</v>
      </c>
      <c r="E195" s="2">
        <f t="shared" si="60"/>
        <v>71</v>
      </c>
      <c r="F195" s="3">
        <f t="shared" si="61"/>
        <v>0.82512315270935965</v>
      </c>
      <c r="G195" s="6">
        <v>8</v>
      </c>
      <c r="H195" s="4">
        <f t="shared" si="62"/>
        <v>41.875</v>
      </c>
      <c r="I195" s="10">
        <v>45923</v>
      </c>
      <c r="J195" s="17"/>
      <c r="K195" s="17">
        <v>10</v>
      </c>
      <c r="L195" s="17"/>
      <c r="M195" s="17"/>
    </row>
    <row r="196" spans="2:14" x14ac:dyDescent="0.2">
      <c r="B196" s="5" t="s">
        <v>12</v>
      </c>
      <c r="C196" s="2">
        <v>14</v>
      </c>
      <c r="D196" s="6">
        <v>14</v>
      </c>
      <c r="E196" s="2">
        <f t="shared" si="60"/>
        <v>0</v>
      </c>
      <c r="F196" s="3">
        <f t="shared" si="61"/>
        <v>1</v>
      </c>
      <c r="G196" s="6">
        <v>16</v>
      </c>
      <c r="H196" s="4">
        <f t="shared" si="62"/>
        <v>0.875</v>
      </c>
      <c r="I196" s="10">
        <v>45923</v>
      </c>
      <c r="J196" s="17">
        <v>1</v>
      </c>
      <c r="K196" s="17"/>
      <c r="L196" s="17"/>
      <c r="M196" s="17"/>
    </row>
    <row r="197" spans="2:14" x14ac:dyDescent="0.2">
      <c r="B197" s="5" t="s">
        <v>17</v>
      </c>
      <c r="C197" s="2">
        <v>846</v>
      </c>
      <c r="D197" s="6">
        <v>668</v>
      </c>
      <c r="E197" s="2">
        <f t="shared" ref="E197:E203" si="63">C197-D197</f>
        <v>178</v>
      </c>
      <c r="F197" s="3">
        <f t="shared" ref="F197:F203" si="64">D197/C197</f>
        <v>0.78959810874704495</v>
      </c>
      <c r="G197" s="6">
        <v>5</v>
      </c>
      <c r="H197" s="4">
        <f t="shared" ref="H197:H203" si="65">D197/G197</f>
        <v>133.6</v>
      </c>
      <c r="I197" s="10">
        <v>45923</v>
      </c>
      <c r="K197" s="17"/>
      <c r="L197" s="17">
        <v>15</v>
      </c>
      <c r="M197" s="17"/>
      <c r="N197">
        <v>30</v>
      </c>
    </row>
    <row r="198" spans="2:14" x14ac:dyDescent="0.2">
      <c r="B198" s="1" t="s">
        <v>7</v>
      </c>
      <c r="C198" s="2">
        <v>737</v>
      </c>
      <c r="D198" s="2">
        <v>702</v>
      </c>
      <c r="E198" s="2">
        <f t="shared" si="63"/>
        <v>35</v>
      </c>
      <c r="F198" s="3">
        <f t="shared" si="64"/>
        <v>0.9525101763907734</v>
      </c>
      <c r="G198" s="2">
        <v>4</v>
      </c>
      <c r="H198" s="4">
        <f t="shared" si="65"/>
        <v>175.5</v>
      </c>
      <c r="I198" s="10">
        <v>45924</v>
      </c>
      <c r="J198" s="17">
        <v>1</v>
      </c>
      <c r="K198" s="17"/>
      <c r="L198" s="17"/>
      <c r="M198" s="17">
        <v>13</v>
      </c>
    </row>
    <row r="199" spans="2:14" x14ac:dyDescent="0.2">
      <c r="B199" s="5" t="s">
        <v>8</v>
      </c>
      <c r="C199" s="6">
        <v>1052</v>
      </c>
      <c r="D199" s="6">
        <v>827</v>
      </c>
      <c r="E199" s="2">
        <f t="shared" si="63"/>
        <v>225</v>
      </c>
      <c r="F199" s="3">
        <f t="shared" si="64"/>
        <v>0.78612167300380231</v>
      </c>
      <c r="G199" s="2">
        <v>6</v>
      </c>
      <c r="H199" s="4">
        <f t="shared" si="65"/>
        <v>137.83333333333334</v>
      </c>
      <c r="I199" s="10">
        <v>45924</v>
      </c>
      <c r="J199" s="17">
        <v>3</v>
      </c>
      <c r="K199" s="17"/>
      <c r="L199" s="17"/>
      <c r="M199" s="17"/>
    </row>
    <row r="200" spans="2:14" x14ac:dyDescent="0.2">
      <c r="B200" s="1" t="s">
        <v>9</v>
      </c>
      <c r="C200" s="2">
        <v>28</v>
      </c>
      <c r="D200" s="2">
        <v>24</v>
      </c>
      <c r="E200" s="2">
        <f t="shared" si="63"/>
        <v>4</v>
      </c>
      <c r="F200" s="3">
        <f t="shared" si="64"/>
        <v>0.8571428571428571</v>
      </c>
      <c r="G200" s="2">
        <v>5</v>
      </c>
      <c r="H200" s="4">
        <f t="shared" si="65"/>
        <v>4.8</v>
      </c>
      <c r="I200" s="10">
        <v>45924</v>
      </c>
      <c r="J200" s="17"/>
      <c r="K200" s="17"/>
      <c r="L200" s="17"/>
      <c r="M200" s="17"/>
    </row>
    <row r="201" spans="2:14" x14ac:dyDescent="0.2">
      <c r="B201" s="5" t="s">
        <v>10</v>
      </c>
      <c r="C201" s="6">
        <v>398</v>
      </c>
      <c r="D201" s="6">
        <v>322</v>
      </c>
      <c r="E201" s="2">
        <f t="shared" si="63"/>
        <v>76</v>
      </c>
      <c r="F201" s="3">
        <f t="shared" si="64"/>
        <v>0.80904522613065322</v>
      </c>
      <c r="G201" s="6">
        <v>11</v>
      </c>
      <c r="H201" s="4">
        <f t="shared" si="65"/>
        <v>29.272727272727273</v>
      </c>
      <c r="I201" s="10">
        <v>45924</v>
      </c>
      <c r="J201" s="17"/>
      <c r="K201" s="17"/>
      <c r="L201" s="17"/>
      <c r="M201" s="17"/>
    </row>
    <row r="202" spans="2:14" x14ac:dyDescent="0.2">
      <c r="B202" s="1" t="s">
        <v>11</v>
      </c>
      <c r="C202" s="2">
        <v>230</v>
      </c>
      <c r="D202" s="2">
        <v>198</v>
      </c>
      <c r="E202" s="2">
        <f t="shared" si="63"/>
        <v>32</v>
      </c>
      <c r="F202" s="3">
        <f t="shared" si="64"/>
        <v>0.86086956521739133</v>
      </c>
      <c r="G202" s="6">
        <v>8</v>
      </c>
      <c r="H202" s="4">
        <f t="shared" si="65"/>
        <v>24.75</v>
      </c>
      <c r="I202" s="10">
        <v>45924</v>
      </c>
      <c r="J202" s="17"/>
      <c r="K202" s="17">
        <v>7</v>
      </c>
      <c r="L202" s="17"/>
      <c r="M202" s="17"/>
    </row>
    <row r="203" spans="2:14" x14ac:dyDescent="0.2">
      <c r="B203" s="5" t="s">
        <v>12</v>
      </c>
      <c r="C203" s="2">
        <v>95</v>
      </c>
      <c r="D203" s="6">
        <v>91</v>
      </c>
      <c r="E203" s="2">
        <f t="shared" si="63"/>
        <v>4</v>
      </c>
      <c r="F203" s="3">
        <f t="shared" si="64"/>
        <v>0.95789473684210524</v>
      </c>
      <c r="G203" s="6">
        <v>16</v>
      </c>
      <c r="H203" s="4">
        <f t="shared" si="65"/>
        <v>5.6875</v>
      </c>
      <c r="I203" s="10">
        <v>45924</v>
      </c>
      <c r="J203" s="17"/>
      <c r="K203" s="17"/>
      <c r="L203" s="17"/>
      <c r="M203" s="17"/>
    </row>
    <row r="204" spans="2:14" x14ac:dyDescent="0.2">
      <c r="B204" s="5" t="s">
        <v>17</v>
      </c>
      <c r="C204" s="2">
        <v>317</v>
      </c>
      <c r="D204" s="6">
        <v>309</v>
      </c>
      <c r="E204" s="2">
        <f t="shared" ref="E204:E210" si="66">C204-D204</f>
        <v>8</v>
      </c>
      <c r="F204" s="3">
        <f t="shared" ref="F204:F210" si="67">D204/C204</f>
        <v>0.97476340694006314</v>
      </c>
      <c r="G204" s="6">
        <v>5</v>
      </c>
      <c r="H204" s="4">
        <f t="shared" ref="H204:H210" si="68">D204/G204</f>
        <v>61.8</v>
      </c>
      <c r="I204" s="10">
        <v>45924</v>
      </c>
      <c r="K204" s="17"/>
      <c r="L204" s="17">
        <v>9</v>
      </c>
      <c r="M204" s="17"/>
      <c r="N204">
        <v>36</v>
      </c>
    </row>
    <row r="205" spans="2:14" x14ac:dyDescent="0.2">
      <c r="B205" s="1" t="s">
        <v>7</v>
      </c>
      <c r="C205" s="2">
        <v>274</v>
      </c>
      <c r="D205" s="2">
        <v>269</v>
      </c>
      <c r="E205" s="2">
        <f t="shared" si="66"/>
        <v>5</v>
      </c>
      <c r="F205" s="3">
        <f t="shared" si="67"/>
        <v>0.98175182481751821</v>
      </c>
      <c r="G205" s="2">
        <v>4</v>
      </c>
      <c r="H205" s="4">
        <f t="shared" si="68"/>
        <v>67.25</v>
      </c>
      <c r="I205" s="10">
        <v>45925</v>
      </c>
      <c r="J205" s="17">
        <v>3</v>
      </c>
      <c r="K205" s="17"/>
      <c r="L205" s="17"/>
      <c r="M205" s="17">
        <v>9</v>
      </c>
    </row>
    <row r="206" spans="2:14" x14ac:dyDescent="0.2">
      <c r="B206" s="5" t="s">
        <v>8</v>
      </c>
      <c r="C206" s="6">
        <v>755</v>
      </c>
      <c r="D206" s="6">
        <v>691</v>
      </c>
      <c r="E206" s="2">
        <f t="shared" si="66"/>
        <v>64</v>
      </c>
      <c r="F206" s="3">
        <f t="shared" si="67"/>
        <v>0.91523178807947014</v>
      </c>
      <c r="G206" s="2">
        <v>5</v>
      </c>
      <c r="H206" s="4">
        <f t="shared" si="68"/>
        <v>138.19999999999999</v>
      </c>
      <c r="I206" s="10">
        <v>45925</v>
      </c>
      <c r="J206" s="17">
        <v>6</v>
      </c>
      <c r="K206" s="17"/>
      <c r="L206" s="17"/>
      <c r="M206" s="17"/>
    </row>
    <row r="207" spans="2:14" x14ac:dyDescent="0.2">
      <c r="B207" s="1" t="s">
        <v>9</v>
      </c>
      <c r="C207" s="2">
        <v>144</v>
      </c>
      <c r="D207" s="2">
        <v>105</v>
      </c>
      <c r="E207" s="2">
        <f t="shared" si="66"/>
        <v>39</v>
      </c>
      <c r="F207" s="3">
        <f t="shared" si="67"/>
        <v>0.72916666666666663</v>
      </c>
      <c r="G207" s="2">
        <v>7</v>
      </c>
      <c r="H207" s="4">
        <f t="shared" si="68"/>
        <v>15</v>
      </c>
      <c r="I207" s="10">
        <v>45925</v>
      </c>
      <c r="J207" s="17"/>
      <c r="K207" s="17"/>
      <c r="L207" s="17"/>
      <c r="M207" s="17"/>
    </row>
    <row r="208" spans="2:14" x14ac:dyDescent="0.2">
      <c r="B208" s="5" t="s">
        <v>10</v>
      </c>
      <c r="C208" s="6">
        <v>549</v>
      </c>
      <c r="D208" s="6">
        <v>0</v>
      </c>
      <c r="E208" s="2">
        <f t="shared" si="66"/>
        <v>549</v>
      </c>
      <c r="F208" s="3">
        <f t="shared" si="67"/>
        <v>0</v>
      </c>
      <c r="G208" s="6">
        <v>11</v>
      </c>
      <c r="H208" s="4">
        <f t="shared" si="68"/>
        <v>0</v>
      </c>
      <c r="I208" s="10">
        <v>45925</v>
      </c>
      <c r="J208" s="17"/>
      <c r="K208" s="17"/>
      <c r="L208" s="17"/>
      <c r="M208" s="17"/>
    </row>
    <row r="209" spans="2:14" x14ac:dyDescent="0.2">
      <c r="B209" s="1" t="s">
        <v>11</v>
      </c>
      <c r="C209" s="2">
        <v>276</v>
      </c>
      <c r="D209" s="2">
        <v>271</v>
      </c>
      <c r="E209" s="2">
        <f t="shared" si="66"/>
        <v>5</v>
      </c>
      <c r="F209" s="3">
        <f t="shared" si="67"/>
        <v>0.98188405797101452</v>
      </c>
      <c r="G209" s="6">
        <v>7</v>
      </c>
      <c r="H209" s="4">
        <f t="shared" si="68"/>
        <v>38.714285714285715</v>
      </c>
      <c r="I209" s="10">
        <v>45925</v>
      </c>
      <c r="J209" s="17">
        <v>3</v>
      </c>
      <c r="K209" s="17">
        <v>7</v>
      </c>
      <c r="L209" s="17"/>
      <c r="M209" s="17"/>
    </row>
    <row r="210" spans="2:14" x14ac:dyDescent="0.2">
      <c r="B210" s="5" t="s">
        <v>12</v>
      </c>
      <c r="C210" s="2">
        <v>144</v>
      </c>
      <c r="D210" s="6">
        <v>144</v>
      </c>
      <c r="E210" s="2">
        <f t="shared" si="66"/>
        <v>0</v>
      </c>
      <c r="F210" s="3">
        <f t="shared" si="67"/>
        <v>1</v>
      </c>
      <c r="G210" s="6">
        <v>16</v>
      </c>
      <c r="H210" s="4">
        <f t="shared" si="68"/>
        <v>9</v>
      </c>
      <c r="I210" s="10">
        <v>45925</v>
      </c>
      <c r="J210" s="17">
        <v>1</v>
      </c>
      <c r="K210" s="17"/>
      <c r="L210" s="17"/>
      <c r="M210" s="17"/>
    </row>
    <row r="211" spans="2:14" x14ac:dyDescent="0.2">
      <c r="B211" s="5" t="s">
        <v>17</v>
      </c>
      <c r="C211" s="2">
        <v>991</v>
      </c>
      <c r="D211" s="6">
        <v>973</v>
      </c>
      <c r="E211" s="2">
        <f t="shared" ref="E211:E217" si="69">C211-D211</f>
        <v>18</v>
      </c>
      <c r="F211" s="3">
        <f t="shared" ref="F211:F217" si="70">D211/C211</f>
        <v>0.98183652875882943</v>
      </c>
      <c r="G211" s="6">
        <v>6</v>
      </c>
      <c r="H211" s="4">
        <f t="shared" ref="H211:H217" si="71">D211/G211</f>
        <v>162.16666666666666</v>
      </c>
      <c r="I211" s="10">
        <v>45925</v>
      </c>
      <c r="K211" s="17"/>
      <c r="L211" s="17">
        <v>11</v>
      </c>
      <c r="M211" s="17"/>
      <c r="N211">
        <v>31</v>
      </c>
    </row>
    <row r="212" spans="2:14" x14ac:dyDescent="0.2">
      <c r="B212" s="1" t="s">
        <v>7</v>
      </c>
      <c r="C212" s="2">
        <v>975</v>
      </c>
      <c r="D212" s="2">
        <v>964</v>
      </c>
      <c r="E212" s="2">
        <f t="shared" si="69"/>
        <v>11</v>
      </c>
      <c r="F212" s="3">
        <f t="shared" si="70"/>
        <v>0.98871794871794871</v>
      </c>
      <c r="G212" s="2">
        <v>4</v>
      </c>
      <c r="H212" s="4">
        <f t="shared" si="71"/>
        <v>241</v>
      </c>
      <c r="I212" s="10">
        <v>45926</v>
      </c>
      <c r="J212" s="17">
        <v>4</v>
      </c>
      <c r="K212" s="17"/>
      <c r="L212" s="17"/>
      <c r="M212" s="17">
        <v>10</v>
      </c>
    </row>
    <row r="213" spans="2:14" x14ac:dyDescent="0.2">
      <c r="B213" s="5" t="s">
        <v>8</v>
      </c>
      <c r="C213" s="6">
        <v>262</v>
      </c>
      <c r="D213" s="6">
        <v>231</v>
      </c>
      <c r="E213" s="2">
        <f t="shared" si="69"/>
        <v>31</v>
      </c>
      <c r="F213" s="3">
        <f t="shared" si="70"/>
        <v>0.88167938931297707</v>
      </c>
      <c r="G213" s="2">
        <v>5</v>
      </c>
      <c r="H213" s="4">
        <f t="shared" si="71"/>
        <v>46.2</v>
      </c>
      <c r="I213" s="10">
        <v>45926</v>
      </c>
      <c r="J213" s="17">
        <v>2</v>
      </c>
      <c r="K213" s="17"/>
      <c r="L213" s="17"/>
      <c r="M213" s="17"/>
    </row>
    <row r="214" spans="2:14" x14ac:dyDescent="0.2">
      <c r="B214" s="1" t="s">
        <v>9</v>
      </c>
      <c r="C214" s="2">
        <v>259</v>
      </c>
      <c r="D214" s="2">
        <v>212</v>
      </c>
      <c r="E214" s="2">
        <f t="shared" si="69"/>
        <v>47</v>
      </c>
      <c r="F214" s="3">
        <f t="shared" si="70"/>
        <v>0.81853281853281856</v>
      </c>
      <c r="G214" s="2">
        <v>7</v>
      </c>
      <c r="H214" s="4">
        <f t="shared" si="71"/>
        <v>30.285714285714285</v>
      </c>
      <c r="I214" s="10">
        <v>45926</v>
      </c>
      <c r="J214" s="17"/>
      <c r="K214" s="17"/>
      <c r="L214" s="17"/>
      <c r="M214" s="17"/>
    </row>
    <row r="215" spans="2:14" x14ac:dyDescent="0.2">
      <c r="B215" s="5" t="s">
        <v>10</v>
      </c>
      <c r="C215" s="6">
        <v>1267</v>
      </c>
      <c r="D215" s="6">
        <v>0</v>
      </c>
      <c r="E215" s="2">
        <f t="shared" si="69"/>
        <v>1267</v>
      </c>
      <c r="F215" s="3">
        <f t="shared" si="70"/>
        <v>0</v>
      </c>
      <c r="G215" s="6">
        <v>11</v>
      </c>
      <c r="H215" s="4">
        <f t="shared" si="71"/>
        <v>0</v>
      </c>
      <c r="I215" s="10">
        <v>45926</v>
      </c>
      <c r="J215" s="17">
        <v>16</v>
      </c>
      <c r="K215" s="17"/>
      <c r="L215" s="17"/>
      <c r="M215" s="17"/>
    </row>
    <row r="216" spans="2:14" x14ac:dyDescent="0.2">
      <c r="B216" s="1" t="s">
        <v>11</v>
      </c>
      <c r="C216" s="2">
        <v>467</v>
      </c>
      <c r="D216" s="2">
        <v>382</v>
      </c>
      <c r="E216" s="2">
        <f t="shared" si="69"/>
        <v>85</v>
      </c>
      <c r="F216" s="3">
        <f t="shared" si="70"/>
        <v>0.8179871520342612</v>
      </c>
      <c r="G216" s="6">
        <v>7</v>
      </c>
      <c r="H216" s="4">
        <f t="shared" si="71"/>
        <v>54.571428571428569</v>
      </c>
      <c r="I216" s="10">
        <v>45926</v>
      </c>
      <c r="J216" s="17"/>
      <c r="K216" s="17">
        <v>9</v>
      </c>
      <c r="L216" s="17"/>
      <c r="M216" s="17"/>
    </row>
    <row r="217" spans="2:14" x14ac:dyDescent="0.2">
      <c r="B217" s="5" t="s">
        <v>12</v>
      </c>
      <c r="C217" s="2">
        <v>58</v>
      </c>
      <c r="D217" s="6">
        <v>52</v>
      </c>
      <c r="E217" s="2">
        <f t="shared" si="69"/>
        <v>6</v>
      </c>
      <c r="F217" s="3">
        <f t="shared" si="70"/>
        <v>0.89655172413793105</v>
      </c>
      <c r="G217" s="6">
        <v>16</v>
      </c>
      <c r="H217" s="4">
        <f t="shared" si="71"/>
        <v>3.25</v>
      </c>
      <c r="I217" s="10">
        <v>45926</v>
      </c>
      <c r="J217" s="17"/>
      <c r="K217" s="17"/>
      <c r="L217" s="17"/>
      <c r="M217" s="17"/>
    </row>
    <row r="218" spans="2:14" x14ac:dyDescent="0.2">
      <c r="B218" s="5" t="s">
        <v>17</v>
      </c>
      <c r="C218" s="2">
        <v>780</v>
      </c>
      <c r="D218" s="6">
        <v>780</v>
      </c>
      <c r="E218" s="2">
        <f t="shared" ref="E218:E224" si="72">C218-D218</f>
        <v>0</v>
      </c>
      <c r="F218" s="3">
        <f t="shared" ref="F218:F224" si="73">D218/C218</f>
        <v>1</v>
      </c>
      <c r="G218" s="6">
        <v>5</v>
      </c>
      <c r="H218" s="4">
        <f t="shared" ref="H218:H224" si="74">D218/G218</f>
        <v>156</v>
      </c>
      <c r="I218" s="10">
        <v>45926</v>
      </c>
      <c r="K218" s="17"/>
      <c r="L218" s="17">
        <v>1</v>
      </c>
      <c r="M218" s="17"/>
      <c r="N218">
        <v>4</v>
      </c>
    </row>
    <row r="219" spans="2:14" x14ac:dyDescent="0.2">
      <c r="B219" s="1" t="s">
        <v>7</v>
      </c>
      <c r="C219" s="2">
        <v>780</v>
      </c>
      <c r="D219" s="2">
        <v>780</v>
      </c>
      <c r="E219" s="2">
        <f t="shared" si="72"/>
        <v>0</v>
      </c>
      <c r="F219" s="3">
        <f t="shared" si="73"/>
        <v>1</v>
      </c>
      <c r="G219" s="2">
        <v>4</v>
      </c>
      <c r="H219" s="4">
        <f t="shared" si="74"/>
        <v>195</v>
      </c>
      <c r="I219" s="10">
        <v>45929</v>
      </c>
      <c r="J219" s="17"/>
      <c r="K219" s="17"/>
      <c r="L219" s="17"/>
      <c r="M219" s="17">
        <v>1</v>
      </c>
    </row>
    <row r="220" spans="2:14" x14ac:dyDescent="0.2">
      <c r="B220" s="5" t="s">
        <v>8</v>
      </c>
      <c r="C220" s="6">
        <v>851</v>
      </c>
      <c r="D220" s="6">
        <v>734</v>
      </c>
      <c r="E220" s="2">
        <f t="shared" si="72"/>
        <v>117</v>
      </c>
      <c r="F220" s="3">
        <f t="shared" si="73"/>
        <v>0.86251468860164515</v>
      </c>
      <c r="G220" s="2">
        <v>5</v>
      </c>
      <c r="H220" s="4">
        <f t="shared" si="74"/>
        <v>146.80000000000001</v>
      </c>
      <c r="I220" s="10">
        <v>45929</v>
      </c>
      <c r="J220" s="17">
        <v>1</v>
      </c>
      <c r="K220" s="17"/>
      <c r="L220" s="17"/>
      <c r="M220" s="17"/>
    </row>
    <row r="221" spans="2:14" x14ac:dyDescent="0.2">
      <c r="B221" s="1" t="s">
        <v>9</v>
      </c>
      <c r="C221" s="2">
        <v>41</v>
      </c>
      <c r="D221" s="2">
        <v>36</v>
      </c>
      <c r="E221" s="2">
        <f t="shared" si="72"/>
        <v>5</v>
      </c>
      <c r="F221" s="3">
        <f t="shared" si="73"/>
        <v>0.87804878048780488</v>
      </c>
      <c r="G221" s="2">
        <v>7</v>
      </c>
      <c r="H221" s="4">
        <f t="shared" si="74"/>
        <v>5.1428571428571432</v>
      </c>
      <c r="I221" s="10">
        <v>45929</v>
      </c>
      <c r="J221" s="17"/>
      <c r="K221" s="17"/>
      <c r="L221" s="17"/>
      <c r="M221" s="17"/>
    </row>
    <row r="222" spans="2:14" x14ac:dyDescent="0.2">
      <c r="B222" s="5" t="s">
        <v>10</v>
      </c>
      <c r="C222" s="6">
        <v>120</v>
      </c>
      <c r="D222" s="6">
        <v>0</v>
      </c>
      <c r="E222" s="2">
        <f t="shared" si="72"/>
        <v>120</v>
      </c>
      <c r="F222" s="3">
        <f t="shared" si="73"/>
        <v>0</v>
      </c>
      <c r="G222" s="6">
        <v>11</v>
      </c>
      <c r="H222" s="4">
        <f t="shared" si="74"/>
        <v>0</v>
      </c>
      <c r="I222" s="10">
        <v>45929</v>
      </c>
      <c r="J222" s="17"/>
      <c r="K222" s="17"/>
      <c r="L222" s="17"/>
      <c r="M222" s="17"/>
    </row>
    <row r="223" spans="2:14" x14ac:dyDescent="0.2">
      <c r="B223" s="1" t="s">
        <v>11</v>
      </c>
      <c r="C223" s="2">
        <v>723</v>
      </c>
      <c r="D223" s="2">
        <v>306</v>
      </c>
      <c r="E223" s="2">
        <f t="shared" si="72"/>
        <v>417</v>
      </c>
      <c r="F223" s="3">
        <f t="shared" si="73"/>
        <v>0.42323651452282157</v>
      </c>
      <c r="G223" s="6">
        <v>7</v>
      </c>
      <c r="H223" s="4">
        <f t="shared" si="74"/>
        <v>43.714285714285715</v>
      </c>
      <c r="I223" s="10">
        <v>45929</v>
      </c>
      <c r="J223" s="17"/>
      <c r="K223" s="17">
        <v>10</v>
      </c>
      <c r="L223" s="17"/>
      <c r="M223" s="17"/>
    </row>
    <row r="224" spans="2:14" x14ac:dyDescent="0.2">
      <c r="B224" s="5" t="s">
        <v>12</v>
      </c>
      <c r="C224" s="2">
        <v>239</v>
      </c>
      <c r="D224" s="6">
        <v>235</v>
      </c>
      <c r="E224" s="2">
        <f t="shared" si="72"/>
        <v>4</v>
      </c>
      <c r="F224" s="3">
        <f t="shared" si="73"/>
        <v>0.98326359832635979</v>
      </c>
      <c r="G224" s="6">
        <v>17</v>
      </c>
      <c r="H224" s="4">
        <f t="shared" si="74"/>
        <v>13.823529411764707</v>
      </c>
      <c r="I224" s="10">
        <v>45929</v>
      </c>
      <c r="J224" s="17"/>
      <c r="K224" s="17"/>
      <c r="L224" s="17"/>
      <c r="M224" s="17"/>
    </row>
    <row r="225" spans="2:14" x14ac:dyDescent="0.2">
      <c r="B225" s="5" t="s">
        <v>17</v>
      </c>
      <c r="C225" s="2">
        <v>1172</v>
      </c>
      <c r="D225" s="6">
        <v>1172</v>
      </c>
      <c r="E225" s="2">
        <f t="shared" ref="E225:E231" si="75">C225-D225</f>
        <v>0</v>
      </c>
      <c r="F225" s="3">
        <f t="shared" ref="F225:F231" si="76">D225/C225</f>
        <v>1</v>
      </c>
      <c r="G225" s="6">
        <v>5</v>
      </c>
      <c r="H225" s="4">
        <f t="shared" ref="H225:H231" si="77">D225/G225</f>
        <v>234.4</v>
      </c>
      <c r="I225" s="10">
        <v>45929</v>
      </c>
      <c r="K225" s="17"/>
      <c r="L225" s="17">
        <v>9</v>
      </c>
      <c r="M225" s="17"/>
      <c r="N225">
        <v>21</v>
      </c>
    </row>
    <row r="226" spans="2:14" x14ac:dyDescent="0.2">
      <c r="B226" s="1" t="s">
        <v>7</v>
      </c>
      <c r="C226" s="2">
        <v>1125</v>
      </c>
      <c r="D226" s="2">
        <v>1119</v>
      </c>
      <c r="E226" s="2">
        <f t="shared" si="75"/>
        <v>6</v>
      </c>
      <c r="F226" s="3">
        <f t="shared" si="76"/>
        <v>0.9946666666666667</v>
      </c>
      <c r="G226" s="2">
        <v>4</v>
      </c>
      <c r="H226" s="4">
        <f t="shared" si="77"/>
        <v>279.75</v>
      </c>
      <c r="I226" s="10">
        <v>45930</v>
      </c>
      <c r="J226" s="17">
        <v>3</v>
      </c>
      <c r="K226" s="17"/>
      <c r="L226" s="17"/>
      <c r="M226" s="17">
        <v>8</v>
      </c>
    </row>
    <row r="227" spans="2:14" x14ac:dyDescent="0.2">
      <c r="B227" s="5" t="s">
        <v>8</v>
      </c>
      <c r="C227" s="6">
        <v>697</v>
      </c>
      <c r="D227" s="6">
        <v>690</v>
      </c>
      <c r="E227" s="2">
        <f t="shared" si="75"/>
        <v>7</v>
      </c>
      <c r="F227" s="3">
        <f t="shared" si="76"/>
        <v>0.98995695839311337</v>
      </c>
      <c r="G227" s="2">
        <v>7</v>
      </c>
      <c r="H227" s="4">
        <f t="shared" si="77"/>
        <v>98.571428571428569</v>
      </c>
      <c r="I227" s="10">
        <v>45930</v>
      </c>
      <c r="J227" s="17">
        <v>24</v>
      </c>
      <c r="K227" s="17"/>
      <c r="L227" s="17"/>
      <c r="M227" s="17"/>
    </row>
    <row r="228" spans="2:14" x14ac:dyDescent="0.2">
      <c r="B228" s="1" t="s">
        <v>9</v>
      </c>
      <c r="C228" s="2">
        <v>144</v>
      </c>
      <c r="D228" s="2">
        <v>138</v>
      </c>
      <c r="E228" s="2">
        <f t="shared" si="75"/>
        <v>6</v>
      </c>
      <c r="F228" s="3">
        <f t="shared" si="76"/>
        <v>0.95833333333333337</v>
      </c>
      <c r="G228" s="2">
        <v>6</v>
      </c>
      <c r="H228" s="4">
        <f t="shared" si="77"/>
        <v>23</v>
      </c>
      <c r="I228" s="10">
        <v>45930</v>
      </c>
      <c r="J228" s="17"/>
      <c r="K228" s="17"/>
      <c r="L228" s="17"/>
      <c r="M228" s="17"/>
    </row>
    <row r="229" spans="2:14" x14ac:dyDescent="0.2">
      <c r="B229" s="5" t="s">
        <v>10</v>
      </c>
      <c r="C229" s="6">
        <v>1162</v>
      </c>
      <c r="D229" s="6">
        <v>604</v>
      </c>
      <c r="E229" s="2">
        <f t="shared" si="75"/>
        <v>558</v>
      </c>
      <c r="F229" s="3">
        <f t="shared" si="76"/>
        <v>0.51979345955249567</v>
      </c>
      <c r="G229" s="6">
        <v>10</v>
      </c>
      <c r="H229" s="4">
        <f t="shared" si="77"/>
        <v>60.4</v>
      </c>
      <c r="I229" s="10">
        <v>45930</v>
      </c>
      <c r="J229" s="17"/>
      <c r="K229" s="17"/>
      <c r="L229" s="17"/>
      <c r="M229" s="17"/>
    </row>
    <row r="230" spans="2:14" x14ac:dyDescent="0.2">
      <c r="B230" s="1" t="s">
        <v>11</v>
      </c>
      <c r="C230" s="2">
        <v>1409</v>
      </c>
      <c r="D230" s="2">
        <v>1121</v>
      </c>
      <c r="E230" s="2">
        <f t="shared" si="75"/>
        <v>288</v>
      </c>
      <c r="F230" s="3">
        <f t="shared" si="76"/>
        <v>0.79559971611071678</v>
      </c>
      <c r="G230" s="6">
        <v>8</v>
      </c>
      <c r="H230" s="4">
        <f t="shared" si="77"/>
        <v>140.125</v>
      </c>
      <c r="I230" s="10">
        <v>45930</v>
      </c>
      <c r="J230" s="17"/>
      <c r="K230" s="17">
        <v>10</v>
      </c>
      <c r="L230" s="17"/>
      <c r="M230" s="17"/>
    </row>
    <row r="231" spans="2:14" x14ac:dyDescent="0.2">
      <c r="B231" s="5" t="s">
        <v>12</v>
      </c>
      <c r="C231" s="2">
        <v>293</v>
      </c>
      <c r="D231" s="6">
        <v>276</v>
      </c>
      <c r="E231" s="2">
        <f t="shared" si="75"/>
        <v>17</v>
      </c>
      <c r="F231" s="3">
        <f t="shared" si="76"/>
        <v>0.94197952218430037</v>
      </c>
      <c r="G231" s="6">
        <v>21</v>
      </c>
      <c r="H231" s="4">
        <f t="shared" si="77"/>
        <v>13.142857142857142</v>
      </c>
      <c r="I231" s="10">
        <v>45930</v>
      </c>
      <c r="J231" s="17"/>
      <c r="K231" s="17"/>
      <c r="L231" s="17"/>
      <c r="M231" s="17"/>
    </row>
    <row r="232" spans="2:14" x14ac:dyDescent="0.2">
      <c r="B232" s="5" t="s">
        <v>17</v>
      </c>
      <c r="C232" s="2">
        <v>601</v>
      </c>
      <c r="D232" s="6">
        <v>595</v>
      </c>
      <c r="E232" s="2">
        <f t="shared" ref="E232:E238" si="78">C232-D232</f>
        <v>6</v>
      </c>
      <c r="F232" s="3">
        <f t="shared" ref="F232:F238" si="79">D232/C232</f>
        <v>0.99001663893510816</v>
      </c>
      <c r="G232" s="6">
        <v>4</v>
      </c>
      <c r="H232" s="4">
        <f t="shared" ref="H232:H238" si="80">D232/G232</f>
        <v>148.75</v>
      </c>
      <c r="I232" s="10">
        <v>45930</v>
      </c>
      <c r="K232" s="17"/>
      <c r="L232" s="17">
        <v>12</v>
      </c>
      <c r="M232" s="17"/>
      <c r="N232">
        <v>38</v>
      </c>
    </row>
    <row r="233" spans="2:14" x14ac:dyDescent="0.2">
      <c r="B233" s="1" t="s">
        <v>7</v>
      </c>
      <c r="C233" s="2">
        <v>558</v>
      </c>
      <c r="D233" s="2">
        <v>558</v>
      </c>
      <c r="E233" s="2">
        <f t="shared" si="78"/>
        <v>0</v>
      </c>
      <c r="F233" s="3">
        <f t="shared" si="79"/>
        <v>1</v>
      </c>
      <c r="G233" s="2">
        <v>2</v>
      </c>
      <c r="H233" s="4">
        <f t="shared" si="80"/>
        <v>279</v>
      </c>
      <c r="I233" s="10">
        <v>45931</v>
      </c>
      <c r="J233" s="17"/>
      <c r="K233" s="17"/>
      <c r="L233" s="17"/>
      <c r="M233" s="17">
        <v>10</v>
      </c>
    </row>
    <row r="234" spans="2:14" x14ac:dyDescent="0.2">
      <c r="B234" s="5" t="s">
        <v>8</v>
      </c>
      <c r="C234" s="6">
        <v>1064</v>
      </c>
      <c r="D234" s="6">
        <v>1055</v>
      </c>
      <c r="E234" s="2">
        <f t="shared" si="78"/>
        <v>9</v>
      </c>
      <c r="F234" s="3">
        <f t="shared" si="79"/>
        <v>0.99154135338345861</v>
      </c>
      <c r="G234" s="2">
        <v>7</v>
      </c>
      <c r="H234" s="4">
        <f t="shared" si="80"/>
        <v>150.71428571428572</v>
      </c>
      <c r="I234" s="10">
        <v>45931</v>
      </c>
      <c r="J234" s="17">
        <v>4</v>
      </c>
      <c r="K234" s="17"/>
      <c r="L234" s="17"/>
      <c r="M234" s="17"/>
    </row>
    <row r="235" spans="2:14" x14ac:dyDescent="0.2">
      <c r="B235" s="1" t="s">
        <v>9</v>
      </c>
      <c r="C235" s="2">
        <v>90</v>
      </c>
      <c r="D235" s="2">
        <v>90</v>
      </c>
      <c r="E235" s="2">
        <f t="shared" si="78"/>
        <v>0</v>
      </c>
      <c r="F235" s="3">
        <f t="shared" si="79"/>
        <v>1</v>
      </c>
      <c r="G235" s="2">
        <v>6</v>
      </c>
      <c r="H235" s="4">
        <f t="shared" si="80"/>
        <v>15</v>
      </c>
      <c r="I235" s="10">
        <v>45931</v>
      </c>
      <c r="J235" s="17"/>
      <c r="K235" s="17"/>
      <c r="L235" s="17"/>
      <c r="M235" s="17"/>
    </row>
    <row r="236" spans="2:14" x14ac:dyDescent="0.2">
      <c r="B236" s="5" t="s">
        <v>10</v>
      </c>
      <c r="C236" s="6">
        <v>1459</v>
      </c>
      <c r="D236" s="6">
        <v>163</v>
      </c>
      <c r="E236" s="2">
        <f t="shared" si="78"/>
        <v>1296</v>
      </c>
      <c r="F236" s="3">
        <f t="shared" si="79"/>
        <v>0.11172035640849898</v>
      </c>
      <c r="G236" s="6">
        <v>11</v>
      </c>
      <c r="H236" s="4">
        <f t="shared" si="80"/>
        <v>14.818181818181818</v>
      </c>
      <c r="I236" s="10">
        <v>45931</v>
      </c>
      <c r="J236" s="17"/>
      <c r="K236" s="17"/>
      <c r="L236" s="17"/>
      <c r="M236" s="17"/>
    </row>
    <row r="237" spans="2:14" x14ac:dyDescent="0.2">
      <c r="B237" s="1" t="s">
        <v>11</v>
      </c>
      <c r="C237" s="2">
        <v>760</v>
      </c>
      <c r="D237" s="2">
        <v>666</v>
      </c>
      <c r="E237" s="2">
        <f t="shared" si="78"/>
        <v>94</v>
      </c>
      <c r="F237" s="3">
        <f t="shared" si="79"/>
        <v>0.87631578947368416</v>
      </c>
      <c r="G237" s="6">
        <v>8</v>
      </c>
      <c r="H237" s="4">
        <f t="shared" si="80"/>
        <v>83.25</v>
      </c>
      <c r="I237" s="10">
        <v>45931</v>
      </c>
      <c r="J237" s="17"/>
      <c r="K237" s="17">
        <v>5</v>
      </c>
      <c r="L237" s="17"/>
      <c r="M237" s="17"/>
    </row>
    <row r="238" spans="2:14" x14ac:dyDescent="0.2">
      <c r="B238" s="5" t="s">
        <v>12</v>
      </c>
      <c r="C238" s="2">
        <v>119</v>
      </c>
      <c r="D238" s="6">
        <v>83</v>
      </c>
      <c r="E238" s="2">
        <f t="shared" si="78"/>
        <v>36</v>
      </c>
      <c r="F238" s="3">
        <f t="shared" si="79"/>
        <v>0.69747899159663862</v>
      </c>
      <c r="G238" s="6">
        <v>20</v>
      </c>
      <c r="H238" s="4">
        <f t="shared" si="80"/>
        <v>4.1500000000000004</v>
      </c>
      <c r="I238" s="10">
        <v>45931</v>
      </c>
      <c r="J238" s="17">
        <v>2</v>
      </c>
      <c r="K238" s="17"/>
      <c r="L238" s="17"/>
      <c r="M238" s="17"/>
    </row>
    <row r="239" spans="2:14" x14ac:dyDescent="0.2">
      <c r="B239" s="5" t="s">
        <v>17</v>
      </c>
      <c r="C239" s="2">
        <v>181</v>
      </c>
      <c r="D239" s="6">
        <v>178</v>
      </c>
      <c r="E239" s="2">
        <f t="shared" ref="E239:E245" si="81">C239-D239</f>
        <v>3</v>
      </c>
      <c r="F239" s="3">
        <f t="shared" ref="F239:F245" si="82">D239/C239</f>
        <v>0.98342541436464093</v>
      </c>
      <c r="G239" s="6">
        <v>4</v>
      </c>
      <c r="H239" s="4">
        <f t="shared" ref="H239:H245" si="83">D239/G239</f>
        <v>44.5</v>
      </c>
      <c r="I239" s="10">
        <v>45931</v>
      </c>
      <c r="K239" s="17"/>
      <c r="L239" s="17">
        <v>11</v>
      </c>
      <c r="M239" s="17"/>
      <c r="N239">
        <v>26</v>
      </c>
    </row>
    <row r="240" spans="2:14" x14ac:dyDescent="0.2">
      <c r="B240" s="1" t="s">
        <v>7</v>
      </c>
      <c r="C240" s="2">
        <v>123</v>
      </c>
      <c r="D240" s="2">
        <v>121</v>
      </c>
      <c r="E240" s="2">
        <f t="shared" si="81"/>
        <v>2</v>
      </c>
      <c r="F240" s="3">
        <f t="shared" si="82"/>
        <v>0.98373983739837401</v>
      </c>
      <c r="G240" s="2">
        <v>4</v>
      </c>
      <c r="H240" s="4">
        <f t="shared" si="83"/>
        <v>30.25</v>
      </c>
      <c r="I240" s="10">
        <v>45932</v>
      </c>
      <c r="J240" s="17"/>
      <c r="K240" s="17"/>
      <c r="L240" s="17"/>
      <c r="M240" s="17">
        <v>10</v>
      </c>
    </row>
    <row r="241" spans="2:14" x14ac:dyDescent="0.2">
      <c r="B241" s="5" t="s">
        <v>8</v>
      </c>
      <c r="C241" s="6">
        <v>419</v>
      </c>
      <c r="D241" s="6">
        <v>416</v>
      </c>
      <c r="E241" s="2">
        <f t="shared" si="81"/>
        <v>3</v>
      </c>
      <c r="F241" s="3">
        <f t="shared" si="82"/>
        <v>0.99284009546539376</v>
      </c>
      <c r="G241" s="2">
        <v>7</v>
      </c>
      <c r="H241" s="4">
        <f t="shared" si="83"/>
        <v>59.428571428571431</v>
      </c>
      <c r="I241" s="10">
        <v>45932</v>
      </c>
      <c r="J241" s="17">
        <v>8</v>
      </c>
      <c r="K241" s="17"/>
      <c r="L241" s="17"/>
      <c r="M241" s="17"/>
    </row>
    <row r="242" spans="2:14" x14ac:dyDescent="0.2">
      <c r="B242" s="1" t="s">
        <v>9</v>
      </c>
      <c r="C242" s="2">
        <v>14</v>
      </c>
      <c r="D242" s="2">
        <v>14</v>
      </c>
      <c r="E242" s="2">
        <f t="shared" si="81"/>
        <v>0</v>
      </c>
      <c r="F242" s="3">
        <f t="shared" si="82"/>
        <v>1</v>
      </c>
      <c r="G242" s="2">
        <v>7</v>
      </c>
      <c r="H242" s="4">
        <f t="shared" si="83"/>
        <v>2</v>
      </c>
      <c r="I242" s="10">
        <v>45932</v>
      </c>
      <c r="J242" s="17"/>
      <c r="K242" s="17"/>
      <c r="L242" s="17"/>
      <c r="M242" s="17"/>
    </row>
    <row r="243" spans="2:14" x14ac:dyDescent="0.2">
      <c r="B243" s="5" t="s">
        <v>10</v>
      </c>
      <c r="C243" s="6">
        <v>1277</v>
      </c>
      <c r="D243" s="6">
        <v>834</v>
      </c>
      <c r="E243" s="2">
        <f t="shared" si="81"/>
        <v>443</v>
      </c>
      <c r="F243" s="3">
        <f t="shared" si="82"/>
        <v>0.65309318715740017</v>
      </c>
      <c r="G243" s="6">
        <v>11</v>
      </c>
      <c r="H243" s="4">
        <f t="shared" si="83"/>
        <v>75.818181818181813</v>
      </c>
      <c r="I243" s="10">
        <v>45932</v>
      </c>
      <c r="J243" s="17"/>
      <c r="K243" s="17"/>
      <c r="L243" s="17"/>
      <c r="M243" s="17"/>
    </row>
    <row r="244" spans="2:14" x14ac:dyDescent="0.2">
      <c r="B244" s="1" t="s">
        <v>11</v>
      </c>
      <c r="C244" s="2">
        <v>1122</v>
      </c>
      <c r="D244" s="2">
        <v>447</v>
      </c>
      <c r="E244" s="2">
        <f t="shared" si="81"/>
        <v>675</v>
      </c>
      <c r="F244" s="3">
        <f t="shared" si="82"/>
        <v>0.39839572192513367</v>
      </c>
      <c r="G244" s="6">
        <v>8</v>
      </c>
      <c r="H244" s="4">
        <f t="shared" si="83"/>
        <v>55.875</v>
      </c>
      <c r="I244" s="10">
        <v>45932</v>
      </c>
      <c r="J244" s="17"/>
      <c r="K244" s="17">
        <v>3</v>
      </c>
      <c r="L244" s="17"/>
      <c r="M244" s="17"/>
    </row>
    <row r="245" spans="2:14" x14ac:dyDescent="0.2">
      <c r="B245" s="5" t="s">
        <v>12</v>
      </c>
      <c r="C245" s="2">
        <v>581</v>
      </c>
      <c r="D245" s="6">
        <v>543</v>
      </c>
      <c r="E245" s="2">
        <f t="shared" si="81"/>
        <v>38</v>
      </c>
      <c r="F245" s="3">
        <f t="shared" si="82"/>
        <v>0.93459552495697074</v>
      </c>
      <c r="G245" s="6">
        <v>20</v>
      </c>
      <c r="H245" s="4">
        <f t="shared" si="83"/>
        <v>27.15</v>
      </c>
      <c r="I245" s="10">
        <v>45932</v>
      </c>
      <c r="J245" s="17">
        <v>1</v>
      </c>
      <c r="K245" s="17"/>
      <c r="L245" s="17"/>
      <c r="M245" s="17"/>
    </row>
    <row r="246" spans="2:14" x14ac:dyDescent="0.2">
      <c r="B246" s="5" t="s">
        <v>17</v>
      </c>
      <c r="C246" s="2">
        <v>566</v>
      </c>
      <c r="D246" s="6">
        <v>566</v>
      </c>
      <c r="E246" s="2">
        <f t="shared" ref="E246:E252" si="84">C246-D246</f>
        <v>0</v>
      </c>
      <c r="F246" s="3">
        <f t="shared" ref="F246:F252" si="85">D246/C246</f>
        <v>1</v>
      </c>
      <c r="G246" s="6">
        <v>4</v>
      </c>
      <c r="H246" s="4">
        <f t="shared" ref="H246:H252" si="86">D246/G246</f>
        <v>141.5</v>
      </c>
      <c r="I246" s="10">
        <v>45932</v>
      </c>
      <c r="K246" s="17"/>
      <c r="L246" s="17">
        <v>3</v>
      </c>
      <c r="M246" s="17"/>
      <c r="N246">
        <v>17</v>
      </c>
    </row>
    <row r="247" spans="2:14" x14ac:dyDescent="0.2">
      <c r="B247" s="1" t="s">
        <v>7</v>
      </c>
      <c r="C247" s="2">
        <v>489</v>
      </c>
      <c r="D247" s="2">
        <v>489</v>
      </c>
      <c r="E247" s="2">
        <f t="shared" si="84"/>
        <v>0</v>
      </c>
      <c r="F247" s="3">
        <f t="shared" si="85"/>
        <v>1</v>
      </c>
      <c r="G247" s="2">
        <v>2</v>
      </c>
      <c r="H247" s="4">
        <f t="shared" si="86"/>
        <v>244.5</v>
      </c>
      <c r="I247" s="10">
        <v>45933</v>
      </c>
      <c r="J247" s="17">
        <v>2</v>
      </c>
      <c r="K247" s="17"/>
      <c r="L247" s="17"/>
      <c r="M247" s="17">
        <v>4</v>
      </c>
    </row>
    <row r="248" spans="2:14" x14ac:dyDescent="0.2">
      <c r="B248" s="5" t="s">
        <v>8</v>
      </c>
      <c r="C248" s="6">
        <v>71</v>
      </c>
      <c r="D248" s="6">
        <v>64</v>
      </c>
      <c r="E248" s="2">
        <f t="shared" si="84"/>
        <v>7</v>
      </c>
      <c r="F248" s="3">
        <f t="shared" si="85"/>
        <v>0.90140845070422537</v>
      </c>
      <c r="G248" s="2">
        <v>7</v>
      </c>
      <c r="H248" s="4">
        <f t="shared" si="86"/>
        <v>9.1428571428571423</v>
      </c>
      <c r="I248" s="10">
        <v>45933</v>
      </c>
      <c r="J248" s="17">
        <v>8</v>
      </c>
      <c r="K248" s="17"/>
      <c r="L248" s="17"/>
      <c r="M248" s="17"/>
    </row>
    <row r="249" spans="2:14" x14ac:dyDescent="0.2">
      <c r="B249" s="1" t="s">
        <v>9</v>
      </c>
      <c r="C249" s="2">
        <v>259</v>
      </c>
      <c r="D249" s="2">
        <v>259</v>
      </c>
      <c r="E249" s="2">
        <f t="shared" si="84"/>
        <v>0</v>
      </c>
      <c r="F249" s="3">
        <f t="shared" si="85"/>
        <v>1</v>
      </c>
      <c r="G249" s="2">
        <v>6</v>
      </c>
      <c r="H249" s="4">
        <f t="shared" si="86"/>
        <v>43.166666666666664</v>
      </c>
      <c r="I249" s="10">
        <v>45933</v>
      </c>
      <c r="J249" s="17"/>
      <c r="K249" s="17"/>
      <c r="L249" s="17"/>
      <c r="M249" s="17"/>
    </row>
    <row r="250" spans="2:14" x14ac:dyDescent="0.2">
      <c r="B250" s="5" t="s">
        <v>10</v>
      </c>
      <c r="C250" s="6">
        <v>971</v>
      </c>
      <c r="D250" s="6">
        <v>9</v>
      </c>
      <c r="E250" s="2">
        <f t="shared" si="84"/>
        <v>962</v>
      </c>
      <c r="F250" s="3">
        <f t="shared" si="85"/>
        <v>9.2687950566426366E-3</v>
      </c>
      <c r="G250" s="6">
        <v>11</v>
      </c>
      <c r="H250" s="4">
        <f t="shared" si="86"/>
        <v>0.81818181818181823</v>
      </c>
      <c r="I250" s="10">
        <v>45933</v>
      </c>
      <c r="J250" s="17"/>
      <c r="K250" s="17"/>
      <c r="L250" s="17"/>
      <c r="M250" s="17"/>
    </row>
    <row r="251" spans="2:14" x14ac:dyDescent="0.2">
      <c r="B251" s="1" t="s">
        <v>11</v>
      </c>
      <c r="C251" s="2">
        <v>1801</v>
      </c>
      <c r="D251" s="2">
        <v>898</v>
      </c>
      <c r="E251" s="2">
        <f t="shared" si="84"/>
        <v>903</v>
      </c>
      <c r="F251" s="3">
        <f t="shared" si="85"/>
        <v>0.49861188228761799</v>
      </c>
      <c r="G251" s="6">
        <v>8</v>
      </c>
      <c r="H251" s="4">
        <f t="shared" si="86"/>
        <v>112.25</v>
      </c>
      <c r="I251" s="10">
        <v>45933</v>
      </c>
      <c r="J251" s="17"/>
      <c r="K251" s="17">
        <v>13</v>
      </c>
      <c r="L251" s="17"/>
      <c r="M251" s="17"/>
    </row>
    <row r="252" spans="2:14" x14ac:dyDescent="0.2">
      <c r="B252" s="5" t="s">
        <v>12</v>
      </c>
      <c r="C252" s="2">
        <v>218</v>
      </c>
      <c r="D252" s="6">
        <v>209</v>
      </c>
      <c r="E252" s="2">
        <f t="shared" si="84"/>
        <v>9</v>
      </c>
      <c r="F252" s="3">
        <f t="shared" si="85"/>
        <v>0.95871559633027525</v>
      </c>
      <c r="G252" s="6">
        <v>20</v>
      </c>
      <c r="H252" s="4">
        <f t="shared" si="86"/>
        <v>10.45</v>
      </c>
      <c r="I252" s="10">
        <v>45933</v>
      </c>
      <c r="J252" s="17"/>
      <c r="K252" s="17"/>
      <c r="L252" s="17"/>
      <c r="M252" s="17"/>
    </row>
    <row r="253" spans="2:14" x14ac:dyDescent="0.2">
      <c r="B253" s="5" t="s">
        <v>17</v>
      </c>
      <c r="C253" s="2">
        <v>415</v>
      </c>
      <c r="D253" s="6">
        <v>412</v>
      </c>
      <c r="E253" s="2">
        <f t="shared" ref="E253:E259" si="87">C253-D253</f>
        <v>3</v>
      </c>
      <c r="F253" s="3">
        <f t="shared" ref="F253:F259" si="88">D253/C253</f>
        <v>0.9927710843373494</v>
      </c>
      <c r="G253" s="6">
        <v>5</v>
      </c>
      <c r="H253" s="4">
        <f t="shared" ref="H253:H259" si="89">D253/G253</f>
        <v>82.4</v>
      </c>
      <c r="I253" s="10">
        <v>45933</v>
      </c>
      <c r="K253" s="17"/>
      <c r="L253" s="17">
        <v>4</v>
      </c>
      <c r="M253" s="17"/>
      <c r="N253">
        <v>17</v>
      </c>
    </row>
    <row r="254" spans="2:14" x14ac:dyDescent="0.2">
      <c r="B254" s="1" t="s">
        <v>7</v>
      </c>
      <c r="C254" s="2">
        <v>379</v>
      </c>
      <c r="D254" s="2">
        <v>367</v>
      </c>
      <c r="E254" s="2">
        <f t="shared" si="87"/>
        <v>12</v>
      </c>
      <c r="F254" s="3">
        <f t="shared" si="88"/>
        <v>0.9683377308707124</v>
      </c>
      <c r="G254" s="2">
        <v>2</v>
      </c>
      <c r="H254" s="4">
        <f t="shared" si="89"/>
        <v>183.5</v>
      </c>
      <c r="I254" s="10">
        <v>45936</v>
      </c>
      <c r="J254" s="17"/>
      <c r="K254" s="17"/>
      <c r="L254" s="17"/>
      <c r="M254" s="17">
        <v>5</v>
      </c>
    </row>
    <row r="255" spans="2:14" x14ac:dyDescent="0.2">
      <c r="B255" s="5" t="s">
        <v>8</v>
      </c>
      <c r="C255" s="6">
        <v>580</v>
      </c>
      <c r="D255" s="6">
        <v>569</v>
      </c>
      <c r="E255" s="2">
        <f t="shared" si="87"/>
        <v>11</v>
      </c>
      <c r="F255" s="3">
        <f t="shared" si="88"/>
        <v>0.98103448275862071</v>
      </c>
      <c r="G255" s="2">
        <v>7</v>
      </c>
      <c r="H255" s="4">
        <f t="shared" si="89"/>
        <v>81.285714285714292</v>
      </c>
      <c r="I255" s="10">
        <v>45936</v>
      </c>
      <c r="J255" s="17">
        <v>3</v>
      </c>
      <c r="K255" s="17"/>
      <c r="L255" s="17"/>
      <c r="M255" s="17"/>
    </row>
    <row r="256" spans="2:14" x14ac:dyDescent="0.2">
      <c r="B256" s="1" t="s">
        <v>9</v>
      </c>
      <c r="C256" s="2">
        <v>12</v>
      </c>
      <c r="D256" s="2">
        <v>12</v>
      </c>
      <c r="E256" s="2">
        <f t="shared" si="87"/>
        <v>0</v>
      </c>
      <c r="F256" s="3">
        <f t="shared" si="88"/>
        <v>1</v>
      </c>
      <c r="G256" s="2">
        <v>6</v>
      </c>
      <c r="H256" s="4">
        <f t="shared" si="89"/>
        <v>2</v>
      </c>
      <c r="I256" s="10">
        <v>45936</v>
      </c>
      <c r="J256" s="17"/>
      <c r="K256" s="17"/>
      <c r="L256" s="17"/>
      <c r="M256" s="17"/>
    </row>
    <row r="257" spans="2:14" x14ac:dyDescent="0.2">
      <c r="B257" s="5" t="s">
        <v>10</v>
      </c>
      <c r="C257" s="6">
        <v>1115</v>
      </c>
      <c r="D257" s="6">
        <v>5</v>
      </c>
      <c r="E257" s="2">
        <f t="shared" si="87"/>
        <v>1110</v>
      </c>
      <c r="F257" s="3">
        <f t="shared" si="88"/>
        <v>4.4843049327354259E-3</v>
      </c>
      <c r="G257" s="6">
        <v>11</v>
      </c>
      <c r="H257" s="4">
        <f t="shared" si="89"/>
        <v>0.45454545454545453</v>
      </c>
      <c r="I257" s="10">
        <v>45936</v>
      </c>
      <c r="J257" s="17">
        <v>6</v>
      </c>
      <c r="K257" s="17"/>
      <c r="L257" s="17"/>
      <c r="M257" s="17"/>
    </row>
    <row r="258" spans="2:14" x14ac:dyDescent="0.2">
      <c r="B258" s="1" t="s">
        <v>11</v>
      </c>
      <c r="C258" s="2">
        <v>1349</v>
      </c>
      <c r="D258" s="2">
        <v>794</v>
      </c>
      <c r="E258" s="2">
        <f t="shared" si="87"/>
        <v>555</v>
      </c>
      <c r="F258" s="3">
        <f t="shared" si="88"/>
        <v>0.58858413639733131</v>
      </c>
      <c r="G258" s="6">
        <v>8</v>
      </c>
      <c r="H258" s="4">
        <f t="shared" si="89"/>
        <v>99.25</v>
      </c>
      <c r="I258" s="10">
        <v>45936</v>
      </c>
      <c r="J258" s="17"/>
      <c r="K258" s="17">
        <v>8</v>
      </c>
      <c r="L258" s="17"/>
      <c r="M258" s="17"/>
    </row>
    <row r="259" spans="2:14" x14ac:dyDescent="0.2">
      <c r="B259" s="5" t="s">
        <v>12</v>
      </c>
      <c r="C259" s="2">
        <v>470</v>
      </c>
      <c r="D259" s="6">
        <v>460</v>
      </c>
      <c r="E259" s="2">
        <f t="shared" si="87"/>
        <v>10</v>
      </c>
      <c r="F259" s="3">
        <f t="shared" si="88"/>
        <v>0.97872340425531912</v>
      </c>
      <c r="G259" s="6">
        <v>20</v>
      </c>
      <c r="H259" s="4">
        <f t="shared" si="89"/>
        <v>23</v>
      </c>
      <c r="I259" s="10">
        <v>45936</v>
      </c>
      <c r="J259" s="17">
        <v>1</v>
      </c>
      <c r="K259" s="17"/>
      <c r="L259" s="17"/>
      <c r="M259" s="17"/>
    </row>
    <row r="260" spans="2:14" x14ac:dyDescent="0.2">
      <c r="B260" s="5" t="s">
        <v>17</v>
      </c>
      <c r="C260" s="2">
        <v>667</v>
      </c>
      <c r="D260" s="6">
        <v>667</v>
      </c>
      <c r="E260" s="2">
        <f t="shared" ref="E260:E266" si="90">C260-D260</f>
        <v>0</v>
      </c>
      <c r="F260" s="3">
        <f t="shared" ref="F260:F266" si="91">D260/C260</f>
        <v>1</v>
      </c>
      <c r="G260" s="6">
        <v>5</v>
      </c>
      <c r="H260" s="4">
        <f t="shared" ref="H260:H266" si="92">D260/G260</f>
        <v>133.4</v>
      </c>
      <c r="I260" s="10">
        <v>45936</v>
      </c>
      <c r="K260" s="17"/>
      <c r="L260" s="17">
        <v>12</v>
      </c>
      <c r="M260" s="17"/>
      <c r="N260">
        <v>54</v>
      </c>
    </row>
    <row r="261" spans="2:14" x14ac:dyDescent="0.2">
      <c r="B261" s="1" t="s">
        <v>7</v>
      </c>
      <c r="C261" s="2">
        <v>607</v>
      </c>
      <c r="D261" s="2">
        <v>607</v>
      </c>
      <c r="E261" s="2">
        <f t="shared" si="90"/>
        <v>0</v>
      </c>
      <c r="F261" s="3">
        <f t="shared" si="91"/>
        <v>1</v>
      </c>
      <c r="G261" s="2">
        <v>2</v>
      </c>
      <c r="H261" s="4">
        <f t="shared" si="92"/>
        <v>303.5</v>
      </c>
      <c r="I261" s="10">
        <v>45937</v>
      </c>
      <c r="J261" s="17">
        <v>6</v>
      </c>
      <c r="K261" s="17"/>
      <c r="L261" s="17"/>
      <c r="M261" s="17">
        <v>13</v>
      </c>
    </row>
    <row r="262" spans="2:14" x14ac:dyDescent="0.2">
      <c r="B262" s="5" t="s">
        <v>8</v>
      </c>
      <c r="C262" s="6">
        <v>560</v>
      </c>
      <c r="D262" s="6">
        <v>317</v>
      </c>
      <c r="E262" s="2">
        <f t="shared" si="90"/>
        <v>243</v>
      </c>
      <c r="F262" s="3">
        <f t="shared" si="91"/>
        <v>0.56607142857142856</v>
      </c>
      <c r="G262" s="2">
        <v>8</v>
      </c>
      <c r="H262" s="4">
        <f t="shared" si="92"/>
        <v>39.625</v>
      </c>
      <c r="I262" s="10">
        <v>45937</v>
      </c>
      <c r="J262" s="17">
        <v>7</v>
      </c>
      <c r="K262" s="17"/>
      <c r="L262" s="17"/>
      <c r="M262" s="17"/>
    </row>
    <row r="263" spans="2:14" x14ac:dyDescent="0.2">
      <c r="B263" s="1" t="s">
        <v>9</v>
      </c>
      <c r="C263" s="2">
        <v>15</v>
      </c>
      <c r="D263" s="2">
        <v>15</v>
      </c>
      <c r="E263" s="2">
        <f t="shared" si="90"/>
        <v>0</v>
      </c>
      <c r="F263" s="3">
        <f t="shared" si="91"/>
        <v>1</v>
      </c>
      <c r="G263" s="2">
        <v>4</v>
      </c>
      <c r="H263" s="4">
        <f t="shared" si="92"/>
        <v>3.75</v>
      </c>
      <c r="I263" s="10">
        <v>45937</v>
      </c>
      <c r="J263" s="17"/>
      <c r="K263" s="17"/>
      <c r="L263" s="17"/>
      <c r="M263" s="17"/>
    </row>
    <row r="264" spans="2:14" x14ac:dyDescent="0.2">
      <c r="B264" s="5" t="s">
        <v>10</v>
      </c>
      <c r="C264" s="6">
        <v>495</v>
      </c>
      <c r="D264" s="6">
        <v>5</v>
      </c>
      <c r="E264" s="2">
        <f t="shared" si="90"/>
        <v>490</v>
      </c>
      <c r="F264" s="3">
        <f t="shared" si="91"/>
        <v>1.0101010101010102E-2</v>
      </c>
      <c r="G264" s="6">
        <v>10</v>
      </c>
      <c r="H264" s="4">
        <f t="shared" si="92"/>
        <v>0.5</v>
      </c>
      <c r="I264" s="10">
        <v>45937</v>
      </c>
      <c r="J264" s="17"/>
      <c r="K264" s="17"/>
      <c r="L264" s="17"/>
      <c r="M264" s="17"/>
    </row>
    <row r="265" spans="2:14" x14ac:dyDescent="0.2">
      <c r="B265" s="1" t="s">
        <v>11</v>
      </c>
      <c r="C265" s="2">
        <v>818</v>
      </c>
      <c r="D265" s="2">
        <v>175</v>
      </c>
      <c r="E265" s="2">
        <f t="shared" si="90"/>
        <v>643</v>
      </c>
      <c r="F265" s="3">
        <f t="shared" si="91"/>
        <v>0.2139364303178484</v>
      </c>
      <c r="G265" s="6">
        <v>6</v>
      </c>
      <c r="H265" s="4">
        <f t="shared" si="92"/>
        <v>29.166666666666668</v>
      </c>
      <c r="I265" s="10">
        <v>45937</v>
      </c>
      <c r="J265" s="17"/>
      <c r="K265" s="17">
        <v>5</v>
      </c>
      <c r="L265" s="17"/>
      <c r="M265" s="17"/>
    </row>
    <row r="266" spans="2:14" x14ac:dyDescent="0.2">
      <c r="B266" s="5" t="s">
        <v>12</v>
      </c>
      <c r="C266" s="2">
        <v>490</v>
      </c>
      <c r="D266" s="6">
        <v>479</v>
      </c>
      <c r="E266" s="2">
        <f t="shared" si="90"/>
        <v>11</v>
      </c>
      <c r="F266" s="3">
        <f t="shared" si="91"/>
        <v>0.97755102040816322</v>
      </c>
      <c r="G266" s="6">
        <v>21</v>
      </c>
      <c r="H266" s="4">
        <f t="shared" si="92"/>
        <v>22.80952380952381</v>
      </c>
      <c r="I266" s="10">
        <v>45937</v>
      </c>
      <c r="J266" s="17"/>
      <c r="K266" s="17"/>
      <c r="L266" s="17"/>
      <c r="M266" s="17"/>
    </row>
    <row r="267" spans="2:14" x14ac:dyDescent="0.2">
      <c r="B267" s="5" t="s">
        <v>17</v>
      </c>
      <c r="C267" s="2">
        <v>743</v>
      </c>
      <c r="D267" s="6">
        <v>743</v>
      </c>
      <c r="E267" s="2">
        <f t="shared" ref="E267:E269" si="93">C267-D267</f>
        <v>0</v>
      </c>
      <c r="F267" s="3">
        <f t="shared" ref="F267:F281" si="94">D267/C267</f>
        <v>1</v>
      </c>
      <c r="G267" s="6">
        <v>5</v>
      </c>
      <c r="H267" s="4">
        <f t="shared" ref="H267:H272" si="95">D267/G267</f>
        <v>148.6</v>
      </c>
      <c r="I267" s="10">
        <v>45937</v>
      </c>
      <c r="K267" s="17"/>
      <c r="L267" s="17">
        <v>12</v>
      </c>
      <c r="M267" s="17"/>
      <c r="N267">
        <v>22</v>
      </c>
    </row>
    <row r="268" spans="2:14" x14ac:dyDescent="0.2">
      <c r="B268" s="1" t="s">
        <v>7</v>
      </c>
      <c r="C268" s="2">
        <v>543</v>
      </c>
      <c r="D268" s="2">
        <v>543</v>
      </c>
      <c r="E268" s="2">
        <f t="shared" si="93"/>
        <v>0</v>
      </c>
      <c r="F268" s="3">
        <f t="shared" si="94"/>
        <v>1</v>
      </c>
      <c r="G268" s="2">
        <v>2</v>
      </c>
      <c r="H268" s="4">
        <f t="shared" si="95"/>
        <v>271.5</v>
      </c>
      <c r="I268" s="10">
        <v>45938</v>
      </c>
      <c r="J268" s="17"/>
      <c r="K268" s="17"/>
      <c r="L268" s="17"/>
      <c r="M268" s="17">
        <v>11</v>
      </c>
    </row>
    <row r="269" spans="2:14" x14ac:dyDescent="0.2">
      <c r="B269" s="5" t="s">
        <v>8</v>
      </c>
      <c r="C269" s="6">
        <v>570</v>
      </c>
      <c r="D269" s="6">
        <v>526</v>
      </c>
      <c r="E269" s="2">
        <f t="shared" si="93"/>
        <v>44</v>
      </c>
      <c r="F269" s="3">
        <f t="shared" si="94"/>
        <v>0.92280701754385963</v>
      </c>
      <c r="G269" s="2">
        <v>8</v>
      </c>
      <c r="H269" s="4">
        <f t="shared" si="95"/>
        <v>65.75</v>
      </c>
      <c r="I269" s="10">
        <v>45938</v>
      </c>
      <c r="J269" s="17">
        <v>8</v>
      </c>
      <c r="K269" s="17"/>
      <c r="L269" s="17"/>
      <c r="M269" s="17"/>
    </row>
    <row r="270" spans="2:14" x14ac:dyDescent="0.2">
      <c r="B270" s="1" t="s">
        <v>9</v>
      </c>
      <c r="C270" s="2">
        <v>39</v>
      </c>
      <c r="D270" s="2">
        <v>24</v>
      </c>
      <c r="E270" s="2">
        <f>C270-D270</f>
        <v>15</v>
      </c>
      <c r="F270" s="3">
        <f t="shared" si="94"/>
        <v>0.61538461538461542</v>
      </c>
      <c r="G270" s="2">
        <v>7</v>
      </c>
      <c r="H270" s="4">
        <f t="shared" si="95"/>
        <v>3.4285714285714284</v>
      </c>
      <c r="I270" s="10">
        <v>45938</v>
      </c>
      <c r="J270" s="17"/>
      <c r="K270" s="17"/>
      <c r="L270" s="17"/>
      <c r="M270" s="17"/>
    </row>
    <row r="271" spans="2:14" x14ac:dyDescent="0.2">
      <c r="B271" s="5" t="s">
        <v>10</v>
      </c>
      <c r="C271" s="6">
        <v>565</v>
      </c>
      <c r="D271" s="6">
        <v>90</v>
      </c>
      <c r="E271" s="2">
        <f t="shared" ref="E271:E283" si="96">C271-D271</f>
        <v>475</v>
      </c>
      <c r="F271" s="3">
        <f t="shared" si="94"/>
        <v>0.15929203539823009</v>
      </c>
      <c r="G271" s="6">
        <v>10</v>
      </c>
      <c r="H271" s="4">
        <f>D271/G271</f>
        <v>9</v>
      </c>
      <c r="I271" s="10">
        <v>45938</v>
      </c>
      <c r="J271" s="17">
        <v>61</v>
      </c>
      <c r="K271" s="17"/>
      <c r="L271" s="17"/>
      <c r="M271" s="17"/>
    </row>
    <row r="272" spans="2:14" x14ac:dyDescent="0.2">
      <c r="B272" s="1" t="s">
        <v>11</v>
      </c>
      <c r="C272" s="2">
        <v>1243</v>
      </c>
      <c r="D272" s="2">
        <v>192</v>
      </c>
      <c r="E272" s="2">
        <f t="shared" si="96"/>
        <v>1051</v>
      </c>
      <c r="F272" s="3">
        <f t="shared" si="94"/>
        <v>0.15446500402252614</v>
      </c>
      <c r="G272" s="6">
        <v>8</v>
      </c>
      <c r="H272" s="4">
        <f t="shared" si="95"/>
        <v>24</v>
      </c>
      <c r="I272" s="10">
        <v>45938</v>
      </c>
      <c r="J272" s="17">
        <v>16</v>
      </c>
      <c r="K272" s="17">
        <v>13</v>
      </c>
      <c r="L272" s="17"/>
      <c r="M272" s="17"/>
    </row>
    <row r="273" spans="2:14" x14ac:dyDescent="0.2">
      <c r="B273" s="5" t="s">
        <v>12</v>
      </c>
      <c r="C273" s="2">
        <v>449</v>
      </c>
      <c r="D273" s="6">
        <v>446</v>
      </c>
      <c r="E273" s="2">
        <f t="shared" si="96"/>
        <v>3</v>
      </c>
      <c r="F273" s="3">
        <f t="shared" si="94"/>
        <v>0.99331848552338531</v>
      </c>
      <c r="G273" s="6">
        <v>17</v>
      </c>
      <c r="H273" s="4">
        <f>D273/G273</f>
        <v>26.235294117647058</v>
      </c>
      <c r="I273" s="10">
        <v>45938</v>
      </c>
      <c r="J273" s="17"/>
      <c r="K273" s="17"/>
    </row>
    <row r="274" spans="2:14" x14ac:dyDescent="0.2">
      <c r="B274" s="5" t="s">
        <v>17</v>
      </c>
      <c r="C274" s="2">
        <v>702</v>
      </c>
      <c r="D274" s="6">
        <v>678</v>
      </c>
      <c r="E274" s="2">
        <f t="shared" si="96"/>
        <v>24</v>
      </c>
      <c r="F274" s="3">
        <f t="shared" si="94"/>
        <v>0.96581196581196582</v>
      </c>
      <c r="G274" s="6">
        <v>5</v>
      </c>
      <c r="H274" s="4">
        <f t="shared" ref="H274:H284" si="97">D274/G274</f>
        <v>135.6</v>
      </c>
      <c r="I274" s="10">
        <v>45938</v>
      </c>
      <c r="J274" s="17"/>
      <c r="K274" s="17"/>
      <c r="L274" s="17">
        <v>12</v>
      </c>
      <c r="M274" s="17"/>
      <c r="N274">
        <v>57</v>
      </c>
    </row>
    <row r="275" spans="2:14" x14ac:dyDescent="0.2">
      <c r="B275" s="1" t="s">
        <v>7</v>
      </c>
      <c r="C275" s="2">
        <v>515</v>
      </c>
      <c r="D275" s="2">
        <v>501</v>
      </c>
      <c r="E275" s="2">
        <f t="shared" si="96"/>
        <v>14</v>
      </c>
      <c r="F275" s="3">
        <f t="shared" si="94"/>
        <v>0.97281553398058251</v>
      </c>
      <c r="G275" s="2">
        <v>2</v>
      </c>
      <c r="H275" s="4">
        <f t="shared" si="97"/>
        <v>250.5</v>
      </c>
      <c r="I275" s="10">
        <v>45939</v>
      </c>
      <c r="J275" s="17">
        <v>1</v>
      </c>
      <c r="M275">
        <v>11</v>
      </c>
    </row>
    <row r="276" spans="2:14" x14ac:dyDescent="0.2">
      <c r="B276" s="5" t="s">
        <v>8</v>
      </c>
      <c r="C276" s="2">
        <v>397</v>
      </c>
      <c r="D276" s="2">
        <v>385</v>
      </c>
      <c r="E276" s="2">
        <f t="shared" si="96"/>
        <v>12</v>
      </c>
      <c r="F276" s="3">
        <f t="shared" si="94"/>
        <v>0.96977329974811088</v>
      </c>
      <c r="G276" s="2">
        <v>8</v>
      </c>
      <c r="H276" s="4">
        <f t="shared" si="97"/>
        <v>48.125</v>
      </c>
      <c r="I276" s="10">
        <v>45939</v>
      </c>
      <c r="J276" s="17">
        <v>8</v>
      </c>
    </row>
    <row r="277" spans="2:14" x14ac:dyDescent="0.2">
      <c r="B277" s="1" t="s">
        <v>9</v>
      </c>
      <c r="C277" s="2">
        <v>125</v>
      </c>
      <c r="D277" s="2">
        <v>65</v>
      </c>
      <c r="E277" s="2">
        <f t="shared" si="96"/>
        <v>60</v>
      </c>
      <c r="F277" s="3">
        <f t="shared" si="94"/>
        <v>0.52</v>
      </c>
      <c r="G277" s="2">
        <v>3</v>
      </c>
      <c r="H277" s="4">
        <f t="shared" si="97"/>
        <v>21.666666666666668</v>
      </c>
      <c r="I277" s="10">
        <v>45939</v>
      </c>
      <c r="J277" s="17"/>
    </row>
    <row r="278" spans="2:14" x14ac:dyDescent="0.2">
      <c r="B278" s="5" t="s">
        <v>10</v>
      </c>
      <c r="C278" s="2">
        <v>760</v>
      </c>
      <c r="D278" s="2">
        <v>23</v>
      </c>
      <c r="E278" s="2">
        <f t="shared" si="96"/>
        <v>737</v>
      </c>
      <c r="F278" s="3">
        <f t="shared" si="94"/>
        <v>3.0263157894736843E-2</v>
      </c>
      <c r="G278" s="2">
        <v>10</v>
      </c>
      <c r="H278" s="4">
        <f t="shared" si="97"/>
        <v>2.2999999999999998</v>
      </c>
      <c r="I278" s="10">
        <v>45939</v>
      </c>
      <c r="J278" s="17">
        <v>80</v>
      </c>
    </row>
    <row r="279" spans="2:14" x14ac:dyDescent="0.2">
      <c r="B279" s="1" t="s">
        <v>11</v>
      </c>
      <c r="C279" s="2">
        <v>955</v>
      </c>
      <c r="D279" s="2">
        <v>223</v>
      </c>
      <c r="E279" s="2">
        <f t="shared" si="96"/>
        <v>732</v>
      </c>
      <c r="F279" s="3">
        <f t="shared" si="94"/>
        <v>0.23350785340314137</v>
      </c>
      <c r="G279" s="2">
        <v>8</v>
      </c>
      <c r="H279" s="4">
        <f>D279/G279</f>
        <v>27.875</v>
      </c>
      <c r="I279" s="10">
        <v>45939</v>
      </c>
      <c r="J279" s="17">
        <v>26</v>
      </c>
      <c r="K279">
        <v>5</v>
      </c>
    </row>
    <row r="280" spans="2:14" x14ac:dyDescent="0.2">
      <c r="B280" s="5" t="s">
        <v>12</v>
      </c>
      <c r="C280" s="2">
        <v>219</v>
      </c>
      <c r="D280" s="2">
        <v>213</v>
      </c>
      <c r="E280" s="2">
        <f t="shared" si="96"/>
        <v>6</v>
      </c>
      <c r="F280" s="3">
        <f t="shared" si="94"/>
        <v>0.9726027397260274</v>
      </c>
      <c r="G280" s="2">
        <v>19</v>
      </c>
      <c r="H280" s="4">
        <f>D280/G280</f>
        <v>11.210526315789474</v>
      </c>
      <c r="I280" s="10">
        <v>45939</v>
      </c>
    </row>
    <row r="281" spans="2:14" x14ac:dyDescent="0.2">
      <c r="B281" s="5" t="s">
        <v>17</v>
      </c>
      <c r="C281" s="2">
        <v>257</v>
      </c>
      <c r="D281" s="2">
        <v>257</v>
      </c>
      <c r="E281" s="2">
        <f t="shared" si="96"/>
        <v>0</v>
      </c>
      <c r="F281" s="3">
        <f t="shared" si="94"/>
        <v>1</v>
      </c>
      <c r="G281" s="2">
        <v>4</v>
      </c>
      <c r="H281" s="4">
        <f t="shared" si="97"/>
        <v>64.25</v>
      </c>
      <c r="I281" s="10">
        <v>45939</v>
      </c>
      <c r="N281">
        <v>7</v>
      </c>
    </row>
    <row r="282" spans="2:14" x14ac:dyDescent="0.2">
      <c r="B282" s="1" t="s">
        <v>7</v>
      </c>
      <c r="C282" s="2">
        <v>245</v>
      </c>
      <c r="D282" s="2">
        <v>245</v>
      </c>
      <c r="E282" s="2">
        <f t="shared" si="96"/>
        <v>0</v>
      </c>
      <c r="F282" s="3">
        <f t="shared" ref="F282:F288" si="98">D282/C282</f>
        <v>1</v>
      </c>
      <c r="G282" s="2">
        <v>2</v>
      </c>
      <c r="H282" s="4">
        <f t="shared" si="97"/>
        <v>122.5</v>
      </c>
      <c r="I282" s="10">
        <v>45940</v>
      </c>
      <c r="J282" s="17"/>
      <c r="K282" s="17"/>
      <c r="L282" s="17"/>
      <c r="M282" s="17">
        <v>7</v>
      </c>
    </row>
    <row r="283" spans="2:14" x14ac:dyDescent="0.2">
      <c r="B283" s="5" t="s">
        <v>8</v>
      </c>
      <c r="C283" s="6">
        <v>1058</v>
      </c>
      <c r="D283" s="6">
        <v>1007</v>
      </c>
      <c r="E283" s="2">
        <f t="shared" si="96"/>
        <v>51</v>
      </c>
      <c r="F283" s="3">
        <f t="shared" si="98"/>
        <v>0.95179584120982985</v>
      </c>
      <c r="G283" s="2">
        <v>8</v>
      </c>
      <c r="H283" s="4">
        <f t="shared" si="97"/>
        <v>125.875</v>
      </c>
      <c r="I283" s="10">
        <v>45940</v>
      </c>
      <c r="J283" s="17">
        <v>2</v>
      </c>
      <c r="K283" s="17"/>
      <c r="L283" s="17"/>
      <c r="M283" s="17"/>
    </row>
    <row r="284" spans="2:14" x14ac:dyDescent="0.2">
      <c r="B284" s="1" t="s">
        <v>9</v>
      </c>
      <c r="C284" s="2">
        <v>45</v>
      </c>
      <c r="D284" s="2">
        <v>45</v>
      </c>
      <c r="E284" s="2">
        <f>C284-D284</f>
        <v>0</v>
      </c>
      <c r="F284" s="3">
        <f t="shared" si="98"/>
        <v>1</v>
      </c>
      <c r="G284" s="2">
        <v>3</v>
      </c>
      <c r="H284" s="4">
        <f t="shared" si="97"/>
        <v>15</v>
      </c>
      <c r="I284" s="10">
        <v>45940</v>
      </c>
      <c r="J284" s="17"/>
      <c r="K284" s="17"/>
      <c r="L284" s="17"/>
      <c r="M284" s="17"/>
    </row>
    <row r="285" spans="2:14" x14ac:dyDescent="0.2">
      <c r="B285" s="5" t="s">
        <v>10</v>
      </c>
      <c r="C285" s="6">
        <v>331</v>
      </c>
      <c r="D285" s="6">
        <v>260</v>
      </c>
      <c r="E285" s="2">
        <f t="shared" ref="E285:E290" si="99">C285-D285</f>
        <v>71</v>
      </c>
      <c r="F285" s="3">
        <f t="shared" si="98"/>
        <v>0.78549848942598188</v>
      </c>
      <c r="G285" s="6">
        <v>10</v>
      </c>
      <c r="H285" s="4">
        <f>D285/G285</f>
        <v>26</v>
      </c>
      <c r="I285" s="10">
        <v>45940</v>
      </c>
      <c r="J285" s="17"/>
      <c r="K285" s="17"/>
      <c r="L285" s="17"/>
      <c r="M285" s="17"/>
    </row>
    <row r="286" spans="2:14" x14ac:dyDescent="0.2">
      <c r="B286" s="1" t="s">
        <v>11</v>
      </c>
      <c r="C286" s="2">
        <v>451</v>
      </c>
      <c r="D286" s="2">
        <v>54</v>
      </c>
      <c r="E286" s="2">
        <f t="shared" si="99"/>
        <v>397</v>
      </c>
      <c r="F286" s="3">
        <f t="shared" si="98"/>
        <v>0.11973392461197339</v>
      </c>
      <c r="G286" s="6">
        <v>8</v>
      </c>
      <c r="H286" s="4">
        <f t="shared" ref="H286" si="100">D286/G286</f>
        <v>6.75</v>
      </c>
      <c r="I286" s="10">
        <v>45940</v>
      </c>
      <c r="J286" s="17"/>
      <c r="K286" s="17">
        <v>6</v>
      </c>
      <c r="L286" s="17"/>
      <c r="M286" s="17"/>
    </row>
    <row r="287" spans="2:14" x14ac:dyDescent="0.2">
      <c r="B287" s="5" t="s">
        <v>12</v>
      </c>
      <c r="C287" s="2">
        <f>461-16</f>
        <v>445</v>
      </c>
      <c r="D287" s="6">
        <v>426</v>
      </c>
      <c r="E287" s="2">
        <f t="shared" si="99"/>
        <v>19</v>
      </c>
      <c r="F287" s="3">
        <f t="shared" si="98"/>
        <v>0.95730337078651684</v>
      </c>
      <c r="G287" s="6">
        <v>20</v>
      </c>
      <c r="H287" s="4">
        <f>D287/G287</f>
        <v>21.3</v>
      </c>
      <c r="I287" s="10">
        <v>45940</v>
      </c>
      <c r="J287" s="17">
        <v>1</v>
      </c>
      <c r="K287" s="17"/>
    </row>
    <row r="288" spans="2:14" x14ac:dyDescent="0.2">
      <c r="B288" s="5" t="s">
        <v>17</v>
      </c>
      <c r="C288" s="2">
        <v>2</v>
      </c>
      <c r="D288" s="6">
        <v>2</v>
      </c>
      <c r="E288" s="2">
        <f t="shared" si="99"/>
        <v>0</v>
      </c>
      <c r="F288" s="3">
        <f t="shared" si="98"/>
        <v>1</v>
      </c>
      <c r="G288" s="6">
        <v>4</v>
      </c>
      <c r="H288" s="4">
        <f t="shared" ref="H288:H291" si="101">D288/G288</f>
        <v>0.5</v>
      </c>
      <c r="I288" s="10">
        <v>45940</v>
      </c>
      <c r="K288" s="17"/>
      <c r="L288" s="17">
        <v>1</v>
      </c>
      <c r="M288" s="17"/>
      <c r="N288">
        <v>1</v>
      </c>
    </row>
    <row r="289" spans="2:14" x14ac:dyDescent="0.2">
      <c r="B289" s="1" t="s">
        <v>7</v>
      </c>
      <c r="C289" s="20">
        <v>0.1</v>
      </c>
      <c r="D289" s="20">
        <v>0.1</v>
      </c>
      <c r="E289" s="2">
        <f t="shared" si="99"/>
        <v>0</v>
      </c>
      <c r="F289" s="3">
        <f t="shared" ref="F289:F295" si="102">D289/C289</f>
        <v>1</v>
      </c>
      <c r="G289" s="2">
        <v>4</v>
      </c>
      <c r="H289" s="4">
        <f t="shared" si="101"/>
        <v>2.5000000000000001E-2</v>
      </c>
      <c r="I289" s="10">
        <v>45943</v>
      </c>
      <c r="J289" s="17">
        <v>150</v>
      </c>
      <c r="K289" s="17"/>
      <c r="L289" s="17"/>
      <c r="M289" s="17">
        <v>0</v>
      </c>
    </row>
    <row r="290" spans="2:14" x14ac:dyDescent="0.2">
      <c r="B290" s="5" t="s">
        <v>8</v>
      </c>
      <c r="C290" s="6">
        <v>223</v>
      </c>
      <c r="D290" s="6">
        <v>223</v>
      </c>
      <c r="E290" s="2">
        <f t="shared" si="99"/>
        <v>0</v>
      </c>
      <c r="F290" s="3">
        <f t="shared" si="102"/>
        <v>1</v>
      </c>
      <c r="G290" s="2">
        <v>8</v>
      </c>
      <c r="H290" s="4">
        <f t="shared" si="101"/>
        <v>27.875</v>
      </c>
      <c r="I290" s="10">
        <v>45943</v>
      </c>
      <c r="J290" s="17">
        <v>2</v>
      </c>
      <c r="K290" s="17"/>
      <c r="L290" s="17"/>
      <c r="M290" s="17"/>
    </row>
    <row r="291" spans="2:14" x14ac:dyDescent="0.2">
      <c r="B291" s="1" t="s">
        <v>9</v>
      </c>
      <c r="C291" s="2">
        <v>9</v>
      </c>
      <c r="D291" s="2">
        <v>5</v>
      </c>
      <c r="E291" s="2">
        <f>C291-D291</f>
        <v>4</v>
      </c>
      <c r="F291" s="3">
        <f t="shared" si="102"/>
        <v>0.55555555555555558</v>
      </c>
      <c r="G291" s="2">
        <v>7</v>
      </c>
      <c r="H291" s="4">
        <f t="shared" si="101"/>
        <v>0.7142857142857143</v>
      </c>
      <c r="I291" s="10">
        <v>45943</v>
      </c>
      <c r="J291" s="17"/>
      <c r="K291" s="17"/>
      <c r="L291" s="17"/>
      <c r="M291" s="17"/>
    </row>
    <row r="292" spans="2:14" x14ac:dyDescent="0.2">
      <c r="B292" s="5" t="s">
        <v>10</v>
      </c>
      <c r="C292" s="6">
        <v>797</v>
      </c>
      <c r="D292" s="6">
        <v>73</v>
      </c>
      <c r="E292" s="2">
        <f t="shared" ref="E292:E297" si="103">C292-D292</f>
        <v>724</v>
      </c>
      <c r="F292" s="3">
        <f t="shared" si="102"/>
        <v>9.1593475533249688E-2</v>
      </c>
      <c r="G292" s="6">
        <v>11</v>
      </c>
      <c r="H292" s="4">
        <f>D292/G292</f>
        <v>6.6363636363636367</v>
      </c>
      <c r="I292" s="10">
        <v>45943</v>
      </c>
      <c r="J292" s="17"/>
      <c r="K292" s="17"/>
      <c r="L292" s="17"/>
      <c r="M292" s="17"/>
    </row>
    <row r="293" spans="2:14" x14ac:dyDescent="0.2">
      <c r="B293" s="1" t="s">
        <v>11</v>
      </c>
      <c r="C293" s="2">
        <v>381</v>
      </c>
      <c r="D293" s="2">
        <v>143</v>
      </c>
      <c r="E293" s="2">
        <f t="shared" si="103"/>
        <v>238</v>
      </c>
      <c r="F293" s="3">
        <f t="shared" si="102"/>
        <v>0.37532808398950129</v>
      </c>
      <c r="G293" s="6">
        <v>8</v>
      </c>
      <c r="H293" s="4">
        <f t="shared" ref="H293" si="104">D293/G293</f>
        <v>17.875</v>
      </c>
      <c r="I293" s="10">
        <v>45943</v>
      </c>
      <c r="J293" s="17"/>
      <c r="K293" s="17">
        <v>5</v>
      </c>
      <c r="L293" s="17"/>
      <c r="M293" s="17"/>
    </row>
    <row r="294" spans="2:14" x14ac:dyDescent="0.2">
      <c r="B294" s="5" t="s">
        <v>12</v>
      </c>
      <c r="C294" s="2">
        <v>486</v>
      </c>
      <c r="D294" s="6">
        <v>410</v>
      </c>
      <c r="E294" s="2">
        <f t="shared" si="103"/>
        <v>76</v>
      </c>
      <c r="F294" s="3">
        <f t="shared" si="102"/>
        <v>0.84362139917695478</v>
      </c>
      <c r="G294" s="6">
        <v>23</v>
      </c>
      <c r="H294" s="4">
        <f>D294/G294</f>
        <v>17.826086956521738</v>
      </c>
      <c r="I294" s="10">
        <v>45943</v>
      </c>
      <c r="J294" s="17"/>
      <c r="K294" s="17"/>
    </row>
    <row r="295" spans="2:14" x14ac:dyDescent="0.2">
      <c r="B295" s="5" t="s">
        <v>17</v>
      </c>
      <c r="C295" s="2">
        <v>485</v>
      </c>
      <c r="D295" s="6">
        <v>473</v>
      </c>
      <c r="E295" s="2">
        <f t="shared" si="103"/>
        <v>12</v>
      </c>
      <c r="F295" s="3">
        <f t="shared" si="102"/>
        <v>0.97525773195876286</v>
      </c>
      <c r="G295" s="6">
        <v>5</v>
      </c>
      <c r="H295" s="4">
        <f t="shared" ref="H295:H298" si="105">D295/G295</f>
        <v>94.6</v>
      </c>
      <c r="I295" s="10">
        <v>45943</v>
      </c>
      <c r="K295" s="17"/>
      <c r="L295" s="17">
        <v>15</v>
      </c>
      <c r="M295" s="17"/>
      <c r="N295">
        <v>70</v>
      </c>
    </row>
    <row r="296" spans="2:14" x14ac:dyDescent="0.2">
      <c r="B296" s="1" t="s">
        <v>7</v>
      </c>
      <c r="C296" s="20">
        <v>410</v>
      </c>
      <c r="D296" s="20">
        <v>400</v>
      </c>
      <c r="E296" s="2">
        <f t="shared" si="103"/>
        <v>10</v>
      </c>
      <c r="F296" s="3">
        <f t="shared" ref="F296:F302" si="106">D296/C296</f>
        <v>0.97560975609756095</v>
      </c>
      <c r="G296" s="2">
        <v>4</v>
      </c>
      <c r="H296" s="4">
        <f t="shared" si="105"/>
        <v>100</v>
      </c>
      <c r="I296" s="10">
        <v>45944</v>
      </c>
      <c r="J296" s="17">
        <v>3</v>
      </c>
      <c r="M296">
        <v>14</v>
      </c>
    </row>
    <row r="297" spans="2:14" x14ac:dyDescent="0.2">
      <c r="B297" s="5" t="s">
        <v>8</v>
      </c>
      <c r="C297" s="6">
        <v>16</v>
      </c>
      <c r="D297" s="6">
        <v>16</v>
      </c>
      <c r="E297" s="2">
        <f t="shared" si="103"/>
        <v>0</v>
      </c>
      <c r="F297" s="3">
        <f t="shared" si="106"/>
        <v>1</v>
      </c>
      <c r="G297" s="2">
        <v>6</v>
      </c>
      <c r="H297" s="4">
        <f t="shared" si="105"/>
        <v>2.6666666666666665</v>
      </c>
      <c r="I297" s="10">
        <v>45944</v>
      </c>
      <c r="J297" s="17">
        <v>5</v>
      </c>
    </row>
    <row r="298" spans="2:14" x14ac:dyDescent="0.2">
      <c r="B298" s="1" t="s">
        <v>9</v>
      </c>
      <c r="C298" s="2">
        <v>116</v>
      </c>
      <c r="D298" s="2">
        <v>114</v>
      </c>
      <c r="E298" s="2">
        <f>C298-D298</f>
        <v>2</v>
      </c>
      <c r="F298" s="3">
        <f t="shared" si="106"/>
        <v>0.98275862068965514</v>
      </c>
      <c r="G298" s="2">
        <v>5</v>
      </c>
      <c r="H298" s="4">
        <f t="shared" si="105"/>
        <v>22.8</v>
      </c>
      <c r="I298" s="10">
        <v>45944</v>
      </c>
    </row>
    <row r="299" spans="2:14" x14ac:dyDescent="0.2">
      <c r="B299" s="5" t="s">
        <v>10</v>
      </c>
      <c r="C299" s="6">
        <v>766</v>
      </c>
      <c r="D299" s="6">
        <v>755</v>
      </c>
      <c r="E299" s="2">
        <f t="shared" ref="E299:E304" si="107">C299-D299</f>
        <v>11</v>
      </c>
      <c r="F299" s="3">
        <f t="shared" si="106"/>
        <v>0.98563968668407309</v>
      </c>
      <c r="G299" s="6">
        <v>11</v>
      </c>
      <c r="H299" s="4">
        <f>D299/G299</f>
        <v>68.63636363636364</v>
      </c>
      <c r="I299" s="10">
        <v>45944</v>
      </c>
    </row>
    <row r="300" spans="2:14" x14ac:dyDescent="0.2">
      <c r="B300" s="1" t="s">
        <v>11</v>
      </c>
      <c r="C300" s="2">
        <v>915</v>
      </c>
      <c r="D300" s="2">
        <v>394</v>
      </c>
      <c r="E300" s="2">
        <f t="shared" si="107"/>
        <v>521</v>
      </c>
      <c r="F300" s="3">
        <f t="shared" si="106"/>
        <v>0.43060109289617488</v>
      </c>
      <c r="G300" s="6">
        <v>8</v>
      </c>
      <c r="H300" s="4">
        <f t="shared" ref="H300" si="108">D300/G300</f>
        <v>49.25</v>
      </c>
      <c r="I300" s="10">
        <v>45944</v>
      </c>
      <c r="K300">
        <v>8</v>
      </c>
    </row>
    <row r="301" spans="2:14" x14ac:dyDescent="0.2">
      <c r="B301" s="5" t="s">
        <v>12</v>
      </c>
      <c r="C301" s="2">
        <v>72</v>
      </c>
      <c r="D301" s="6">
        <v>72</v>
      </c>
      <c r="E301" s="2">
        <f t="shared" si="107"/>
        <v>0</v>
      </c>
      <c r="F301" s="3">
        <f t="shared" si="106"/>
        <v>1</v>
      </c>
      <c r="G301" s="6">
        <v>19</v>
      </c>
      <c r="H301" s="4">
        <f>D301/G301</f>
        <v>3.7894736842105261</v>
      </c>
      <c r="I301" s="10">
        <v>45944</v>
      </c>
    </row>
    <row r="302" spans="2:14" x14ac:dyDescent="0.2">
      <c r="B302" s="5" t="s">
        <v>17</v>
      </c>
      <c r="C302" s="2">
        <v>1214</v>
      </c>
      <c r="D302" s="6">
        <v>1214</v>
      </c>
      <c r="E302" s="2">
        <f t="shared" si="107"/>
        <v>0</v>
      </c>
      <c r="F302" s="3">
        <f t="shared" si="106"/>
        <v>1</v>
      </c>
      <c r="G302" s="6">
        <v>5</v>
      </c>
      <c r="H302" s="4">
        <f t="shared" ref="H302:H305" si="109">D302/G302</f>
        <v>242.8</v>
      </c>
      <c r="I302" s="10">
        <v>45944</v>
      </c>
      <c r="L302">
        <v>3</v>
      </c>
      <c r="N302">
        <v>6</v>
      </c>
    </row>
    <row r="303" spans="2:14" x14ac:dyDescent="0.2">
      <c r="B303" s="1" t="s">
        <v>7</v>
      </c>
      <c r="C303" s="20">
        <v>1200</v>
      </c>
      <c r="D303" s="20">
        <v>1200</v>
      </c>
      <c r="E303" s="2">
        <f t="shared" si="107"/>
        <v>0</v>
      </c>
      <c r="F303" s="3">
        <f t="shared" ref="F303:F309" si="110">D303/C303</f>
        <v>1</v>
      </c>
      <c r="G303" s="2">
        <v>2</v>
      </c>
      <c r="H303" s="4">
        <f t="shared" si="109"/>
        <v>600</v>
      </c>
      <c r="I303" s="10">
        <v>45945</v>
      </c>
      <c r="J303" s="17">
        <v>1</v>
      </c>
      <c r="M303">
        <v>1</v>
      </c>
    </row>
    <row r="304" spans="2:14" x14ac:dyDescent="0.2">
      <c r="B304" s="5" t="s">
        <v>8</v>
      </c>
      <c r="C304" s="6">
        <v>336</v>
      </c>
      <c r="D304" s="6">
        <v>319</v>
      </c>
      <c r="E304" s="2">
        <f t="shared" si="107"/>
        <v>17</v>
      </c>
      <c r="F304" s="3">
        <f t="shared" si="110"/>
        <v>0.94940476190476186</v>
      </c>
      <c r="G304" s="2">
        <v>7</v>
      </c>
      <c r="H304" s="4">
        <f t="shared" si="109"/>
        <v>45.571428571428569</v>
      </c>
      <c r="I304" s="10">
        <v>45945</v>
      </c>
      <c r="J304" s="17">
        <v>3</v>
      </c>
    </row>
    <row r="305" spans="2:14" x14ac:dyDescent="0.2">
      <c r="B305" s="1" t="s">
        <v>9</v>
      </c>
      <c r="C305" s="2">
        <v>51</v>
      </c>
      <c r="D305" s="2">
        <v>51</v>
      </c>
      <c r="E305" s="2">
        <f>C305-D305</f>
        <v>0</v>
      </c>
      <c r="F305" s="3">
        <f t="shared" si="110"/>
        <v>1</v>
      </c>
      <c r="G305" s="2">
        <v>5</v>
      </c>
      <c r="H305" s="4">
        <f t="shared" si="109"/>
        <v>10.199999999999999</v>
      </c>
      <c r="I305" s="10">
        <v>45945</v>
      </c>
    </row>
    <row r="306" spans="2:14" x14ac:dyDescent="0.2">
      <c r="B306" s="5" t="s">
        <v>10</v>
      </c>
      <c r="C306" s="6">
        <v>1065</v>
      </c>
      <c r="D306" s="6">
        <v>553</v>
      </c>
      <c r="E306" s="2">
        <f t="shared" ref="E306:E311" si="111">C306-D306</f>
        <v>512</v>
      </c>
      <c r="F306" s="3">
        <f t="shared" si="110"/>
        <v>0.51924882629107982</v>
      </c>
      <c r="G306" s="6">
        <v>11</v>
      </c>
      <c r="H306" s="4">
        <f>D306/G306</f>
        <v>50.272727272727273</v>
      </c>
      <c r="I306" s="10">
        <v>45945</v>
      </c>
    </row>
    <row r="307" spans="2:14" x14ac:dyDescent="0.2">
      <c r="B307" s="1" t="s">
        <v>11</v>
      </c>
      <c r="C307" s="2">
        <v>460</v>
      </c>
      <c r="D307" s="2">
        <v>370</v>
      </c>
      <c r="E307" s="2">
        <f t="shared" si="111"/>
        <v>90</v>
      </c>
      <c r="F307" s="3">
        <f t="shared" si="110"/>
        <v>0.80434782608695654</v>
      </c>
      <c r="G307" s="6">
        <v>8</v>
      </c>
      <c r="H307" s="4">
        <f t="shared" ref="H307" si="112">D307/G307</f>
        <v>46.25</v>
      </c>
      <c r="I307" s="10">
        <v>45945</v>
      </c>
      <c r="K307">
        <v>8</v>
      </c>
    </row>
    <row r="308" spans="2:14" x14ac:dyDescent="0.2">
      <c r="B308" s="5" t="s">
        <v>12</v>
      </c>
      <c r="C308" s="2">
        <v>243</v>
      </c>
      <c r="D308" s="6">
        <v>211</v>
      </c>
      <c r="E308" s="2">
        <f t="shared" si="111"/>
        <v>32</v>
      </c>
      <c r="F308" s="3">
        <f t="shared" si="110"/>
        <v>0.86831275720164613</v>
      </c>
      <c r="G308" s="6">
        <v>19</v>
      </c>
      <c r="H308" s="4">
        <f>D308/G308</f>
        <v>11.105263157894736</v>
      </c>
      <c r="I308" s="10">
        <v>45945</v>
      </c>
    </row>
    <row r="309" spans="2:14" x14ac:dyDescent="0.2">
      <c r="B309" s="5" t="s">
        <v>17</v>
      </c>
      <c r="C309" s="2">
        <v>464</v>
      </c>
      <c r="D309" s="6">
        <v>448</v>
      </c>
      <c r="E309" s="2">
        <f t="shared" si="111"/>
        <v>16</v>
      </c>
      <c r="F309" s="3">
        <f t="shared" si="110"/>
        <v>0.96551724137931039</v>
      </c>
      <c r="G309" s="6">
        <v>5</v>
      </c>
      <c r="H309" s="4">
        <f t="shared" ref="H309:H312" si="113">D309/G309</f>
        <v>89.6</v>
      </c>
      <c r="I309" s="10">
        <v>45945</v>
      </c>
      <c r="L309">
        <v>11</v>
      </c>
      <c r="N309">
        <v>48</v>
      </c>
    </row>
    <row r="310" spans="2:14" x14ac:dyDescent="0.2">
      <c r="B310" s="1" t="s">
        <v>7</v>
      </c>
      <c r="C310" s="20">
        <v>314</v>
      </c>
      <c r="D310" s="20">
        <v>310</v>
      </c>
      <c r="E310" s="2">
        <f t="shared" si="111"/>
        <v>4</v>
      </c>
      <c r="F310" s="3">
        <f t="shared" ref="F310:F316" si="114">D310/C310</f>
        <v>0.98726114649681529</v>
      </c>
      <c r="G310" s="2">
        <v>2</v>
      </c>
      <c r="H310" s="4">
        <f t="shared" si="113"/>
        <v>155</v>
      </c>
      <c r="I310" s="10">
        <v>45946</v>
      </c>
      <c r="J310" s="17"/>
      <c r="M310">
        <v>10</v>
      </c>
    </row>
    <row r="311" spans="2:14" x14ac:dyDescent="0.2">
      <c r="B311" s="5" t="s">
        <v>8</v>
      </c>
      <c r="C311" s="6">
        <v>1170</v>
      </c>
      <c r="D311" s="6">
        <v>1152</v>
      </c>
      <c r="E311" s="2">
        <f t="shared" si="111"/>
        <v>18</v>
      </c>
      <c r="F311" s="3">
        <f t="shared" si="114"/>
        <v>0.98461538461538467</v>
      </c>
      <c r="G311" s="2">
        <v>5</v>
      </c>
      <c r="H311" s="4">
        <f t="shared" si="113"/>
        <v>230.4</v>
      </c>
      <c r="I311" s="10">
        <v>45946</v>
      </c>
      <c r="J311" s="17">
        <v>4</v>
      </c>
    </row>
    <row r="312" spans="2:14" x14ac:dyDescent="0.2">
      <c r="B312" s="1" t="s">
        <v>9</v>
      </c>
      <c r="C312" s="2">
        <v>57</v>
      </c>
      <c r="D312" s="2">
        <v>52</v>
      </c>
      <c r="E312" s="2">
        <f>C312-D312</f>
        <v>5</v>
      </c>
      <c r="F312" s="3">
        <f t="shared" si="114"/>
        <v>0.91228070175438591</v>
      </c>
      <c r="G312" s="2">
        <v>6</v>
      </c>
      <c r="H312" s="4">
        <f t="shared" si="113"/>
        <v>8.6666666666666661</v>
      </c>
      <c r="I312" s="10">
        <v>45946</v>
      </c>
    </row>
    <row r="313" spans="2:14" x14ac:dyDescent="0.2">
      <c r="B313" s="5" t="s">
        <v>10</v>
      </c>
      <c r="C313" s="6">
        <v>358</v>
      </c>
      <c r="D313" s="6">
        <v>311</v>
      </c>
      <c r="E313" s="2">
        <f t="shared" ref="E313:E318" si="115">C313-D313</f>
        <v>47</v>
      </c>
      <c r="F313" s="3">
        <f t="shared" si="114"/>
        <v>0.86871508379888274</v>
      </c>
      <c r="G313" s="6">
        <v>11</v>
      </c>
      <c r="H313" s="4">
        <f>D313/G313</f>
        <v>28.272727272727273</v>
      </c>
      <c r="I313" s="10">
        <v>45946</v>
      </c>
    </row>
    <row r="314" spans="2:14" x14ac:dyDescent="0.2">
      <c r="B314" s="1" t="s">
        <v>11</v>
      </c>
      <c r="C314" s="2">
        <v>1097</v>
      </c>
      <c r="D314" s="2">
        <v>850</v>
      </c>
      <c r="E314" s="2">
        <f t="shared" si="115"/>
        <v>247</v>
      </c>
      <c r="F314" s="3">
        <f t="shared" si="114"/>
        <v>0.77484047402005474</v>
      </c>
      <c r="G314" s="6">
        <v>8</v>
      </c>
      <c r="H314" s="4">
        <f t="shared" ref="H314" si="116">D314/G314</f>
        <v>106.25</v>
      </c>
      <c r="I314" s="10">
        <v>45946</v>
      </c>
      <c r="K314">
        <v>9</v>
      </c>
    </row>
    <row r="315" spans="2:14" x14ac:dyDescent="0.2">
      <c r="B315" s="5" t="s">
        <v>12</v>
      </c>
      <c r="C315" s="2">
        <v>251</v>
      </c>
      <c r="D315" s="6">
        <v>241</v>
      </c>
      <c r="E315" s="2">
        <f t="shared" si="115"/>
        <v>10</v>
      </c>
      <c r="F315" s="3">
        <f t="shared" si="114"/>
        <v>0.96015936254980083</v>
      </c>
      <c r="G315" s="6">
        <v>22</v>
      </c>
      <c r="H315" s="4">
        <f>D315/G315</f>
        <v>10.954545454545455</v>
      </c>
      <c r="I315" s="10">
        <v>45946</v>
      </c>
    </row>
    <row r="316" spans="2:14" x14ac:dyDescent="0.2">
      <c r="B316" s="5" t="s">
        <v>17</v>
      </c>
      <c r="C316" s="2">
        <v>235</v>
      </c>
      <c r="D316" s="6">
        <v>231</v>
      </c>
      <c r="E316" s="2">
        <f t="shared" si="115"/>
        <v>4</v>
      </c>
      <c r="F316" s="3">
        <f t="shared" si="114"/>
        <v>0.98297872340425529</v>
      </c>
      <c r="G316" s="6">
        <v>4</v>
      </c>
      <c r="H316" s="4">
        <f t="shared" ref="H316:H319" si="117">D316/G316</f>
        <v>57.75</v>
      </c>
      <c r="I316" s="10">
        <v>45946</v>
      </c>
      <c r="L316">
        <v>3</v>
      </c>
      <c r="N316">
        <v>8</v>
      </c>
    </row>
    <row r="317" spans="2:14" x14ac:dyDescent="0.2">
      <c r="B317" s="1" t="s">
        <v>7</v>
      </c>
      <c r="C317" s="20">
        <v>221</v>
      </c>
      <c r="D317" s="20">
        <v>221</v>
      </c>
      <c r="E317" s="2">
        <f t="shared" si="115"/>
        <v>0</v>
      </c>
      <c r="F317" s="3">
        <f t="shared" ref="F317:F323" si="118">D317/C317</f>
        <v>1</v>
      </c>
      <c r="G317" s="2">
        <v>4</v>
      </c>
      <c r="H317" s="4">
        <f t="shared" si="117"/>
        <v>55.25</v>
      </c>
      <c r="I317" s="10">
        <v>45947</v>
      </c>
      <c r="J317" s="17"/>
      <c r="M317">
        <v>3</v>
      </c>
    </row>
    <row r="318" spans="2:14" x14ac:dyDescent="0.2">
      <c r="B318" s="5" t="s">
        <v>8</v>
      </c>
      <c r="C318" s="6">
        <v>377</v>
      </c>
      <c r="D318" s="6">
        <v>280</v>
      </c>
      <c r="E318" s="2">
        <f t="shared" si="115"/>
        <v>97</v>
      </c>
      <c r="F318" s="3">
        <f t="shared" si="118"/>
        <v>0.7427055702917772</v>
      </c>
      <c r="G318" s="2">
        <v>5</v>
      </c>
      <c r="H318" s="4">
        <f t="shared" si="117"/>
        <v>56</v>
      </c>
      <c r="I318" s="10">
        <v>45947</v>
      </c>
      <c r="J318" s="17">
        <v>1</v>
      </c>
    </row>
    <row r="319" spans="2:14" x14ac:dyDescent="0.2">
      <c r="B319" s="1" t="s">
        <v>9</v>
      </c>
      <c r="C319" s="2">
        <v>160</v>
      </c>
      <c r="D319" s="2">
        <v>160</v>
      </c>
      <c r="E319" s="2">
        <f>C319-D319</f>
        <v>0</v>
      </c>
      <c r="F319" s="3">
        <f t="shared" si="118"/>
        <v>1</v>
      </c>
      <c r="G319" s="2">
        <v>6</v>
      </c>
      <c r="H319" s="4">
        <f t="shared" si="117"/>
        <v>26.666666666666668</v>
      </c>
      <c r="I319" s="10">
        <v>45947</v>
      </c>
    </row>
    <row r="320" spans="2:14" x14ac:dyDescent="0.2">
      <c r="B320" s="5" t="s">
        <v>10</v>
      </c>
      <c r="C320" s="6">
        <v>507</v>
      </c>
      <c r="D320" s="6">
        <v>481</v>
      </c>
      <c r="E320" s="2">
        <f t="shared" ref="E320:E326" si="119">C320-D320</f>
        <v>26</v>
      </c>
      <c r="F320" s="3">
        <f t="shared" si="118"/>
        <v>0.94871794871794868</v>
      </c>
      <c r="G320" s="6">
        <v>11</v>
      </c>
      <c r="H320" s="4">
        <f>D320/G320</f>
        <v>43.727272727272727</v>
      </c>
      <c r="I320" s="10">
        <v>45947</v>
      </c>
    </row>
    <row r="321" spans="2:14" x14ac:dyDescent="0.2">
      <c r="B321" s="1" t="s">
        <v>11</v>
      </c>
      <c r="C321" s="2">
        <v>1625</v>
      </c>
      <c r="D321" s="2">
        <v>1193</v>
      </c>
      <c r="E321" s="2">
        <f t="shared" si="119"/>
        <v>432</v>
      </c>
      <c r="F321" s="3">
        <f t="shared" si="118"/>
        <v>0.73415384615384616</v>
      </c>
      <c r="G321" s="6">
        <v>7</v>
      </c>
      <c r="H321" s="4">
        <f t="shared" ref="H321" si="120">D321/G321</f>
        <v>170.42857142857142</v>
      </c>
      <c r="I321" s="10">
        <v>45947</v>
      </c>
      <c r="K321">
        <v>7</v>
      </c>
    </row>
    <row r="322" spans="2:14" x14ac:dyDescent="0.2">
      <c r="B322" s="5" t="s">
        <v>12</v>
      </c>
      <c r="C322" s="2">
        <v>215</v>
      </c>
      <c r="D322" s="6">
        <v>206</v>
      </c>
      <c r="E322" s="2">
        <f t="shared" si="119"/>
        <v>9</v>
      </c>
      <c r="F322" s="3">
        <f t="shared" si="118"/>
        <v>0.95813953488372094</v>
      </c>
      <c r="G322" s="6">
        <v>22</v>
      </c>
      <c r="H322" s="4">
        <f>D322/G322</f>
        <v>9.3636363636363633</v>
      </c>
      <c r="I322" s="10">
        <v>45947</v>
      </c>
    </row>
    <row r="323" spans="2:14" x14ac:dyDescent="0.2">
      <c r="B323" s="5" t="s">
        <v>17</v>
      </c>
      <c r="C323" s="2">
        <v>1200</v>
      </c>
      <c r="D323" s="6">
        <v>1200</v>
      </c>
      <c r="E323" s="2">
        <f t="shared" si="119"/>
        <v>0</v>
      </c>
      <c r="F323" s="3">
        <f t="shared" si="118"/>
        <v>1</v>
      </c>
      <c r="G323" s="6">
        <v>4</v>
      </c>
      <c r="H323" s="4">
        <f t="shared" ref="H323:H329" si="121">D323/G323</f>
        <v>300</v>
      </c>
      <c r="I323" s="10">
        <v>45947</v>
      </c>
      <c r="L323">
        <v>1</v>
      </c>
      <c r="N323">
        <v>2</v>
      </c>
    </row>
    <row r="324" spans="2:14" x14ac:dyDescent="0.2">
      <c r="B324" s="1" t="s">
        <v>7</v>
      </c>
      <c r="C324" s="20">
        <v>1200</v>
      </c>
      <c r="D324" s="20">
        <v>1200</v>
      </c>
      <c r="E324" s="2">
        <f t="shared" si="119"/>
        <v>0</v>
      </c>
      <c r="F324" s="3">
        <f t="shared" ref="F324:F337" si="122">D324/C324</f>
        <v>1</v>
      </c>
      <c r="G324" s="2">
        <v>2</v>
      </c>
      <c r="H324" s="4">
        <f t="shared" si="121"/>
        <v>600</v>
      </c>
      <c r="I324" s="10">
        <v>45950</v>
      </c>
      <c r="J324" s="17"/>
      <c r="M324">
        <v>1</v>
      </c>
    </row>
    <row r="325" spans="2:14" x14ac:dyDescent="0.2">
      <c r="B325" s="5" t="s">
        <v>8</v>
      </c>
      <c r="C325" s="6">
        <v>223</v>
      </c>
      <c r="D325" s="6">
        <v>223</v>
      </c>
      <c r="E325" s="2">
        <f t="shared" si="119"/>
        <v>0</v>
      </c>
      <c r="F325" s="3">
        <f t="shared" si="122"/>
        <v>1</v>
      </c>
      <c r="G325" s="2">
        <v>6</v>
      </c>
      <c r="H325" s="4">
        <f t="shared" si="121"/>
        <v>37.166666666666664</v>
      </c>
      <c r="I325" s="10">
        <v>45950</v>
      </c>
      <c r="J325" s="17">
        <v>5</v>
      </c>
    </row>
    <row r="326" spans="2:14" x14ac:dyDescent="0.2">
      <c r="B326" s="1" t="s">
        <v>9</v>
      </c>
      <c r="C326" s="2">
        <v>134</v>
      </c>
      <c r="D326" s="2">
        <v>86</v>
      </c>
      <c r="E326" s="2">
        <f t="shared" si="119"/>
        <v>48</v>
      </c>
      <c r="F326" s="3">
        <f t="shared" si="122"/>
        <v>0.64179104477611937</v>
      </c>
      <c r="G326" s="2">
        <v>7</v>
      </c>
      <c r="H326" s="4">
        <f t="shared" si="121"/>
        <v>12.285714285714286</v>
      </c>
      <c r="I326" s="10">
        <v>45950</v>
      </c>
    </row>
    <row r="327" spans="2:14" x14ac:dyDescent="0.2">
      <c r="B327" s="5" t="s">
        <v>10</v>
      </c>
      <c r="C327" s="6">
        <v>4110</v>
      </c>
      <c r="D327" s="6">
        <v>2936</v>
      </c>
      <c r="E327" s="2">
        <f t="shared" ref="E327:E337" si="123">C327-D327</f>
        <v>1174</v>
      </c>
      <c r="F327" s="3">
        <f t="shared" si="122"/>
        <v>0.71435523114355226</v>
      </c>
      <c r="G327" s="6">
        <v>10</v>
      </c>
      <c r="H327" s="4">
        <f t="shared" si="121"/>
        <v>293.60000000000002</v>
      </c>
      <c r="I327" s="10">
        <v>45950</v>
      </c>
    </row>
    <row r="328" spans="2:14" x14ac:dyDescent="0.2">
      <c r="B328" s="1" t="s">
        <v>11</v>
      </c>
      <c r="C328" s="2">
        <v>132</v>
      </c>
      <c r="D328" s="2">
        <v>99</v>
      </c>
      <c r="E328" s="2">
        <f t="shared" si="123"/>
        <v>33</v>
      </c>
      <c r="F328" s="3">
        <f t="shared" si="122"/>
        <v>0.75</v>
      </c>
      <c r="G328" s="6">
        <v>8</v>
      </c>
      <c r="H328" s="4">
        <f t="shared" si="121"/>
        <v>12.375</v>
      </c>
      <c r="I328" s="10">
        <v>45950</v>
      </c>
      <c r="K328">
        <v>2</v>
      </c>
    </row>
    <row r="329" spans="2:14" x14ac:dyDescent="0.2">
      <c r="B329" s="5" t="s">
        <v>12</v>
      </c>
      <c r="C329" s="2">
        <v>343</v>
      </c>
      <c r="D329" s="6">
        <v>332</v>
      </c>
      <c r="E329" s="2">
        <f t="shared" si="123"/>
        <v>11</v>
      </c>
      <c r="F329" s="3">
        <f t="shared" si="122"/>
        <v>0.96793002915451898</v>
      </c>
      <c r="G329" s="6">
        <v>20</v>
      </c>
      <c r="H329" s="4">
        <f t="shared" si="121"/>
        <v>16.600000000000001</v>
      </c>
      <c r="I329" s="10">
        <v>45950</v>
      </c>
      <c r="J329" s="17">
        <v>1</v>
      </c>
    </row>
    <row r="330" spans="2:14" x14ac:dyDescent="0.2">
      <c r="B330" s="5" t="s">
        <v>17</v>
      </c>
      <c r="C330" s="2">
        <v>436</v>
      </c>
      <c r="D330" s="6">
        <v>354</v>
      </c>
      <c r="E330" s="2">
        <f t="shared" si="123"/>
        <v>82</v>
      </c>
      <c r="F330" s="3">
        <f t="shared" si="122"/>
        <v>0.81192660550458717</v>
      </c>
      <c r="G330" s="6">
        <v>4</v>
      </c>
      <c r="H330" s="4">
        <f t="shared" ref="H330:H337" si="124">D330/G330</f>
        <v>88.5</v>
      </c>
      <c r="I330" s="10">
        <v>45950</v>
      </c>
      <c r="L330">
        <v>5</v>
      </c>
      <c r="N330">
        <v>23</v>
      </c>
    </row>
    <row r="331" spans="2:14" x14ac:dyDescent="0.2">
      <c r="B331" s="1" t="s">
        <v>7</v>
      </c>
      <c r="C331" s="20">
        <v>409</v>
      </c>
      <c r="D331" s="20">
        <v>244</v>
      </c>
      <c r="E331" s="2">
        <f t="shared" si="123"/>
        <v>165</v>
      </c>
      <c r="F331" s="3">
        <f t="shared" si="122"/>
        <v>0.5965770171149144</v>
      </c>
      <c r="G331" s="2">
        <v>4</v>
      </c>
      <c r="H331" s="4">
        <f t="shared" si="124"/>
        <v>61</v>
      </c>
      <c r="I331" s="10">
        <v>45951</v>
      </c>
      <c r="J331" s="17"/>
      <c r="M331">
        <v>4</v>
      </c>
    </row>
    <row r="332" spans="2:14" x14ac:dyDescent="0.2">
      <c r="B332" s="5" t="s">
        <v>8</v>
      </c>
      <c r="C332" s="6">
        <v>1042</v>
      </c>
      <c r="D332" s="6">
        <v>1042</v>
      </c>
      <c r="E332" s="2">
        <f t="shared" si="123"/>
        <v>0</v>
      </c>
      <c r="F332" s="3">
        <f t="shared" si="122"/>
        <v>1</v>
      </c>
      <c r="G332" s="2">
        <v>6</v>
      </c>
      <c r="H332" s="4">
        <f t="shared" si="124"/>
        <v>173.66666666666666</v>
      </c>
      <c r="I332" s="10">
        <v>45951</v>
      </c>
      <c r="J332" s="17">
        <v>5</v>
      </c>
    </row>
    <row r="333" spans="2:14" x14ac:dyDescent="0.2">
      <c r="B333" s="1" t="s">
        <v>9</v>
      </c>
      <c r="C333" s="2">
        <v>0</v>
      </c>
      <c r="D333" s="2">
        <v>0</v>
      </c>
      <c r="E333" s="2">
        <f t="shared" si="123"/>
        <v>0</v>
      </c>
      <c r="F333" s="3">
        <v>1</v>
      </c>
      <c r="G333" s="2">
        <v>6</v>
      </c>
      <c r="H333" s="4">
        <f t="shared" si="124"/>
        <v>0</v>
      </c>
      <c r="I333" s="10">
        <v>45951</v>
      </c>
    </row>
    <row r="334" spans="2:14" x14ac:dyDescent="0.2">
      <c r="B334" s="5" t="s">
        <v>10</v>
      </c>
      <c r="C334" s="6">
        <v>1563</v>
      </c>
      <c r="D334" s="6">
        <v>1252</v>
      </c>
      <c r="E334" s="2">
        <f t="shared" si="123"/>
        <v>311</v>
      </c>
      <c r="F334" s="3">
        <f t="shared" si="122"/>
        <v>0.80102367242482408</v>
      </c>
      <c r="G334" s="6">
        <v>10</v>
      </c>
      <c r="H334" s="4">
        <f t="shared" si="124"/>
        <v>125.2</v>
      </c>
      <c r="I334" s="10">
        <v>45951</v>
      </c>
    </row>
    <row r="335" spans="2:14" x14ac:dyDescent="0.2">
      <c r="B335" s="1" t="s">
        <v>11</v>
      </c>
      <c r="C335" s="2">
        <v>607</v>
      </c>
      <c r="D335" s="2">
        <v>554</v>
      </c>
      <c r="E335" s="2">
        <f t="shared" si="123"/>
        <v>53</v>
      </c>
      <c r="F335" s="3">
        <f t="shared" si="122"/>
        <v>0.91268533772652394</v>
      </c>
      <c r="G335" s="6">
        <v>7</v>
      </c>
      <c r="H335" s="4">
        <f t="shared" si="124"/>
        <v>79.142857142857139</v>
      </c>
      <c r="I335" s="10">
        <v>45951</v>
      </c>
      <c r="K335">
        <v>11</v>
      </c>
    </row>
    <row r="336" spans="2:14" x14ac:dyDescent="0.2">
      <c r="B336" s="5" t="s">
        <v>12</v>
      </c>
      <c r="C336" s="2">
        <v>133</v>
      </c>
      <c r="D336" s="6">
        <v>121</v>
      </c>
      <c r="E336" s="2">
        <f t="shared" si="123"/>
        <v>12</v>
      </c>
      <c r="F336" s="3">
        <f t="shared" si="122"/>
        <v>0.90977443609022557</v>
      </c>
      <c r="G336" s="6">
        <v>20</v>
      </c>
      <c r="H336" s="4">
        <f t="shared" si="124"/>
        <v>6.05</v>
      </c>
      <c r="I336" s="10">
        <v>45951</v>
      </c>
    </row>
    <row r="337" spans="2:14" x14ac:dyDescent="0.2">
      <c r="B337" s="5" t="s">
        <v>17</v>
      </c>
      <c r="C337" s="2">
        <v>664</v>
      </c>
      <c r="D337" s="6">
        <v>640</v>
      </c>
      <c r="E337" s="2">
        <f t="shared" si="123"/>
        <v>24</v>
      </c>
      <c r="F337" s="3">
        <f t="shared" si="122"/>
        <v>0.96385542168674698</v>
      </c>
      <c r="G337" s="6">
        <v>4</v>
      </c>
      <c r="H337" s="4">
        <f t="shared" si="124"/>
        <v>160</v>
      </c>
      <c r="I337" s="10">
        <v>45951</v>
      </c>
      <c r="L337">
        <v>16</v>
      </c>
      <c r="N337">
        <v>60</v>
      </c>
    </row>
    <row r="338" spans="2:14" x14ac:dyDescent="0.2">
      <c r="B338" s="1" t="s">
        <v>7</v>
      </c>
      <c r="C338" s="20">
        <v>558</v>
      </c>
      <c r="D338" s="20">
        <v>446</v>
      </c>
      <c r="E338" s="2">
        <f t="shared" ref="E338:E344" si="125">C338-D338</f>
        <v>112</v>
      </c>
      <c r="F338" s="3">
        <f t="shared" ref="F338:F344" si="126">D338/C338</f>
        <v>0.79928315412186379</v>
      </c>
      <c r="G338" s="2">
        <v>4</v>
      </c>
      <c r="H338" s="4">
        <f t="shared" ref="H338:H344" si="127">D338/G338</f>
        <v>111.5</v>
      </c>
      <c r="I338" s="10">
        <v>45952</v>
      </c>
      <c r="M338">
        <v>10</v>
      </c>
    </row>
    <row r="339" spans="2:14" x14ac:dyDescent="0.2">
      <c r="B339" s="5" t="s">
        <v>8</v>
      </c>
      <c r="C339" s="6">
        <v>323</v>
      </c>
      <c r="D339" s="6">
        <v>210</v>
      </c>
      <c r="E339" s="2">
        <f t="shared" si="125"/>
        <v>113</v>
      </c>
      <c r="F339" s="3">
        <f t="shared" si="126"/>
        <v>0.65015479876160986</v>
      </c>
      <c r="G339" s="2">
        <v>6</v>
      </c>
      <c r="H339" s="4">
        <f t="shared" si="127"/>
        <v>35</v>
      </c>
      <c r="I339" s="10">
        <v>45952</v>
      </c>
      <c r="J339" s="17">
        <v>1</v>
      </c>
    </row>
    <row r="340" spans="2:14" x14ac:dyDescent="0.2">
      <c r="B340" s="1" t="s">
        <v>9</v>
      </c>
      <c r="C340" s="2">
        <v>4</v>
      </c>
      <c r="D340" s="2">
        <v>4</v>
      </c>
      <c r="E340" s="2">
        <f t="shared" si="125"/>
        <v>0</v>
      </c>
      <c r="F340" s="3">
        <f t="shared" si="126"/>
        <v>1</v>
      </c>
      <c r="G340" s="2">
        <v>6</v>
      </c>
      <c r="H340" s="4">
        <f t="shared" si="127"/>
        <v>0.66666666666666663</v>
      </c>
      <c r="I340" s="10">
        <v>45952</v>
      </c>
    </row>
    <row r="341" spans="2:14" x14ac:dyDescent="0.2">
      <c r="B341" s="5" t="s">
        <v>10</v>
      </c>
      <c r="C341" s="6">
        <v>1097</v>
      </c>
      <c r="D341" s="6">
        <v>941</v>
      </c>
      <c r="E341" s="2">
        <f t="shared" si="125"/>
        <v>156</v>
      </c>
      <c r="F341" s="3">
        <f t="shared" si="126"/>
        <v>0.85779398359161352</v>
      </c>
      <c r="G341" s="6">
        <v>10</v>
      </c>
      <c r="H341" s="4">
        <f t="shared" si="127"/>
        <v>94.1</v>
      </c>
      <c r="I341" s="10">
        <v>45952</v>
      </c>
    </row>
    <row r="342" spans="2:14" x14ac:dyDescent="0.2">
      <c r="B342" s="1" t="s">
        <v>11</v>
      </c>
      <c r="C342" s="2">
        <v>1428</v>
      </c>
      <c r="D342" s="2">
        <v>1348</v>
      </c>
      <c r="E342" s="2">
        <f t="shared" si="125"/>
        <v>80</v>
      </c>
      <c r="F342" s="3">
        <f t="shared" si="126"/>
        <v>0.94397759103641454</v>
      </c>
      <c r="G342" s="6">
        <v>7</v>
      </c>
      <c r="H342" s="4">
        <f t="shared" si="127"/>
        <v>192.57142857142858</v>
      </c>
      <c r="I342" s="10">
        <v>45952</v>
      </c>
      <c r="K342">
        <v>8</v>
      </c>
    </row>
    <row r="343" spans="2:14" x14ac:dyDescent="0.2">
      <c r="B343" s="5" t="s">
        <v>12</v>
      </c>
      <c r="C343" s="2">
        <v>443</v>
      </c>
      <c r="D343" s="6">
        <v>443</v>
      </c>
      <c r="E343" s="2">
        <f t="shared" si="125"/>
        <v>0</v>
      </c>
      <c r="F343" s="3">
        <f t="shared" si="126"/>
        <v>1</v>
      </c>
      <c r="G343" s="6">
        <v>20</v>
      </c>
      <c r="H343" s="4">
        <f t="shared" si="127"/>
        <v>22.15</v>
      </c>
      <c r="I343" s="10">
        <v>45952</v>
      </c>
    </row>
    <row r="344" spans="2:14" x14ac:dyDescent="0.2">
      <c r="B344" s="5" t="s">
        <v>17</v>
      </c>
      <c r="C344" s="2">
        <v>1269</v>
      </c>
      <c r="D344" s="6">
        <v>1244</v>
      </c>
      <c r="E344" s="2">
        <f t="shared" si="125"/>
        <v>25</v>
      </c>
      <c r="F344" s="3">
        <f t="shared" si="126"/>
        <v>0.98029944838455474</v>
      </c>
      <c r="G344" s="6">
        <v>5</v>
      </c>
      <c r="H344" s="4">
        <f t="shared" si="127"/>
        <v>248.8</v>
      </c>
      <c r="I344" s="10">
        <v>45952</v>
      </c>
      <c r="L344">
        <v>12</v>
      </c>
      <c r="N344">
        <v>30</v>
      </c>
    </row>
    <row r="345" spans="2:14" x14ac:dyDescent="0.2">
      <c r="B345" s="1" t="s">
        <v>7</v>
      </c>
      <c r="C345" s="20">
        <v>1100</v>
      </c>
      <c r="D345" s="20">
        <v>1092</v>
      </c>
      <c r="E345" s="2">
        <f t="shared" ref="E345:E351" si="128">C345-D345</f>
        <v>8</v>
      </c>
      <c r="F345" s="3">
        <f t="shared" ref="F345:F351" si="129">D345/C345</f>
        <v>0.99272727272727268</v>
      </c>
      <c r="G345" s="2">
        <v>2</v>
      </c>
      <c r="H345" s="4">
        <f t="shared" ref="H345:H351" si="130">D345/G345</f>
        <v>546</v>
      </c>
      <c r="I345" s="10">
        <v>45953</v>
      </c>
      <c r="M345">
        <v>10</v>
      </c>
    </row>
    <row r="346" spans="2:14" x14ac:dyDescent="0.2">
      <c r="B346" s="5" t="s">
        <v>8</v>
      </c>
      <c r="C346" s="6">
        <v>613</v>
      </c>
      <c r="D346" s="6">
        <v>200</v>
      </c>
      <c r="E346" s="2">
        <f t="shared" si="128"/>
        <v>413</v>
      </c>
      <c r="F346" s="3">
        <f t="shared" si="129"/>
        <v>0.32626427406199021</v>
      </c>
      <c r="G346" s="2">
        <v>6</v>
      </c>
      <c r="H346" s="4">
        <f t="shared" si="130"/>
        <v>33.333333333333336</v>
      </c>
      <c r="I346" s="10">
        <v>45953</v>
      </c>
      <c r="J346" s="17">
        <v>4</v>
      </c>
    </row>
    <row r="347" spans="2:14" x14ac:dyDescent="0.2">
      <c r="B347" s="1" t="s">
        <v>9</v>
      </c>
      <c r="C347" s="2">
        <v>165</v>
      </c>
      <c r="D347" s="2">
        <v>164</v>
      </c>
      <c r="E347" s="2">
        <f t="shared" si="128"/>
        <v>1</v>
      </c>
      <c r="F347" s="3">
        <f t="shared" si="129"/>
        <v>0.9939393939393939</v>
      </c>
      <c r="G347" s="2">
        <v>6</v>
      </c>
      <c r="H347" s="4">
        <f t="shared" si="130"/>
        <v>27.333333333333332</v>
      </c>
      <c r="I347" s="10">
        <v>45953</v>
      </c>
    </row>
    <row r="348" spans="2:14" x14ac:dyDescent="0.2">
      <c r="B348" s="5" t="s">
        <v>10</v>
      </c>
      <c r="C348" s="6">
        <v>798</v>
      </c>
      <c r="D348" s="6">
        <v>224</v>
      </c>
      <c r="E348" s="2">
        <f t="shared" si="128"/>
        <v>574</v>
      </c>
      <c r="F348" s="3">
        <f t="shared" si="129"/>
        <v>0.2807017543859649</v>
      </c>
      <c r="G348" s="6">
        <v>10</v>
      </c>
      <c r="H348" s="4">
        <f t="shared" si="130"/>
        <v>22.4</v>
      </c>
      <c r="I348" s="10">
        <v>45953</v>
      </c>
      <c r="J348" s="17"/>
    </row>
    <row r="349" spans="2:14" x14ac:dyDescent="0.2">
      <c r="B349" s="1" t="s">
        <v>11</v>
      </c>
      <c r="C349" s="2">
        <v>1784</v>
      </c>
      <c r="D349" s="2">
        <v>1771</v>
      </c>
      <c r="E349" s="2">
        <f t="shared" si="128"/>
        <v>13</v>
      </c>
      <c r="F349" s="3">
        <f t="shared" si="129"/>
        <v>0.99271300448430488</v>
      </c>
      <c r="G349" s="6">
        <v>8</v>
      </c>
      <c r="H349" s="4">
        <f t="shared" si="130"/>
        <v>221.375</v>
      </c>
      <c r="I349" s="10">
        <v>45953</v>
      </c>
      <c r="J349" s="17"/>
      <c r="K349">
        <v>8</v>
      </c>
    </row>
    <row r="350" spans="2:14" x14ac:dyDescent="0.2">
      <c r="B350" s="5" t="s">
        <v>12</v>
      </c>
      <c r="C350" s="2">
        <v>180</v>
      </c>
      <c r="D350" s="6">
        <v>169</v>
      </c>
      <c r="E350" s="2">
        <f t="shared" si="128"/>
        <v>11</v>
      </c>
      <c r="F350" s="3">
        <f t="shared" si="129"/>
        <v>0.93888888888888888</v>
      </c>
      <c r="G350" s="6">
        <v>22</v>
      </c>
      <c r="H350" s="4">
        <f t="shared" si="130"/>
        <v>7.6818181818181817</v>
      </c>
      <c r="I350" s="10">
        <v>45953</v>
      </c>
      <c r="J350" s="17">
        <v>2</v>
      </c>
    </row>
    <row r="351" spans="2:14" x14ac:dyDescent="0.2">
      <c r="B351" s="5" t="s">
        <v>17</v>
      </c>
      <c r="C351" s="2">
        <v>1505</v>
      </c>
      <c r="D351" s="6">
        <v>1378</v>
      </c>
      <c r="E351" s="2">
        <f t="shared" si="128"/>
        <v>127</v>
      </c>
      <c r="F351" s="3">
        <f t="shared" si="129"/>
        <v>0.91561461794019938</v>
      </c>
      <c r="G351" s="6">
        <v>5</v>
      </c>
      <c r="H351" s="4">
        <f t="shared" si="130"/>
        <v>275.60000000000002</v>
      </c>
      <c r="I351" s="10">
        <v>45953</v>
      </c>
      <c r="J351" s="17"/>
      <c r="L351">
        <v>11</v>
      </c>
      <c r="N351">
        <v>44</v>
      </c>
    </row>
    <row r="352" spans="2:14" x14ac:dyDescent="0.2">
      <c r="B352" s="1" t="s">
        <v>7</v>
      </c>
      <c r="C352" s="20">
        <v>1333</v>
      </c>
      <c r="D352" s="20">
        <v>1326</v>
      </c>
      <c r="E352" s="2">
        <f t="shared" ref="E352:E358" si="131">C352-D352</f>
        <v>7</v>
      </c>
      <c r="F352" s="3">
        <f t="shared" ref="F352:F358" si="132">D352/C352</f>
        <v>0.99474868717179299</v>
      </c>
      <c r="G352" s="2">
        <v>2</v>
      </c>
      <c r="H352" s="4">
        <f t="shared" ref="H352:H358" si="133">D352/G352</f>
        <v>663</v>
      </c>
      <c r="I352" s="10">
        <v>45954</v>
      </c>
      <c r="M352">
        <v>11</v>
      </c>
    </row>
    <row r="353" spans="2:14" x14ac:dyDescent="0.2">
      <c r="B353" s="5" t="s">
        <v>8</v>
      </c>
      <c r="C353" s="6">
        <v>501</v>
      </c>
      <c r="D353" s="6">
        <v>163</v>
      </c>
      <c r="E353" s="2">
        <f t="shared" si="131"/>
        <v>338</v>
      </c>
      <c r="F353" s="3">
        <f t="shared" si="132"/>
        <v>0.32534930139720558</v>
      </c>
      <c r="G353" s="2">
        <v>6</v>
      </c>
      <c r="H353" s="4">
        <f t="shared" si="133"/>
        <v>27.166666666666668</v>
      </c>
      <c r="I353" s="10">
        <v>45954</v>
      </c>
      <c r="J353" s="17">
        <v>6</v>
      </c>
    </row>
    <row r="354" spans="2:14" x14ac:dyDescent="0.2">
      <c r="B354" s="1" t="s">
        <v>9</v>
      </c>
      <c r="C354" s="2">
        <v>67</v>
      </c>
      <c r="D354" s="2">
        <v>62</v>
      </c>
      <c r="E354" s="2">
        <f t="shared" si="131"/>
        <v>5</v>
      </c>
      <c r="F354" s="3">
        <f t="shared" si="132"/>
        <v>0.92537313432835822</v>
      </c>
      <c r="G354" s="2">
        <v>5</v>
      </c>
      <c r="H354" s="4">
        <f t="shared" si="133"/>
        <v>12.4</v>
      </c>
      <c r="I354" s="10">
        <v>45954</v>
      </c>
    </row>
    <row r="355" spans="2:14" x14ac:dyDescent="0.2">
      <c r="B355" s="5" t="s">
        <v>10</v>
      </c>
      <c r="C355" s="6">
        <v>249</v>
      </c>
      <c r="D355" s="6">
        <v>106</v>
      </c>
      <c r="E355" s="2">
        <f t="shared" si="131"/>
        <v>143</v>
      </c>
      <c r="F355" s="3">
        <f t="shared" si="132"/>
        <v>0.42570281124497994</v>
      </c>
      <c r="G355" s="6">
        <v>10</v>
      </c>
      <c r="H355" s="4">
        <f t="shared" si="133"/>
        <v>10.6</v>
      </c>
      <c r="I355" s="10">
        <v>45954</v>
      </c>
      <c r="J355" s="17"/>
    </row>
    <row r="356" spans="2:14" x14ac:dyDescent="0.2">
      <c r="B356" s="1" t="s">
        <v>11</v>
      </c>
      <c r="C356" s="2">
        <v>2021</v>
      </c>
      <c r="D356" s="2">
        <v>1454</v>
      </c>
      <c r="E356" s="2">
        <f t="shared" si="131"/>
        <v>567</v>
      </c>
      <c r="F356" s="3">
        <f t="shared" si="132"/>
        <v>0.71944581890153392</v>
      </c>
      <c r="G356" s="6">
        <v>8</v>
      </c>
      <c r="H356" s="4">
        <f t="shared" si="133"/>
        <v>181.75</v>
      </c>
      <c r="I356" s="10">
        <v>45954</v>
      </c>
      <c r="J356" s="17"/>
      <c r="K356">
        <v>6</v>
      </c>
    </row>
    <row r="357" spans="2:14" x14ac:dyDescent="0.2">
      <c r="B357" s="5" t="s">
        <v>12</v>
      </c>
      <c r="C357" s="2">
        <v>291</v>
      </c>
      <c r="D357" s="6">
        <v>268</v>
      </c>
      <c r="E357" s="2">
        <f t="shared" si="131"/>
        <v>23</v>
      </c>
      <c r="F357" s="3">
        <f t="shared" si="132"/>
        <v>0.92096219931271472</v>
      </c>
      <c r="G357" s="6">
        <v>21</v>
      </c>
      <c r="H357" s="4">
        <f t="shared" si="133"/>
        <v>12.761904761904763</v>
      </c>
      <c r="I357" s="10">
        <v>45954</v>
      </c>
      <c r="J357" s="17"/>
    </row>
    <row r="358" spans="2:14" x14ac:dyDescent="0.2">
      <c r="B358" s="5" t="s">
        <v>17</v>
      </c>
      <c r="C358" s="2">
        <v>1750</v>
      </c>
      <c r="D358" s="6">
        <v>1750</v>
      </c>
      <c r="E358" s="2">
        <f t="shared" si="131"/>
        <v>0</v>
      </c>
      <c r="F358" s="3">
        <f t="shared" si="132"/>
        <v>1</v>
      </c>
      <c r="G358" s="6">
        <v>5</v>
      </c>
      <c r="H358" s="4">
        <f t="shared" si="133"/>
        <v>350</v>
      </c>
      <c r="I358" s="10">
        <v>45954</v>
      </c>
      <c r="J358" s="17"/>
      <c r="L358">
        <v>2</v>
      </c>
      <c r="N358">
        <v>3</v>
      </c>
    </row>
    <row r="359" spans="2:14" x14ac:dyDescent="0.2">
      <c r="B359" s="1" t="s">
        <v>7</v>
      </c>
      <c r="C359" s="20">
        <v>1650</v>
      </c>
      <c r="D359" s="20">
        <v>1650</v>
      </c>
      <c r="E359" s="2">
        <f t="shared" ref="E359:E365" si="134">C359-D359</f>
        <v>0</v>
      </c>
      <c r="F359" s="3">
        <f t="shared" ref="F359:F364" si="135">D359/C359</f>
        <v>1</v>
      </c>
      <c r="G359" s="2">
        <v>4</v>
      </c>
      <c r="H359" s="4">
        <f t="shared" ref="H359:H365" si="136">D359/G359</f>
        <v>412.5</v>
      </c>
      <c r="I359" s="10">
        <v>45957</v>
      </c>
      <c r="J359" s="17">
        <v>6</v>
      </c>
      <c r="M359">
        <v>2</v>
      </c>
    </row>
    <row r="360" spans="2:14" x14ac:dyDescent="0.2">
      <c r="B360" s="5" t="s">
        <v>8</v>
      </c>
      <c r="C360" s="6">
        <v>1003</v>
      </c>
      <c r="D360" s="6">
        <v>45</v>
      </c>
      <c r="E360" s="2">
        <f t="shared" si="134"/>
        <v>958</v>
      </c>
      <c r="F360" s="3">
        <f t="shared" si="135"/>
        <v>4.4865403788634101E-2</v>
      </c>
      <c r="G360" s="2">
        <v>6</v>
      </c>
      <c r="H360" s="4">
        <f t="shared" si="136"/>
        <v>7.5</v>
      </c>
      <c r="I360" s="10">
        <v>45957</v>
      </c>
      <c r="J360" s="17">
        <v>8</v>
      </c>
    </row>
    <row r="361" spans="2:14" x14ac:dyDescent="0.2">
      <c r="B361" s="1" t="s">
        <v>9</v>
      </c>
      <c r="C361" s="2">
        <v>182</v>
      </c>
      <c r="D361" s="2">
        <v>56</v>
      </c>
      <c r="E361" s="2">
        <f t="shared" si="134"/>
        <v>126</v>
      </c>
      <c r="F361" s="3">
        <f t="shared" si="135"/>
        <v>0.30769230769230771</v>
      </c>
      <c r="G361" s="2">
        <v>6</v>
      </c>
      <c r="H361" s="4">
        <f t="shared" si="136"/>
        <v>9.3333333333333339</v>
      </c>
      <c r="I361" s="10">
        <v>45957</v>
      </c>
    </row>
    <row r="362" spans="2:14" x14ac:dyDescent="0.2">
      <c r="B362" s="5" t="s">
        <v>10</v>
      </c>
      <c r="C362" s="6">
        <v>393</v>
      </c>
      <c r="D362" s="6">
        <v>393</v>
      </c>
      <c r="E362" s="2">
        <f t="shared" si="134"/>
        <v>0</v>
      </c>
      <c r="F362" s="3">
        <f t="shared" si="135"/>
        <v>1</v>
      </c>
      <c r="G362" s="6">
        <v>10</v>
      </c>
      <c r="H362" s="4">
        <f t="shared" si="136"/>
        <v>39.299999999999997</v>
      </c>
      <c r="I362" s="10">
        <v>45957</v>
      </c>
      <c r="J362" s="17"/>
    </row>
    <row r="363" spans="2:14" x14ac:dyDescent="0.2">
      <c r="B363" s="1" t="s">
        <v>11</v>
      </c>
      <c r="C363" s="2">
        <v>1428</v>
      </c>
      <c r="D363" s="2">
        <v>1428</v>
      </c>
      <c r="E363" s="2">
        <f t="shared" si="134"/>
        <v>0</v>
      </c>
      <c r="F363" s="3">
        <f t="shared" si="135"/>
        <v>1</v>
      </c>
      <c r="G363" s="6">
        <v>8</v>
      </c>
      <c r="H363" s="4">
        <f t="shared" si="136"/>
        <v>178.5</v>
      </c>
      <c r="I363" s="10">
        <v>45957</v>
      </c>
      <c r="J363" s="17"/>
      <c r="K363">
        <v>11</v>
      </c>
    </row>
    <row r="364" spans="2:14" x14ac:dyDescent="0.2">
      <c r="B364" s="5" t="s">
        <v>12</v>
      </c>
      <c r="C364" s="20">
        <v>394</v>
      </c>
      <c r="D364" s="20">
        <v>392</v>
      </c>
      <c r="E364" s="2">
        <f t="shared" si="134"/>
        <v>2</v>
      </c>
      <c r="F364" s="3">
        <f t="shared" si="135"/>
        <v>0.99492385786802029</v>
      </c>
      <c r="G364" s="6">
        <v>21</v>
      </c>
      <c r="H364" s="4">
        <f t="shared" si="136"/>
        <v>18.666666666666668</v>
      </c>
      <c r="I364" s="10">
        <v>45957</v>
      </c>
      <c r="J364" s="17">
        <v>1</v>
      </c>
    </row>
    <row r="365" spans="2:14" x14ac:dyDescent="0.2">
      <c r="B365" s="5" t="s">
        <v>17</v>
      </c>
      <c r="C365" s="2">
        <v>0</v>
      </c>
      <c r="D365" s="6">
        <v>0</v>
      </c>
      <c r="E365" s="2">
        <f t="shared" si="134"/>
        <v>0</v>
      </c>
      <c r="F365" s="3">
        <v>1</v>
      </c>
      <c r="G365" s="6">
        <v>4</v>
      </c>
      <c r="H365" s="4">
        <f t="shared" si="136"/>
        <v>0</v>
      </c>
      <c r="I365" s="10">
        <v>45957</v>
      </c>
      <c r="J365" s="17"/>
      <c r="L365">
        <v>0</v>
      </c>
      <c r="N365">
        <v>0</v>
      </c>
    </row>
    <row r="366" spans="2:14" x14ac:dyDescent="0.2">
      <c r="B366" s="1" t="s">
        <v>7</v>
      </c>
      <c r="C366" s="20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10">
        <v>45958</v>
      </c>
    </row>
    <row r="367" spans="2:14" x14ac:dyDescent="0.2">
      <c r="B367" s="5" t="s">
        <v>8</v>
      </c>
      <c r="C367" s="6">
        <v>2272</v>
      </c>
      <c r="D367" s="6">
        <v>2118</v>
      </c>
      <c r="E367" s="2">
        <f t="shared" ref="E367:E379" si="137">C367-D367</f>
        <v>154</v>
      </c>
      <c r="F367" s="3">
        <f t="shared" ref="F367:F371" si="138">D367/C367</f>
        <v>0.93221830985915488</v>
      </c>
      <c r="G367" s="2">
        <v>8</v>
      </c>
      <c r="H367" s="4">
        <f t="shared" ref="H367:H379" si="139">D367/G367</f>
        <v>264.75</v>
      </c>
      <c r="I367" s="10">
        <v>45958</v>
      </c>
    </row>
    <row r="368" spans="2:14" x14ac:dyDescent="0.2">
      <c r="B368" s="1" t="s">
        <v>9</v>
      </c>
      <c r="C368" s="2">
        <v>185</v>
      </c>
      <c r="D368" s="2">
        <v>97</v>
      </c>
      <c r="E368" s="2">
        <f t="shared" si="137"/>
        <v>88</v>
      </c>
      <c r="F368" s="3">
        <f t="shared" si="138"/>
        <v>0.5243243243243243</v>
      </c>
      <c r="G368" s="2">
        <v>5</v>
      </c>
      <c r="H368" s="4">
        <f t="shared" si="139"/>
        <v>19.399999999999999</v>
      </c>
      <c r="I368" s="10">
        <v>45958</v>
      </c>
    </row>
    <row r="369" spans="2:14" x14ac:dyDescent="0.2">
      <c r="B369" s="5" t="s">
        <v>10</v>
      </c>
      <c r="C369" s="6">
        <v>1048</v>
      </c>
      <c r="D369" s="6">
        <v>1048</v>
      </c>
      <c r="E369" s="2">
        <f t="shared" si="137"/>
        <v>0</v>
      </c>
      <c r="F369" s="3">
        <f t="shared" si="138"/>
        <v>1</v>
      </c>
      <c r="G369" s="6">
        <v>8</v>
      </c>
      <c r="H369" s="4">
        <f t="shared" si="139"/>
        <v>131</v>
      </c>
      <c r="I369" s="10">
        <v>45958</v>
      </c>
      <c r="K369">
        <v>7</v>
      </c>
    </row>
    <row r="370" spans="2:14" x14ac:dyDescent="0.2">
      <c r="B370" s="1" t="s">
        <v>11</v>
      </c>
      <c r="C370" s="2">
        <v>579</v>
      </c>
      <c r="D370" s="2">
        <v>211</v>
      </c>
      <c r="E370" s="2">
        <f t="shared" si="137"/>
        <v>368</v>
      </c>
      <c r="F370" s="3">
        <f t="shared" si="138"/>
        <v>0.36442141623488772</v>
      </c>
      <c r="G370" s="6">
        <v>8</v>
      </c>
      <c r="H370" s="4">
        <f t="shared" si="139"/>
        <v>26.375</v>
      </c>
      <c r="I370" s="10">
        <v>45958</v>
      </c>
    </row>
    <row r="371" spans="2:14" x14ac:dyDescent="0.2">
      <c r="B371" s="5" t="s">
        <v>12</v>
      </c>
      <c r="C371" s="20">
        <v>295</v>
      </c>
      <c r="D371" s="20">
        <v>271</v>
      </c>
      <c r="E371" s="2">
        <f t="shared" si="137"/>
        <v>24</v>
      </c>
      <c r="F371" s="3">
        <f t="shared" si="138"/>
        <v>0.91864406779661012</v>
      </c>
      <c r="G371" s="6">
        <v>20</v>
      </c>
      <c r="H371" s="4">
        <f t="shared" si="139"/>
        <v>13.55</v>
      </c>
      <c r="I371" s="10">
        <v>45958</v>
      </c>
      <c r="J371" s="17">
        <v>12</v>
      </c>
    </row>
    <row r="372" spans="2:14" x14ac:dyDescent="0.2">
      <c r="B372" s="5" t="s">
        <v>17</v>
      </c>
      <c r="C372" s="2">
        <v>1614</v>
      </c>
      <c r="D372" s="6">
        <v>1590</v>
      </c>
      <c r="E372" s="2">
        <f t="shared" si="137"/>
        <v>24</v>
      </c>
      <c r="F372" s="3">
        <v>1</v>
      </c>
      <c r="G372" s="6">
        <v>5</v>
      </c>
      <c r="H372" s="4">
        <f t="shared" si="139"/>
        <v>318</v>
      </c>
      <c r="I372" s="10">
        <v>45958</v>
      </c>
    </row>
    <row r="373" spans="2:14" x14ac:dyDescent="0.2">
      <c r="B373" s="1" t="s">
        <v>7</v>
      </c>
      <c r="C373" s="20">
        <v>1265</v>
      </c>
      <c r="D373" s="20">
        <v>1236</v>
      </c>
      <c r="E373" s="2">
        <f t="shared" si="137"/>
        <v>29</v>
      </c>
      <c r="F373" s="3">
        <f t="shared" ref="F373:F379" si="140">D373/C373</f>
        <v>0.97707509881422927</v>
      </c>
      <c r="G373" s="2">
        <v>4</v>
      </c>
      <c r="H373" s="4">
        <f t="shared" si="139"/>
        <v>309</v>
      </c>
      <c r="I373" s="10">
        <v>45960</v>
      </c>
      <c r="J373" s="17"/>
      <c r="M373">
        <v>14</v>
      </c>
    </row>
    <row r="374" spans="2:14" x14ac:dyDescent="0.2">
      <c r="B374" s="5" t="s">
        <v>8</v>
      </c>
      <c r="C374" s="6">
        <v>221</v>
      </c>
      <c r="D374" s="6">
        <v>221</v>
      </c>
      <c r="E374" s="2">
        <f t="shared" si="137"/>
        <v>0</v>
      </c>
      <c r="F374" s="3">
        <f t="shared" si="140"/>
        <v>1</v>
      </c>
      <c r="G374" s="2">
        <v>8</v>
      </c>
      <c r="H374" s="4">
        <f t="shared" si="139"/>
        <v>27.625</v>
      </c>
      <c r="I374" s="10">
        <v>45960</v>
      </c>
      <c r="J374" s="17">
        <v>1</v>
      </c>
    </row>
    <row r="375" spans="2:14" x14ac:dyDescent="0.2">
      <c r="B375" s="1" t="s">
        <v>9</v>
      </c>
      <c r="C375" s="2">
        <v>195</v>
      </c>
      <c r="D375" s="2">
        <v>62</v>
      </c>
      <c r="E375" s="2">
        <f t="shared" si="137"/>
        <v>133</v>
      </c>
      <c r="F375" s="3">
        <f t="shared" si="140"/>
        <v>0.31794871794871793</v>
      </c>
      <c r="G375" s="2">
        <v>5</v>
      </c>
      <c r="H375" s="4">
        <f t="shared" si="139"/>
        <v>12.4</v>
      </c>
      <c r="I375" s="10">
        <v>45960</v>
      </c>
    </row>
    <row r="376" spans="2:14" x14ac:dyDescent="0.2">
      <c r="B376" s="5" t="s">
        <v>10</v>
      </c>
      <c r="C376" s="6">
        <v>1053</v>
      </c>
      <c r="D376" s="6">
        <v>873</v>
      </c>
      <c r="E376" s="2">
        <f t="shared" si="137"/>
        <v>180</v>
      </c>
      <c r="F376" s="3">
        <f t="shared" si="140"/>
        <v>0.82905982905982911</v>
      </c>
      <c r="G376" s="6">
        <v>8</v>
      </c>
      <c r="H376" s="4">
        <f t="shared" si="139"/>
        <v>109.125</v>
      </c>
      <c r="I376" s="10">
        <v>45960</v>
      </c>
      <c r="J376" s="17"/>
    </row>
    <row r="377" spans="2:14" x14ac:dyDescent="0.2">
      <c r="B377" s="1" t="s">
        <v>11</v>
      </c>
      <c r="C377" s="2">
        <v>1826</v>
      </c>
      <c r="D377" s="2">
        <v>1817</v>
      </c>
      <c r="E377" s="2">
        <f t="shared" si="137"/>
        <v>9</v>
      </c>
      <c r="F377" s="3">
        <f t="shared" si="140"/>
        <v>0.99507119386637455</v>
      </c>
      <c r="G377" s="6">
        <v>7</v>
      </c>
      <c r="H377" s="4">
        <f t="shared" si="139"/>
        <v>259.57142857142856</v>
      </c>
      <c r="I377" s="10">
        <v>45960</v>
      </c>
      <c r="J377" s="17"/>
      <c r="K377">
        <v>12</v>
      </c>
    </row>
    <row r="378" spans="2:14" x14ac:dyDescent="0.2">
      <c r="B378" s="5" t="s">
        <v>12</v>
      </c>
      <c r="C378" s="20">
        <v>692</v>
      </c>
      <c r="D378" s="20">
        <v>625</v>
      </c>
      <c r="E378" s="2">
        <f t="shared" si="137"/>
        <v>67</v>
      </c>
      <c r="F378" s="3">
        <f t="shared" si="140"/>
        <v>0.90317919075144504</v>
      </c>
      <c r="G378" s="6">
        <v>20</v>
      </c>
      <c r="H378" s="4">
        <f t="shared" si="139"/>
        <v>31.25</v>
      </c>
      <c r="I378" s="10">
        <v>45960</v>
      </c>
      <c r="J378" s="17">
        <v>1</v>
      </c>
    </row>
    <row r="379" spans="2:14" x14ac:dyDescent="0.2">
      <c r="B379" s="5" t="s">
        <v>17</v>
      </c>
      <c r="C379" s="2">
        <v>972</v>
      </c>
      <c r="D379" s="6">
        <v>872</v>
      </c>
      <c r="E379" s="2">
        <f t="shared" si="137"/>
        <v>100</v>
      </c>
      <c r="F379" s="3">
        <f t="shared" si="140"/>
        <v>0.89711934156378603</v>
      </c>
      <c r="G379" s="6">
        <v>5</v>
      </c>
      <c r="H379" s="4">
        <f t="shared" si="139"/>
        <v>174.4</v>
      </c>
      <c r="I379" s="10">
        <v>45960</v>
      </c>
      <c r="J379" s="17"/>
      <c r="L379">
        <v>9</v>
      </c>
      <c r="N379">
        <v>4</v>
      </c>
    </row>
    <row r="380" spans="2:14" x14ac:dyDescent="0.2">
      <c r="B380" s="1" t="s">
        <v>7</v>
      </c>
      <c r="C380" s="20">
        <v>869</v>
      </c>
      <c r="D380" s="20">
        <v>857</v>
      </c>
      <c r="E380" s="2">
        <f t="shared" ref="E380:E386" si="141">C380-D380</f>
        <v>12</v>
      </c>
      <c r="F380" s="3">
        <f t="shared" ref="F380:F386" si="142">D380/C380</f>
        <v>0.9861910241657077</v>
      </c>
      <c r="G380" s="2">
        <v>4</v>
      </c>
      <c r="H380" s="4">
        <f t="shared" ref="H380:H386" si="143">D380/G380</f>
        <v>214.25</v>
      </c>
      <c r="I380" s="10">
        <v>45961</v>
      </c>
      <c r="J380" s="17">
        <v>14</v>
      </c>
      <c r="M380">
        <v>7</v>
      </c>
    </row>
    <row r="381" spans="2:14" x14ac:dyDescent="0.2">
      <c r="B381" s="5" t="s">
        <v>8</v>
      </c>
      <c r="C381" s="6">
        <v>1199</v>
      </c>
      <c r="D381" s="6">
        <v>938</v>
      </c>
      <c r="E381" s="2">
        <f t="shared" si="141"/>
        <v>261</v>
      </c>
      <c r="F381" s="3">
        <f t="shared" si="142"/>
        <v>0.78231859883236032</v>
      </c>
      <c r="G381" s="2">
        <v>7</v>
      </c>
      <c r="H381" s="4">
        <f t="shared" si="143"/>
        <v>134</v>
      </c>
      <c r="I381" s="10">
        <v>45961</v>
      </c>
      <c r="J381" s="17"/>
    </row>
    <row r="382" spans="2:14" x14ac:dyDescent="0.2">
      <c r="B382" s="1" t="s">
        <v>9</v>
      </c>
      <c r="C382" s="2">
        <v>200</v>
      </c>
      <c r="D382" s="2">
        <v>0</v>
      </c>
      <c r="E382" s="2">
        <f t="shared" si="141"/>
        <v>200</v>
      </c>
      <c r="F382" s="3">
        <f t="shared" si="142"/>
        <v>0</v>
      </c>
      <c r="G382" s="2">
        <v>5</v>
      </c>
      <c r="H382" s="4">
        <f t="shared" si="143"/>
        <v>0</v>
      </c>
      <c r="I382" s="10">
        <v>45961</v>
      </c>
    </row>
    <row r="383" spans="2:14" x14ac:dyDescent="0.2">
      <c r="B383" s="5" t="s">
        <v>10</v>
      </c>
      <c r="C383" s="6">
        <v>668</v>
      </c>
      <c r="D383" s="6">
        <v>610</v>
      </c>
      <c r="E383" s="2">
        <f t="shared" si="141"/>
        <v>58</v>
      </c>
      <c r="F383" s="3">
        <f t="shared" si="142"/>
        <v>0.91317365269461082</v>
      </c>
      <c r="G383" s="6">
        <v>10</v>
      </c>
      <c r="H383" s="4">
        <f t="shared" si="143"/>
        <v>61</v>
      </c>
      <c r="I383" s="10">
        <v>45961</v>
      </c>
      <c r="J383" s="17"/>
    </row>
    <row r="384" spans="2:14" x14ac:dyDescent="0.2">
      <c r="B384" s="1" t="s">
        <v>11</v>
      </c>
      <c r="C384" s="2">
        <v>579</v>
      </c>
      <c r="D384" s="2">
        <v>413</v>
      </c>
      <c r="E384" s="2">
        <f t="shared" si="141"/>
        <v>166</v>
      </c>
      <c r="F384" s="3">
        <f t="shared" si="142"/>
        <v>0.71329879101899829</v>
      </c>
      <c r="G384" s="6">
        <v>8</v>
      </c>
      <c r="H384" s="4">
        <f t="shared" si="143"/>
        <v>51.625</v>
      </c>
      <c r="I384" s="10">
        <v>45961</v>
      </c>
      <c r="J384" s="17"/>
      <c r="K384">
        <v>9</v>
      </c>
    </row>
    <row r="385" spans="2:14" x14ac:dyDescent="0.2">
      <c r="B385" s="5" t="s">
        <v>12</v>
      </c>
      <c r="C385" s="20">
        <v>412</v>
      </c>
      <c r="D385" s="20">
        <v>339</v>
      </c>
      <c r="E385" s="2">
        <f t="shared" si="141"/>
        <v>73</v>
      </c>
      <c r="F385" s="3">
        <f t="shared" si="142"/>
        <v>0.82281553398058249</v>
      </c>
      <c r="G385" s="6">
        <v>22</v>
      </c>
      <c r="H385" s="4">
        <f t="shared" si="143"/>
        <v>15.409090909090908</v>
      </c>
      <c r="I385" s="10">
        <v>45961</v>
      </c>
      <c r="J385" s="17">
        <v>1</v>
      </c>
    </row>
    <row r="386" spans="2:14" x14ac:dyDescent="0.2">
      <c r="B386" s="5" t="s">
        <v>17</v>
      </c>
      <c r="C386" s="2">
        <v>111</v>
      </c>
      <c r="D386" s="6">
        <v>11</v>
      </c>
      <c r="E386" s="2">
        <f t="shared" si="141"/>
        <v>100</v>
      </c>
      <c r="F386" s="3">
        <f t="shared" si="142"/>
        <v>9.90990990990991E-2</v>
      </c>
      <c r="G386" s="6">
        <v>5</v>
      </c>
      <c r="H386" s="4">
        <f t="shared" si="143"/>
        <v>2.2000000000000002</v>
      </c>
      <c r="I386" s="10">
        <v>45961</v>
      </c>
      <c r="J386" s="17"/>
      <c r="L386">
        <v>2</v>
      </c>
      <c r="N386">
        <v>8</v>
      </c>
    </row>
    <row r="387" spans="2:14" x14ac:dyDescent="0.2">
      <c r="B387" s="1" t="s">
        <v>7</v>
      </c>
      <c r="C387" s="20">
        <v>10</v>
      </c>
      <c r="D387" s="20">
        <v>10</v>
      </c>
      <c r="E387" s="20">
        <f t="shared" ref="E387:E393" si="144">C387-D387</f>
        <v>0</v>
      </c>
      <c r="F387" s="3">
        <f t="shared" ref="F387:F388" si="145">D387/C387</f>
        <v>1</v>
      </c>
      <c r="G387" s="2">
        <v>4</v>
      </c>
      <c r="H387" s="4">
        <f t="shared" ref="H387" si="146">D387/G387</f>
        <v>2.5</v>
      </c>
      <c r="I387" s="10">
        <v>45964</v>
      </c>
      <c r="J387" s="17"/>
      <c r="M387">
        <v>1</v>
      </c>
    </row>
    <row r="388" spans="2:14" x14ac:dyDescent="0.2">
      <c r="B388" s="5" t="s">
        <v>8</v>
      </c>
      <c r="C388" s="6">
        <v>976</v>
      </c>
      <c r="D388" s="6">
        <v>672</v>
      </c>
      <c r="E388" s="2">
        <f t="shared" si="144"/>
        <v>304</v>
      </c>
      <c r="F388" s="3">
        <f t="shared" si="145"/>
        <v>0.68852459016393441</v>
      </c>
      <c r="G388" s="2">
        <v>7</v>
      </c>
      <c r="H388" s="4">
        <f t="shared" ref="H388:H394" si="147">D388/G388</f>
        <v>96</v>
      </c>
      <c r="I388" s="10">
        <v>45964</v>
      </c>
      <c r="J388" s="17">
        <v>7</v>
      </c>
    </row>
    <row r="389" spans="2:14" x14ac:dyDescent="0.2">
      <c r="B389" s="1" t="s">
        <v>9</v>
      </c>
      <c r="C389" s="2">
        <v>102</v>
      </c>
      <c r="D389" s="2">
        <v>78</v>
      </c>
      <c r="E389" s="2">
        <f t="shared" si="144"/>
        <v>24</v>
      </c>
      <c r="F389" s="3">
        <f>D389/C389</f>
        <v>0.76470588235294112</v>
      </c>
      <c r="G389" s="2">
        <v>5</v>
      </c>
      <c r="H389" s="4">
        <f t="shared" si="147"/>
        <v>15.6</v>
      </c>
      <c r="I389" s="10">
        <v>45964</v>
      </c>
    </row>
    <row r="390" spans="2:14" x14ac:dyDescent="0.2">
      <c r="B390" s="5" t="s">
        <v>10</v>
      </c>
      <c r="C390" s="6">
        <v>742</v>
      </c>
      <c r="D390" s="6">
        <v>153</v>
      </c>
      <c r="E390" s="2">
        <f t="shared" si="144"/>
        <v>589</v>
      </c>
      <c r="F390" s="3">
        <f>D390/C390</f>
        <v>0.20619946091644206</v>
      </c>
      <c r="G390" s="6">
        <v>10</v>
      </c>
      <c r="H390" s="4">
        <f t="shared" si="147"/>
        <v>15.3</v>
      </c>
      <c r="I390" s="10">
        <v>45964</v>
      </c>
      <c r="J390" s="17"/>
    </row>
    <row r="391" spans="2:14" x14ac:dyDescent="0.2">
      <c r="B391" s="1" t="s">
        <v>11</v>
      </c>
      <c r="C391" s="2">
        <v>672</v>
      </c>
      <c r="D391" s="2">
        <v>517</v>
      </c>
      <c r="E391" s="2">
        <f t="shared" si="144"/>
        <v>155</v>
      </c>
      <c r="F391" s="3">
        <f>D391/C391</f>
        <v>0.76934523809523814</v>
      </c>
      <c r="G391" s="6">
        <v>8</v>
      </c>
      <c r="H391" s="4">
        <f t="shared" si="147"/>
        <v>64.625</v>
      </c>
      <c r="I391" s="10">
        <v>45964</v>
      </c>
      <c r="J391" s="17"/>
      <c r="K391">
        <v>9</v>
      </c>
    </row>
    <row r="392" spans="2:14" x14ac:dyDescent="0.2">
      <c r="B392" s="5" t="s">
        <v>12</v>
      </c>
      <c r="C392" s="20">
        <v>279</v>
      </c>
      <c r="D392" s="20">
        <v>265</v>
      </c>
      <c r="E392" s="20">
        <f t="shared" si="144"/>
        <v>14</v>
      </c>
      <c r="F392" s="3">
        <f>D392/C392</f>
        <v>0.94982078853046592</v>
      </c>
      <c r="G392" s="6">
        <v>18</v>
      </c>
      <c r="H392" s="4">
        <f t="shared" si="147"/>
        <v>14.722222222222221</v>
      </c>
      <c r="I392" s="10">
        <v>45964</v>
      </c>
      <c r="J392" s="17"/>
    </row>
    <row r="393" spans="2:14" x14ac:dyDescent="0.2">
      <c r="B393" s="5" t="s">
        <v>17</v>
      </c>
      <c r="C393" s="2">
        <v>1950</v>
      </c>
      <c r="D393" s="6">
        <v>1910</v>
      </c>
      <c r="E393" s="2">
        <f t="shared" si="144"/>
        <v>40</v>
      </c>
      <c r="F393" s="3">
        <f>D393/C393</f>
        <v>0.97948717948717945</v>
      </c>
      <c r="G393" s="6">
        <v>5</v>
      </c>
      <c r="H393" s="4">
        <f t="shared" si="147"/>
        <v>382</v>
      </c>
      <c r="I393" s="10">
        <v>45964</v>
      </c>
      <c r="J393" s="17"/>
      <c r="L393">
        <v>13</v>
      </c>
      <c r="N393">
        <v>69</v>
      </c>
    </row>
    <row r="394" spans="2:14" x14ac:dyDescent="0.2">
      <c r="B394" s="1" t="s">
        <v>7</v>
      </c>
      <c r="C394" s="20">
        <v>1121</v>
      </c>
      <c r="D394" s="20">
        <v>1058</v>
      </c>
      <c r="E394" s="20">
        <f t="shared" ref="E394:E400" si="148">C394-D394</f>
        <v>63</v>
      </c>
      <c r="F394" s="3">
        <f t="shared" ref="F394:F395" si="149">D394/C394</f>
        <v>0.94380017841213204</v>
      </c>
      <c r="G394" s="2">
        <v>4</v>
      </c>
      <c r="H394" s="4">
        <f t="shared" si="147"/>
        <v>264.5</v>
      </c>
      <c r="I394" s="10">
        <v>45965</v>
      </c>
      <c r="J394" s="17"/>
      <c r="M394">
        <v>14</v>
      </c>
    </row>
    <row r="395" spans="2:14" x14ac:dyDescent="0.2">
      <c r="B395" s="5" t="s">
        <v>8</v>
      </c>
      <c r="C395" s="6">
        <v>186</v>
      </c>
      <c r="D395" s="6">
        <v>170</v>
      </c>
      <c r="E395" s="2">
        <f t="shared" si="148"/>
        <v>16</v>
      </c>
      <c r="F395" s="3">
        <f t="shared" si="149"/>
        <v>0.91397849462365588</v>
      </c>
      <c r="G395" s="2">
        <v>8</v>
      </c>
      <c r="H395" s="4">
        <f t="shared" ref="H395:H401" si="150">D395/G395</f>
        <v>21.25</v>
      </c>
      <c r="I395" s="10">
        <v>45965</v>
      </c>
      <c r="J395" s="17">
        <v>6</v>
      </c>
    </row>
    <row r="396" spans="2:14" x14ac:dyDescent="0.2">
      <c r="B396" s="1" t="s">
        <v>9</v>
      </c>
      <c r="C396" s="2">
        <v>232</v>
      </c>
      <c r="D396" s="2">
        <v>190</v>
      </c>
      <c r="E396" s="2">
        <f t="shared" si="148"/>
        <v>42</v>
      </c>
      <c r="F396" s="3">
        <f>D396/C396</f>
        <v>0.81896551724137934</v>
      </c>
      <c r="G396" s="2">
        <v>6</v>
      </c>
      <c r="H396" s="4">
        <f t="shared" si="150"/>
        <v>31.666666666666668</v>
      </c>
      <c r="I396" s="10">
        <v>45965</v>
      </c>
    </row>
    <row r="397" spans="2:14" x14ac:dyDescent="0.2">
      <c r="B397" s="5" t="s">
        <v>10</v>
      </c>
      <c r="C397" s="6">
        <v>868</v>
      </c>
      <c r="D397" s="6">
        <v>275</v>
      </c>
      <c r="E397" s="2">
        <f t="shared" si="148"/>
        <v>593</v>
      </c>
      <c r="F397" s="3">
        <f>D397/C397</f>
        <v>0.31682027649769584</v>
      </c>
      <c r="G397" s="6">
        <v>12</v>
      </c>
      <c r="H397" s="4">
        <f t="shared" si="150"/>
        <v>22.916666666666668</v>
      </c>
      <c r="I397" s="10">
        <v>45965</v>
      </c>
      <c r="J397" s="17"/>
    </row>
    <row r="398" spans="2:14" x14ac:dyDescent="0.2">
      <c r="B398" s="1" t="s">
        <v>11</v>
      </c>
      <c r="C398" s="2">
        <v>1199</v>
      </c>
      <c r="D398" s="2">
        <v>1072</v>
      </c>
      <c r="E398" s="2">
        <f t="shared" si="148"/>
        <v>127</v>
      </c>
      <c r="F398" s="3">
        <f>D398/C398</f>
        <v>0.89407839866555461</v>
      </c>
      <c r="G398" s="6">
        <v>8</v>
      </c>
      <c r="H398" s="4">
        <f t="shared" si="150"/>
        <v>134</v>
      </c>
      <c r="I398" s="10">
        <v>45965</v>
      </c>
      <c r="J398" s="17"/>
      <c r="K398">
        <v>12</v>
      </c>
    </row>
    <row r="399" spans="2:14" x14ac:dyDescent="0.2">
      <c r="B399" s="5" t="s">
        <v>12</v>
      </c>
      <c r="C399" s="20">
        <v>335</v>
      </c>
      <c r="D399" s="20">
        <v>334</v>
      </c>
      <c r="E399" s="20">
        <f t="shared" si="148"/>
        <v>1</v>
      </c>
      <c r="F399" s="3">
        <f>D399/C399</f>
        <v>0.9970149253731343</v>
      </c>
      <c r="G399" s="6">
        <v>20</v>
      </c>
      <c r="H399" s="4">
        <f t="shared" si="150"/>
        <v>16.7</v>
      </c>
      <c r="I399" s="10">
        <v>45965</v>
      </c>
      <c r="J399" s="17">
        <v>3</v>
      </c>
    </row>
    <row r="400" spans="2:14" x14ac:dyDescent="0.2">
      <c r="B400" s="5" t="s">
        <v>17</v>
      </c>
      <c r="C400" s="2">
        <v>489</v>
      </c>
      <c r="D400" s="6">
        <v>489</v>
      </c>
      <c r="E400" s="2">
        <f t="shared" si="148"/>
        <v>0</v>
      </c>
      <c r="F400" s="3">
        <f>D400/C400</f>
        <v>1</v>
      </c>
      <c r="G400" s="6">
        <v>5</v>
      </c>
      <c r="H400" s="4">
        <f t="shared" si="150"/>
        <v>97.8</v>
      </c>
      <c r="I400" s="10">
        <v>45965</v>
      </c>
      <c r="J400" s="17"/>
      <c r="L400">
        <v>8</v>
      </c>
      <c r="N400">
        <v>20</v>
      </c>
    </row>
    <row r="401" spans="2:14" x14ac:dyDescent="0.2">
      <c r="B401" s="1" t="s">
        <v>7</v>
      </c>
      <c r="C401" s="20">
        <v>436</v>
      </c>
      <c r="D401" s="20">
        <v>436</v>
      </c>
      <c r="E401" s="20">
        <f t="shared" ref="E401:E407" si="151">C401-D401</f>
        <v>0</v>
      </c>
      <c r="F401" s="3">
        <f t="shared" ref="F401:F402" si="152">D401/C401</f>
        <v>1</v>
      </c>
      <c r="G401" s="2">
        <v>3</v>
      </c>
      <c r="H401" s="4">
        <f t="shared" si="150"/>
        <v>145.33333333333334</v>
      </c>
      <c r="I401" s="10">
        <v>45966</v>
      </c>
      <c r="J401" s="17"/>
      <c r="M401">
        <v>7</v>
      </c>
    </row>
    <row r="402" spans="2:14" x14ac:dyDescent="0.2">
      <c r="B402" s="5" t="s">
        <v>8</v>
      </c>
      <c r="C402" s="6">
        <v>1662</v>
      </c>
      <c r="D402" s="6">
        <v>1531</v>
      </c>
      <c r="E402" s="2">
        <f t="shared" si="151"/>
        <v>131</v>
      </c>
      <c r="F402" s="3">
        <f t="shared" si="152"/>
        <v>0.92117930204572807</v>
      </c>
      <c r="G402" s="2">
        <v>8</v>
      </c>
      <c r="H402" s="4">
        <f t="shared" ref="H402:H408" si="153">D402/G402</f>
        <v>191.375</v>
      </c>
      <c r="I402" s="10">
        <v>45966</v>
      </c>
      <c r="J402" s="17">
        <v>3</v>
      </c>
    </row>
    <row r="403" spans="2:14" x14ac:dyDescent="0.2">
      <c r="B403" s="1" t="s">
        <v>9</v>
      </c>
      <c r="C403" s="2">
        <v>2</v>
      </c>
      <c r="D403" s="2">
        <v>2</v>
      </c>
      <c r="E403" s="2">
        <f t="shared" si="151"/>
        <v>0</v>
      </c>
      <c r="F403" s="3">
        <f>D403/C403</f>
        <v>1</v>
      </c>
      <c r="G403" s="2">
        <v>5</v>
      </c>
      <c r="H403" s="4">
        <f t="shared" si="153"/>
        <v>0.4</v>
      </c>
      <c r="I403" s="10">
        <v>45966</v>
      </c>
    </row>
    <row r="404" spans="2:14" x14ac:dyDescent="0.2">
      <c r="B404" s="5" t="s">
        <v>10</v>
      </c>
      <c r="C404" s="6">
        <v>233</v>
      </c>
      <c r="D404" s="6">
        <v>49</v>
      </c>
      <c r="E404" s="2">
        <f t="shared" si="151"/>
        <v>184</v>
      </c>
      <c r="F404" s="3">
        <f>D404/C404</f>
        <v>0.21030042918454936</v>
      </c>
      <c r="G404" s="6">
        <v>11</v>
      </c>
      <c r="H404" s="4">
        <f t="shared" si="153"/>
        <v>4.4545454545454541</v>
      </c>
      <c r="I404" s="10">
        <v>45966</v>
      </c>
      <c r="J404" s="17"/>
    </row>
    <row r="405" spans="2:14" x14ac:dyDescent="0.2">
      <c r="B405" s="1" t="s">
        <v>11</v>
      </c>
      <c r="C405" s="2">
        <v>1309</v>
      </c>
      <c r="D405" s="2">
        <v>1207</v>
      </c>
      <c r="E405" s="2">
        <f t="shared" si="151"/>
        <v>102</v>
      </c>
      <c r="F405" s="3">
        <f>D405/C405</f>
        <v>0.92207792207792205</v>
      </c>
      <c r="G405" s="6">
        <v>8</v>
      </c>
      <c r="H405" s="4">
        <f t="shared" si="153"/>
        <v>150.875</v>
      </c>
      <c r="I405" s="10">
        <v>45966</v>
      </c>
      <c r="J405" s="17">
        <v>171</v>
      </c>
      <c r="K405">
        <v>11</v>
      </c>
    </row>
    <row r="406" spans="2:14" x14ac:dyDescent="0.2">
      <c r="B406" s="5" t="s">
        <v>12</v>
      </c>
      <c r="C406" s="20">
        <v>239</v>
      </c>
      <c r="D406" s="20">
        <v>234</v>
      </c>
      <c r="E406" s="20">
        <f t="shared" si="151"/>
        <v>5</v>
      </c>
      <c r="F406" s="3">
        <f>D406/C406</f>
        <v>0.97907949790794979</v>
      </c>
      <c r="G406" s="6">
        <v>20</v>
      </c>
      <c r="H406" s="4">
        <f t="shared" si="153"/>
        <v>11.7</v>
      </c>
      <c r="I406" s="10">
        <v>45966</v>
      </c>
      <c r="J406" s="17"/>
    </row>
    <row r="407" spans="2:14" x14ac:dyDescent="0.2">
      <c r="B407" s="5" t="s">
        <v>17</v>
      </c>
      <c r="C407" s="2">
        <v>3</v>
      </c>
      <c r="D407" s="6">
        <v>3</v>
      </c>
      <c r="E407" s="2">
        <f t="shared" si="151"/>
        <v>0</v>
      </c>
      <c r="F407" s="3">
        <f>D407/C407</f>
        <v>1</v>
      </c>
      <c r="G407" s="6">
        <v>4</v>
      </c>
      <c r="H407" s="4">
        <f t="shared" si="153"/>
        <v>0.75</v>
      </c>
      <c r="I407" s="10">
        <v>45966</v>
      </c>
      <c r="J407" s="17"/>
      <c r="L407">
        <v>1</v>
      </c>
      <c r="N407">
        <v>3</v>
      </c>
    </row>
    <row r="408" spans="2:14" x14ac:dyDescent="0.2">
      <c r="B408" s="1" t="s">
        <v>7</v>
      </c>
      <c r="C408" s="20">
        <v>1</v>
      </c>
      <c r="D408" s="20">
        <v>1</v>
      </c>
      <c r="E408" s="20">
        <f t="shared" ref="E408:E414" si="154">C408-D408</f>
        <v>0</v>
      </c>
      <c r="F408" s="3">
        <f t="shared" ref="F408:F409" si="155">D408/C408</f>
        <v>1</v>
      </c>
      <c r="G408" s="2">
        <v>4</v>
      </c>
      <c r="H408" s="4">
        <f t="shared" si="153"/>
        <v>0.25</v>
      </c>
      <c r="I408" s="10">
        <v>45967</v>
      </c>
      <c r="J408" s="17"/>
      <c r="M408">
        <v>1</v>
      </c>
    </row>
    <row r="409" spans="2:14" x14ac:dyDescent="0.2">
      <c r="B409" s="5" t="s">
        <v>8</v>
      </c>
      <c r="C409" s="6">
        <v>359</v>
      </c>
      <c r="D409" s="6">
        <v>229</v>
      </c>
      <c r="E409" s="2">
        <f>C409-D409</f>
        <v>130</v>
      </c>
      <c r="F409" s="3">
        <f t="shared" si="155"/>
        <v>0.63788300835654599</v>
      </c>
      <c r="G409" s="2">
        <v>8</v>
      </c>
      <c r="H409" s="4">
        <f t="shared" ref="H409:H415" si="156">D409/G409</f>
        <v>28.625</v>
      </c>
      <c r="I409" s="10">
        <v>45967</v>
      </c>
      <c r="J409" s="17">
        <v>4</v>
      </c>
    </row>
    <row r="410" spans="2:14" x14ac:dyDescent="0.2">
      <c r="B410" s="1" t="s">
        <v>9</v>
      </c>
      <c r="C410" s="2">
        <v>368</v>
      </c>
      <c r="D410" s="2">
        <v>320</v>
      </c>
      <c r="E410" s="2">
        <f>C410-D410</f>
        <v>48</v>
      </c>
      <c r="F410" s="3">
        <f>D410/C410</f>
        <v>0.86956521739130432</v>
      </c>
      <c r="G410" s="2">
        <v>5</v>
      </c>
      <c r="H410" s="4">
        <f t="shared" si="156"/>
        <v>64</v>
      </c>
      <c r="I410" s="10">
        <v>45967</v>
      </c>
    </row>
    <row r="411" spans="2:14" x14ac:dyDescent="0.2">
      <c r="B411" s="5" t="s">
        <v>10</v>
      </c>
      <c r="C411" s="6">
        <v>307</v>
      </c>
      <c r="D411" s="6">
        <v>0</v>
      </c>
      <c r="E411" s="2">
        <f>C411-D411</f>
        <v>307</v>
      </c>
      <c r="F411" s="3">
        <f>D411/C411</f>
        <v>0</v>
      </c>
      <c r="G411" s="6">
        <v>10</v>
      </c>
      <c r="H411" s="4">
        <f t="shared" si="156"/>
        <v>0</v>
      </c>
      <c r="I411" s="10">
        <v>45967</v>
      </c>
      <c r="J411" s="17"/>
    </row>
    <row r="412" spans="2:14" x14ac:dyDescent="0.2">
      <c r="B412" s="1" t="s">
        <v>11</v>
      </c>
      <c r="C412" s="2">
        <v>860</v>
      </c>
      <c r="D412" s="2">
        <v>838</v>
      </c>
      <c r="E412" s="2">
        <f>C412-D412</f>
        <v>22</v>
      </c>
      <c r="F412" s="3">
        <f>D412/C412</f>
        <v>0.97441860465116281</v>
      </c>
      <c r="G412" s="6">
        <v>8</v>
      </c>
      <c r="H412" s="4">
        <f t="shared" si="156"/>
        <v>104.75</v>
      </c>
      <c r="I412" s="10">
        <v>45967</v>
      </c>
      <c r="J412" s="17"/>
      <c r="K412">
        <v>7</v>
      </c>
    </row>
    <row r="413" spans="2:14" x14ac:dyDescent="0.2">
      <c r="B413" s="5" t="s">
        <v>12</v>
      </c>
      <c r="C413" s="20">
        <v>597</v>
      </c>
      <c r="D413" s="20">
        <v>552</v>
      </c>
      <c r="E413" s="20">
        <f>C413-D413</f>
        <v>45</v>
      </c>
      <c r="F413" s="3">
        <f>D413/C413</f>
        <v>0.92462311557788945</v>
      </c>
      <c r="G413" s="6">
        <v>20</v>
      </c>
      <c r="H413" s="4">
        <f t="shared" si="156"/>
        <v>27.6</v>
      </c>
      <c r="I413" s="10">
        <v>45967</v>
      </c>
      <c r="J413" s="17"/>
    </row>
    <row r="414" spans="2:14" x14ac:dyDescent="0.2">
      <c r="B414" s="5" t="s">
        <v>17</v>
      </c>
      <c r="C414" s="2">
        <v>1465</v>
      </c>
      <c r="D414" s="6">
        <v>1409</v>
      </c>
      <c r="E414" s="2">
        <f t="shared" si="154"/>
        <v>56</v>
      </c>
      <c r="F414" s="3">
        <f>D414/C414</f>
        <v>0.96177474402730379</v>
      </c>
      <c r="G414" s="6">
        <v>4</v>
      </c>
      <c r="H414" s="4">
        <f t="shared" si="156"/>
        <v>352.25</v>
      </c>
      <c r="I414" s="10">
        <v>45967</v>
      </c>
      <c r="J414" s="17"/>
      <c r="L414">
        <v>8</v>
      </c>
      <c r="N414">
        <v>47</v>
      </c>
    </row>
    <row r="415" spans="2:14" x14ac:dyDescent="0.2">
      <c r="B415" s="1" t="s">
        <v>7</v>
      </c>
      <c r="C415" s="20">
        <v>1106</v>
      </c>
      <c r="D415" s="20">
        <v>1094</v>
      </c>
      <c r="E415" s="20">
        <f t="shared" ref="E415" si="157">C415-D415</f>
        <v>12</v>
      </c>
      <c r="F415" s="3">
        <f t="shared" ref="F415:F416" si="158">D415/C415</f>
        <v>0.98915009041591317</v>
      </c>
      <c r="G415" s="2">
        <v>2</v>
      </c>
      <c r="H415" s="4">
        <f t="shared" si="156"/>
        <v>547</v>
      </c>
      <c r="I415" s="10">
        <v>45968</v>
      </c>
      <c r="M415">
        <v>9</v>
      </c>
    </row>
    <row r="416" spans="2:14" x14ac:dyDescent="0.2">
      <c r="B416" s="5" t="s">
        <v>8</v>
      </c>
      <c r="C416" s="6">
        <v>119</v>
      </c>
      <c r="D416" s="6">
        <v>118</v>
      </c>
      <c r="E416" s="2">
        <f>C416-D416</f>
        <v>1</v>
      </c>
      <c r="F416" s="3">
        <f t="shared" si="158"/>
        <v>0.99159663865546221</v>
      </c>
      <c r="G416" s="2">
        <v>8</v>
      </c>
      <c r="H416" s="4">
        <f t="shared" ref="H416:H422" si="159">D416/G416</f>
        <v>14.75</v>
      </c>
      <c r="I416" s="10">
        <v>45968</v>
      </c>
      <c r="J416" s="17">
        <v>1</v>
      </c>
    </row>
    <row r="417" spans="2:14" x14ac:dyDescent="0.2">
      <c r="B417" s="1" t="s">
        <v>9</v>
      </c>
      <c r="C417" s="2">
        <v>30</v>
      </c>
      <c r="D417" s="2">
        <v>29</v>
      </c>
      <c r="E417" s="2">
        <f>C417-D417</f>
        <v>1</v>
      </c>
      <c r="F417" s="3">
        <f>D417/C417</f>
        <v>0.96666666666666667</v>
      </c>
      <c r="G417" s="2">
        <v>4</v>
      </c>
      <c r="H417" s="4">
        <f t="shared" si="159"/>
        <v>7.25</v>
      </c>
      <c r="I417" s="10">
        <v>45968</v>
      </c>
    </row>
    <row r="418" spans="2:14" x14ac:dyDescent="0.2">
      <c r="B418" s="5" t="s">
        <v>10</v>
      </c>
      <c r="C418" s="6">
        <v>906</v>
      </c>
      <c r="D418" s="6">
        <v>676</v>
      </c>
      <c r="E418" s="2">
        <f>C418-D418</f>
        <v>230</v>
      </c>
      <c r="F418" s="3">
        <f>D418/C418</f>
        <v>0.74613686534216339</v>
      </c>
      <c r="G418" s="6">
        <v>10</v>
      </c>
      <c r="H418" s="4">
        <f t="shared" si="159"/>
        <v>67.599999999999994</v>
      </c>
      <c r="I418" s="10">
        <v>45968</v>
      </c>
    </row>
    <row r="419" spans="2:14" x14ac:dyDescent="0.2">
      <c r="B419" s="1" t="s">
        <v>11</v>
      </c>
      <c r="C419" s="2">
        <v>1009</v>
      </c>
      <c r="D419" s="2">
        <v>306</v>
      </c>
      <c r="E419" s="2">
        <f>C419-D419</f>
        <v>703</v>
      </c>
      <c r="F419" s="3">
        <f>D419/C419</f>
        <v>0.30327056491575816</v>
      </c>
      <c r="G419" s="6">
        <v>9</v>
      </c>
      <c r="H419" s="4">
        <f t="shared" si="159"/>
        <v>34</v>
      </c>
      <c r="I419" s="10">
        <v>45968</v>
      </c>
      <c r="J419" s="17">
        <v>6</v>
      </c>
      <c r="K419">
        <v>8</v>
      </c>
    </row>
    <row r="420" spans="2:14" x14ac:dyDescent="0.2">
      <c r="B420" s="5" t="s">
        <v>12</v>
      </c>
      <c r="C420" s="20">
        <v>57</v>
      </c>
      <c r="D420" s="20">
        <v>45</v>
      </c>
      <c r="E420" s="20">
        <f>C420-D420</f>
        <v>12</v>
      </c>
      <c r="F420" s="3">
        <f>D420/C420</f>
        <v>0.78947368421052633</v>
      </c>
      <c r="G420" s="6">
        <v>18</v>
      </c>
      <c r="H420" s="4">
        <f t="shared" si="159"/>
        <v>2.5</v>
      </c>
      <c r="I420" s="10">
        <v>45968</v>
      </c>
    </row>
    <row r="421" spans="2:14" x14ac:dyDescent="0.2">
      <c r="B421" s="5" t="s">
        <v>17</v>
      </c>
      <c r="C421" s="2">
        <v>359</v>
      </c>
      <c r="D421" s="6">
        <v>353</v>
      </c>
      <c r="E421" s="2">
        <f t="shared" ref="E421:E422" si="160">C421-D421</f>
        <v>6</v>
      </c>
      <c r="F421" s="3">
        <f>D421/C421</f>
        <v>0.98328690807799446</v>
      </c>
      <c r="G421" s="6">
        <v>4</v>
      </c>
      <c r="H421" s="4">
        <f t="shared" si="159"/>
        <v>88.25</v>
      </c>
      <c r="I421" s="10">
        <v>45968</v>
      </c>
      <c r="L421">
        <v>11</v>
      </c>
      <c r="N421">
        <v>36</v>
      </c>
    </row>
    <row r="422" spans="2:14" x14ac:dyDescent="0.2">
      <c r="B422" s="1" t="s">
        <v>7</v>
      </c>
      <c r="C422" s="20">
        <v>175</v>
      </c>
      <c r="D422" s="20">
        <v>169</v>
      </c>
      <c r="E422" s="20">
        <f t="shared" si="160"/>
        <v>6</v>
      </c>
      <c r="F422" s="3">
        <f t="shared" ref="F422:F423" si="161">D422/C422</f>
        <v>0.96571428571428575</v>
      </c>
      <c r="G422" s="2">
        <v>2</v>
      </c>
      <c r="H422" s="4">
        <f t="shared" si="159"/>
        <v>84.5</v>
      </c>
      <c r="I422" s="10">
        <v>45971</v>
      </c>
      <c r="M422">
        <v>12</v>
      </c>
    </row>
    <row r="423" spans="2:14" x14ac:dyDescent="0.2">
      <c r="B423" s="5" t="s">
        <v>8</v>
      </c>
      <c r="C423" s="6">
        <v>1007</v>
      </c>
      <c r="D423" s="6">
        <v>732</v>
      </c>
      <c r="E423" s="2">
        <f>C423-D423</f>
        <v>275</v>
      </c>
      <c r="F423" s="3">
        <f t="shared" si="161"/>
        <v>0.72691161866931475</v>
      </c>
      <c r="G423" s="2">
        <v>8</v>
      </c>
      <c r="H423" s="4">
        <f t="shared" ref="H423:H428" si="162">D423/G423</f>
        <v>91.5</v>
      </c>
      <c r="I423" s="10">
        <v>45971</v>
      </c>
      <c r="J423" s="17">
        <v>3</v>
      </c>
    </row>
    <row r="424" spans="2:14" x14ac:dyDescent="0.2">
      <c r="B424" s="1" t="s">
        <v>9</v>
      </c>
      <c r="C424" s="2">
        <v>76</v>
      </c>
      <c r="D424" s="2">
        <v>15</v>
      </c>
      <c r="E424" s="2">
        <f>C424-D424</f>
        <v>61</v>
      </c>
      <c r="F424" s="3">
        <f t="shared" ref="F424:F431" si="163">D424/C424</f>
        <v>0.19736842105263158</v>
      </c>
      <c r="G424" s="2">
        <v>6</v>
      </c>
      <c r="H424" s="4">
        <f t="shared" si="162"/>
        <v>2.5</v>
      </c>
      <c r="I424" s="10">
        <v>45971</v>
      </c>
    </row>
    <row r="425" spans="2:14" x14ac:dyDescent="0.2">
      <c r="B425" s="5" t="s">
        <v>10</v>
      </c>
      <c r="C425" s="6">
        <v>1315</v>
      </c>
      <c r="D425" s="6">
        <v>0</v>
      </c>
      <c r="E425" s="2">
        <f>C425-D425</f>
        <v>1315</v>
      </c>
      <c r="F425" s="3">
        <f t="shared" si="163"/>
        <v>0</v>
      </c>
      <c r="G425" s="6">
        <v>10</v>
      </c>
      <c r="H425" s="4">
        <f t="shared" si="162"/>
        <v>0</v>
      </c>
      <c r="I425" s="10">
        <v>45971</v>
      </c>
    </row>
    <row r="426" spans="2:14" x14ac:dyDescent="0.2">
      <c r="B426" s="1" t="s">
        <v>11</v>
      </c>
      <c r="C426" s="2">
        <v>490</v>
      </c>
      <c r="D426" s="2">
        <v>298</v>
      </c>
      <c r="E426" s="2">
        <f>C426-D426</f>
        <v>192</v>
      </c>
      <c r="F426" s="3">
        <f t="shared" si="163"/>
        <v>0.60816326530612241</v>
      </c>
      <c r="G426" s="6">
        <v>8</v>
      </c>
      <c r="H426" s="4">
        <f t="shared" si="162"/>
        <v>37.25</v>
      </c>
      <c r="I426" s="10">
        <v>45971</v>
      </c>
      <c r="K426">
        <v>11</v>
      </c>
    </row>
    <row r="427" spans="2:14" x14ac:dyDescent="0.2">
      <c r="B427" s="5" t="s">
        <v>12</v>
      </c>
      <c r="C427" s="20">
        <v>105</v>
      </c>
      <c r="D427" s="20">
        <v>99</v>
      </c>
      <c r="E427" s="20">
        <f>C427-D427</f>
        <v>6</v>
      </c>
      <c r="F427" s="3">
        <f t="shared" si="163"/>
        <v>0.94285714285714284</v>
      </c>
      <c r="G427" s="6">
        <v>16</v>
      </c>
      <c r="H427" s="4">
        <f t="shared" si="162"/>
        <v>6.1875</v>
      </c>
      <c r="I427" s="10">
        <v>45971</v>
      </c>
    </row>
    <row r="428" spans="2:14" x14ac:dyDescent="0.2">
      <c r="B428" s="5" t="s">
        <v>17</v>
      </c>
      <c r="C428" s="2">
        <v>429</v>
      </c>
      <c r="D428" s="6">
        <v>421</v>
      </c>
      <c r="E428" s="2">
        <f t="shared" ref="E428" si="164">C428-D428</f>
        <v>8</v>
      </c>
      <c r="F428" s="3">
        <f t="shared" si="163"/>
        <v>0.98135198135198132</v>
      </c>
      <c r="G428" s="6">
        <v>4</v>
      </c>
      <c r="H428" s="4">
        <f t="shared" si="162"/>
        <v>105.25</v>
      </c>
      <c r="I428" s="10">
        <v>45971</v>
      </c>
      <c r="L428">
        <v>10</v>
      </c>
      <c r="N428">
        <v>31</v>
      </c>
    </row>
    <row r="429" spans="2:14" x14ac:dyDescent="0.2">
      <c r="B429" s="5" t="s">
        <v>50</v>
      </c>
      <c r="C429" s="2">
        <v>762</v>
      </c>
      <c r="D429" s="6">
        <v>0</v>
      </c>
      <c r="E429" s="2">
        <f t="shared" ref="E429:E430" si="165">C429-D429</f>
        <v>762</v>
      </c>
      <c r="F429" s="3">
        <f t="shared" si="163"/>
        <v>0</v>
      </c>
      <c r="G429" s="6">
        <v>1</v>
      </c>
      <c r="H429" s="4">
        <f t="shared" ref="H429:H436" si="166">D429/G429</f>
        <v>0</v>
      </c>
      <c r="I429" s="10">
        <v>45971</v>
      </c>
    </row>
    <row r="430" spans="2:14" x14ac:dyDescent="0.2">
      <c r="B430" s="1" t="s">
        <v>7</v>
      </c>
      <c r="C430" s="20">
        <v>406</v>
      </c>
      <c r="D430" s="20">
        <v>379</v>
      </c>
      <c r="E430" s="20">
        <f t="shared" si="165"/>
        <v>27</v>
      </c>
      <c r="F430" s="3">
        <f t="shared" si="163"/>
        <v>0.93349753694581283</v>
      </c>
      <c r="G430" s="2">
        <v>2</v>
      </c>
      <c r="H430" s="4">
        <f t="shared" si="166"/>
        <v>189.5</v>
      </c>
      <c r="I430" s="10">
        <v>45972</v>
      </c>
      <c r="J430" s="17">
        <v>1</v>
      </c>
      <c r="M430">
        <v>9</v>
      </c>
    </row>
    <row r="431" spans="2:14" x14ac:dyDescent="0.2">
      <c r="B431" s="5" t="s">
        <v>8</v>
      </c>
      <c r="C431" s="6">
        <v>373</v>
      </c>
      <c r="D431" s="6">
        <v>306</v>
      </c>
      <c r="E431" s="2">
        <f>C431-D431</f>
        <v>67</v>
      </c>
      <c r="F431" s="3">
        <f t="shared" si="163"/>
        <v>0.82037533512064342</v>
      </c>
      <c r="G431" s="2">
        <v>6</v>
      </c>
      <c r="H431" s="4">
        <f t="shared" si="166"/>
        <v>51</v>
      </c>
      <c r="I431" s="10">
        <v>45972</v>
      </c>
      <c r="J431" s="17">
        <v>4</v>
      </c>
    </row>
    <row r="432" spans="2:14" x14ac:dyDescent="0.2">
      <c r="B432" s="1" t="s">
        <v>9</v>
      </c>
      <c r="C432" s="2">
        <v>148</v>
      </c>
      <c r="D432" s="2">
        <v>146</v>
      </c>
      <c r="E432" s="2">
        <f>C432-D432</f>
        <v>2</v>
      </c>
      <c r="F432" s="3">
        <f t="shared" ref="F432:F439" si="167">D432/C432</f>
        <v>0.98648648648648651</v>
      </c>
      <c r="G432" s="2">
        <v>7</v>
      </c>
      <c r="H432" s="4">
        <f t="shared" si="166"/>
        <v>20.857142857142858</v>
      </c>
      <c r="I432" s="10">
        <v>45972</v>
      </c>
    </row>
    <row r="433" spans="2:14" x14ac:dyDescent="0.2">
      <c r="B433" s="5" t="s">
        <v>10</v>
      </c>
      <c r="C433" s="6">
        <v>1021</v>
      </c>
      <c r="D433" s="6">
        <v>44</v>
      </c>
      <c r="E433" s="2">
        <f>C433-D433</f>
        <v>977</v>
      </c>
      <c r="F433" s="3">
        <f t="shared" si="167"/>
        <v>4.3095004897159644E-2</v>
      </c>
      <c r="G433" s="6">
        <v>11</v>
      </c>
      <c r="H433" s="4">
        <f t="shared" si="166"/>
        <v>4</v>
      </c>
      <c r="I433" s="10">
        <v>45972</v>
      </c>
    </row>
    <row r="434" spans="2:14" x14ac:dyDescent="0.2">
      <c r="B434" s="1" t="s">
        <v>11</v>
      </c>
      <c r="C434" s="2">
        <v>506</v>
      </c>
      <c r="D434" s="2">
        <v>456</v>
      </c>
      <c r="E434" s="2">
        <f>C434-D434</f>
        <v>50</v>
      </c>
      <c r="F434" s="3">
        <f t="shared" si="167"/>
        <v>0.90118577075098816</v>
      </c>
      <c r="G434" s="6">
        <v>7</v>
      </c>
      <c r="H434" s="4">
        <f t="shared" si="166"/>
        <v>65.142857142857139</v>
      </c>
      <c r="I434" s="10">
        <v>45972</v>
      </c>
      <c r="J434" s="17">
        <v>39</v>
      </c>
      <c r="K434">
        <v>7</v>
      </c>
    </row>
    <row r="435" spans="2:14" x14ac:dyDescent="0.2">
      <c r="B435" s="5" t="s">
        <v>12</v>
      </c>
      <c r="C435" s="20">
        <v>176</v>
      </c>
      <c r="D435" s="20">
        <v>168</v>
      </c>
      <c r="E435" s="20">
        <f>C435-D435</f>
        <v>8</v>
      </c>
      <c r="F435" s="3">
        <f t="shared" si="167"/>
        <v>0.95454545454545459</v>
      </c>
      <c r="G435" s="6">
        <v>19</v>
      </c>
      <c r="H435" s="4">
        <f t="shared" si="166"/>
        <v>8.8421052631578956</v>
      </c>
      <c r="I435" s="10">
        <v>45972</v>
      </c>
    </row>
    <row r="436" spans="2:14" x14ac:dyDescent="0.2">
      <c r="B436" s="5" t="s">
        <v>17</v>
      </c>
      <c r="C436" s="2">
        <v>471</v>
      </c>
      <c r="D436" s="6">
        <v>470</v>
      </c>
      <c r="E436" s="2">
        <f t="shared" ref="E436:E438" si="168">C436-D436</f>
        <v>1</v>
      </c>
      <c r="F436" s="3">
        <f t="shared" si="167"/>
        <v>0.99787685774946921</v>
      </c>
      <c r="G436" s="6">
        <v>4</v>
      </c>
      <c r="H436" s="4">
        <f t="shared" si="166"/>
        <v>117.5</v>
      </c>
      <c r="I436" s="10">
        <v>45972</v>
      </c>
      <c r="L436">
        <v>15</v>
      </c>
      <c r="N436">
        <v>56</v>
      </c>
    </row>
    <row r="437" spans="2:14" x14ac:dyDescent="0.2">
      <c r="B437" s="5" t="s">
        <v>50</v>
      </c>
      <c r="C437" s="2">
        <v>689</v>
      </c>
      <c r="D437" s="6">
        <v>0</v>
      </c>
      <c r="E437" s="2">
        <f t="shared" si="168"/>
        <v>689</v>
      </c>
      <c r="F437" s="3">
        <f t="shared" si="167"/>
        <v>0</v>
      </c>
      <c r="G437" s="6">
        <v>1</v>
      </c>
      <c r="H437" s="4">
        <f t="shared" ref="H437:H444" si="169">D437/G437</f>
        <v>0</v>
      </c>
      <c r="I437" s="10">
        <v>45972</v>
      </c>
    </row>
    <row r="438" spans="2:14" x14ac:dyDescent="0.2">
      <c r="B438" s="1" t="s">
        <v>7</v>
      </c>
      <c r="C438" s="20">
        <v>387</v>
      </c>
      <c r="D438" s="20">
        <v>294</v>
      </c>
      <c r="E438" s="20">
        <f t="shared" si="168"/>
        <v>93</v>
      </c>
      <c r="F438" s="3">
        <f t="shared" si="167"/>
        <v>0.75968992248062017</v>
      </c>
      <c r="G438" s="2">
        <v>2</v>
      </c>
      <c r="H438" s="4">
        <f t="shared" si="169"/>
        <v>147</v>
      </c>
      <c r="I438" s="10">
        <v>45973</v>
      </c>
      <c r="J438" s="17"/>
      <c r="M438">
        <v>12</v>
      </c>
    </row>
    <row r="439" spans="2:14" x14ac:dyDescent="0.2">
      <c r="B439" s="5" t="s">
        <v>8</v>
      </c>
      <c r="C439" s="6">
        <v>483</v>
      </c>
      <c r="D439" s="6">
        <v>303</v>
      </c>
      <c r="E439" s="2">
        <f>C439-D439</f>
        <v>180</v>
      </c>
      <c r="F439" s="3">
        <f t="shared" si="167"/>
        <v>0.62732919254658381</v>
      </c>
      <c r="G439" s="2">
        <v>5</v>
      </c>
      <c r="H439" s="4">
        <f t="shared" si="169"/>
        <v>60.6</v>
      </c>
      <c r="I439" s="10">
        <v>45973</v>
      </c>
      <c r="J439" s="17">
        <v>4</v>
      </c>
    </row>
    <row r="440" spans="2:14" x14ac:dyDescent="0.2">
      <c r="B440" s="1" t="s">
        <v>9</v>
      </c>
      <c r="C440" s="2">
        <v>279</v>
      </c>
      <c r="D440" s="2">
        <v>231</v>
      </c>
      <c r="E440" s="2">
        <f>C440-D440</f>
        <v>48</v>
      </c>
      <c r="F440" s="3">
        <f t="shared" ref="F440:F447" si="170">D440/C440</f>
        <v>0.82795698924731187</v>
      </c>
      <c r="G440" s="2">
        <v>6</v>
      </c>
      <c r="H440" s="4">
        <f t="shared" si="169"/>
        <v>38.5</v>
      </c>
      <c r="I440" s="10">
        <v>45973</v>
      </c>
    </row>
    <row r="441" spans="2:14" x14ac:dyDescent="0.2">
      <c r="B441" s="5" t="s">
        <v>10</v>
      </c>
      <c r="C441" s="6">
        <v>697</v>
      </c>
      <c r="D441" s="6">
        <v>290</v>
      </c>
      <c r="E441" s="2">
        <f>C441-D441</f>
        <v>407</v>
      </c>
      <c r="F441" s="3">
        <f t="shared" si="170"/>
        <v>0.41606886657101866</v>
      </c>
      <c r="G441" s="6">
        <v>9</v>
      </c>
      <c r="H441" s="4">
        <f t="shared" si="169"/>
        <v>32.222222222222221</v>
      </c>
      <c r="I441" s="10">
        <v>45973</v>
      </c>
    </row>
    <row r="442" spans="2:14" x14ac:dyDescent="0.2">
      <c r="B442" s="1" t="s">
        <v>11</v>
      </c>
      <c r="C442" s="2">
        <v>983</v>
      </c>
      <c r="D442" s="2">
        <v>784</v>
      </c>
      <c r="E442" s="2">
        <f>C442-D442</f>
        <v>199</v>
      </c>
      <c r="F442" s="3">
        <f t="shared" si="170"/>
        <v>0.79755849440488302</v>
      </c>
      <c r="G442" s="6">
        <v>7</v>
      </c>
      <c r="H442" s="4">
        <f t="shared" si="169"/>
        <v>112</v>
      </c>
      <c r="I442" s="10">
        <v>45973</v>
      </c>
      <c r="J442" s="17">
        <v>1</v>
      </c>
      <c r="K442">
        <v>9</v>
      </c>
    </row>
    <row r="443" spans="2:14" x14ac:dyDescent="0.2">
      <c r="B443" s="5" t="s">
        <v>12</v>
      </c>
      <c r="C443" s="20">
        <v>357</v>
      </c>
      <c r="D443" s="20">
        <v>351</v>
      </c>
      <c r="E443" s="20">
        <f>C443-D443</f>
        <v>6</v>
      </c>
      <c r="F443" s="3">
        <f t="shared" si="170"/>
        <v>0.98319327731092432</v>
      </c>
      <c r="G443" s="6">
        <v>20</v>
      </c>
      <c r="H443" s="4">
        <f t="shared" si="169"/>
        <v>17.55</v>
      </c>
      <c r="I443" s="10">
        <v>45973</v>
      </c>
    </row>
    <row r="444" spans="2:14" x14ac:dyDescent="0.2">
      <c r="B444" s="5" t="s">
        <v>17</v>
      </c>
      <c r="C444" s="2">
        <v>487</v>
      </c>
      <c r="D444" s="6">
        <v>466</v>
      </c>
      <c r="E444" s="2">
        <f t="shared" ref="E444:E446" si="171">C444-D444</f>
        <v>21</v>
      </c>
      <c r="F444" s="3">
        <f t="shared" si="170"/>
        <v>0.95687885010266938</v>
      </c>
      <c r="G444" s="6">
        <v>6</v>
      </c>
      <c r="H444" s="4">
        <f t="shared" si="169"/>
        <v>77.666666666666671</v>
      </c>
      <c r="I444" s="10">
        <v>45973</v>
      </c>
      <c r="L444">
        <v>12</v>
      </c>
      <c r="N444">
        <v>54</v>
      </c>
    </row>
    <row r="445" spans="2:14" x14ac:dyDescent="0.2">
      <c r="B445" s="5" t="s">
        <v>50</v>
      </c>
      <c r="C445" s="2">
        <v>468</v>
      </c>
      <c r="D445" s="6">
        <v>468</v>
      </c>
      <c r="E445" s="2">
        <f t="shared" si="171"/>
        <v>0</v>
      </c>
      <c r="F445" s="3">
        <f t="shared" si="170"/>
        <v>1</v>
      </c>
      <c r="G445" s="6">
        <v>1</v>
      </c>
      <c r="H445" s="4">
        <f t="shared" ref="H445:H452" si="172">D445/G445</f>
        <v>468</v>
      </c>
      <c r="I445" s="10">
        <v>45973</v>
      </c>
    </row>
    <row r="446" spans="2:14" x14ac:dyDescent="0.2">
      <c r="B446" s="1" t="s">
        <v>7</v>
      </c>
      <c r="C446" s="20">
        <v>261</v>
      </c>
      <c r="D446" s="20">
        <v>255</v>
      </c>
      <c r="E446" s="20">
        <f t="shared" si="171"/>
        <v>6</v>
      </c>
      <c r="F446" s="3">
        <f t="shared" si="170"/>
        <v>0.97701149425287359</v>
      </c>
      <c r="G446" s="2">
        <v>2</v>
      </c>
      <c r="H446" s="4">
        <f t="shared" si="172"/>
        <v>127.5</v>
      </c>
      <c r="I446" s="10">
        <v>45974</v>
      </c>
      <c r="J446" s="17"/>
      <c r="M446">
        <v>12</v>
      </c>
    </row>
    <row r="447" spans="2:14" x14ac:dyDescent="0.2">
      <c r="B447" s="5" t="s">
        <v>8</v>
      </c>
      <c r="C447" s="6">
        <v>329</v>
      </c>
      <c r="D447" s="6">
        <v>297</v>
      </c>
      <c r="E447" s="2">
        <f>C447-D447</f>
        <v>32</v>
      </c>
      <c r="F447" s="3">
        <f t="shared" si="170"/>
        <v>0.90273556231003038</v>
      </c>
      <c r="G447" s="2">
        <v>7</v>
      </c>
      <c r="H447" s="4">
        <f t="shared" si="172"/>
        <v>42.428571428571431</v>
      </c>
      <c r="I447" s="10">
        <v>45974</v>
      </c>
      <c r="J447" s="17">
        <v>4</v>
      </c>
    </row>
    <row r="448" spans="2:14" x14ac:dyDescent="0.2">
      <c r="B448" s="1" t="s">
        <v>9</v>
      </c>
      <c r="C448" s="2">
        <v>68</v>
      </c>
      <c r="D448" s="2">
        <v>58</v>
      </c>
      <c r="E448" s="2">
        <f>C448-D448</f>
        <v>10</v>
      </c>
      <c r="F448" s="3">
        <f t="shared" ref="F448:F455" si="173">D448/C448</f>
        <v>0.8529411764705882</v>
      </c>
      <c r="G448" s="2">
        <v>5</v>
      </c>
      <c r="H448" s="4">
        <f t="shared" si="172"/>
        <v>11.6</v>
      </c>
      <c r="I448" s="10">
        <v>45974</v>
      </c>
    </row>
    <row r="449" spans="2:14" x14ac:dyDescent="0.2">
      <c r="B449" s="5" t="s">
        <v>10</v>
      </c>
      <c r="C449" s="6">
        <v>960</v>
      </c>
      <c r="D449" s="6">
        <v>330</v>
      </c>
      <c r="E449" s="2">
        <f>C449-D449</f>
        <v>630</v>
      </c>
      <c r="F449" s="3">
        <f t="shared" si="173"/>
        <v>0.34375</v>
      </c>
      <c r="G449" s="6">
        <v>10</v>
      </c>
      <c r="H449" s="4">
        <f t="shared" si="172"/>
        <v>33</v>
      </c>
      <c r="I449" s="10">
        <v>45974</v>
      </c>
    </row>
    <row r="450" spans="2:14" x14ac:dyDescent="0.2">
      <c r="B450" s="1" t="s">
        <v>11</v>
      </c>
      <c r="C450" s="2">
        <v>792</v>
      </c>
      <c r="D450" s="2">
        <v>683</v>
      </c>
      <c r="E450" s="2">
        <f>C450-D450</f>
        <v>109</v>
      </c>
      <c r="F450" s="3">
        <f t="shared" si="173"/>
        <v>0.86237373737373735</v>
      </c>
      <c r="G450" s="6">
        <v>8</v>
      </c>
      <c r="H450" s="4">
        <f t="shared" si="172"/>
        <v>85.375</v>
      </c>
      <c r="I450" s="10">
        <v>45974</v>
      </c>
      <c r="J450" s="17">
        <v>83</v>
      </c>
      <c r="K450">
        <v>11</v>
      </c>
    </row>
    <row r="451" spans="2:14" x14ac:dyDescent="0.2">
      <c r="B451" s="5" t="s">
        <v>12</v>
      </c>
      <c r="C451" s="20">
        <v>210</v>
      </c>
      <c r="D451" s="20">
        <v>203</v>
      </c>
      <c r="E451" s="20">
        <f>C451-D451</f>
        <v>7</v>
      </c>
      <c r="F451" s="3">
        <f t="shared" si="173"/>
        <v>0.96666666666666667</v>
      </c>
      <c r="G451" s="6">
        <v>18</v>
      </c>
      <c r="H451" s="4">
        <f t="shared" si="172"/>
        <v>11.277777777777779</v>
      </c>
      <c r="I451" s="10">
        <v>45974</v>
      </c>
    </row>
    <row r="452" spans="2:14" x14ac:dyDescent="0.2">
      <c r="B452" s="5" t="s">
        <v>17</v>
      </c>
      <c r="C452" s="2">
        <v>587</v>
      </c>
      <c r="D452" s="6">
        <v>585</v>
      </c>
      <c r="E452" s="2">
        <f t="shared" ref="E452:E454" si="174">C452-D452</f>
        <v>2</v>
      </c>
      <c r="F452" s="3">
        <f t="shared" si="173"/>
        <v>0.99659284497444633</v>
      </c>
      <c r="G452" s="6">
        <v>5</v>
      </c>
      <c r="H452" s="4">
        <f t="shared" si="172"/>
        <v>117</v>
      </c>
      <c r="I452" s="10">
        <v>45974</v>
      </c>
      <c r="L452">
        <v>11</v>
      </c>
      <c r="N452">
        <v>43</v>
      </c>
    </row>
    <row r="453" spans="2:14" x14ac:dyDescent="0.2">
      <c r="B453" s="5" t="s">
        <v>50</v>
      </c>
      <c r="C453" s="2">
        <v>200</v>
      </c>
      <c r="D453" s="6">
        <v>200</v>
      </c>
      <c r="E453" s="2">
        <f t="shared" si="174"/>
        <v>0</v>
      </c>
      <c r="F453" s="3">
        <f t="shared" si="173"/>
        <v>1</v>
      </c>
      <c r="G453" s="6">
        <v>1</v>
      </c>
      <c r="H453" s="4">
        <f t="shared" ref="H453:H460" si="175">D453/G453</f>
        <v>200</v>
      </c>
      <c r="I453" s="10">
        <v>45974</v>
      </c>
    </row>
    <row r="454" spans="2:14" x14ac:dyDescent="0.2">
      <c r="B454" s="1" t="s">
        <v>7</v>
      </c>
      <c r="C454" s="20">
        <v>376</v>
      </c>
      <c r="D454" s="20">
        <v>374</v>
      </c>
      <c r="E454" s="20">
        <f t="shared" si="174"/>
        <v>2</v>
      </c>
      <c r="F454" s="3">
        <f t="shared" si="173"/>
        <v>0.99468085106382975</v>
      </c>
      <c r="G454" s="2">
        <v>2</v>
      </c>
      <c r="H454" s="4">
        <f t="shared" si="175"/>
        <v>187</v>
      </c>
      <c r="I454" s="10">
        <v>45975</v>
      </c>
      <c r="J454" s="17"/>
      <c r="M454">
        <v>10</v>
      </c>
    </row>
    <row r="455" spans="2:14" x14ac:dyDescent="0.2">
      <c r="B455" s="5" t="s">
        <v>8</v>
      </c>
      <c r="C455" s="6">
        <v>359</v>
      </c>
      <c r="D455" s="6">
        <v>303</v>
      </c>
      <c r="E455" s="2">
        <f>C455-D455</f>
        <v>56</v>
      </c>
      <c r="F455" s="3">
        <f t="shared" si="173"/>
        <v>0.84401114206128136</v>
      </c>
      <c r="G455" s="2">
        <v>7</v>
      </c>
      <c r="H455" s="4">
        <f t="shared" si="175"/>
        <v>43.285714285714285</v>
      </c>
      <c r="I455" s="10">
        <v>45975</v>
      </c>
      <c r="J455" s="17">
        <v>4</v>
      </c>
    </row>
    <row r="456" spans="2:14" x14ac:dyDescent="0.2">
      <c r="B456" s="1" t="s">
        <v>9</v>
      </c>
      <c r="C456" s="2">
        <v>34</v>
      </c>
      <c r="D456" s="2">
        <v>27</v>
      </c>
      <c r="E456" s="2">
        <f>C456-D456</f>
        <v>7</v>
      </c>
      <c r="F456" s="3">
        <f t="shared" ref="F456:F463" si="176">D456/C456</f>
        <v>0.79411764705882348</v>
      </c>
      <c r="G456" s="2">
        <v>5</v>
      </c>
      <c r="H456" s="4">
        <f t="shared" si="175"/>
        <v>5.4</v>
      </c>
      <c r="I456" s="10">
        <v>45975</v>
      </c>
    </row>
    <row r="457" spans="2:14" x14ac:dyDescent="0.2">
      <c r="B457" s="5" t="s">
        <v>10</v>
      </c>
      <c r="C457" s="6">
        <v>813</v>
      </c>
      <c r="D457" s="6">
        <v>700</v>
      </c>
      <c r="E457" s="2">
        <f>C457-D457</f>
        <v>113</v>
      </c>
      <c r="F457" s="3">
        <f t="shared" si="176"/>
        <v>0.86100861008610086</v>
      </c>
      <c r="G457" s="6">
        <v>10</v>
      </c>
      <c r="H457" s="4">
        <f t="shared" si="175"/>
        <v>70</v>
      </c>
      <c r="I457" s="10">
        <v>45975</v>
      </c>
    </row>
    <row r="458" spans="2:14" x14ac:dyDescent="0.2">
      <c r="B458" s="1" t="s">
        <v>11</v>
      </c>
      <c r="C458" s="2">
        <v>1933</v>
      </c>
      <c r="D458" s="2">
        <v>591</v>
      </c>
      <c r="E458" s="2">
        <f>C458-D458</f>
        <v>1342</v>
      </c>
      <c r="F458" s="3">
        <f t="shared" si="176"/>
        <v>0.30574236937402999</v>
      </c>
      <c r="G458" s="6">
        <v>8</v>
      </c>
      <c r="H458" s="4">
        <f t="shared" si="175"/>
        <v>73.875</v>
      </c>
      <c r="I458" s="10">
        <v>45975</v>
      </c>
      <c r="J458" s="17">
        <v>9</v>
      </c>
      <c r="K458">
        <v>10</v>
      </c>
    </row>
    <row r="459" spans="2:14" x14ac:dyDescent="0.2">
      <c r="B459" s="5" t="s">
        <v>12</v>
      </c>
      <c r="C459" s="20">
        <v>363</v>
      </c>
      <c r="D459" s="20">
        <v>330</v>
      </c>
      <c r="E459" s="20">
        <f>C459-D459</f>
        <v>33</v>
      </c>
      <c r="F459" s="3">
        <f t="shared" si="176"/>
        <v>0.90909090909090906</v>
      </c>
      <c r="G459" s="6">
        <v>19</v>
      </c>
      <c r="H459" s="4">
        <f t="shared" si="175"/>
        <v>17.368421052631579</v>
      </c>
      <c r="I459" s="10">
        <v>45975</v>
      </c>
    </row>
    <row r="460" spans="2:14" x14ac:dyDescent="0.2">
      <c r="B460" s="5" t="s">
        <v>17</v>
      </c>
      <c r="C460" s="2">
        <v>431</v>
      </c>
      <c r="D460" s="6">
        <v>427</v>
      </c>
      <c r="E460" s="2">
        <f t="shared" ref="E460:E462" si="177">C460-D460</f>
        <v>4</v>
      </c>
      <c r="F460" s="3">
        <f t="shared" si="176"/>
        <v>0.99071925754060319</v>
      </c>
      <c r="G460" s="6">
        <v>4</v>
      </c>
      <c r="H460" s="4">
        <f t="shared" si="175"/>
        <v>106.75</v>
      </c>
      <c r="I460" s="10">
        <v>45975</v>
      </c>
      <c r="L460">
        <v>10</v>
      </c>
      <c r="N460">
        <v>37</v>
      </c>
    </row>
    <row r="461" spans="2:14" x14ac:dyDescent="0.2">
      <c r="B461" s="5" t="s">
        <v>50</v>
      </c>
      <c r="C461" s="2">
        <v>547</v>
      </c>
      <c r="D461" s="6">
        <v>0</v>
      </c>
      <c r="E461" s="2">
        <f t="shared" si="177"/>
        <v>547</v>
      </c>
      <c r="F461" s="3">
        <f t="shared" si="176"/>
        <v>0</v>
      </c>
      <c r="G461" s="6">
        <v>1</v>
      </c>
      <c r="H461" s="4">
        <f t="shared" ref="H461:H468" si="178">D461/G461</f>
        <v>0</v>
      </c>
      <c r="I461" s="10">
        <v>45975</v>
      </c>
      <c r="J461" s="17"/>
    </row>
    <row r="462" spans="2:14" x14ac:dyDescent="0.2">
      <c r="B462" s="1" t="s">
        <v>7</v>
      </c>
      <c r="C462" s="20">
        <v>303</v>
      </c>
      <c r="D462" s="20">
        <v>303</v>
      </c>
      <c r="E462" s="20">
        <f t="shared" si="177"/>
        <v>0</v>
      </c>
      <c r="F462" s="3">
        <f t="shared" si="176"/>
        <v>1</v>
      </c>
      <c r="G462" s="2">
        <v>4</v>
      </c>
      <c r="H462" s="4">
        <f t="shared" si="178"/>
        <v>75.75</v>
      </c>
      <c r="I462" s="10">
        <v>45978</v>
      </c>
      <c r="J462" s="17"/>
      <c r="M462">
        <v>9</v>
      </c>
    </row>
    <row r="463" spans="2:14" x14ac:dyDescent="0.2">
      <c r="B463" s="5" t="s">
        <v>8</v>
      </c>
      <c r="C463" s="6">
        <v>431</v>
      </c>
      <c r="D463" s="6">
        <v>387</v>
      </c>
      <c r="E463" s="2">
        <f>C463-D463</f>
        <v>44</v>
      </c>
      <c r="F463" s="3">
        <f t="shared" si="176"/>
        <v>0.89791183294663568</v>
      </c>
      <c r="G463" s="2">
        <v>8</v>
      </c>
      <c r="H463" s="4">
        <f t="shared" si="178"/>
        <v>48.375</v>
      </c>
      <c r="I463" s="10">
        <v>45978</v>
      </c>
      <c r="J463" s="17">
        <v>3</v>
      </c>
    </row>
    <row r="464" spans="2:14" x14ac:dyDescent="0.2">
      <c r="B464" s="1" t="s">
        <v>9</v>
      </c>
      <c r="C464" s="2">
        <v>16</v>
      </c>
      <c r="D464" s="2">
        <v>16</v>
      </c>
      <c r="E464" s="2">
        <f>C464-D464</f>
        <v>0</v>
      </c>
      <c r="F464" s="3">
        <f t="shared" ref="F464:F471" si="179">D464/C464</f>
        <v>1</v>
      </c>
      <c r="G464" s="2">
        <v>5</v>
      </c>
      <c r="H464" s="4">
        <f t="shared" si="178"/>
        <v>3.2</v>
      </c>
      <c r="I464" s="10">
        <v>45978</v>
      </c>
    </row>
    <row r="465" spans="2:14" x14ac:dyDescent="0.2">
      <c r="B465" s="5" t="s">
        <v>10</v>
      </c>
      <c r="C465" s="6">
        <v>564</v>
      </c>
      <c r="D465" s="6">
        <v>432</v>
      </c>
      <c r="E465" s="2">
        <f>C465-D465</f>
        <v>132</v>
      </c>
      <c r="F465" s="3">
        <f t="shared" si="179"/>
        <v>0.76595744680851063</v>
      </c>
      <c r="G465" s="6">
        <v>10</v>
      </c>
      <c r="H465" s="4">
        <f t="shared" si="178"/>
        <v>43.2</v>
      </c>
      <c r="I465" s="10">
        <v>45978</v>
      </c>
      <c r="J465" s="17">
        <v>251</v>
      </c>
    </row>
    <row r="466" spans="2:14" x14ac:dyDescent="0.2">
      <c r="B466" s="1" t="s">
        <v>11</v>
      </c>
      <c r="C466" s="2">
        <v>817</v>
      </c>
      <c r="D466" s="2">
        <v>692</v>
      </c>
      <c r="E466" s="2">
        <f>C466-D466</f>
        <v>125</v>
      </c>
      <c r="F466" s="3">
        <f t="shared" si="179"/>
        <v>0.84700122399020805</v>
      </c>
      <c r="G466" s="6">
        <v>8</v>
      </c>
      <c r="H466" s="4">
        <f t="shared" si="178"/>
        <v>86.5</v>
      </c>
      <c r="I466" s="10">
        <v>45978</v>
      </c>
      <c r="K466">
        <v>8</v>
      </c>
    </row>
    <row r="467" spans="2:14" x14ac:dyDescent="0.2">
      <c r="B467" s="5" t="s">
        <v>12</v>
      </c>
      <c r="C467" s="20">
        <v>249</v>
      </c>
      <c r="D467" s="20">
        <v>236</v>
      </c>
      <c r="E467" s="20">
        <f>C467-D467</f>
        <v>13</v>
      </c>
      <c r="F467" s="3">
        <f t="shared" si="179"/>
        <v>0.94779116465863456</v>
      </c>
      <c r="G467" s="6">
        <v>18</v>
      </c>
      <c r="H467" s="4">
        <f t="shared" si="178"/>
        <v>13.111111111111111</v>
      </c>
      <c r="I467" s="10">
        <v>45978</v>
      </c>
    </row>
    <row r="468" spans="2:14" x14ac:dyDescent="0.2">
      <c r="B468" s="5" t="s">
        <v>17</v>
      </c>
      <c r="C468" s="2">
        <v>142</v>
      </c>
      <c r="D468" s="6">
        <v>142</v>
      </c>
      <c r="E468" s="2">
        <f t="shared" ref="E468:E470" si="180">C468-D468</f>
        <v>0</v>
      </c>
      <c r="F468" s="3">
        <f t="shared" si="179"/>
        <v>1</v>
      </c>
      <c r="G468" s="6">
        <v>3</v>
      </c>
      <c r="H468" s="4">
        <f t="shared" si="178"/>
        <v>47.333333333333336</v>
      </c>
      <c r="I468" s="10">
        <v>45978</v>
      </c>
      <c r="J468" s="17"/>
      <c r="L468">
        <v>7</v>
      </c>
      <c r="N468">
        <v>10</v>
      </c>
    </row>
    <row r="469" spans="2:14" x14ac:dyDescent="0.2">
      <c r="B469" s="5" t="s">
        <v>50</v>
      </c>
      <c r="C469" s="2">
        <v>407</v>
      </c>
      <c r="D469" s="6">
        <v>407</v>
      </c>
      <c r="E469" s="2">
        <f t="shared" si="180"/>
        <v>0</v>
      </c>
      <c r="F469" s="3">
        <f t="shared" si="179"/>
        <v>1</v>
      </c>
      <c r="G469" s="6">
        <v>1</v>
      </c>
      <c r="H469" s="4">
        <f t="shared" ref="H469:H476" si="181">D469/G469</f>
        <v>407</v>
      </c>
      <c r="I469" s="10">
        <v>45978</v>
      </c>
      <c r="J469" s="17"/>
    </row>
    <row r="470" spans="2:14" x14ac:dyDescent="0.2">
      <c r="B470" s="1" t="s">
        <v>7</v>
      </c>
      <c r="C470" s="20">
        <v>237</v>
      </c>
      <c r="D470" s="20">
        <v>223</v>
      </c>
      <c r="E470" s="20">
        <f t="shared" si="180"/>
        <v>14</v>
      </c>
      <c r="F470" s="3">
        <f t="shared" si="179"/>
        <v>0.94092827004219415</v>
      </c>
      <c r="G470" s="2">
        <v>2</v>
      </c>
      <c r="H470" s="4">
        <f t="shared" si="181"/>
        <v>111.5</v>
      </c>
      <c r="I470" s="10">
        <v>45979</v>
      </c>
      <c r="J470" s="17"/>
      <c r="M470">
        <v>7</v>
      </c>
    </row>
    <row r="471" spans="2:14" x14ac:dyDescent="0.2">
      <c r="B471" s="5" t="s">
        <v>8</v>
      </c>
      <c r="C471" s="6">
        <v>293</v>
      </c>
      <c r="D471" s="6">
        <v>288</v>
      </c>
      <c r="E471" s="2">
        <f>C471-D471</f>
        <v>5</v>
      </c>
      <c r="F471" s="3">
        <f t="shared" si="179"/>
        <v>0.98293515358361772</v>
      </c>
      <c r="G471" s="2">
        <v>6</v>
      </c>
      <c r="H471" s="4">
        <f t="shared" si="181"/>
        <v>48</v>
      </c>
      <c r="I471" s="10">
        <v>45979</v>
      </c>
      <c r="J471" s="17">
        <v>4</v>
      </c>
    </row>
    <row r="472" spans="2:14" x14ac:dyDescent="0.2">
      <c r="B472" s="1" t="s">
        <v>9</v>
      </c>
      <c r="C472" s="2">
        <v>1</v>
      </c>
      <c r="D472" s="2">
        <v>1</v>
      </c>
      <c r="E472" s="2">
        <f>C472-D472</f>
        <v>0</v>
      </c>
      <c r="F472" s="3">
        <f t="shared" ref="F472:F479" si="182">D472/C472</f>
        <v>1</v>
      </c>
      <c r="G472" s="2">
        <v>5</v>
      </c>
      <c r="H472" s="4">
        <f t="shared" si="181"/>
        <v>0.2</v>
      </c>
      <c r="I472" s="10">
        <v>45979</v>
      </c>
    </row>
    <row r="473" spans="2:14" x14ac:dyDescent="0.2">
      <c r="B473" s="5" t="s">
        <v>10</v>
      </c>
      <c r="C473" s="6">
        <v>1094</v>
      </c>
      <c r="D473" s="6">
        <v>679</v>
      </c>
      <c r="E473" s="2">
        <f>C473-D473</f>
        <v>415</v>
      </c>
      <c r="F473" s="3">
        <f t="shared" si="182"/>
        <v>0.62065813528336378</v>
      </c>
      <c r="G473" s="6">
        <v>10</v>
      </c>
      <c r="H473" s="4">
        <f t="shared" si="181"/>
        <v>67.900000000000006</v>
      </c>
      <c r="I473" s="10">
        <v>45979</v>
      </c>
      <c r="J473" s="17">
        <v>15</v>
      </c>
    </row>
    <row r="474" spans="2:14" x14ac:dyDescent="0.2">
      <c r="B474" s="1" t="s">
        <v>11</v>
      </c>
      <c r="C474" s="2">
        <v>445</v>
      </c>
      <c r="D474" s="2">
        <v>429</v>
      </c>
      <c r="E474" s="2">
        <f>C474-D474</f>
        <v>16</v>
      </c>
      <c r="F474" s="3">
        <f t="shared" si="182"/>
        <v>0.96404494382022476</v>
      </c>
      <c r="G474" s="6">
        <v>8</v>
      </c>
      <c r="H474" s="4">
        <f t="shared" si="181"/>
        <v>53.625</v>
      </c>
      <c r="I474" s="10">
        <v>45979</v>
      </c>
      <c r="J474" s="17">
        <v>18</v>
      </c>
      <c r="K474">
        <v>5</v>
      </c>
    </row>
    <row r="475" spans="2:14" x14ac:dyDescent="0.2">
      <c r="B475" s="5" t="s">
        <v>12</v>
      </c>
      <c r="C475" s="20">
        <v>110</v>
      </c>
      <c r="D475" s="20">
        <v>107</v>
      </c>
      <c r="E475" s="20">
        <f>C475-D475</f>
        <v>3</v>
      </c>
      <c r="F475" s="3">
        <f t="shared" si="182"/>
        <v>0.97272727272727277</v>
      </c>
      <c r="G475" s="6">
        <v>18</v>
      </c>
      <c r="H475" s="4">
        <f t="shared" si="181"/>
        <v>5.9444444444444446</v>
      </c>
      <c r="I475" s="10">
        <v>45979</v>
      </c>
    </row>
    <row r="476" spans="2:14" x14ac:dyDescent="0.2">
      <c r="B476" s="5" t="s">
        <v>17</v>
      </c>
      <c r="C476" s="2">
        <v>239</v>
      </c>
      <c r="D476" s="6">
        <v>230</v>
      </c>
      <c r="E476" s="2">
        <f t="shared" ref="E476:E478" si="183">C476-D476</f>
        <v>9</v>
      </c>
      <c r="F476" s="3">
        <f t="shared" si="182"/>
        <v>0.96234309623430958</v>
      </c>
      <c r="G476" s="6">
        <v>3</v>
      </c>
      <c r="H476" s="4">
        <f t="shared" si="181"/>
        <v>76.666666666666671</v>
      </c>
      <c r="I476" s="10">
        <v>45979</v>
      </c>
      <c r="J476" s="17"/>
      <c r="L476">
        <v>10</v>
      </c>
      <c r="N476">
        <v>24</v>
      </c>
    </row>
    <row r="477" spans="2:14" x14ac:dyDescent="0.2">
      <c r="B477" s="5" t="s">
        <v>50</v>
      </c>
      <c r="C477" s="2">
        <v>154</v>
      </c>
      <c r="D477" s="6">
        <v>51</v>
      </c>
      <c r="E477" s="2">
        <f t="shared" si="183"/>
        <v>103</v>
      </c>
      <c r="F477" s="3">
        <f t="shared" si="182"/>
        <v>0.33116883116883117</v>
      </c>
      <c r="G477" s="6">
        <v>2</v>
      </c>
      <c r="H477" s="4">
        <f t="shared" ref="H477:H484" si="184">D477/G477</f>
        <v>25.5</v>
      </c>
      <c r="I477" s="10">
        <v>45979</v>
      </c>
      <c r="J477" s="17"/>
    </row>
    <row r="478" spans="2:14" x14ac:dyDescent="0.2">
      <c r="B478" s="1" t="s">
        <v>7</v>
      </c>
      <c r="C478" s="20">
        <v>196</v>
      </c>
      <c r="D478" s="20">
        <v>188</v>
      </c>
      <c r="E478" s="20">
        <f t="shared" si="183"/>
        <v>8</v>
      </c>
      <c r="F478" s="3">
        <f t="shared" si="182"/>
        <v>0.95918367346938771</v>
      </c>
      <c r="G478" s="2">
        <v>2</v>
      </c>
      <c r="H478" s="4">
        <f t="shared" si="184"/>
        <v>94</v>
      </c>
      <c r="I478" s="10">
        <v>45980</v>
      </c>
      <c r="J478" s="17"/>
      <c r="M478">
        <v>7</v>
      </c>
    </row>
    <row r="479" spans="2:14" x14ac:dyDescent="0.2">
      <c r="B479" s="5" t="s">
        <v>8</v>
      </c>
      <c r="C479" s="6">
        <v>223</v>
      </c>
      <c r="D479" s="6">
        <v>181</v>
      </c>
      <c r="E479" s="2">
        <f>C479-D479</f>
        <v>42</v>
      </c>
      <c r="F479" s="3">
        <f t="shared" si="182"/>
        <v>0.81165919282511212</v>
      </c>
      <c r="G479" s="2">
        <v>7</v>
      </c>
      <c r="H479" s="4">
        <f t="shared" si="184"/>
        <v>25.857142857142858</v>
      </c>
      <c r="I479" s="10">
        <v>45980</v>
      </c>
      <c r="J479" s="17">
        <v>1</v>
      </c>
    </row>
    <row r="480" spans="2:14" x14ac:dyDescent="0.2">
      <c r="B480" s="1" t="s">
        <v>9</v>
      </c>
      <c r="C480" s="2">
        <v>3</v>
      </c>
      <c r="D480" s="2">
        <v>3</v>
      </c>
      <c r="E480" s="2">
        <f>C480-D480</f>
        <v>0</v>
      </c>
      <c r="F480" s="3">
        <f t="shared" ref="F480:F487" si="185">D480/C480</f>
        <v>1</v>
      </c>
      <c r="G480" s="2">
        <v>7</v>
      </c>
      <c r="H480" s="4">
        <f t="shared" si="184"/>
        <v>0.42857142857142855</v>
      </c>
      <c r="I480" s="10">
        <v>45980</v>
      </c>
    </row>
    <row r="481" spans="2:14" x14ac:dyDescent="0.2">
      <c r="B481" s="5" t="s">
        <v>10</v>
      </c>
      <c r="C481" s="6">
        <v>1173</v>
      </c>
      <c r="D481" s="6">
        <v>266</v>
      </c>
      <c r="E481" s="2">
        <f>C481-D481</f>
        <v>907</v>
      </c>
      <c r="F481" s="3">
        <f t="shared" si="185"/>
        <v>0.22676896845694799</v>
      </c>
      <c r="G481" s="6">
        <v>9</v>
      </c>
      <c r="H481" s="4">
        <f t="shared" si="184"/>
        <v>29.555555555555557</v>
      </c>
      <c r="I481" s="10">
        <v>45980</v>
      </c>
      <c r="J481" s="17"/>
    </row>
    <row r="482" spans="2:14" x14ac:dyDescent="0.2">
      <c r="B482" s="1" t="s">
        <v>11</v>
      </c>
      <c r="C482" s="2">
        <v>1095</v>
      </c>
      <c r="D482" s="2">
        <v>1065</v>
      </c>
      <c r="E482" s="2">
        <f>C482-D482</f>
        <v>30</v>
      </c>
      <c r="F482" s="3">
        <f t="shared" si="185"/>
        <v>0.9726027397260274</v>
      </c>
      <c r="G482" s="6">
        <v>8</v>
      </c>
      <c r="H482" s="4">
        <f t="shared" si="184"/>
        <v>133.125</v>
      </c>
      <c r="I482" s="10">
        <v>45980</v>
      </c>
      <c r="J482" s="17">
        <v>7</v>
      </c>
      <c r="K482">
        <v>10</v>
      </c>
    </row>
    <row r="483" spans="2:14" x14ac:dyDescent="0.2">
      <c r="B483" s="5" t="s">
        <v>12</v>
      </c>
      <c r="C483" s="20">
        <v>294</v>
      </c>
      <c r="D483" s="20">
        <v>258</v>
      </c>
      <c r="E483" s="20">
        <f>C483-D483</f>
        <v>36</v>
      </c>
      <c r="F483" s="3">
        <f t="shared" si="185"/>
        <v>0.87755102040816324</v>
      </c>
      <c r="G483" s="6">
        <v>18</v>
      </c>
      <c r="H483" s="4">
        <f t="shared" si="184"/>
        <v>14.333333333333334</v>
      </c>
      <c r="I483" s="10">
        <v>45980</v>
      </c>
    </row>
    <row r="484" spans="2:14" x14ac:dyDescent="0.2">
      <c r="B484" s="5" t="s">
        <v>17</v>
      </c>
      <c r="C484" s="2">
        <v>1</v>
      </c>
      <c r="D484" s="6">
        <v>1</v>
      </c>
      <c r="E484" s="2">
        <f t="shared" ref="E484:E486" si="186">C484-D484</f>
        <v>0</v>
      </c>
      <c r="F484" s="3">
        <f t="shared" si="185"/>
        <v>1</v>
      </c>
      <c r="G484" s="6">
        <v>3</v>
      </c>
      <c r="H484" s="4">
        <f t="shared" si="184"/>
        <v>0.33333333333333331</v>
      </c>
      <c r="I484" s="10">
        <v>45980</v>
      </c>
      <c r="J484" s="17"/>
      <c r="L484">
        <v>0</v>
      </c>
      <c r="N484">
        <v>0</v>
      </c>
    </row>
    <row r="485" spans="2:14" x14ac:dyDescent="0.2">
      <c r="B485" s="5" t="s">
        <v>50</v>
      </c>
      <c r="C485" s="2">
        <v>530</v>
      </c>
      <c r="D485" s="6">
        <v>529</v>
      </c>
      <c r="E485" s="2">
        <f t="shared" si="186"/>
        <v>1</v>
      </c>
      <c r="F485" s="3">
        <f t="shared" si="185"/>
        <v>0.99811320754716981</v>
      </c>
      <c r="G485" s="6">
        <v>2</v>
      </c>
      <c r="H485" s="4">
        <f t="shared" ref="H485:H492" si="187">D485/G485</f>
        <v>264.5</v>
      </c>
      <c r="I485" s="10">
        <v>45980</v>
      </c>
      <c r="J485" s="17"/>
    </row>
    <row r="486" spans="2:14" x14ac:dyDescent="0.2">
      <c r="B486" s="1" t="s">
        <v>7</v>
      </c>
      <c r="C486" s="20">
        <v>1</v>
      </c>
      <c r="D486" s="20">
        <v>1</v>
      </c>
      <c r="E486" s="20">
        <f t="shared" si="186"/>
        <v>0</v>
      </c>
      <c r="F486" s="3">
        <f t="shared" si="185"/>
        <v>1</v>
      </c>
      <c r="G486" s="2">
        <v>2</v>
      </c>
      <c r="H486" s="4">
        <f t="shared" si="187"/>
        <v>0.5</v>
      </c>
      <c r="I486" s="10">
        <v>45981</v>
      </c>
      <c r="J486" s="17"/>
      <c r="M486">
        <v>0</v>
      </c>
    </row>
    <row r="487" spans="2:14" x14ac:dyDescent="0.2">
      <c r="B487" s="5" t="s">
        <v>8</v>
      </c>
      <c r="C487" s="6">
        <v>231</v>
      </c>
      <c r="D487" s="6">
        <v>209</v>
      </c>
      <c r="E487" s="2">
        <f>C487-D487</f>
        <v>22</v>
      </c>
      <c r="F487" s="3">
        <f t="shared" si="185"/>
        <v>0.90476190476190477</v>
      </c>
      <c r="G487" s="2">
        <v>8</v>
      </c>
      <c r="H487" s="4">
        <f t="shared" si="187"/>
        <v>26.125</v>
      </c>
      <c r="I487" s="10">
        <v>45981</v>
      </c>
      <c r="J487" s="17">
        <v>1</v>
      </c>
    </row>
    <row r="488" spans="2:14" x14ac:dyDescent="0.2">
      <c r="B488" s="1" t="s">
        <v>9</v>
      </c>
      <c r="C488" s="2">
        <v>144</v>
      </c>
      <c r="D488" s="2">
        <v>132</v>
      </c>
      <c r="E488" s="2">
        <f>C488-D488</f>
        <v>12</v>
      </c>
      <c r="F488" s="3">
        <f t="shared" ref="F488:F495" si="188">D488/C488</f>
        <v>0.91666666666666663</v>
      </c>
      <c r="G488" s="2">
        <v>6</v>
      </c>
      <c r="H488" s="4">
        <f t="shared" si="187"/>
        <v>22</v>
      </c>
      <c r="I488" s="10">
        <v>45981</v>
      </c>
    </row>
    <row r="489" spans="2:14" x14ac:dyDescent="0.2">
      <c r="B489" s="5" t="s">
        <v>10</v>
      </c>
      <c r="C489" s="6">
        <v>189</v>
      </c>
      <c r="D489" s="6">
        <v>80</v>
      </c>
      <c r="E489" s="2">
        <f>C489-D489</f>
        <v>109</v>
      </c>
      <c r="F489" s="3">
        <f t="shared" si="188"/>
        <v>0.42328042328042326</v>
      </c>
      <c r="G489" s="6">
        <v>9</v>
      </c>
      <c r="H489" s="4">
        <f t="shared" si="187"/>
        <v>8.8888888888888893</v>
      </c>
      <c r="I489" s="10">
        <v>45981</v>
      </c>
      <c r="J489" s="17"/>
    </row>
    <row r="490" spans="2:14" x14ac:dyDescent="0.2">
      <c r="B490" s="1" t="s">
        <v>11</v>
      </c>
      <c r="C490" s="2">
        <v>669</v>
      </c>
      <c r="D490" s="2">
        <v>649</v>
      </c>
      <c r="E490" s="2">
        <f>C490-D490</f>
        <v>20</v>
      </c>
      <c r="F490" s="3">
        <f t="shared" si="188"/>
        <v>0.97010463378176381</v>
      </c>
      <c r="G490" s="6">
        <v>8</v>
      </c>
      <c r="H490" s="4">
        <f t="shared" si="187"/>
        <v>81.125</v>
      </c>
      <c r="I490" s="10">
        <v>45981</v>
      </c>
      <c r="J490" s="17">
        <v>8</v>
      </c>
      <c r="K490">
        <v>12</v>
      </c>
    </row>
    <row r="491" spans="2:14" x14ac:dyDescent="0.2">
      <c r="B491" s="5" t="s">
        <v>12</v>
      </c>
      <c r="C491" s="20">
        <v>178</v>
      </c>
      <c r="D491" s="20">
        <v>154</v>
      </c>
      <c r="E491" s="20">
        <f>C491-D491</f>
        <v>24</v>
      </c>
      <c r="F491" s="3">
        <f t="shared" si="188"/>
        <v>0.8651685393258427</v>
      </c>
      <c r="G491" s="6">
        <v>19</v>
      </c>
      <c r="H491" s="4">
        <f t="shared" si="187"/>
        <v>8.1052631578947363</v>
      </c>
      <c r="I491" s="10">
        <v>45981</v>
      </c>
    </row>
    <row r="492" spans="2:14" x14ac:dyDescent="0.2">
      <c r="B492" s="5" t="s">
        <v>17</v>
      </c>
      <c r="C492" s="2">
        <v>2142</v>
      </c>
      <c r="D492" s="6">
        <v>1940</v>
      </c>
      <c r="E492" s="2">
        <f t="shared" ref="E492:E494" si="189">C492-D492</f>
        <v>202</v>
      </c>
      <c r="F492" s="3">
        <f t="shared" si="188"/>
        <v>0.90569561157796452</v>
      </c>
      <c r="G492" s="6">
        <v>4</v>
      </c>
      <c r="H492" s="4">
        <f t="shared" si="187"/>
        <v>485</v>
      </c>
      <c r="I492" s="10">
        <v>45981</v>
      </c>
      <c r="J492" s="17"/>
      <c r="L492">
        <v>11</v>
      </c>
      <c r="N492">
        <v>21</v>
      </c>
    </row>
    <row r="493" spans="2:14" x14ac:dyDescent="0.2">
      <c r="B493" s="5" t="s">
        <v>50</v>
      </c>
      <c r="C493" s="2">
        <v>1102</v>
      </c>
      <c r="D493" s="6">
        <v>1102</v>
      </c>
      <c r="E493" s="2">
        <f t="shared" si="189"/>
        <v>0</v>
      </c>
      <c r="F493" s="3">
        <f t="shared" si="188"/>
        <v>1</v>
      </c>
      <c r="G493" s="6">
        <v>2</v>
      </c>
      <c r="H493" s="4">
        <f t="shared" ref="H493:H500" si="190">D493/G493</f>
        <v>551</v>
      </c>
      <c r="I493" s="10">
        <v>45981</v>
      </c>
      <c r="J493" s="17"/>
    </row>
    <row r="494" spans="2:14" x14ac:dyDescent="0.2">
      <c r="B494" s="1" t="s">
        <v>7</v>
      </c>
      <c r="C494" s="20">
        <v>541</v>
      </c>
      <c r="D494" s="20">
        <v>541</v>
      </c>
      <c r="E494" s="20">
        <f t="shared" si="189"/>
        <v>0</v>
      </c>
      <c r="F494" s="3">
        <f t="shared" si="188"/>
        <v>1</v>
      </c>
      <c r="G494" s="2">
        <v>2</v>
      </c>
      <c r="H494" s="4">
        <f t="shared" si="190"/>
        <v>270.5</v>
      </c>
      <c r="I494" s="10">
        <v>45982</v>
      </c>
      <c r="J494" s="17"/>
      <c r="M494">
        <v>7</v>
      </c>
    </row>
    <row r="495" spans="2:14" x14ac:dyDescent="0.2">
      <c r="B495" s="5" t="s">
        <v>8</v>
      </c>
      <c r="C495" s="6">
        <v>19</v>
      </c>
      <c r="D495" s="6">
        <v>16</v>
      </c>
      <c r="E495" s="2">
        <f>C495-D495</f>
        <v>3</v>
      </c>
      <c r="F495" s="3">
        <f t="shared" si="188"/>
        <v>0.84210526315789469</v>
      </c>
      <c r="G495" s="2">
        <v>5</v>
      </c>
      <c r="H495" s="4">
        <f t="shared" si="190"/>
        <v>3.2</v>
      </c>
      <c r="I495" s="10">
        <v>45982</v>
      </c>
      <c r="J495" s="17">
        <v>3</v>
      </c>
    </row>
    <row r="496" spans="2:14" x14ac:dyDescent="0.2">
      <c r="B496" s="1" t="s">
        <v>9</v>
      </c>
      <c r="C496" s="2">
        <v>72</v>
      </c>
      <c r="D496" s="2">
        <v>72</v>
      </c>
      <c r="E496" s="2">
        <f>C496-D496</f>
        <v>0</v>
      </c>
      <c r="F496" s="3">
        <f t="shared" ref="F496:F503" si="191">D496/C496</f>
        <v>1</v>
      </c>
      <c r="G496" s="2">
        <v>8</v>
      </c>
      <c r="H496" s="4">
        <f t="shared" si="190"/>
        <v>9</v>
      </c>
      <c r="I496" s="10">
        <v>45982</v>
      </c>
    </row>
    <row r="497" spans="2:14" x14ac:dyDescent="0.2">
      <c r="B497" s="5" t="s">
        <v>10</v>
      </c>
      <c r="C497" s="6">
        <v>3474</v>
      </c>
      <c r="D497" s="6">
        <v>1444</v>
      </c>
      <c r="E497" s="2">
        <f>C497-D497</f>
        <v>2030</v>
      </c>
      <c r="F497" s="3">
        <f t="shared" si="191"/>
        <v>0.41565918249856076</v>
      </c>
      <c r="G497" s="6">
        <v>8</v>
      </c>
      <c r="H497" s="4">
        <f t="shared" si="190"/>
        <v>180.5</v>
      </c>
      <c r="I497" s="10">
        <v>45982</v>
      </c>
      <c r="J497" s="17"/>
    </row>
    <row r="498" spans="2:14" x14ac:dyDescent="0.2">
      <c r="B498" s="1" t="s">
        <v>11</v>
      </c>
      <c r="C498" s="2">
        <v>855</v>
      </c>
      <c r="D498" s="2">
        <v>853</v>
      </c>
      <c r="E498" s="2">
        <f>C498-D498</f>
        <v>2</v>
      </c>
      <c r="F498" s="3">
        <f t="shared" si="191"/>
        <v>0.99766081871345025</v>
      </c>
      <c r="G498" s="6">
        <v>8</v>
      </c>
      <c r="H498" s="4">
        <f t="shared" si="190"/>
        <v>106.625</v>
      </c>
      <c r="I498" s="10">
        <v>45982</v>
      </c>
      <c r="J498" s="17">
        <v>5</v>
      </c>
      <c r="K498">
        <v>13</v>
      </c>
    </row>
    <row r="499" spans="2:14" x14ac:dyDescent="0.2">
      <c r="B499" s="5" t="s">
        <v>12</v>
      </c>
      <c r="C499" s="20">
        <v>176</v>
      </c>
      <c r="D499" s="20">
        <v>164</v>
      </c>
      <c r="E499" s="20">
        <f>C499-D499</f>
        <v>12</v>
      </c>
      <c r="F499" s="3">
        <f t="shared" si="191"/>
        <v>0.93181818181818177</v>
      </c>
      <c r="G499" s="6">
        <v>16</v>
      </c>
      <c r="H499" s="4">
        <f t="shared" si="190"/>
        <v>10.25</v>
      </c>
      <c r="I499" s="10">
        <v>45982</v>
      </c>
    </row>
    <row r="500" spans="2:14" x14ac:dyDescent="0.2">
      <c r="B500" s="5" t="s">
        <v>17</v>
      </c>
      <c r="C500" s="2">
        <v>553</v>
      </c>
      <c r="D500" s="6">
        <v>547</v>
      </c>
      <c r="E500" s="2">
        <f t="shared" ref="E500:E502" si="192">C500-D500</f>
        <v>6</v>
      </c>
      <c r="F500" s="3">
        <f t="shared" si="191"/>
        <v>0.98915009041591317</v>
      </c>
      <c r="G500" s="6">
        <v>4</v>
      </c>
      <c r="H500" s="4">
        <f t="shared" si="190"/>
        <v>136.75</v>
      </c>
      <c r="I500" s="10">
        <v>45982</v>
      </c>
      <c r="J500" s="17"/>
      <c r="L500">
        <v>12</v>
      </c>
      <c r="N500">
        <v>38</v>
      </c>
    </row>
    <row r="501" spans="2:14" x14ac:dyDescent="0.2">
      <c r="B501" s="5" t="s">
        <v>50</v>
      </c>
      <c r="C501" s="2">
        <v>323</v>
      </c>
      <c r="D501" s="6">
        <v>323</v>
      </c>
      <c r="E501" s="2">
        <f t="shared" si="192"/>
        <v>0</v>
      </c>
      <c r="F501" s="3">
        <f t="shared" si="191"/>
        <v>1</v>
      </c>
      <c r="G501" s="6">
        <v>2</v>
      </c>
      <c r="H501" s="4">
        <f t="shared" ref="H501:H508" si="193">D501/G501</f>
        <v>161.5</v>
      </c>
      <c r="I501" s="10">
        <v>45982</v>
      </c>
      <c r="J501" s="17"/>
    </row>
    <row r="502" spans="2:14" x14ac:dyDescent="0.2">
      <c r="B502" s="1" t="s">
        <v>7</v>
      </c>
      <c r="C502" s="20">
        <v>1536</v>
      </c>
      <c r="D502" s="20">
        <v>1536</v>
      </c>
      <c r="E502" s="20">
        <f t="shared" si="192"/>
        <v>0</v>
      </c>
      <c r="F502" s="3">
        <f t="shared" si="191"/>
        <v>1</v>
      </c>
      <c r="G502" s="2">
        <v>2</v>
      </c>
      <c r="H502" s="4">
        <f t="shared" si="193"/>
        <v>768</v>
      </c>
      <c r="I502" s="10">
        <v>45985</v>
      </c>
      <c r="J502" s="17">
        <v>1</v>
      </c>
      <c r="M502">
        <v>9</v>
      </c>
    </row>
    <row r="503" spans="2:14" x14ac:dyDescent="0.2">
      <c r="B503" s="5" t="s">
        <v>8</v>
      </c>
      <c r="C503" s="6">
        <v>533</v>
      </c>
      <c r="D503" s="6">
        <v>529</v>
      </c>
      <c r="E503" s="2">
        <f>C503-D503</f>
        <v>4</v>
      </c>
      <c r="F503" s="3">
        <f t="shared" si="191"/>
        <v>0.99249530956848031</v>
      </c>
      <c r="G503" s="2">
        <v>8</v>
      </c>
      <c r="H503" s="4">
        <f t="shared" si="193"/>
        <v>66.125</v>
      </c>
      <c r="I503" s="10">
        <v>45985</v>
      </c>
      <c r="J503" s="17">
        <v>1</v>
      </c>
    </row>
    <row r="504" spans="2:14" x14ac:dyDescent="0.2">
      <c r="B504" s="1" t="s">
        <v>9</v>
      </c>
      <c r="C504" s="2">
        <v>112</v>
      </c>
      <c r="D504" s="2">
        <v>101</v>
      </c>
      <c r="E504" s="2">
        <f>C504-D504</f>
        <v>11</v>
      </c>
      <c r="F504" s="3">
        <f t="shared" ref="F504:F511" si="194">D504/C504</f>
        <v>0.9017857142857143</v>
      </c>
      <c r="G504" s="2">
        <v>5</v>
      </c>
      <c r="H504" s="4">
        <f t="shared" si="193"/>
        <v>20.2</v>
      </c>
      <c r="I504" s="10">
        <v>45985</v>
      </c>
      <c r="J504" s="17"/>
    </row>
    <row r="505" spans="2:14" x14ac:dyDescent="0.2">
      <c r="B505" s="5" t="s">
        <v>10</v>
      </c>
      <c r="C505" s="6">
        <v>1819</v>
      </c>
      <c r="D505" s="6">
        <v>1643</v>
      </c>
      <c r="E505" s="2">
        <f>C505-D505</f>
        <v>176</v>
      </c>
      <c r="F505" s="3">
        <f t="shared" si="194"/>
        <v>0.90324354040681698</v>
      </c>
      <c r="G505" s="6">
        <v>8</v>
      </c>
      <c r="H505" s="4">
        <f t="shared" si="193"/>
        <v>205.375</v>
      </c>
      <c r="I505" s="10">
        <v>45985</v>
      </c>
      <c r="J505" s="17"/>
    </row>
    <row r="506" spans="2:14" x14ac:dyDescent="0.2">
      <c r="B506" s="1" t="s">
        <v>11</v>
      </c>
      <c r="C506" s="2">
        <v>413</v>
      </c>
      <c r="D506" s="2">
        <v>384</v>
      </c>
      <c r="E506" s="2">
        <f>C506-D506</f>
        <v>29</v>
      </c>
      <c r="F506" s="3">
        <f t="shared" si="194"/>
        <v>0.92978208232445525</v>
      </c>
      <c r="G506" s="6">
        <v>7</v>
      </c>
      <c r="H506" s="4">
        <f t="shared" si="193"/>
        <v>54.857142857142854</v>
      </c>
      <c r="I506" s="10">
        <v>45985</v>
      </c>
      <c r="J506" s="17">
        <v>14</v>
      </c>
      <c r="K506">
        <v>9</v>
      </c>
    </row>
    <row r="507" spans="2:14" x14ac:dyDescent="0.2">
      <c r="B507" s="5" t="s">
        <v>12</v>
      </c>
      <c r="C507" s="20">
        <v>327</v>
      </c>
      <c r="D507" s="20">
        <v>305</v>
      </c>
      <c r="E507" s="20">
        <f>C507-D507</f>
        <v>22</v>
      </c>
      <c r="F507" s="3">
        <f t="shared" si="194"/>
        <v>0.93272171253822633</v>
      </c>
      <c r="G507" s="6">
        <v>16</v>
      </c>
      <c r="H507" s="4">
        <f t="shared" si="193"/>
        <v>19.0625</v>
      </c>
      <c r="I507" s="10">
        <v>45985</v>
      </c>
      <c r="J507" s="17"/>
    </row>
    <row r="508" spans="2:14" x14ac:dyDescent="0.2">
      <c r="B508" s="5" t="s">
        <v>17</v>
      </c>
      <c r="C508" s="2">
        <v>338</v>
      </c>
      <c r="D508" s="6">
        <v>338</v>
      </c>
      <c r="E508" s="2">
        <f t="shared" ref="E508:E510" si="195">C508-D508</f>
        <v>0</v>
      </c>
      <c r="F508" s="3">
        <f t="shared" si="194"/>
        <v>1</v>
      </c>
      <c r="G508" s="6">
        <v>4</v>
      </c>
      <c r="H508" s="4">
        <f t="shared" si="193"/>
        <v>84.5</v>
      </c>
      <c r="I508" s="10">
        <v>45985</v>
      </c>
      <c r="J508" s="17"/>
      <c r="L508">
        <v>10</v>
      </c>
      <c r="N508">
        <v>26</v>
      </c>
    </row>
    <row r="509" spans="2:14" x14ac:dyDescent="0.2">
      <c r="B509" s="5" t="s">
        <v>50</v>
      </c>
      <c r="C509" s="2">
        <v>471</v>
      </c>
      <c r="D509" s="6">
        <v>471</v>
      </c>
      <c r="E509" s="2">
        <f t="shared" si="195"/>
        <v>0</v>
      </c>
      <c r="F509" s="3">
        <f t="shared" si="194"/>
        <v>1</v>
      </c>
      <c r="G509" s="6">
        <v>2</v>
      </c>
      <c r="H509" s="4">
        <f t="shared" ref="H509:H516" si="196">D509/G509</f>
        <v>235.5</v>
      </c>
      <c r="I509" s="10">
        <v>45985</v>
      </c>
      <c r="J509" s="17"/>
    </row>
    <row r="510" spans="2:14" x14ac:dyDescent="0.2">
      <c r="B510" s="1" t="s">
        <v>7</v>
      </c>
      <c r="C510" s="20">
        <v>440</v>
      </c>
      <c r="D510" s="20">
        <v>419</v>
      </c>
      <c r="E510" s="20">
        <f t="shared" si="195"/>
        <v>21</v>
      </c>
      <c r="F510" s="3">
        <f t="shared" si="194"/>
        <v>0.95227272727272727</v>
      </c>
      <c r="G510" s="2">
        <v>2</v>
      </c>
      <c r="H510" s="4">
        <f t="shared" si="196"/>
        <v>209.5</v>
      </c>
      <c r="I510" s="10">
        <v>45986</v>
      </c>
      <c r="J510" s="17"/>
      <c r="M510">
        <v>8</v>
      </c>
    </row>
    <row r="511" spans="2:14" x14ac:dyDescent="0.2">
      <c r="B511" s="5" t="s">
        <v>8</v>
      </c>
      <c r="C511" s="6">
        <v>1319</v>
      </c>
      <c r="D511" s="6">
        <v>1298</v>
      </c>
      <c r="E511" s="2">
        <f>C511-D511</f>
        <v>21</v>
      </c>
      <c r="F511" s="3">
        <f t="shared" si="194"/>
        <v>0.98407884761182718</v>
      </c>
      <c r="G511" s="2">
        <v>8</v>
      </c>
      <c r="H511" s="4">
        <f t="shared" si="196"/>
        <v>162.25</v>
      </c>
      <c r="I511" s="10">
        <v>45986</v>
      </c>
      <c r="J511" s="17">
        <v>7</v>
      </c>
    </row>
    <row r="512" spans="2:14" x14ac:dyDescent="0.2">
      <c r="B512" s="1" t="s">
        <v>9</v>
      </c>
      <c r="C512" s="2">
        <v>124</v>
      </c>
      <c r="D512" s="2">
        <v>104</v>
      </c>
      <c r="E512" s="2">
        <f>C512-D512</f>
        <v>20</v>
      </c>
      <c r="F512" s="3">
        <f t="shared" ref="F512:F519" si="197">D512/C512</f>
        <v>0.83870967741935487</v>
      </c>
      <c r="G512" s="2">
        <v>5</v>
      </c>
      <c r="H512" s="4">
        <f t="shared" si="196"/>
        <v>20.8</v>
      </c>
      <c r="I512" s="10">
        <v>45986</v>
      </c>
      <c r="J512" s="17"/>
    </row>
    <row r="513" spans="2:14" x14ac:dyDescent="0.2">
      <c r="B513" s="5" t="s">
        <v>10</v>
      </c>
      <c r="C513" s="6">
        <v>2100</v>
      </c>
      <c r="D513" s="6">
        <v>1480</v>
      </c>
      <c r="E513" s="2">
        <f>C513-D513</f>
        <v>620</v>
      </c>
      <c r="F513" s="3">
        <f t="shared" si="197"/>
        <v>0.70476190476190481</v>
      </c>
      <c r="G513" s="6">
        <v>11</v>
      </c>
      <c r="H513" s="4">
        <f t="shared" si="196"/>
        <v>134.54545454545453</v>
      </c>
      <c r="I513" s="10">
        <v>45986</v>
      </c>
      <c r="J513" s="17"/>
    </row>
    <row r="514" spans="2:14" x14ac:dyDescent="0.2">
      <c r="B514" s="1" t="s">
        <v>11</v>
      </c>
      <c r="C514" s="2">
        <v>654</v>
      </c>
      <c r="D514" s="2">
        <v>503</v>
      </c>
      <c r="E514" s="2">
        <f>C514-D514</f>
        <v>151</v>
      </c>
      <c r="F514" s="3">
        <f t="shared" si="197"/>
        <v>0.76911314984709478</v>
      </c>
      <c r="G514" s="6">
        <v>8</v>
      </c>
      <c r="H514" s="4">
        <f t="shared" si="196"/>
        <v>62.875</v>
      </c>
      <c r="I514" s="10">
        <v>45986</v>
      </c>
      <c r="J514" s="17">
        <v>15</v>
      </c>
      <c r="K514">
        <v>10</v>
      </c>
    </row>
    <row r="515" spans="2:14" x14ac:dyDescent="0.2">
      <c r="B515" s="5" t="s">
        <v>12</v>
      </c>
      <c r="C515" s="20">
        <v>124</v>
      </c>
      <c r="D515" s="20">
        <v>115</v>
      </c>
      <c r="E515" s="20">
        <f>C515-D515</f>
        <v>9</v>
      </c>
      <c r="F515" s="3">
        <f t="shared" si="197"/>
        <v>0.92741935483870963</v>
      </c>
      <c r="G515" s="6">
        <v>16</v>
      </c>
      <c r="H515" s="4">
        <f t="shared" si="196"/>
        <v>7.1875</v>
      </c>
      <c r="I515" s="10">
        <v>45986</v>
      </c>
      <c r="J515" s="17"/>
    </row>
    <row r="516" spans="2:14" x14ac:dyDescent="0.2">
      <c r="B516" s="5" t="s">
        <v>17</v>
      </c>
      <c r="C516" s="2">
        <v>211</v>
      </c>
      <c r="D516" s="6">
        <v>211</v>
      </c>
      <c r="E516" s="2">
        <f t="shared" ref="E516:E518" si="198">C516-D516</f>
        <v>0</v>
      </c>
      <c r="F516" s="3">
        <f t="shared" si="197"/>
        <v>1</v>
      </c>
      <c r="G516" s="6">
        <v>4</v>
      </c>
      <c r="H516" s="4">
        <f t="shared" si="196"/>
        <v>52.75</v>
      </c>
      <c r="I516" s="10">
        <v>45986</v>
      </c>
      <c r="J516" s="17"/>
      <c r="L516">
        <v>9</v>
      </c>
      <c r="N516">
        <v>20</v>
      </c>
    </row>
    <row r="517" spans="2:14" x14ac:dyDescent="0.2">
      <c r="B517" s="5" t="s">
        <v>50</v>
      </c>
      <c r="C517" s="2">
        <v>11</v>
      </c>
      <c r="D517" s="6">
        <v>11</v>
      </c>
      <c r="E517" s="2">
        <f t="shared" si="198"/>
        <v>0</v>
      </c>
      <c r="F517" s="3">
        <f t="shared" si="197"/>
        <v>1</v>
      </c>
      <c r="G517" s="6">
        <v>2</v>
      </c>
      <c r="H517" s="4">
        <f t="shared" ref="H517:H524" si="199">D517/G517</f>
        <v>5.5</v>
      </c>
      <c r="I517" s="10">
        <v>45986</v>
      </c>
      <c r="J517" s="17"/>
    </row>
    <row r="518" spans="2:14" x14ac:dyDescent="0.2">
      <c r="B518" s="1" t="s">
        <v>7</v>
      </c>
      <c r="C518" s="20">
        <v>78</v>
      </c>
      <c r="D518" s="20">
        <v>78</v>
      </c>
      <c r="E518" s="20">
        <f t="shared" si="198"/>
        <v>0</v>
      </c>
      <c r="F518" s="3">
        <f t="shared" si="197"/>
        <v>1</v>
      </c>
      <c r="G518" s="2">
        <v>3</v>
      </c>
      <c r="H518" s="4">
        <f t="shared" si="199"/>
        <v>26</v>
      </c>
      <c r="I518" s="10">
        <v>45987</v>
      </c>
      <c r="J518" s="17">
        <v>1</v>
      </c>
      <c r="M518">
        <v>6</v>
      </c>
    </row>
    <row r="519" spans="2:14" x14ac:dyDescent="0.2">
      <c r="B519" s="5" t="s">
        <v>8</v>
      </c>
      <c r="C519" s="6">
        <v>343</v>
      </c>
      <c r="D519" s="6">
        <v>313</v>
      </c>
      <c r="E519" s="2">
        <f>C519-D519</f>
        <v>30</v>
      </c>
      <c r="F519" s="3">
        <f t="shared" si="197"/>
        <v>0.91253644314868809</v>
      </c>
      <c r="G519" s="2">
        <v>8</v>
      </c>
      <c r="H519" s="4">
        <f t="shared" si="199"/>
        <v>39.125</v>
      </c>
      <c r="I519" s="10">
        <v>45987</v>
      </c>
      <c r="J519" s="17">
        <v>4</v>
      </c>
    </row>
    <row r="520" spans="2:14" x14ac:dyDescent="0.2">
      <c r="B520" s="1" t="s">
        <v>9</v>
      </c>
      <c r="C520" s="2">
        <v>323</v>
      </c>
      <c r="D520" s="2">
        <v>321</v>
      </c>
      <c r="E520" s="2">
        <f>C520-D520</f>
        <v>2</v>
      </c>
      <c r="F520" s="3">
        <f t="shared" ref="F520:F527" si="200">D520/C520</f>
        <v>0.99380804953560375</v>
      </c>
      <c r="G520" s="2">
        <v>8</v>
      </c>
      <c r="H520" s="4">
        <f t="shared" si="199"/>
        <v>40.125</v>
      </c>
      <c r="I520" s="10">
        <v>45987</v>
      </c>
      <c r="J520" s="17"/>
    </row>
    <row r="521" spans="2:14" x14ac:dyDescent="0.2">
      <c r="B521" s="5" t="s">
        <v>10</v>
      </c>
      <c r="C521" s="6">
        <v>745</v>
      </c>
      <c r="D521" s="6">
        <v>218</v>
      </c>
      <c r="E521" s="2">
        <f>C521-D521</f>
        <v>527</v>
      </c>
      <c r="F521" s="3">
        <f t="shared" si="200"/>
        <v>0.29261744966442954</v>
      </c>
      <c r="G521" s="6">
        <v>12</v>
      </c>
      <c r="H521" s="4">
        <f t="shared" si="199"/>
        <v>18.166666666666668</v>
      </c>
      <c r="I521" s="10">
        <v>45987</v>
      </c>
      <c r="J521" s="17"/>
    </row>
    <row r="522" spans="2:14" x14ac:dyDescent="0.2">
      <c r="B522" s="1" t="s">
        <v>11</v>
      </c>
      <c r="C522" s="2">
        <v>1255</v>
      </c>
      <c r="D522" s="2">
        <v>726</v>
      </c>
      <c r="E522" s="2">
        <f>C522-D522</f>
        <v>529</v>
      </c>
      <c r="F522" s="3">
        <f t="shared" si="200"/>
        <v>0.57848605577689238</v>
      </c>
      <c r="G522" s="6">
        <v>9</v>
      </c>
      <c r="H522" s="4">
        <f t="shared" si="199"/>
        <v>80.666666666666671</v>
      </c>
      <c r="I522" s="10">
        <v>45987</v>
      </c>
      <c r="J522" s="17">
        <v>30</v>
      </c>
      <c r="K522">
        <v>9</v>
      </c>
    </row>
    <row r="523" spans="2:14" x14ac:dyDescent="0.2">
      <c r="B523" s="5" t="s">
        <v>12</v>
      </c>
      <c r="C523" s="20">
        <v>306</v>
      </c>
      <c r="D523" s="20">
        <v>284</v>
      </c>
      <c r="E523" s="20">
        <f>C523-D523</f>
        <v>22</v>
      </c>
      <c r="F523" s="3">
        <f t="shared" si="200"/>
        <v>0.92810457516339873</v>
      </c>
      <c r="G523" s="6">
        <v>19</v>
      </c>
      <c r="H523" s="4">
        <f t="shared" si="199"/>
        <v>14.947368421052632</v>
      </c>
      <c r="I523" s="10">
        <v>45987</v>
      </c>
      <c r="J523" s="17"/>
    </row>
    <row r="524" spans="2:14" x14ac:dyDescent="0.2">
      <c r="B524" s="5" t="s">
        <v>17</v>
      </c>
      <c r="C524" s="2">
        <v>796</v>
      </c>
      <c r="D524" s="6">
        <v>795</v>
      </c>
      <c r="E524" s="2">
        <f t="shared" ref="E524:E526" si="201">C524-D524</f>
        <v>1</v>
      </c>
      <c r="F524" s="3">
        <f t="shared" si="200"/>
        <v>0.99874371859296485</v>
      </c>
      <c r="G524" s="6">
        <v>5</v>
      </c>
      <c r="H524" s="4">
        <f t="shared" si="199"/>
        <v>159</v>
      </c>
      <c r="I524" s="10">
        <v>45987</v>
      </c>
      <c r="J524" s="17"/>
      <c r="L524">
        <v>12</v>
      </c>
      <c r="N524">
        <v>26</v>
      </c>
    </row>
    <row r="525" spans="2:14" x14ac:dyDescent="0.2">
      <c r="B525" s="5" t="s">
        <v>50</v>
      </c>
      <c r="C525" s="2">
        <v>267</v>
      </c>
      <c r="D525" s="6">
        <v>261</v>
      </c>
      <c r="E525" s="2">
        <f t="shared" si="201"/>
        <v>6</v>
      </c>
      <c r="F525" s="3">
        <f t="shared" si="200"/>
        <v>0.97752808988764039</v>
      </c>
      <c r="G525" s="6">
        <v>2</v>
      </c>
      <c r="H525" s="4">
        <f t="shared" ref="H525:H532" si="202">D525/G525</f>
        <v>130.5</v>
      </c>
      <c r="I525" s="10">
        <v>45987</v>
      </c>
      <c r="J525" s="17"/>
    </row>
    <row r="526" spans="2:14" x14ac:dyDescent="0.2">
      <c r="B526" s="1" t="s">
        <v>7</v>
      </c>
      <c r="C526" s="20">
        <v>535</v>
      </c>
      <c r="D526" s="20">
        <v>531</v>
      </c>
      <c r="E526" s="20">
        <f t="shared" si="201"/>
        <v>4</v>
      </c>
      <c r="F526" s="3">
        <f t="shared" si="200"/>
        <v>0.99252336448598133</v>
      </c>
      <c r="G526" s="2">
        <v>2</v>
      </c>
      <c r="H526" s="4">
        <f t="shared" si="202"/>
        <v>265.5</v>
      </c>
      <c r="I526" s="10">
        <v>45988</v>
      </c>
      <c r="J526" s="17"/>
      <c r="M526">
        <v>11</v>
      </c>
    </row>
    <row r="527" spans="2:14" x14ac:dyDescent="0.2">
      <c r="B527" s="5" t="s">
        <v>8</v>
      </c>
      <c r="C527" s="6">
        <v>345</v>
      </c>
      <c r="D527" s="6">
        <v>345</v>
      </c>
      <c r="E527" s="2">
        <f>C527-D527</f>
        <v>0</v>
      </c>
      <c r="F527" s="3">
        <f t="shared" si="200"/>
        <v>1</v>
      </c>
      <c r="G527" s="2">
        <v>9</v>
      </c>
      <c r="H527" s="4">
        <f t="shared" si="202"/>
        <v>38.333333333333336</v>
      </c>
      <c r="I527" s="10">
        <v>45988</v>
      </c>
      <c r="J527" s="17">
        <v>7</v>
      </c>
    </row>
    <row r="528" spans="2:14" x14ac:dyDescent="0.2">
      <c r="B528" s="1" t="s">
        <v>9</v>
      </c>
      <c r="C528" s="2">
        <v>87</v>
      </c>
      <c r="D528" s="2">
        <v>61</v>
      </c>
      <c r="E528" s="2">
        <f>C528-D528</f>
        <v>26</v>
      </c>
      <c r="F528" s="3">
        <f t="shared" ref="F528:F535" si="203">D528/C528</f>
        <v>0.70114942528735635</v>
      </c>
      <c r="G528" s="2">
        <v>8</v>
      </c>
      <c r="H528" s="4">
        <f t="shared" si="202"/>
        <v>7.625</v>
      </c>
      <c r="I528" s="10">
        <v>45988</v>
      </c>
      <c r="J528" s="17"/>
    </row>
    <row r="529" spans="2:14" x14ac:dyDescent="0.2">
      <c r="B529" s="5" t="s">
        <v>10</v>
      </c>
      <c r="C529" s="6">
        <v>29</v>
      </c>
      <c r="D529" s="6">
        <v>29</v>
      </c>
      <c r="E529" s="2">
        <f>C529-D529</f>
        <v>0</v>
      </c>
      <c r="F529" s="3">
        <f t="shared" si="203"/>
        <v>1</v>
      </c>
      <c r="G529" s="6">
        <v>12</v>
      </c>
      <c r="H529" s="4">
        <f t="shared" si="202"/>
        <v>2.4166666666666665</v>
      </c>
      <c r="I529" s="10">
        <v>45988</v>
      </c>
      <c r="J529" s="17"/>
    </row>
    <row r="530" spans="2:14" x14ac:dyDescent="0.2">
      <c r="B530" s="1" t="s">
        <v>11</v>
      </c>
      <c r="C530" s="2">
        <v>701</v>
      </c>
      <c r="D530" s="2">
        <v>482</v>
      </c>
      <c r="E530" s="2">
        <f>C530-D530</f>
        <v>219</v>
      </c>
      <c r="F530" s="3">
        <f t="shared" si="203"/>
        <v>0.68758915834522116</v>
      </c>
      <c r="G530" s="6">
        <v>9</v>
      </c>
      <c r="H530" s="4">
        <f t="shared" si="202"/>
        <v>53.555555555555557</v>
      </c>
      <c r="I530" s="10">
        <v>45988</v>
      </c>
      <c r="J530" s="17">
        <v>8</v>
      </c>
      <c r="K530">
        <v>10</v>
      </c>
    </row>
    <row r="531" spans="2:14" x14ac:dyDescent="0.2">
      <c r="B531" s="5" t="s">
        <v>12</v>
      </c>
      <c r="C531" s="20">
        <v>218</v>
      </c>
      <c r="D531" s="20">
        <v>211</v>
      </c>
      <c r="E531" s="20">
        <f>C531-D531</f>
        <v>7</v>
      </c>
      <c r="F531" s="3">
        <f t="shared" si="203"/>
        <v>0.9678899082568807</v>
      </c>
      <c r="G531" s="6">
        <v>20</v>
      </c>
      <c r="H531" s="4">
        <f t="shared" si="202"/>
        <v>10.55</v>
      </c>
      <c r="I531" s="10">
        <v>45988</v>
      </c>
      <c r="J531" s="17">
        <v>1</v>
      </c>
    </row>
    <row r="532" spans="2:14" x14ac:dyDescent="0.2">
      <c r="B532" s="5" t="s">
        <v>17</v>
      </c>
      <c r="C532" s="2">
        <v>32</v>
      </c>
      <c r="D532" s="6">
        <v>32</v>
      </c>
      <c r="E532" s="2">
        <f t="shared" ref="E532:E534" si="204">C532-D532</f>
        <v>0</v>
      </c>
      <c r="F532" s="3">
        <f t="shared" si="203"/>
        <v>1</v>
      </c>
      <c r="G532" s="6">
        <v>3</v>
      </c>
      <c r="H532" s="4">
        <f t="shared" si="202"/>
        <v>10.666666666666666</v>
      </c>
      <c r="I532" s="10">
        <v>45988</v>
      </c>
      <c r="J532" s="17"/>
      <c r="L532">
        <v>4</v>
      </c>
      <c r="N532">
        <v>8</v>
      </c>
    </row>
    <row r="533" spans="2:14" x14ac:dyDescent="0.2">
      <c r="B533" s="5" t="s">
        <v>50</v>
      </c>
      <c r="C533" s="2">
        <v>77</v>
      </c>
      <c r="D533" s="6">
        <v>77</v>
      </c>
      <c r="E533" s="2">
        <f t="shared" si="204"/>
        <v>0</v>
      </c>
      <c r="F533" s="3">
        <f t="shared" si="203"/>
        <v>1</v>
      </c>
      <c r="G533" s="6">
        <v>2</v>
      </c>
      <c r="H533" s="4">
        <f t="shared" ref="H533:H540" si="205">D533/G533</f>
        <v>38.5</v>
      </c>
      <c r="I533" s="10">
        <v>45988</v>
      </c>
      <c r="J533" s="17"/>
    </row>
    <row r="534" spans="2:14" x14ac:dyDescent="0.2">
      <c r="B534" s="1" t="s">
        <v>7</v>
      </c>
      <c r="C534" s="20">
        <v>14</v>
      </c>
      <c r="D534" s="20">
        <v>14</v>
      </c>
      <c r="E534" s="20">
        <f t="shared" si="204"/>
        <v>0</v>
      </c>
      <c r="F534" s="3">
        <f t="shared" si="203"/>
        <v>1</v>
      </c>
      <c r="G534" s="2">
        <v>1</v>
      </c>
      <c r="H534" s="4">
        <f t="shared" si="205"/>
        <v>14</v>
      </c>
      <c r="I534" s="10">
        <v>45989</v>
      </c>
      <c r="J534" s="17"/>
      <c r="M534">
        <v>1</v>
      </c>
    </row>
    <row r="535" spans="2:14" x14ac:dyDescent="0.2">
      <c r="B535" s="5" t="s">
        <v>8</v>
      </c>
      <c r="C535" s="6">
        <v>646</v>
      </c>
      <c r="D535" s="6">
        <v>641</v>
      </c>
      <c r="E535" s="2">
        <f>C535-D535</f>
        <v>5</v>
      </c>
      <c r="F535" s="3">
        <f t="shared" si="203"/>
        <v>0.99226006191950467</v>
      </c>
      <c r="G535" s="2">
        <v>7</v>
      </c>
      <c r="H535" s="4">
        <f t="shared" si="205"/>
        <v>91.571428571428569</v>
      </c>
      <c r="I535" s="10">
        <v>45989</v>
      </c>
      <c r="J535" s="17">
        <v>3</v>
      </c>
    </row>
    <row r="536" spans="2:14" x14ac:dyDescent="0.2">
      <c r="B536" s="1" t="s">
        <v>9</v>
      </c>
      <c r="C536" s="2">
        <v>10</v>
      </c>
      <c r="D536" s="2">
        <v>10</v>
      </c>
      <c r="E536" s="2">
        <f>C536-D536</f>
        <v>0</v>
      </c>
      <c r="F536" s="3">
        <f t="shared" ref="F536:F543" si="206">D536/C536</f>
        <v>1</v>
      </c>
      <c r="G536" s="2">
        <v>9</v>
      </c>
      <c r="H536" s="4">
        <f t="shared" si="205"/>
        <v>1.1111111111111112</v>
      </c>
      <c r="I536" s="10">
        <v>45989</v>
      </c>
      <c r="J536" s="17"/>
    </row>
    <row r="537" spans="2:14" x14ac:dyDescent="0.2">
      <c r="B537" s="5" t="s">
        <v>10</v>
      </c>
      <c r="C537" s="6">
        <v>1911</v>
      </c>
      <c r="D537" s="6">
        <v>1595</v>
      </c>
      <c r="E537" s="2">
        <f>C537-D537</f>
        <v>316</v>
      </c>
      <c r="F537" s="3">
        <f t="shared" si="206"/>
        <v>0.83464154892726317</v>
      </c>
      <c r="G537" s="6">
        <v>12</v>
      </c>
      <c r="H537" s="4">
        <f t="shared" si="205"/>
        <v>132.91666666666666</v>
      </c>
      <c r="I537" s="10">
        <v>45989</v>
      </c>
      <c r="J537" s="17"/>
    </row>
    <row r="538" spans="2:14" x14ac:dyDescent="0.2">
      <c r="B538" s="1" t="s">
        <v>11</v>
      </c>
      <c r="C538" s="2">
        <v>2797</v>
      </c>
      <c r="D538" s="2">
        <v>2773</v>
      </c>
      <c r="E538" s="2">
        <f>C538-D538</f>
        <v>24</v>
      </c>
      <c r="F538" s="3">
        <f t="shared" si="206"/>
        <v>0.99141937790489809</v>
      </c>
      <c r="G538" s="6">
        <v>8</v>
      </c>
      <c r="H538" s="4">
        <f t="shared" si="205"/>
        <v>346.625</v>
      </c>
      <c r="I538" s="10">
        <v>45989</v>
      </c>
      <c r="J538" s="17">
        <v>6</v>
      </c>
      <c r="K538">
        <v>13</v>
      </c>
    </row>
    <row r="539" spans="2:14" x14ac:dyDescent="0.2">
      <c r="B539" s="5" t="s">
        <v>12</v>
      </c>
      <c r="C539" s="20">
        <v>299</v>
      </c>
      <c r="D539" s="20">
        <v>292</v>
      </c>
      <c r="E539" s="20">
        <f>C539-D539</f>
        <v>7</v>
      </c>
      <c r="F539" s="3">
        <f t="shared" si="206"/>
        <v>0.97658862876254182</v>
      </c>
      <c r="G539" s="6">
        <v>20</v>
      </c>
      <c r="H539" s="4">
        <f t="shared" si="205"/>
        <v>14.6</v>
      </c>
      <c r="I539" s="10">
        <v>45989</v>
      </c>
      <c r="J539" s="17"/>
    </row>
    <row r="540" spans="2:14" x14ac:dyDescent="0.2">
      <c r="B540" s="5" t="s">
        <v>17</v>
      </c>
      <c r="C540" s="2">
        <v>7</v>
      </c>
      <c r="D540" s="6">
        <v>7</v>
      </c>
      <c r="E540" s="2">
        <f t="shared" ref="E540:E542" si="207">C540-D540</f>
        <v>0</v>
      </c>
      <c r="F540" s="3">
        <f t="shared" si="206"/>
        <v>1</v>
      </c>
      <c r="G540" s="6">
        <v>3</v>
      </c>
      <c r="H540" s="4">
        <f t="shared" si="205"/>
        <v>2.3333333333333335</v>
      </c>
      <c r="I540" s="10">
        <v>45989</v>
      </c>
      <c r="J540" s="17"/>
      <c r="L540">
        <v>1</v>
      </c>
      <c r="N540">
        <v>2</v>
      </c>
    </row>
    <row r="541" spans="2:14" x14ac:dyDescent="0.2">
      <c r="B541" s="5" t="s">
        <v>50</v>
      </c>
      <c r="C541" s="2">
        <v>510</v>
      </c>
      <c r="D541" s="6">
        <v>510</v>
      </c>
      <c r="E541" s="2">
        <f t="shared" si="207"/>
        <v>0</v>
      </c>
      <c r="F541" s="3">
        <f t="shared" si="206"/>
        <v>1</v>
      </c>
      <c r="G541" s="6">
        <v>2</v>
      </c>
      <c r="H541" s="4">
        <f t="shared" ref="H541:H548" si="208">D541/G541</f>
        <v>255</v>
      </c>
      <c r="I541" s="10">
        <v>45989</v>
      </c>
      <c r="J541" s="17"/>
    </row>
    <row r="542" spans="2:14" x14ac:dyDescent="0.2">
      <c r="B542" s="1" t="s">
        <v>7</v>
      </c>
      <c r="C542" s="20">
        <v>5</v>
      </c>
      <c r="D542" s="20">
        <v>5</v>
      </c>
      <c r="E542" s="20">
        <f t="shared" si="207"/>
        <v>0</v>
      </c>
      <c r="F542" s="3">
        <f t="shared" si="206"/>
        <v>1</v>
      </c>
      <c r="G542" s="2">
        <v>3</v>
      </c>
      <c r="H542" s="4">
        <f t="shared" si="208"/>
        <v>1.6666666666666667</v>
      </c>
      <c r="I542" s="10">
        <v>45992</v>
      </c>
      <c r="J542" s="17"/>
      <c r="M542">
        <v>1</v>
      </c>
    </row>
    <row r="543" spans="2:14" x14ac:dyDescent="0.2">
      <c r="B543" s="5" t="s">
        <v>8</v>
      </c>
      <c r="C543" s="6">
        <v>18</v>
      </c>
      <c r="D543" s="6">
        <v>1</v>
      </c>
      <c r="E543" s="2">
        <f>C543-D543</f>
        <v>17</v>
      </c>
      <c r="F543" s="3">
        <f t="shared" si="206"/>
        <v>5.5555555555555552E-2</v>
      </c>
      <c r="G543" s="2">
        <v>3</v>
      </c>
      <c r="H543" s="4">
        <f t="shared" si="208"/>
        <v>0.33333333333333331</v>
      </c>
      <c r="I543" s="10">
        <v>45992</v>
      </c>
      <c r="J543" s="17">
        <v>1</v>
      </c>
    </row>
    <row r="544" spans="2:14" x14ac:dyDescent="0.2">
      <c r="B544" s="1" t="s">
        <v>9</v>
      </c>
      <c r="C544" s="2">
        <v>31</v>
      </c>
      <c r="D544" s="2">
        <v>31</v>
      </c>
      <c r="E544" s="2">
        <f>C544-D544</f>
        <v>0</v>
      </c>
      <c r="F544" s="3">
        <f t="shared" ref="F544:F551" si="209">D544/C544</f>
        <v>1</v>
      </c>
      <c r="G544" s="2">
        <v>9</v>
      </c>
      <c r="H544" s="4">
        <f t="shared" si="208"/>
        <v>3.4444444444444446</v>
      </c>
      <c r="I544" s="10">
        <v>45992</v>
      </c>
      <c r="J544" s="17"/>
    </row>
    <row r="545" spans="2:14" x14ac:dyDescent="0.2">
      <c r="B545" s="5" t="s">
        <v>10</v>
      </c>
      <c r="C545" s="6">
        <v>4884</v>
      </c>
      <c r="D545" s="6">
        <v>4119</v>
      </c>
      <c r="E545" s="2">
        <f>C545-D545</f>
        <v>765</v>
      </c>
      <c r="F545" s="3">
        <f t="shared" si="209"/>
        <v>0.84336609336609336</v>
      </c>
      <c r="G545" s="6">
        <v>12</v>
      </c>
      <c r="H545" s="4">
        <f t="shared" si="208"/>
        <v>343.25</v>
      </c>
      <c r="I545" s="10">
        <v>45992</v>
      </c>
      <c r="J545" s="17"/>
    </row>
    <row r="546" spans="2:14" x14ac:dyDescent="0.2">
      <c r="B546" s="1" t="s">
        <v>11</v>
      </c>
      <c r="C546" s="2">
        <v>3443</v>
      </c>
      <c r="D546" s="2">
        <v>3220</v>
      </c>
      <c r="E546" s="2">
        <f>C546-D546</f>
        <v>223</v>
      </c>
      <c r="F546" s="3">
        <f t="shared" si="209"/>
        <v>0.93523090328202152</v>
      </c>
      <c r="G546" s="6">
        <v>9</v>
      </c>
      <c r="H546" s="4">
        <f t="shared" si="208"/>
        <v>357.77777777777777</v>
      </c>
      <c r="I546" s="10">
        <v>45992</v>
      </c>
      <c r="J546" s="17"/>
      <c r="K546">
        <v>8</v>
      </c>
    </row>
    <row r="547" spans="2:14" x14ac:dyDescent="0.2">
      <c r="B547" s="5" t="s">
        <v>12</v>
      </c>
      <c r="C547" s="20">
        <v>178</v>
      </c>
      <c r="D547" s="20">
        <v>177</v>
      </c>
      <c r="E547" s="20">
        <f>C547-D547</f>
        <v>1</v>
      </c>
      <c r="F547" s="3">
        <f t="shared" si="209"/>
        <v>0.9943820224719101</v>
      </c>
      <c r="G547" s="6">
        <v>18</v>
      </c>
      <c r="H547" s="4">
        <f t="shared" si="208"/>
        <v>9.8333333333333339</v>
      </c>
      <c r="I547" s="10">
        <v>45992</v>
      </c>
      <c r="J547" s="17">
        <v>6</v>
      </c>
    </row>
    <row r="548" spans="2:14" x14ac:dyDescent="0.2">
      <c r="B548" s="5" t="s">
        <v>17</v>
      </c>
      <c r="C548" s="2">
        <v>628</v>
      </c>
      <c r="D548" s="6">
        <v>607</v>
      </c>
      <c r="E548" s="2">
        <f t="shared" ref="E548:E550" si="210">C548-D548</f>
        <v>21</v>
      </c>
      <c r="F548" s="3">
        <f t="shared" si="209"/>
        <v>0.96656050955414008</v>
      </c>
      <c r="G548" s="6">
        <v>6</v>
      </c>
      <c r="H548" s="4">
        <f t="shared" si="208"/>
        <v>101.16666666666667</v>
      </c>
      <c r="I548" s="10">
        <v>45992</v>
      </c>
      <c r="J548" s="17"/>
      <c r="L548">
        <v>15</v>
      </c>
      <c r="N548">
        <v>76</v>
      </c>
    </row>
    <row r="549" spans="2:14" x14ac:dyDescent="0.2">
      <c r="B549" s="5" t="s">
        <v>50</v>
      </c>
      <c r="C549" s="2">
        <v>86</v>
      </c>
      <c r="D549" s="6">
        <v>85</v>
      </c>
      <c r="E549" s="2">
        <f t="shared" si="210"/>
        <v>1</v>
      </c>
      <c r="F549" s="3">
        <f t="shared" si="209"/>
        <v>0.98837209302325579</v>
      </c>
      <c r="G549" s="6">
        <v>2</v>
      </c>
      <c r="H549" s="4">
        <f t="shared" ref="H549:H556" si="211">D549/G549</f>
        <v>42.5</v>
      </c>
      <c r="I549" s="10">
        <v>45992</v>
      </c>
      <c r="J549" s="17"/>
    </row>
    <row r="550" spans="2:14" x14ac:dyDescent="0.2">
      <c r="B550" s="1" t="s">
        <v>7</v>
      </c>
      <c r="C550" s="20">
        <v>517</v>
      </c>
      <c r="D550" s="20">
        <v>506</v>
      </c>
      <c r="E550" s="20">
        <f t="shared" si="210"/>
        <v>11</v>
      </c>
      <c r="F550" s="3">
        <f t="shared" si="209"/>
        <v>0.97872340425531912</v>
      </c>
      <c r="G550" s="2">
        <v>3</v>
      </c>
      <c r="H550" s="4">
        <f t="shared" si="211"/>
        <v>168.66666666666666</v>
      </c>
      <c r="I550" s="10">
        <v>45993</v>
      </c>
      <c r="J550" s="17"/>
      <c r="M550">
        <v>14</v>
      </c>
    </row>
    <row r="551" spans="2:14" x14ac:dyDescent="0.2">
      <c r="B551" s="5" t="s">
        <v>8</v>
      </c>
      <c r="C551" s="6">
        <v>20</v>
      </c>
      <c r="D551" s="6">
        <v>20</v>
      </c>
      <c r="E551" s="2">
        <f>C551-D551</f>
        <v>0</v>
      </c>
      <c r="F551" s="3">
        <f t="shared" si="209"/>
        <v>1</v>
      </c>
      <c r="G551" s="2">
        <v>5</v>
      </c>
      <c r="H551" s="4">
        <f t="shared" si="211"/>
        <v>4</v>
      </c>
      <c r="I551" s="10">
        <v>45993</v>
      </c>
      <c r="J551" s="17">
        <v>1</v>
      </c>
    </row>
    <row r="552" spans="2:14" x14ac:dyDescent="0.2">
      <c r="B552" s="1" t="s">
        <v>9</v>
      </c>
      <c r="C552" s="2">
        <v>30</v>
      </c>
      <c r="D552" s="2">
        <v>26</v>
      </c>
      <c r="E552" s="2">
        <f>C552-D552</f>
        <v>4</v>
      </c>
      <c r="F552" s="3">
        <f t="shared" ref="F552:F559" si="212">D552/C552</f>
        <v>0.8666666666666667</v>
      </c>
      <c r="G552" s="2">
        <v>5</v>
      </c>
      <c r="H552" s="4">
        <f t="shared" si="211"/>
        <v>5.2</v>
      </c>
      <c r="I552" s="10">
        <v>45993</v>
      </c>
      <c r="J552" s="17"/>
    </row>
    <row r="553" spans="2:14" x14ac:dyDescent="0.2">
      <c r="B553" s="5" t="s">
        <v>10</v>
      </c>
      <c r="C553" s="6">
        <v>328</v>
      </c>
      <c r="D553" s="6">
        <v>328</v>
      </c>
      <c r="E553" s="2">
        <f>C553-D553</f>
        <v>0</v>
      </c>
      <c r="F553" s="3">
        <f t="shared" si="212"/>
        <v>1</v>
      </c>
      <c r="G553" s="6">
        <v>12</v>
      </c>
      <c r="H553" s="4">
        <f t="shared" si="211"/>
        <v>27.333333333333332</v>
      </c>
      <c r="I553" s="10">
        <v>45993</v>
      </c>
      <c r="J553" s="17"/>
    </row>
    <row r="554" spans="2:14" x14ac:dyDescent="0.2">
      <c r="B554" s="1" t="s">
        <v>11</v>
      </c>
      <c r="C554" s="20">
        <v>2703</v>
      </c>
      <c r="D554" s="20">
        <v>2525</v>
      </c>
      <c r="E554" s="2">
        <f>C554-D554</f>
        <v>178</v>
      </c>
      <c r="F554" s="3">
        <f t="shared" si="212"/>
        <v>0.9341472438031817</v>
      </c>
      <c r="G554" s="6">
        <v>9</v>
      </c>
      <c r="H554" s="4">
        <f t="shared" si="211"/>
        <v>280.55555555555554</v>
      </c>
      <c r="I554" s="10">
        <v>45993</v>
      </c>
      <c r="J554" s="17">
        <v>1</v>
      </c>
      <c r="K554">
        <v>9</v>
      </c>
    </row>
    <row r="555" spans="2:14" x14ac:dyDescent="0.2">
      <c r="B555" s="5" t="s">
        <v>12</v>
      </c>
      <c r="C555" s="20">
        <v>481</v>
      </c>
      <c r="D555" s="20">
        <v>458</v>
      </c>
      <c r="E555" s="20">
        <f>C555-D555</f>
        <v>23</v>
      </c>
      <c r="F555" s="3">
        <f t="shared" si="212"/>
        <v>0.95218295218295224</v>
      </c>
      <c r="G555" s="6">
        <v>23</v>
      </c>
      <c r="H555" s="4">
        <f t="shared" si="211"/>
        <v>19.913043478260871</v>
      </c>
      <c r="I555" s="10">
        <v>45993</v>
      </c>
      <c r="J555" s="17">
        <v>1</v>
      </c>
    </row>
    <row r="556" spans="2:14" x14ac:dyDescent="0.2">
      <c r="B556" s="5" t="s">
        <v>17</v>
      </c>
      <c r="C556" s="2">
        <v>235</v>
      </c>
      <c r="D556" s="6">
        <v>203</v>
      </c>
      <c r="E556" s="2">
        <f t="shared" ref="E556:E558" si="213">C556-D556</f>
        <v>32</v>
      </c>
      <c r="F556" s="3">
        <f t="shared" si="212"/>
        <v>0.86382978723404258</v>
      </c>
      <c r="G556" s="6">
        <v>6</v>
      </c>
      <c r="H556" s="4">
        <f t="shared" si="211"/>
        <v>33.833333333333336</v>
      </c>
      <c r="I556" s="10">
        <v>45993</v>
      </c>
      <c r="J556" s="17"/>
      <c r="L556">
        <v>15</v>
      </c>
      <c r="N556">
        <v>34</v>
      </c>
    </row>
    <row r="557" spans="2:14" x14ac:dyDescent="0.2">
      <c r="B557" s="5" t="s">
        <v>50</v>
      </c>
      <c r="C557" s="2">
        <v>433</v>
      </c>
      <c r="D557" s="6">
        <v>433</v>
      </c>
      <c r="E557" s="2">
        <f t="shared" si="213"/>
        <v>0</v>
      </c>
      <c r="F557" s="3">
        <f t="shared" si="212"/>
        <v>1</v>
      </c>
      <c r="G557" s="6">
        <v>2</v>
      </c>
      <c r="H557" s="4">
        <f t="shared" ref="H557:H564" si="214">D557/G557</f>
        <v>216.5</v>
      </c>
      <c r="I557" s="10">
        <v>45993</v>
      </c>
      <c r="J557" s="17"/>
    </row>
    <row r="558" spans="2:14" x14ac:dyDescent="0.2">
      <c r="B558" s="1" t="s">
        <v>7</v>
      </c>
      <c r="C558" s="20">
        <v>121</v>
      </c>
      <c r="D558" s="20">
        <v>118</v>
      </c>
      <c r="E558" s="20">
        <f t="shared" si="213"/>
        <v>3</v>
      </c>
      <c r="F558" s="3">
        <f t="shared" si="212"/>
        <v>0.97520661157024791</v>
      </c>
      <c r="G558" s="2">
        <v>3</v>
      </c>
      <c r="H558" s="4">
        <f t="shared" si="214"/>
        <v>39.333333333333336</v>
      </c>
      <c r="I558" s="10">
        <v>45994</v>
      </c>
      <c r="J558" s="17"/>
      <c r="M558">
        <v>14</v>
      </c>
    </row>
    <row r="559" spans="2:14" x14ac:dyDescent="0.2">
      <c r="B559" s="5" t="s">
        <v>8</v>
      </c>
      <c r="C559" s="6">
        <v>576</v>
      </c>
      <c r="D559" s="6">
        <v>483</v>
      </c>
      <c r="E559" s="2">
        <f>C559-D559</f>
        <v>93</v>
      </c>
      <c r="F559" s="3">
        <f t="shared" si="212"/>
        <v>0.83854166666666663</v>
      </c>
      <c r="G559" s="2">
        <v>4</v>
      </c>
      <c r="H559" s="4">
        <f t="shared" si="214"/>
        <v>120.75</v>
      </c>
      <c r="I559" s="10">
        <v>45994</v>
      </c>
      <c r="J559" s="17">
        <v>1</v>
      </c>
    </row>
    <row r="560" spans="2:14" x14ac:dyDescent="0.2">
      <c r="B560" s="1" t="s">
        <v>9</v>
      </c>
      <c r="C560" s="2">
        <v>1</v>
      </c>
      <c r="D560" s="2">
        <v>1</v>
      </c>
      <c r="E560" s="2">
        <f>C560-D560</f>
        <v>0</v>
      </c>
      <c r="F560" s="3">
        <f t="shared" ref="F560:F567" si="215">D560/C560</f>
        <v>1</v>
      </c>
      <c r="G560" s="2">
        <v>4</v>
      </c>
      <c r="H560" s="4">
        <f t="shared" si="214"/>
        <v>0.25</v>
      </c>
      <c r="I560" s="10">
        <v>45994</v>
      </c>
      <c r="J560" s="17"/>
    </row>
    <row r="561" spans="2:14" x14ac:dyDescent="0.2">
      <c r="B561" s="5" t="s">
        <v>10</v>
      </c>
      <c r="C561" s="6">
        <v>3554</v>
      </c>
      <c r="D561" s="6">
        <v>2015</v>
      </c>
      <c r="E561" s="2">
        <f>C561-D561</f>
        <v>1539</v>
      </c>
      <c r="F561" s="3">
        <f t="shared" si="215"/>
        <v>0.56696679797411365</v>
      </c>
      <c r="G561" s="6">
        <v>12</v>
      </c>
      <c r="H561" s="4">
        <f t="shared" si="214"/>
        <v>167.91666666666666</v>
      </c>
      <c r="I561" s="10">
        <v>45994</v>
      </c>
      <c r="J561" s="17"/>
    </row>
    <row r="562" spans="2:14" x14ac:dyDescent="0.2">
      <c r="B562" s="1" t="s">
        <v>11</v>
      </c>
      <c r="C562" s="20">
        <v>742</v>
      </c>
      <c r="D562" s="20">
        <v>692</v>
      </c>
      <c r="E562" s="2">
        <f>C562-D562</f>
        <v>50</v>
      </c>
      <c r="F562" s="3">
        <f t="shared" si="215"/>
        <v>0.93261455525606474</v>
      </c>
      <c r="G562" s="6">
        <v>8</v>
      </c>
      <c r="H562" s="4">
        <f t="shared" si="214"/>
        <v>86.5</v>
      </c>
      <c r="I562" s="10">
        <v>45994</v>
      </c>
      <c r="J562" s="17">
        <v>15</v>
      </c>
      <c r="K562">
        <v>9</v>
      </c>
    </row>
    <row r="563" spans="2:14" x14ac:dyDescent="0.2">
      <c r="B563" s="5" t="s">
        <v>12</v>
      </c>
      <c r="C563" s="20">
        <v>142</v>
      </c>
      <c r="D563" s="20">
        <v>139</v>
      </c>
      <c r="E563" s="20">
        <f>C563-D563</f>
        <v>3</v>
      </c>
      <c r="F563" s="3">
        <f t="shared" si="215"/>
        <v>0.97887323943661975</v>
      </c>
      <c r="G563" s="6">
        <v>24</v>
      </c>
      <c r="H563" s="4">
        <f t="shared" si="214"/>
        <v>5.791666666666667</v>
      </c>
      <c r="I563" s="10">
        <v>45994</v>
      </c>
      <c r="J563" s="17"/>
    </row>
    <row r="564" spans="2:14" x14ac:dyDescent="0.2">
      <c r="B564" s="5" t="s">
        <v>17</v>
      </c>
      <c r="C564" s="2">
        <v>407</v>
      </c>
      <c r="D564" s="6">
        <v>393</v>
      </c>
      <c r="E564" s="2">
        <f t="shared" ref="E564:E566" si="216">C564-D564</f>
        <v>14</v>
      </c>
      <c r="F564" s="3">
        <f t="shared" si="215"/>
        <v>0.96560196560196565</v>
      </c>
      <c r="G564" s="6">
        <v>6</v>
      </c>
      <c r="H564" s="4">
        <f t="shared" si="214"/>
        <v>65.5</v>
      </c>
      <c r="I564" s="10">
        <v>45994</v>
      </c>
      <c r="J564" s="17"/>
      <c r="L564">
        <v>13</v>
      </c>
      <c r="N564">
        <v>33</v>
      </c>
    </row>
    <row r="565" spans="2:14" x14ac:dyDescent="0.2">
      <c r="B565" s="5" t="s">
        <v>50</v>
      </c>
      <c r="C565" s="2">
        <v>271</v>
      </c>
      <c r="D565" s="6">
        <v>271</v>
      </c>
      <c r="E565" s="2">
        <f t="shared" si="216"/>
        <v>0</v>
      </c>
      <c r="F565" s="3">
        <f t="shared" si="215"/>
        <v>1</v>
      </c>
      <c r="G565" s="6">
        <v>2</v>
      </c>
      <c r="H565" s="4">
        <f t="shared" ref="H565:H572" si="217">D565/G565</f>
        <v>135.5</v>
      </c>
      <c r="I565" s="10">
        <v>45994</v>
      </c>
      <c r="J565" s="17"/>
    </row>
    <row r="566" spans="2:14" x14ac:dyDescent="0.2">
      <c r="B566" s="1" t="s">
        <v>7</v>
      </c>
      <c r="C566" s="20">
        <v>357</v>
      </c>
      <c r="D566" s="20">
        <v>347</v>
      </c>
      <c r="E566" s="20">
        <f t="shared" si="216"/>
        <v>10</v>
      </c>
      <c r="F566" s="3">
        <f t="shared" si="215"/>
        <v>0.97198879551820727</v>
      </c>
      <c r="G566" s="2">
        <v>3</v>
      </c>
      <c r="H566" s="4">
        <f t="shared" si="217"/>
        <v>115.66666666666667</v>
      </c>
      <c r="I566" s="10">
        <v>45995</v>
      </c>
      <c r="J566" s="17">
        <v>1</v>
      </c>
      <c r="M566">
        <v>13</v>
      </c>
    </row>
    <row r="567" spans="2:14" x14ac:dyDescent="0.2">
      <c r="B567" s="5" t="s">
        <v>8</v>
      </c>
      <c r="C567" s="6">
        <v>201</v>
      </c>
      <c r="D567" s="6">
        <v>187</v>
      </c>
      <c r="E567" s="2">
        <f>C567-D567</f>
        <v>14</v>
      </c>
      <c r="F567" s="3">
        <f t="shared" si="215"/>
        <v>0.93034825870646765</v>
      </c>
      <c r="G567" s="2">
        <v>5</v>
      </c>
      <c r="H567" s="4">
        <f t="shared" si="217"/>
        <v>37.4</v>
      </c>
      <c r="I567" s="10">
        <v>45995</v>
      </c>
      <c r="J567" s="17">
        <v>5</v>
      </c>
    </row>
    <row r="568" spans="2:14" x14ac:dyDescent="0.2">
      <c r="B568" s="1" t="s">
        <v>9</v>
      </c>
      <c r="C568" s="2">
        <v>91</v>
      </c>
      <c r="D568" s="2">
        <v>89</v>
      </c>
      <c r="E568" s="2">
        <f>C568-D568</f>
        <v>2</v>
      </c>
      <c r="F568" s="3">
        <f t="shared" ref="F568:F575" si="218">D568/C568</f>
        <v>0.97802197802197799</v>
      </c>
      <c r="G568" s="2">
        <v>6</v>
      </c>
      <c r="H568" s="4">
        <f t="shared" si="217"/>
        <v>14.833333333333334</v>
      </c>
      <c r="I568" s="10">
        <v>45995</v>
      </c>
      <c r="J568" s="17"/>
    </row>
    <row r="569" spans="2:14" x14ac:dyDescent="0.2">
      <c r="B569" s="5" t="s">
        <v>10</v>
      </c>
      <c r="C569" s="6">
        <v>13</v>
      </c>
      <c r="D569" s="6">
        <v>13</v>
      </c>
      <c r="E569" s="2">
        <f>C569-D569</f>
        <v>0</v>
      </c>
      <c r="F569" s="3">
        <f t="shared" si="218"/>
        <v>1</v>
      </c>
      <c r="G569" s="6">
        <v>13</v>
      </c>
      <c r="H569" s="4">
        <f t="shared" si="217"/>
        <v>1</v>
      </c>
      <c r="I569" s="10">
        <v>45995</v>
      </c>
      <c r="J569" s="17"/>
    </row>
    <row r="570" spans="2:14" x14ac:dyDescent="0.2">
      <c r="B570" s="1" t="s">
        <v>11</v>
      </c>
      <c r="C570" s="20">
        <v>1637</v>
      </c>
      <c r="D570" s="20">
        <v>1637</v>
      </c>
      <c r="E570" s="2">
        <f>C570-D570</f>
        <v>0</v>
      </c>
      <c r="F570" s="3">
        <f t="shared" si="218"/>
        <v>1</v>
      </c>
      <c r="G570" s="6">
        <v>9</v>
      </c>
      <c r="H570" s="4">
        <f t="shared" si="217"/>
        <v>181.88888888888889</v>
      </c>
      <c r="I570" s="10">
        <v>45995</v>
      </c>
      <c r="J570" s="17"/>
      <c r="K570">
        <v>14</v>
      </c>
    </row>
    <row r="571" spans="2:14" x14ac:dyDescent="0.2">
      <c r="B571" s="5" t="s">
        <v>12</v>
      </c>
      <c r="C571" s="20">
        <v>214</v>
      </c>
      <c r="D571" s="20">
        <v>207</v>
      </c>
      <c r="E571" s="20">
        <f>C571-D571</f>
        <v>7</v>
      </c>
      <c r="F571" s="3">
        <f t="shared" si="218"/>
        <v>0.96728971962616828</v>
      </c>
      <c r="G571" s="6">
        <v>19</v>
      </c>
      <c r="H571" s="4">
        <f t="shared" si="217"/>
        <v>10.894736842105264</v>
      </c>
      <c r="I571" s="10">
        <v>45995</v>
      </c>
      <c r="J571" s="17">
        <v>3</v>
      </c>
    </row>
    <row r="572" spans="2:14" x14ac:dyDescent="0.2">
      <c r="B572" s="5" t="s">
        <v>17</v>
      </c>
      <c r="C572" s="2">
        <v>84</v>
      </c>
      <c r="D572" s="6">
        <v>80</v>
      </c>
      <c r="E572" s="2">
        <f t="shared" ref="E572:E574" si="219">C572-D572</f>
        <v>4</v>
      </c>
      <c r="F572" s="3">
        <f t="shared" si="218"/>
        <v>0.95238095238095233</v>
      </c>
      <c r="G572" s="6">
        <v>6</v>
      </c>
      <c r="H572" s="4">
        <f t="shared" si="217"/>
        <v>13.333333333333334</v>
      </c>
      <c r="I572" s="10">
        <v>45995</v>
      </c>
      <c r="J572" s="17"/>
      <c r="L572">
        <v>9</v>
      </c>
      <c r="N572">
        <v>11</v>
      </c>
    </row>
    <row r="573" spans="2:14" x14ac:dyDescent="0.2">
      <c r="B573" s="5" t="s">
        <v>50</v>
      </c>
      <c r="C573" s="2">
        <v>192</v>
      </c>
      <c r="D573" s="6">
        <v>191</v>
      </c>
      <c r="E573" s="2">
        <f t="shared" si="219"/>
        <v>1</v>
      </c>
      <c r="F573" s="3">
        <f t="shared" si="218"/>
        <v>0.99479166666666663</v>
      </c>
      <c r="G573" s="6">
        <v>2</v>
      </c>
      <c r="H573" s="4">
        <f t="shared" ref="H573:H580" si="220">D573/G573</f>
        <v>95.5</v>
      </c>
      <c r="I573" s="10">
        <v>45995</v>
      </c>
      <c r="J573" s="17"/>
    </row>
    <row r="574" spans="2:14" x14ac:dyDescent="0.2">
      <c r="B574" s="1" t="s">
        <v>7</v>
      </c>
      <c r="C574" s="20">
        <v>69</v>
      </c>
      <c r="D574" s="20">
        <v>67</v>
      </c>
      <c r="E574" s="20">
        <f t="shared" si="219"/>
        <v>2</v>
      </c>
      <c r="F574" s="3">
        <f t="shared" si="218"/>
        <v>0.97101449275362317</v>
      </c>
      <c r="G574" s="2">
        <v>3</v>
      </c>
      <c r="H574" s="4">
        <f t="shared" si="220"/>
        <v>22.333333333333332</v>
      </c>
      <c r="I574" s="10">
        <v>45996</v>
      </c>
      <c r="J574" s="17">
        <v>2</v>
      </c>
      <c r="M574">
        <v>5</v>
      </c>
    </row>
    <row r="575" spans="2:14" x14ac:dyDescent="0.2">
      <c r="B575" s="5" t="s">
        <v>8</v>
      </c>
      <c r="C575" s="6">
        <v>329</v>
      </c>
      <c r="D575" s="6">
        <v>298</v>
      </c>
      <c r="E575" s="2">
        <f>C575-D575</f>
        <v>31</v>
      </c>
      <c r="F575" s="3">
        <f t="shared" si="218"/>
        <v>0.9057750759878419</v>
      </c>
      <c r="G575" s="2">
        <v>7</v>
      </c>
      <c r="H575" s="4">
        <f t="shared" si="220"/>
        <v>42.571428571428569</v>
      </c>
      <c r="I575" s="10">
        <v>45996</v>
      </c>
      <c r="J575" s="17">
        <v>4</v>
      </c>
    </row>
    <row r="576" spans="2:14" x14ac:dyDescent="0.2">
      <c r="B576" s="1" t="s">
        <v>9</v>
      </c>
      <c r="C576" s="2">
        <v>11</v>
      </c>
      <c r="D576" s="2">
        <v>11</v>
      </c>
      <c r="E576" s="2">
        <f>C576-D576</f>
        <v>0</v>
      </c>
      <c r="F576" s="3">
        <f t="shared" ref="F576:F583" si="221">D576/C576</f>
        <v>1</v>
      </c>
      <c r="G576" s="2">
        <v>3</v>
      </c>
      <c r="H576" s="4">
        <f t="shared" si="220"/>
        <v>3.6666666666666665</v>
      </c>
      <c r="I576" s="10">
        <v>45996</v>
      </c>
      <c r="J576" s="17"/>
    </row>
    <row r="577" spans="2:14" x14ac:dyDescent="0.2">
      <c r="B577" s="5" t="s">
        <v>10</v>
      </c>
      <c r="C577" s="6">
        <v>119</v>
      </c>
      <c r="D577" s="6">
        <v>107</v>
      </c>
      <c r="E577" s="2">
        <f>C577-D577</f>
        <v>12</v>
      </c>
      <c r="F577" s="3">
        <f t="shared" si="221"/>
        <v>0.89915966386554624</v>
      </c>
      <c r="G577" s="6">
        <v>13</v>
      </c>
      <c r="H577" s="4">
        <f t="shared" si="220"/>
        <v>8.2307692307692299</v>
      </c>
      <c r="I577" s="10">
        <v>45996</v>
      </c>
      <c r="J577" s="17"/>
    </row>
    <row r="578" spans="2:14" x14ac:dyDescent="0.2">
      <c r="B578" s="1" t="s">
        <v>11</v>
      </c>
      <c r="C578" s="20">
        <v>546</v>
      </c>
      <c r="D578" s="20">
        <v>546</v>
      </c>
      <c r="E578" s="2">
        <f>C578-D578</f>
        <v>0</v>
      </c>
      <c r="F578" s="3">
        <f t="shared" si="221"/>
        <v>1</v>
      </c>
      <c r="G578" s="6">
        <v>9</v>
      </c>
      <c r="H578" s="4">
        <f t="shared" si="220"/>
        <v>60.666666666666664</v>
      </c>
      <c r="I578" s="10">
        <v>45996</v>
      </c>
      <c r="J578" s="17">
        <v>16</v>
      </c>
      <c r="K578">
        <v>12</v>
      </c>
    </row>
    <row r="579" spans="2:14" x14ac:dyDescent="0.2">
      <c r="B579" s="5" t="s">
        <v>12</v>
      </c>
      <c r="C579" s="20">
        <v>202</v>
      </c>
      <c r="D579" s="20">
        <v>194</v>
      </c>
      <c r="E579" s="20">
        <f>C579-D579</f>
        <v>8</v>
      </c>
      <c r="F579" s="3">
        <f t="shared" si="221"/>
        <v>0.96039603960396036</v>
      </c>
      <c r="G579" s="6">
        <v>17</v>
      </c>
      <c r="H579" s="4">
        <f t="shared" si="220"/>
        <v>11.411764705882353</v>
      </c>
      <c r="I579" s="10">
        <v>45996</v>
      </c>
      <c r="J579" s="17">
        <v>1</v>
      </c>
    </row>
    <row r="580" spans="2:14" x14ac:dyDescent="0.2">
      <c r="B580" s="5" t="s">
        <v>17</v>
      </c>
      <c r="C580" s="2">
        <v>176</v>
      </c>
      <c r="D580" s="6">
        <v>176</v>
      </c>
      <c r="E580" s="2">
        <f t="shared" ref="E580:E582" si="222">C580-D580</f>
        <v>0</v>
      </c>
      <c r="F580" s="3">
        <f t="shared" si="221"/>
        <v>1</v>
      </c>
      <c r="G580" s="6">
        <v>6</v>
      </c>
      <c r="H580" s="4">
        <f t="shared" si="220"/>
        <v>29.333333333333332</v>
      </c>
      <c r="I580" s="10">
        <v>45996</v>
      </c>
      <c r="J580" s="17"/>
      <c r="L580">
        <v>7</v>
      </c>
      <c r="N580">
        <v>20</v>
      </c>
    </row>
    <row r="581" spans="2:14" x14ac:dyDescent="0.2">
      <c r="B581" s="5" t="s">
        <v>50</v>
      </c>
      <c r="C581" s="2">
        <v>194</v>
      </c>
      <c r="D581" s="6">
        <v>190</v>
      </c>
      <c r="E581" s="2">
        <f t="shared" si="222"/>
        <v>4</v>
      </c>
      <c r="F581" s="3">
        <f t="shared" si="221"/>
        <v>0.97938144329896903</v>
      </c>
      <c r="G581" s="6">
        <v>2</v>
      </c>
      <c r="H581" s="4">
        <f t="shared" ref="H581:H588" si="223">D581/G581</f>
        <v>95</v>
      </c>
      <c r="I581" s="10">
        <v>45996</v>
      </c>
      <c r="J581" s="17"/>
    </row>
    <row r="582" spans="2:14" x14ac:dyDescent="0.2">
      <c r="B582" s="1" t="s">
        <v>7</v>
      </c>
      <c r="C582" s="20">
        <v>109</v>
      </c>
      <c r="D582" s="20">
        <v>109</v>
      </c>
      <c r="E582" s="20">
        <f t="shared" si="222"/>
        <v>0</v>
      </c>
      <c r="F582" s="3">
        <f t="shared" si="221"/>
        <v>1</v>
      </c>
      <c r="G582" s="2">
        <v>3</v>
      </c>
      <c r="H582" s="4">
        <f t="shared" si="223"/>
        <v>36.333333333333336</v>
      </c>
      <c r="I582" s="10">
        <v>45999</v>
      </c>
      <c r="J582" s="17"/>
      <c r="M582">
        <v>6</v>
      </c>
    </row>
    <row r="583" spans="2:14" x14ac:dyDescent="0.2">
      <c r="B583" s="5" t="s">
        <v>8</v>
      </c>
      <c r="C583" s="6">
        <v>131</v>
      </c>
      <c r="D583" s="6">
        <v>114</v>
      </c>
      <c r="E583" s="2">
        <f>C583-D583</f>
        <v>17</v>
      </c>
      <c r="F583" s="3">
        <f t="shared" si="221"/>
        <v>0.87022900763358779</v>
      </c>
      <c r="G583" s="2">
        <v>5</v>
      </c>
      <c r="H583" s="4">
        <f t="shared" si="223"/>
        <v>22.8</v>
      </c>
      <c r="I583" s="10">
        <v>45999</v>
      </c>
      <c r="J583" s="17">
        <v>1</v>
      </c>
    </row>
    <row r="584" spans="2:14" x14ac:dyDescent="0.2">
      <c r="B584" s="1" t="s">
        <v>9</v>
      </c>
      <c r="C584" s="2">
        <v>42</v>
      </c>
      <c r="D584" s="2">
        <v>36</v>
      </c>
      <c r="E584" s="2">
        <f>C584-D584</f>
        <v>6</v>
      </c>
      <c r="F584" s="3">
        <f t="shared" ref="F584:F591" si="224">D584/C584</f>
        <v>0.8571428571428571</v>
      </c>
      <c r="G584" s="2">
        <v>6</v>
      </c>
      <c r="H584" s="4">
        <f t="shared" si="223"/>
        <v>6</v>
      </c>
      <c r="I584" s="10">
        <v>45999</v>
      </c>
      <c r="J584" s="17"/>
    </row>
    <row r="585" spans="2:14" x14ac:dyDescent="0.2">
      <c r="B585" s="5" t="s">
        <v>10</v>
      </c>
      <c r="C585" s="6">
        <v>34</v>
      </c>
      <c r="D585" s="6">
        <v>0</v>
      </c>
      <c r="E585" s="2">
        <f>C585-D585</f>
        <v>34</v>
      </c>
      <c r="F585" s="3">
        <f t="shared" si="224"/>
        <v>0</v>
      </c>
      <c r="G585" s="6">
        <v>13</v>
      </c>
      <c r="H585" s="4">
        <f t="shared" si="223"/>
        <v>0</v>
      </c>
      <c r="I585" s="10">
        <v>45999</v>
      </c>
      <c r="J585" s="17"/>
    </row>
    <row r="586" spans="2:14" x14ac:dyDescent="0.2">
      <c r="B586" s="1" t="s">
        <v>11</v>
      </c>
      <c r="C586" s="20">
        <v>1588</v>
      </c>
      <c r="D586" s="20">
        <v>1588</v>
      </c>
      <c r="E586" s="2">
        <f>C586-D586</f>
        <v>0</v>
      </c>
      <c r="F586" s="3">
        <f t="shared" si="224"/>
        <v>1</v>
      </c>
      <c r="G586" s="6">
        <v>9</v>
      </c>
      <c r="H586" s="4">
        <f t="shared" si="223"/>
        <v>176.44444444444446</v>
      </c>
      <c r="I586" s="10">
        <v>45999</v>
      </c>
      <c r="J586" s="17">
        <v>17</v>
      </c>
      <c r="K586">
        <v>10</v>
      </c>
    </row>
    <row r="587" spans="2:14" x14ac:dyDescent="0.2">
      <c r="B587" s="5" t="s">
        <v>12</v>
      </c>
      <c r="C587" s="20">
        <v>53</v>
      </c>
      <c r="D587" s="20">
        <v>53</v>
      </c>
      <c r="E587" s="20">
        <f>C587-D587</f>
        <v>0</v>
      </c>
      <c r="F587" s="3">
        <f t="shared" si="224"/>
        <v>1</v>
      </c>
      <c r="G587" s="6">
        <v>16</v>
      </c>
      <c r="H587" s="4">
        <f t="shared" si="223"/>
        <v>3.3125</v>
      </c>
      <c r="I587" s="10">
        <v>45999</v>
      </c>
      <c r="J587" s="17"/>
    </row>
    <row r="588" spans="2:14" x14ac:dyDescent="0.2">
      <c r="B588" s="5" t="s">
        <v>17</v>
      </c>
      <c r="C588" s="2">
        <v>152</v>
      </c>
      <c r="D588" s="6">
        <v>130</v>
      </c>
      <c r="E588" s="2">
        <f t="shared" ref="E588:E590" si="225">C588-D588</f>
        <v>22</v>
      </c>
      <c r="F588" s="3">
        <f t="shared" si="224"/>
        <v>0.85526315789473684</v>
      </c>
      <c r="G588" s="6">
        <v>6</v>
      </c>
      <c r="H588" s="4">
        <f t="shared" si="223"/>
        <v>21.666666666666668</v>
      </c>
      <c r="I588" s="10">
        <v>45999</v>
      </c>
      <c r="J588" s="17"/>
      <c r="L588">
        <v>6</v>
      </c>
      <c r="N588">
        <v>13</v>
      </c>
    </row>
    <row r="589" spans="2:14" x14ac:dyDescent="0.2">
      <c r="B589" s="5" t="s">
        <v>50</v>
      </c>
      <c r="C589" s="2">
        <v>444</v>
      </c>
      <c r="D589" s="6">
        <v>371</v>
      </c>
      <c r="E589" s="2">
        <f t="shared" si="225"/>
        <v>73</v>
      </c>
      <c r="F589" s="3">
        <f t="shared" si="224"/>
        <v>0.8355855855855856</v>
      </c>
      <c r="G589" s="6">
        <v>2</v>
      </c>
      <c r="H589" s="4">
        <f t="shared" ref="H589:H596" si="226">D589/G589</f>
        <v>185.5</v>
      </c>
      <c r="I589" s="10">
        <v>45999</v>
      </c>
      <c r="J589" s="17"/>
    </row>
    <row r="590" spans="2:14" x14ac:dyDescent="0.2">
      <c r="B590" s="1" t="s">
        <v>7</v>
      </c>
      <c r="C590" s="20">
        <v>130</v>
      </c>
      <c r="D590" s="20">
        <v>129</v>
      </c>
      <c r="E590" s="20">
        <f t="shared" si="225"/>
        <v>1</v>
      </c>
      <c r="F590" s="3">
        <f t="shared" si="224"/>
        <v>0.99230769230769234</v>
      </c>
      <c r="G590" s="2">
        <v>3</v>
      </c>
      <c r="H590" s="4">
        <f t="shared" si="226"/>
        <v>43</v>
      </c>
      <c r="I590" s="10">
        <v>46000</v>
      </c>
      <c r="J590" s="17">
        <v>1</v>
      </c>
      <c r="M590">
        <v>7</v>
      </c>
    </row>
    <row r="591" spans="2:14" x14ac:dyDescent="0.2">
      <c r="B591" s="5" t="s">
        <v>8</v>
      </c>
      <c r="C591" s="6">
        <v>116</v>
      </c>
      <c r="D591" s="6">
        <v>109</v>
      </c>
      <c r="E591" s="2">
        <f>C591-D591</f>
        <v>7</v>
      </c>
      <c r="F591" s="3">
        <f t="shared" si="224"/>
        <v>0.93965517241379315</v>
      </c>
      <c r="G591" s="2">
        <v>5</v>
      </c>
      <c r="H591" s="4">
        <f t="shared" si="226"/>
        <v>21.8</v>
      </c>
      <c r="I591" s="10">
        <v>46000</v>
      </c>
      <c r="J591" s="17">
        <v>1</v>
      </c>
    </row>
    <row r="592" spans="2:14" x14ac:dyDescent="0.2">
      <c r="B592" s="1" t="s">
        <v>9</v>
      </c>
      <c r="C592" s="2">
        <v>11</v>
      </c>
      <c r="D592" s="2">
        <v>11</v>
      </c>
      <c r="E592" s="2">
        <f>C592-D592</f>
        <v>0</v>
      </c>
      <c r="F592" s="3">
        <f t="shared" ref="F592:F599" si="227">D592/C592</f>
        <v>1</v>
      </c>
      <c r="G592" s="2">
        <v>5</v>
      </c>
      <c r="H592" s="4">
        <f t="shared" si="226"/>
        <v>2.2000000000000002</v>
      </c>
      <c r="I592" s="10">
        <v>46000</v>
      </c>
      <c r="J592" s="17"/>
    </row>
    <row r="593" spans="2:14" x14ac:dyDescent="0.2">
      <c r="B593" s="5" t="s">
        <v>10</v>
      </c>
      <c r="C593" s="6">
        <v>266</v>
      </c>
      <c r="D593" s="6">
        <v>0</v>
      </c>
      <c r="E593" s="2">
        <f>C593-D593</f>
        <v>266</v>
      </c>
      <c r="F593" s="3">
        <f t="shared" si="227"/>
        <v>0</v>
      </c>
      <c r="G593" s="6">
        <v>13</v>
      </c>
      <c r="H593" s="4">
        <f t="shared" si="226"/>
        <v>0</v>
      </c>
      <c r="I593" s="10">
        <v>46000</v>
      </c>
      <c r="J593" s="17">
        <v>8</v>
      </c>
    </row>
    <row r="594" spans="2:14" x14ac:dyDescent="0.2">
      <c r="B594" s="1" t="s">
        <v>11</v>
      </c>
      <c r="C594" s="20">
        <v>368</v>
      </c>
      <c r="D594" s="20">
        <v>357</v>
      </c>
      <c r="E594" s="2">
        <f>C594-D594</f>
        <v>11</v>
      </c>
      <c r="F594" s="3">
        <f t="shared" si="227"/>
        <v>0.97010869565217395</v>
      </c>
      <c r="G594" s="6">
        <v>8</v>
      </c>
      <c r="H594" s="4">
        <f t="shared" si="226"/>
        <v>44.625</v>
      </c>
      <c r="I594" s="10">
        <v>46000</v>
      </c>
      <c r="J594" s="17">
        <v>1</v>
      </c>
      <c r="K594">
        <v>13</v>
      </c>
    </row>
    <row r="595" spans="2:14" x14ac:dyDescent="0.2">
      <c r="B595" s="5" t="s">
        <v>12</v>
      </c>
      <c r="C595" s="20">
        <v>140</v>
      </c>
      <c r="D595" s="20">
        <v>139</v>
      </c>
      <c r="E595" s="20">
        <f>C595-D595</f>
        <v>1</v>
      </c>
      <c r="F595" s="3">
        <f t="shared" si="227"/>
        <v>0.99285714285714288</v>
      </c>
      <c r="G595" s="6">
        <v>17</v>
      </c>
      <c r="H595" s="4">
        <f t="shared" si="226"/>
        <v>8.1764705882352935</v>
      </c>
      <c r="I595" s="10">
        <v>46000</v>
      </c>
      <c r="J595" s="17"/>
    </row>
    <row r="596" spans="2:14" x14ac:dyDescent="0.2">
      <c r="B596" s="5" t="s">
        <v>17</v>
      </c>
      <c r="C596" s="2">
        <v>422</v>
      </c>
      <c r="D596" s="6">
        <v>419</v>
      </c>
      <c r="E596" s="2">
        <f t="shared" ref="E596:E598" si="228">C596-D596</f>
        <v>3</v>
      </c>
      <c r="F596" s="3">
        <f t="shared" si="227"/>
        <v>0.99289099526066349</v>
      </c>
      <c r="G596" s="6">
        <v>5</v>
      </c>
      <c r="H596" s="4">
        <f t="shared" si="226"/>
        <v>83.8</v>
      </c>
      <c r="I596" s="10">
        <v>46000</v>
      </c>
      <c r="J596" s="17"/>
      <c r="L596">
        <v>9</v>
      </c>
      <c r="N596">
        <v>25</v>
      </c>
    </row>
    <row r="597" spans="2:14" x14ac:dyDescent="0.2">
      <c r="B597" s="5" t="s">
        <v>50</v>
      </c>
      <c r="C597" s="2">
        <v>170</v>
      </c>
      <c r="D597" s="6">
        <v>84</v>
      </c>
      <c r="E597" s="2">
        <f t="shared" si="228"/>
        <v>86</v>
      </c>
      <c r="F597" s="3">
        <f t="shared" si="227"/>
        <v>0.49411764705882355</v>
      </c>
      <c r="G597" s="6">
        <v>2</v>
      </c>
      <c r="H597" s="4">
        <f t="shared" ref="H597:H604" si="229">D597/G597</f>
        <v>42</v>
      </c>
      <c r="I597" s="10">
        <v>46000</v>
      </c>
      <c r="J597" s="17"/>
    </row>
    <row r="598" spans="2:14" x14ac:dyDescent="0.2">
      <c r="B598" s="1" t="s">
        <v>7</v>
      </c>
      <c r="C598" s="20">
        <v>379</v>
      </c>
      <c r="D598" s="20">
        <v>314</v>
      </c>
      <c r="E598" s="20">
        <f t="shared" si="228"/>
        <v>65</v>
      </c>
      <c r="F598" s="3">
        <f t="shared" si="227"/>
        <v>0.82849604221635886</v>
      </c>
      <c r="G598" s="2">
        <v>3</v>
      </c>
      <c r="H598" s="4">
        <f t="shared" si="229"/>
        <v>104.66666666666667</v>
      </c>
      <c r="I598" s="10">
        <v>46001</v>
      </c>
      <c r="J598" s="17"/>
      <c r="M598">
        <v>9</v>
      </c>
    </row>
    <row r="599" spans="2:14" x14ac:dyDescent="0.2">
      <c r="B599" s="5" t="s">
        <v>8</v>
      </c>
      <c r="C599" s="6">
        <v>148</v>
      </c>
      <c r="D599" s="6">
        <v>115</v>
      </c>
      <c r="E599" s="2">
        <f>C599-D599</f>
        <v>33</v>
      </c>
      <c r="F599" s="3">
        <f t="shared" si="227"/>
        <v>0.77702702702702697</v>
      </c>
      <c r="G599" s="2">
        <v>7</v>
      </c>
      <c r="H599" s="4">
        <f t="shared" si="229"/>
        <v>16.428571428571427</v>
      </c>
      <c r="I599" s="10">
        <v>46001</v>
      </c>
      <c r="J599" s="17"/>
    </row>
    <row r="600" spans="2:14" x14ac:dyDescent="0.2">
      <c r="B600" s="1" t="s">
        <v>9</v>
      </c>
      <c r="C600" s="2">
        <v>68</v>
      </c>
      <c r="D600" s="2">
        <v>67</v>
      </c>
      <c r="E600" s="2">
        <f>C600-D600</f>
        <v>1</v>
      </c>
      <c r="F600" s="3">
        <f t="shared" ref="F600:F607" si="230">D600/C600</f>
        <v>0.98529411764705888</v>
      </c>
      <c r="G600" s="2">
        <v>7</v>
      </c>
      <c r="H600" s="4">
        <f t="shared" si="229"/>
        <v>9.5714285714285712</v>
      </c>
      <c r="I600" s="10">
        <v>46001</v>
      </c>
      <c r="J600" s="17"/>
    </row>
    <row r="601" spans="2:14" x14ac:dyDescent="0.2">
      <c r="B601" s="5" t="s">
        <v>10</v>
      </c>
      <c r="C601" s="6">
        <v>90</v>
      </c>
      <c r="D601" s="6">
        <v>0</v>
      </c>
      <c r="E601" s="2">
        <f>C601-D601</f>
        <v>90</v>
      </c>
      <c r="F601" s="3">
        <f t="shared" si="230"/>
        <v>0</v>
      </c>
      <c r="G601" s="6">
        <v>13</v>
      </c>
      <c r="H601" s="4">
        <f t="shared" si="229"/>
        <v>0</v>
      </c>
      <c r="I601" s="10">
        <v>46001</v>
      </c>
      <c r="J601" s="17">
        <v>36</v>
      </c>
    </row>
    <row r="602" spans="2:14" x14ac:dyDescent="0.2">
      <c r="B602" s="1" t="s">
        <v>11</v>
      </c>
      <c r="C602" s="20">
        <v>3749</v>
      </c>
      <c r="D602" s="20">
        <v>3747</v>
      </c>
      <c r="E602" s="2">
        <f>C602-D602</f>
        <v>2</v>
      </c>
      <c r="F602" s="3">
        <f t="shared" si="230"/>
        <v>0.99946652440650841</v>
      </c>
      <c r="G602" s="6">
        <v>9</v>
      </c>
      <c r="H602" s="4">
        <f t="shared" si="229"/>
        <v>416.33333333333331</v>
      </c>
      <c r="I602" s="10">
        <v>46001</v>
      </c>
      <c r="J602" s="17">
        <v>4</v>
      </c>
      <c r="K602">
        <v>11</v>
      </c>
    </row>
    <row r="603" spans="2:14" x14ac:dyDescent="0.2">
      <c r="B603" s="5" t="s">
        <v>12</v>
      </c>
      <c r="C603" s="20">
        <v>38</v>
      </c>
      <c r="D603" s="20">
        <v>38</v>
      </c>
      <c r="E603" s="20">
        <f>C603-D603</f>
        <v>0</v>
      </c>
      <c r="F603" s="3">
        <f t="shared" si="230"/>
        <v>1</v>
      </c>
      <c r="G603" s="6">
        <v>17</v>
      </c>
      <c r="H603" s="4">
        <f t="shared" si="229"/>
        <v>2.2352941176470589</v>
      </c>
      <c r="I603" s="10">
        <v>46001</v>
      </c>
      <c r="J603" s="17"/>
    </row>
    <row r="604" spans="2:14" x14ac:dyDescent="0.2">
      <c r="B604" s="5" t="s">
        <v>17</v>
      </c>
      <c r="C604" s="2">
        <v>1341</v>
      </c>
      <c r="D604" s="6">
        <v>1220</v>
      </c>
      <c r="E604" s="2">
        <f t="shared" ref="E604:E606" si="231">C604-D604</f>
        <v>121</v>
      </c>
      <c r="F604" s="3">
        <f t="shared" si="230"/>
        <v>0.90976882923191649</v>
      </c>
      <c r="G604" s="6">
        <v>4</v>
      </c>
      <c r="H604" s="4">
        <f t="shared" si="229"/>
        <v>305</v>
      </c>
      <c r="I604" s="10">
        <v>46001</v>
      </c>
      <c r="J604" s="17"/>
      <c r="L604">
        <v>19</v>
      </c>
      <c r="N604">
        <v>74</v>
      </c>
    </row>
    <row r="605" spans="2:14" x14ac:dyDescent="0.2">
      <c r="B605" s="5" t="s">
        <v>50</v>
      </c>
      <c r="C605" s="2">
        <v>241</v>
      </c>
      <c r="D605" s="6">
        <v>234</v>
      </c>
      <c r="E605" s="2">
        <f t="shared" si="231"/>
        <v>7</v>
      </c>
      <c r="F605" s="3">
        <f t="shared" si="230"/>
        <v>0.97095435684647302</v>
      </c>
      <c r="G605" s="6">
        <v>2</v>
      </c>
      <c r="H605" s="4">
        <f t="shared" ref="H605:H612" si="232">D605/G605</f>
        <v>117</v>
      </c>
      <c r="I605" s="10">
        <v>46001</v>
      </c>
      <c r="J605" s="17"/>
    </row>
    <row r="606" spans="2:14" x14ac:dyDescent="0.2">
      <c r="B606" s="1" t="s">
        <v>7</v>
      </c>
      <c r="C606" s="20">
        <v>1156</v>
      </c>
      <c r="D606" s="20">
        <v>1100</v>
      </c>
      <c r="E606" s="20">
        <f t="shared" si="231"/>
        <v>56</v>
      </c>
      <c r="F606" s="3">
        <f t="shared" si="230"/>
        <v>0.95155709342560557</v>
      </c>
      <c r="G606" s="2">
        <v>3</v>
      </c>
      <c r="H606" s="4">
        <f t="shared" si="232"/>
        <v>366.66666666666669</v>
      </c>
      <c r="I606" s="10">
        <v>46002</v>
      </c>
      <c r="J606" s="17"/>
      <c r="M606">
        <v>8</v>
      </c>
    </row>
    <row r="607" spans="2:14" x14ac:dyDescent="0.2">
      <c r="B607" s="5" t="s">
        <v>8</v>
      </c>
      <c r="C607" s="6">
        <v>74</v>
      </c>
      <c r="D607" s="6">
        <v>26</v>
      </c>
      <c r="E607" s="2">
        <f>C607-D607</f>
        <v>48</v>
      </c>
      <c r="F607" s="3">
        <f t="shared" si="230"/>
        <v>0.35135135135135137</v>
      </c>
      <c r="G607" s="2">
        <v>7</v>
      </c>
      <c r="H607" s="4">
        <f t="shared" si="232"/>
        <v>3.7142857142857144</v>
      </c>
      <c r="I607" s="10">
        <v>46002</v>
      </c>
      <c r="J607" s="17">
        <v>5</v>
      </c>
    </row>
    <row r="608" spans="2:14" x14ac:dyDescent="0.2">
      <c r="B608" s="1" t="s">
        <v>9</v>
      </c>
      <c r="C608" s="2">
        <v>52</v>
      </c>
      <c r="D608" s="2">
        <v>30</v>
      </c>
      <c r="E608" s="2">
        <f>C608-D608</f>
        <v>22</v>
      </c>
      <c r="F608" s="3">
        <f t="shared" ref="F608:F615" si="233">D608/C608</f>
        <v>0.57692307692307687</v>
      </c>
      <c r="G608" s="2">
        <v>7</v>
      </c>
      <c r="H608" s="4">
        <f t="shared" si="232"/>
        <v>4.2857142857142856</v>
      </c>
      <c r="I608" s="10">
        <v>46002</v>
      </c>
      <c r="J608" s="17"/>
    </row>
    <row r="609" spans="2:14" x14ac:dyDescent="0.2">
      <c r="B609" s="5" t="s">
        <v>10</v>
      </c>
      <c r="C609" s="6">
        <v>244</v>
      </c>
      <c r="D609" s="6">
        <v>239</v>
      </c>
      <c r="E609" s="2">
        <f>C609-D609</f>
        <v>5</v>
      </c>
      <c r="F609" s="3">
        <f t="shared" si="233"/>
        <v>0.97950819672131151</v>
      </c>
      <c r="G609" s="6">
        <v>13</v>
      </c>
      <c r="H609" s="4">
        <f t="shared" si="232"/>
        <v>18.384615384615383</v>
      </c>
      <c r="I609" s="10">
        <v>46002</v>
      </c>
      <c r="J609" s="17"/>
    </row>
    <row r="610" spans="2:14" x14ac:dyDescent="0.2">
      <c r="B610" s="1" t="s">
        <v>11</v>
      </c>
      <c r="C610" s="20">
        <v>3888</v>
      </c>
      <c r="D610" s="20">
        <v>3876</v>
      </c>
      <c r="E610" s="2">
        <f>C610-D610</f>
        <v>12</v>
      </c>
      <c r="F610" s="3">
        <f t="shared" si="233"/>
        <v>0.99691358024691357</v>
      </c>
      <c r="G610" s="6">
        <v>9</v>
      </c>
      <c r="H610" s="4">
        <f t="shared" si="232"/>
        <v>430.66666666666669</v>
      </c>
      <c r="I610" s="10">
        <v>46002</v>
      </c>
      <c r="J610" s="17">
        <v>1</v>
      </c>
      <c r="K610">
        <v>13</v>
      </c>
    </row>
    <row r="611" spans="2:14" x14ac:dyDescent="0.2">
      <c r="B611" s="5" t="s">
        <v>12</v>
      </c>
      <c r="C611" s="20">
        <v>246</v>
      </c>
      <c r="D611" s="20">
        <v>246</v>
      </c>
      <c r="E611" s="20">
        <f>C611-D611</f>
        <v>0</v>
      </c>
      <c r="F611" s="3">
        <f t="shared" si="233"/>
        <v>1</v>
      </c>
      <c r="G611" s="6">
        <v>17</v>
      </c>
      <c r="H611" s="4">
        <f t="shared" si="232"/>
        <v>14.470588235294118</v>
      </c>
      <c r="I611" s="10">
        <v>46002</v>
      </c>
      <c r="J611" s="17"/>
    </row>
    <row r="612" spans="2:14" x14ac:dyDescent="0.2">
      <c r="B612" s="5" t="s">
        <v>17</v>
      </c>
      <c r="C612" s="2">
        <v>11</v>
      </c>
      <c r="D612" s="6">
        <v>11</v>
      </c>
      <c r="E612" s="2">
        <f t="shared" ref="E612:E614" si="234">C612-D612</f>
        <v>0</v>
      </c>
      <c r="F612" s="3">
        <f t="shared" si="233"/>
        <v>1</v>
      </c>
      <c r="G612" s="6">
        <v>4</v>
      </c>
      <c r="H612" s="4">
        <f t="shared" si="232"/>
        <v>2.75</v>
      </c>
      <c r="I612" s="10">
        <v>46002</v>
      </c>
      <c r="J612" s="17"/>
      <c r="L612">
        <v>1</v>
      </c>
      <c r="N612">
        <v>1</v>
      </c>
    </row>
    <row r="613" spans="2:14" x14ac:dyDescent="0.2">
      <c r="B613" s="5" t="s">
        <v>50</v>
      </c>
      <c r="C613" s="2">
        <v>363</v>
      </c>
      <c r="D613" s="6">
        <v>361</v>
      </c>
      <c r="E613" s="2">
        <f t="shared" si="234"/>
        <v>2</v>
      </c>
      <c r="F613" s="3">
        <f t="shared" si="233"/>
        <v>0.99449035812672182</v>
      </c>
      <c r="G613" s="6">
        <v>2</v>
      </c>
      <c r="H613" s="4">
        <f t="shared" ref="H613:H620" si="235">D613/G613</f>
        <v>180.5</v>
      </c>
      <c r="I613" s="10">
        <v>46002</v>
      </c>
      <c r="J613" s="17"/>
    </row>
    <row r="614" spans="2:14" x14ac:dyDescent="0.2">
      <c r="B614" s="1" t="s">
        <v>7</v>
      </c>
      <c r="C614" s="20">
        <v>43</v>
      </c>
      <c r="D614" s="20">
        <v>43</v>
      </c>
      <c r="E614" s="20">
        <f t="shared" si="234"/>
        <v>0</v>
      </c>
      <c r="F614" s="3">
        <f t="shared" si="233"/>
        <v>1</v>
      </c>
      <c r="G614" s="2">
        <v>3</v>
      </c>
      <c r="H614" s="4">
        <f t="shared" si="235"/>
        <v>14.333333333333334</v>
      </c>
      <c r="I614" s="10">
        <v>46003</v>
      </c>
      <c r="J614" s="17"/>
      <c r="M614">
        <v>2</v>
      </c>
    </row>
    <row r="615" spans="2:14" x14ac:dyDescent="0.2">
      <c r="B615" s="5" t="s">
        <v>8</v>
      </c>
      <c r="C615" s="6">
        <v>1342</v>
      </c>
      <c r="D615" s="6">
        <v>882</v>
      </c>
      <c r="E615" s="2">
        <f>C615-D615</f>
        <v>460</v>
      </c>
      <c r="F615" s="3">
        <f t="shared" si="233"/>
        <v>0.65722801788375562</v>
      </c>
      <c r="G615" s="2">
        <v>8</v>
      </c>
      <c r="H615" s="4">
        <f t="shared" si="235"/>
        <v>110.25</v>
      </c>
      <c r="I615" s="10">
        <v>46003</v>
      </c>
      <c r="J615" s="17">
        <v>1</v>
      </c>
    </row>
    <row r="616" spans="2:14" x14ac:dyDescent="0.2">
      <c r="B616" s="1" t="s">
        <v>9</v>
      </c>
      <c r="C616" s="2">
        <v>72</v>
      </c>
      <c r="D616" s="2">
        <v>70</v>
      </c>
      <c r="E616" s="2">
        <f>C616-D616</f>
        <v>2</v>
      </c>
      <c r="F616" s="3">
        <f t="shared" ref="F616:F623" si="236">D616/C616</f>
        <v>0.97222222222222221</v>
      </c>
      <c r="G616" s="2">
        <v>7</v>
      </c>
      <c r="H616" s="4">
        <f t="shared" si="235"/>
        <v>10</v>
      </c>
      <c r="I616" s="10">
        <v>46003</v>
      </c>
      <c r="J616" s="17"/>
    </row>
    <row r="617" spans="2:14" x14ac:dyDescent="0.2">
      <c r="B617" s="5" t="s">
        <v>10</v>
      </c>
      <c r="C617" s="6">
        <f>789+179</f>
        <v>968</v>
      </c>
      <c r="D617" s="6">
        <v>603</v>
      </c>
      <c r="E617" s="2">
        <f>C617-D617</f>
        <v>365</v>
      </c>
      <c r="F617" s="3">
        <f t="shared" si="236"/>
        <v>0.62293388429752061</v>
      </c>
      <c r="G617" s="6">
        <v>13</v>
      </c>
      <c r="H617" s="4">
        <f t="shared" si="235"/>
        <v>46.384615384615387</v>
      </c>
      <c r="I617" s="10">
        <v>46003</v>
      </c>
      <c r="J617" s="17"/>
    </row>
    <row r="618" spans="2:14" x14ac:dyDescent="0.2">
      <c r="B618" s="1" t="s">
        <v>11</v>
      </c>
      <c r="C618" s="20">
        <v>135</v>
      </c>
      <c r="D618" s="20">
        <v>123</v>
      </c>
      <c r="E618" s="2">
        <f>C618-D618</f>
        <v>12</v>
      </c>
      <c r="F618" s="3">
        <f t="shared" si="236"/>
        <v>0.91111111111111109</v>
      </c>
      <c r="G618" s="6">
        <v>9</v>
      </c>
      <c r="H618" s="4">
        <f t="shared" si="235"/>
        <v>13.666666666666666</v>
      </c>
      <c r="I618" s="10">
        <v>46003</v>
      </c>
      <c r="J618" s="17">
        <v>15</v>
      </c>
      <c r="K618">
        <v>3</v>
      </c>
    </row>
    <row r="619" spans="2:14" x14ac:dyDescent="0.2">
      <c r="B619" s="5" t="s">
        <v>12</v>
      </c>
      <c r="C619" s="20">
        <v>256</v>
      </c>
      <c r="D619" s="20">
        <v>256</v>
      </c>
      <c r="E619" s="20">
        <f>C619-D619</f>
        <v>0</v>
      </c>
      <c r="F619" s="3">
        <f t="shared" si="236"/>
        <v>1</v>
      </c>
      <c r="G619" s="6">
        <v>18</v>
      </c>
      <c r="H619" s="4">
        <f t="shared" si="235"/>
        <v>14.222222222222221</v>
      </c>
      <c r="I619" s="10">
        <v>46003</v>
      </c>
      <c r="J619" s="17"/>
    </row>
    <row r="620" spans="2:14" x14ac:dyDescent="0.2">
      <c r="B620" s="5" t="s">
        <v>17</v>
      </c>
      <c r="C620" s="2">
        <v>421</v>
      </c>
      <c r="D620" s="6">
        <v>421</v>
      </c>
      <c r="E620" s="2">
        <f t="shared" ref="E620:E622" si="237">C620-D620</f>
        <v>0</v>
      </c>
      <c r="F620" s="3">
        <f t="shared" si="236"/>
        <v>1</v>
      </c>
      <c r="G620" s="6">
        <v>4</v>
      </c>
      <c r="H620" s="4">
        <f t="shared" si="235"/>
        <v>105.25</v>
      </c>
      <c r="I620" s="10">
        <v>46003</v>
      </c>
      <c r="J620" s="17"/>
      <c r="L620">
        <v>15</v>
      </c>
      <c r="N620">
        <v>8</v>
      </c>
    </row>
    <row r="621" spans="2:14" x14ac:dyDescent="0.2">
      <c r="B621" s="5" t="s">
        <v>50</v>
      </c>
      <c r="C621" s="2">
        <v>331</v>
      </c>
      <c r="D621" s="6">
        <v>331</v>
      </c>
      <c r="E621" s="2">
        <f t="shared" si="237"/>
        <v>0</v>
      </c>
      <c r="F621" s="3">
        <f t="shared" si="236"/>
        <v>1</v>
      </c>
      <c r="G621" s="6">
        <v>2</v>
      </c>
      <c r="H621" s="4">
        <f t="shared" ref="H621:H628" si="238">D621/G621</f>
        <v>165.5</v>
      </c>
      <c r="I621" s="10">
        <v>46003</v>
      </c>
      <c r="J621" s="17"/>
    </row>
    <row r="622" spans="2:14" x14ac:dyDescent="0.2">
      <c r="B622" s="1" t="s">
        <v>7</v>
      </c>
      <c r="C622" s="20">
        <v>247</v>
      </c>
      <c r="D622" s="20">
        <v>247</v>
      </c>
      <c r="E622" s="20">
        <f t="shared" si="237"/>
        <v>0</v>
      </c>
      <c r="F622" s="3">
        <f t="shared" si="236"/>
        <v>1</v>
      </c>
      <c r="G622" s="2">
        <v>3</v>
      </c>
      <c r="H622" s="4">
        <f t="shared" si="238"/>
        <v>82.333333333333329</v>
      </c>
      <c r="I622" s="10">
        <v>46006</v>
      </c>
      <c r="J622" s="17"/>
      <c r="M622">
        <v>12</v>
      </c>
    </row>
    <row r="623" spans="2:14" x14ac:dyDescent="0.2">
      <c r="B623" s="5" t="s">
        <v>8</v>
      </c>
      <c r="C623" s="6">
        <v>16</v>
      </c>
      <c r="D623" s="6">
        <v>15</v>
      </c>
      <c r="E623" s="2">
        <f>C623-D623</f>
        <v>1</v>
      </c>
      <c r="F623" s="3">
        <f t="shared" si="236"/>
        <v>0.9375</v>
      </c>
      <c r="G623" s="2">
        <v>8</v>
      </c>
      <c r="H623" s="4">
        <f t="shared" si="238"/>
        <v>1.875</v>
      </c>
      <c r="I623" s="10">
        <v>46006</v>
      </c>
      <c r="J623" s="17">
        <v>4</v>
      </c>
    </row>
    <row r="624" spans="2:14" x14ac:dyDescent="0.2">
      <c r="B624" s="1" t="s">
        <v>9</v>
      </c>
      <c r="C624" s="2">
        <v>72</v>
      </c>
      <c r="D624" s="2">
        <v>19</v>
      </c>
      <c r="E624" s="2">
        <f>C624-D624</f>
        <v>53</v>
      </c>
      <c r="F624" s="3">
        <f t="shared" ref="F624:F631" si="239">D624/C624</f>
        <v>0.2638888888888889</v>
      </c>
      <c r="G624" s="2">
        <v>7</v>
      </c>
      <c r="H624" s="4">
        <f t="shared" si="238"/>
        <v>2.7142857142857144</v>
      </c>
      <c r="I624" s="10">
        <v>46006</v>
      </c>
      <c r="J624" s="17"/>
    </row>
    <row r="625" spans="2:14" x14ac:dyDescent="0.2">
      <c r="B625" s="5" t="s">
        <v>10</v>
      </c>
      <c r="C625" s="6">
        <f>155+546</f>
        <v>701</v>
      </c>
      <c r="D625" s="6">
        <f>127+37</f>
        <v>164</v>
      </c>
      <c r="E625" s="2">
        <f>C625-D625</f>
        <v>537</v>
      </c>
      <c r="F625" s="3">
        <f t="shared" si="239"/>
        <v>0.23395149786019973</v>
      </c>
      <c r="G625" s="6">
        <v>13</v>
      </c>
      <c r="H625" s="4">
        <f t="shared" si="238"/>
        <v>12.615384615384615</v>
      </c>
      <c r="I625" s="10">
        <v>46006</v>
      </c>
      <c r="J625" s="17"/>
    </row>
    <row r="626" spans="2:14" x14ac:dyDescent="0.2">
      <c r="B626" s="1" t="s">
        <v>11</v>
      </c>
      <c r="C626" s="20">
        <v>716</v>
      </c>
      <c r="D626" s="20">
        <v>616</v>
      </c>
      <c r="E626" s="2">
        <f>C626-D626</f>
        <v>100</v>
      </c>
      <c r="F626" s="3">
        <f t="shared" si="239"/>
        <v>0.86033519553072624</v>
      </c>
      <c r="G626" s="6">
        <v>9</v>
      </c>
      <c r="H626" s="4">
        <f t="shared" si="238"/>
        <v>68.444444444444443</v>
      </c>
      <c r="I626" s="10">
        <v>46006</v>
      </c>
      <c r="J626" s="17">
        <v>17</v>
      </c>
      <c r="K626">
        <v>12</v>
      </c>
    </row>
    <row r="627" spans="2:14" x14ac:dyDescent="0.2">
      <c r="B627" s="5" t="s">
        <v>12</v>
      </c>
      <c r="C627" s="20">
        <v>75</v>
      </c>
      <c r="D627" s="20">
        <v>70</v>
      </c>
      <c r="E627" s="20">
        <f>C627-D627</f>
        <v>5</v>
      </c>
      <c r="F627" s="3">
        <f t="shared" si="239"/>
        <v>0.93333333333333335</v>
      </c>
      <c r="G627" s="6">
        <v>18</v>
      </c>
      <c r="H627" s="4">
        <f t="shared" si="238"/>
        <v>3.8888888888888888</v>
      </c>
      <c r="I627" s="10">
        <v>46006</v>
      </c>
      <c r="J627" s="17"/>
    </row>
    <row r="628" spans="2:14" x14ac:dyDescent="0.2">
      <c r="B628" s="5" t="s">
        <v>17</v>
      </c>
      <c r="C628" s="2">
        <v>554</v>
      </c>
      <c r="D628" s="6">
        <v>504</v>
      </c>
      <c r="E628" s="2">
        <f t="shared" ref="E628:E630" si="240">C628-D628</f>
        <v>50</v>
      </c>
      <c r="F628" s="3">
        <f t="shared" si="239"/>
        <v>0.90974729241877261</v>
      </c>
      <c r="G628" s="6">
        <v>6</v>
      </c>
      <c r="H628" s="4">
        <f t="shared" si="238"/>
        <v>84</v>
      </c>
      <c r="I628" s="10">
        <v>46006</v>
      </c>
      <c r="J628" s="17"/>
      <c r="L628">
        <v>9</v>
      </c>
      <c r="N628">
        <v>13</v>
      </c>
    </row>
    <row r="629" spans="2:14" x14ac:dyDescent="0.2">
      <c r="B629" s="5" t="s">
        <v>50</v>
      </c>
      <c r="C629" s="2">
        <v>387</v>
      </c>
      <c r="D629" s="6">
        <v>387</v>
      </c>
      <c r="E629" s="2">
        <f t="shared" si="240"/>
        <v>0</v>
      </c>
      <c r="F629" s="3">
        <f t="shared" si="239"/>
        <v>1</v>
      </c>
      <c r="G629" s="6">
        <v>2</v>
      </c>
      <c r="H629" s="4">
        <f t="shared" ref="H629:H636" si="241">D629/G629</f>
        <v>193.5</v>
      </c>
      <c r="I629" s="10">
        <v>46006</v>
      </c>
      <c r="J629" s="17"/>
    </row>
    <row r="630" spans="2:14" x14ac:dyDescent="0.2">
      <c r="B630" s="1" t="s">
        <v>7</v>
      </c>
      <c r="C630" s="20">
        <v>478</v>
      </c>
      <c r="D630" s="20">
        <v>478</v>
      </c>
      <c r="E630" s="20">
        <f t="shared" si="240"/>
        <v>0</v>
      </c>
      <c r="F630" s="3">
        <f t="shared" si="239"/>
        <v>1</v>
      </c>
      <c r="G630" s="2">
        <v>3</v>
      </c>
      <c r="H630" s="4">
        <f t="shared" si="241"/>
        <v>159.33333333333334</v>
      </c>
      <c r="I630" s="10">
        <v>46007</v>
      </c>
      <c r="M630">
        <v>7</v>
      </c>
    </row>
    <row r="631" spans="2:14" x14ac:dyDescent="0.2">
      <c r="B631" s="5" t="s">
        <v>8</v>
      </c>
      <c r="C631" s="6">
        <v>243</v>
      </c>
      <c r="D631" s="6">
        <v>209</v>
      </c>
      <c r="E631" s="2">
        <f>C631-D631</f>
        <v>34</v>
      </c>
      <c r="F631" s="3">
        <f t="shared" si="239"/>
        <v>0.86008230452674894</v>
      </c>
      <c r="G631" s="2">
        <v>9</v>
      </c>
      <c r="H631" s="4">
        <f t="shared" si="241"/>
        <v>23.222222222222221</v>
      </c>
      <c r="I631" s="10">
        <v>46007</v>
      </c>
      <c r="J631" s="17">
        <v>6</v>
      </c>
    </row>
    <row r="632" spans="2:14" x14ac:dyDescent="0.2">
      <c r="B632" s="1" t="s">
        <v>9</v>
      </c>
      <c r="C632" s="2">
        <v>422</v>
      </c>
      <c r="D632" s="2">
        <v>176</v>
      </c>
      <c r="E632" s="2">
        <f>C632-D632</f>
        <v>246</v>
      </c>
      <c r="F632" s="3">
        <f t="shared" ref="F632:F639" si="242">D632/C632</f>
        <v>0.41706161137440756</v>
      </c>
      <c r="G632" s="2">
        <v>7</v>
      </c>
      <c r="H632" s="4">
        <f t="shared" si="241"/>
        <v>25.142857142857142</v>
      </c>
      <c r="I632" s="10">
        <v>46007</v>
      </c>
    </row>
    <row r="633" spans="2:14" x14ac:dyDescent="0.2">
      <c r="B633" s="5" t="s">
        <v>10</v>
      </c>
      <c r="C633" s="6">
        <v>538</v>
      </c>
      <c r="D633" s="6">
        <f>359+98</f>
        <v>457</v>
      </c>
      <c r="E633" s="2">
        <f>C633-D633</f>
        <v>81</v>
      </c>
      <c r="F633" s="3">
        <f t="shared" si="242"/>
        <v>0.84944237918215615</v>
      </c>
      <c r="G633" s="6">
        <v>12</v>
      </c>
      <c r="H633" s="4">
        <f t="shared" si="241"/>
        <v>38.083333333333336</v>
      </c>
      <c r="I633" s="10">
        <v>46007</v>
      </c>
    </row>
    <row r="634" spans="2:14" x14ac:dyDescent="0.2">
      <c r="B634" s="1" t="s">
        <v>11</v>
      </c>
      <c r="C634" s="20">
        <v>293</v>
      </c>
      <c r="D634" s="20">
        <v>98</v>
      </c>
      <c r="E634" s="2">
        <f>C634-D634</f>
        <v>195</v>
      </c>
      <c r="F634" s="3">
        <f t="shared" si="242"/>
        <v>0.33447098976109213</v>
      </c>
      <c r="G634" s="6">
        <v>9</v>
      </c>
      <c r="H634" s="4">
        <f t="shared" si="241"/>
        <v>10.888888888888889</v>
      </c>
      <c r="I634" s="10">
        <v>46007</v>
      </c>
      <c r="J634" s="17">
        <v>4</v>
      </c>
      <c r="K634">
        <v>14</v>
      </c>
    </row>
    <row r="635" spans="2:14" x14ac:dyDescent="0.2">
      <c r="B635" s="5" t="s">
        <v>12</v>
      </c>
      <c r="C635" s="20">
        <v>85</v>
      </c>
      <c r="D635" s="20">
        <v>77</v>
      </c>
      <c r="E635" s="20">
        <f>C635-D635</f>
        <v>8</v>
      </c>
      <c r="F635" s="3">
        <f t="shared" si="242"/>
        <v>0.90588235294117647</v>
      </c>
      <c r="G635" s="6">
        <v>12</v>
      </c>
      <c r="H635" s="4">
        <f t="shared" si="241"/>
        <v>6.416666666666667</v>
      </c>
      <c r="I635" s="10">
        <v>46007</v>
      </c>
    </row>
    <row r="636" spans="2:14" x14ac:dyDescent="0.2">
      <c r="B636" s="5" t="s">
        <v>17</v>
      </c>
      <c r="C636" s="2">
        <v>1130</v>
      </c>
      <c r="D636" s="6">
        <v>1100</v>
      </c>
      <c r="E636" s="2">
        <f t="shared" ref="E636:E638" si="243">C636-D636</f>
        <v>30</v>
      </c>
      <c r="F636" s="3">
        <f t="shared" si="242"/>
        <v>0.97345132743362828</v>
      </c>
      <c r="G636" s="6">
        <v>5</v>
      </c>
      <c r="H636" s="4">
        <f t="shared" si="241"/>
        <v>220</v>
      </c>
      <c r="I636" s="10">
        <v>46007</v>
      </c>
      <c r="L636">
        <v>9</v>
      </c>
      <c r="N636">
        <v>3</v>
      </c>
    </row>
    <row r="637" spans="2:14" x14ac:dyDescent="0.2">
      <c r="B637" s="5" t="s">
        <v>50</v>
      </c>
      <c r="C637" s="2">
        <v>333</v>
      </c>
      <c r="D637" s="6">
        <v>332</v>
      </c>
      <c r="E637" s="2">
        <f t="shared" si="243"/>
        <v>1</v>
      </c>
      <c r="F637" s="3">
        <f t="shared" si="242"/>
        <v>0.99699699699699695</v>
      </c>
      <c r="G637" s="6">
        <v>2</v>
      </c>
      <c r="H637" s="4">
        <f t="shared" ref="H637:H644" si="244">D637/G637</f>
        <v>166</v>
      </c>
      <c r="I637" s="10">
        <v>46007</v>
      </c>
      <c r="J637" s="17"/>
    </row>
    <row r="638" spans="2:14" x14ac:dyDescent="0.2">
      <c r="B638" s="1" t="s">
        <v>7</v>
      </c>
      <c r="C638" s="20">
        <v>993</v>
      </c>
      <c r="D638" s="20">
        <v>978</v>
      </c>
      <c r="E638" s="20">
        <f t="shared" si="243"/>
        <v>15</v>
      </c>
      <c r="F638" s="3">
        <f t="shared" si="242"/>
        <v>0.98489425981873113</v>
      </c>
      <c r="G638" s="2">
        <v>3</v>
      </c>
      <c r="H638" s="4">
        <f t="shared" si="244"/>
        <v>326</v>
      </c>
      <c r="I638" s="10">
        <v>46008</v>
      </c>
      <c r="J638" s="17">
        <v>3</v>
      </c>
      <c r="M638">
        <v>10</v>
      </c>
    </row>
    <row r="639" spans="2:14" x14ac:dyDescent="0.2">
      <c r="B639" s="5" t="s">
        <v>8</v>
      </c>
      <c r="C639" s="6">
        <v>426</v>
      </c>
      <c r="D639" s="6">
        <v>380</v>
      </c>
      <c r="E639" s="2">
        <f>C639-D639</f>
        <v>46</v>
      </c>
      <c r="F639" s="3">
        <f t="shared" si="242"/>
        <v>0.892018779342723</v>
      </c>
      <c r="G639" s="2">
        <v>8</v>
      </c>
      <c r="H639" s="4">
        <f t="shared" si="244"/>
        <v>47.5</v>
      </c>
      <c r="I639" s="10">
        <v>46008</v>
      </c>
      <c r="J639" s="17">
        <v>15</v>
      </c>
    </row>
    <row r="640" spans="2:14" x14ac:dyDescent="0.2">
      <c r="B640" s="1" t="s">
        <v>9</v>
      </c>
      <c r="C640" s="2">
        <v>20</v>
      </c>
      <c r="D640" s="2">
        <v>4</v>
      </c>
      <c r="E640" s="2">
        <f>C640-D640</f>
        <v>16</v>
      </c>
      <c r="F640" s="3">
        <f t="shared" ref="F640:F647" si="245">D640/C640</f>
        <v>0.2</v>
      </c>
      <c r="G640" s="2">
        <v>7</v>
      </c>
      <c r="H640" s="4">
        <f t="shared" si="244"/>
        <v>0.5714285714285714</v>
      </c>
      <c r="I640" s="10">
        <v>46008</v>
      </c>
      <c r="J640" s="17"/>
    </row>
    <row r="641" spans="2:14" x14ac:dyDescent="0.2">
      <c r="B641" s="5" t="s">
        <v>10</v>
      </c>
      <c r="C641" s="6">
        <f>325+314</f>
        <v>639</v>
      </c>
      <c r="D641" s="59">
        <f>288+314</f>
        <v>602</v>
      </c>
      <c r="E641" s="2">
        <f>C641-D641</f>
        <v>37</v>
      </c>
      <c r="F641" s="3">
        <f t="shared" si="245"/>
        <v>0.94209702660406891</v>
      </c>
      <c r="G641" s="6">
        <v>11</v>
      </c>
      <c r="H641" s="4">
        <f t="shared" si="244"/>
        <v>54.727272727272727</v>
      </c>
      <c r="I641" s="10">
        <v>46008</v>
      </c>
    </row>
    <row r="642" spans="2:14" x14ac:dyDescent="0.2">
      <c r="B642" s="1" t="s">
        <v>11</v>
      </c>
      <c r="C642" s="20">
        <v>488</v>
      </c>
      <c r="D642" s="20">
        <v>488</v>
      </c>
      <c r="E642" s="2">
        <f>C642-D642</f>
        <v>0</v>
      </c>
      <c r="F642" s="3">
        <f t="shared" si="245"/>
        <v>1</v>
      </c>
      <c r="G642" s="6">
        <v>8</v>
      </c>
      <c r="H642" s="4">
        <f t="shared" si="244"/>
        <v>61</v>
      </c>
      <c r="I642" s="10">
        <v>46008</v>
      </c>
      <c r="K642">
        <v>9</v>
      </c>
    </row>
    <row r="643" spans="2:14" x14ac:dyDescent="0.2">
      <c r="B643" s="5" t="s">
        <v>12</v>
      </c>
      <c r="C643" s="20">
        <v>270</v>
      </c>
      <c r="D643" s="20">
        <v>245</v>
      </c>
      <c r="E643" s="20">
        <f>C643-D643</f>
        <v>25</v>
      </c>
      <c r="F643" s="3">
        <f t="shared" si="245"/>
        <v>0.90740740740740744</v>
      </c>
      <c r="G643" s="6">
        <v>15</v>
      </c>
      <c r="H643" s="4">
        <f t="shared" si="244"/>
        <v>16.333333333333332</v>
      </c>
      <c r="I643" s="10">
        <v>46008</v>
      </c>
      <c r="J643" s="17">
        <v>1</v>
      </c>
    </row>
    <row r="644" spans="2:14" x14ac:dyDescent="0.2">
      <c r="B644" s="5" t="s">
        <v>17</v>
      </c>
      <c r="C644" s="2">
        <v>184</v>
      </c>
      <c r="D644" s="6">
        <v>167</v>
      </c>
      <c r="E644" s="2">
        <f t="shared" ref="E644:E646" si="246">C644-D644</f>
        <v>17</v>
      </c>
      <c r="F644" s="3">
        <f t="shared" si="245"/>
        <v>0.90760869565217395</v>
      </c>
      <c r="G644" s="6">
        <v>5</v>
      </c>
      <c r="H644" s="4">
        <f t="shared" si="244"/>
        <v>33.4</v>
      </c>
      <c r="I644" s="10">
        <v>46008</v>
      </c>
      <c r="L644">
        <v>4</v>
      </c>
      <c r="N644">
        <v>20</v>
      </c>
    </row>
    <row r="645" spans="2:14" x14ac:dyDescent="0.2">
      <c r="B645" s="5" t="s">
        <v>50</v>
      </c>
      <c r="C645" s="2">
        <v>110</v>
      </c>
      <c r="D645" s="6">
        <v>108</v>
      </c>
      <c r="E645" s="2">
        <f t="shared" si="246"/>
        <v>2</v>
      </c>
      <c r="F645" s="3">
        <f t="shared" si="245"/>
        <v>0.98181818181818181</v>
      </c>
      <c r="G645" s="6">
        <v>2</v>
      </c>
      <c r="H645" s="4">
        <f t="shared" ref="H645:H652" si="247">D645/G645</f>
        <v>54</v>
      </c>
      <c r="I645" s="10">
        <v>46008</v>
      </c>
    </row>
    <row r="646" spans="2:14" x14ac:dyDescent="0.2">
      <c r="B646" s="1" t="s">
        <v>7</v>
      </c>
      <c r="C646" s="20">
        <v>166</v>
      </c>
      <c r="D646" s="20">
        <v>165</v>
      </c>
      <c r="E646" s="20">
        <f t="shared" si="246"/>
        <v>1</v>
      </c>
      <c r="F646" s="3">
        <f t="shared" si="245"/>
        <v>0.99397590361445787</v>
      </c>
      <c r="G646" s="2">
        <v>4</v>
      </c>
      <c r="H646" s="4">
        <f t="shared" si="247"/>
        <v>41.25</v>
      </c>
      <c r="I646" s="10">
        <v>46009</v>
      </c>
      <c r="J646" s="17"/>
      <c r="M646">
        <v>5</v>
      </c>
    </row>
    <row r="647" spans="2:14" x14ac:dyDescent="0.2">
      <c r="B647" s="5" t="s">
        <v>8</v>
      </c>
      <c r="C647" s="6">
        <v>750</v>
      </c>
      <c r="D647" s="6">
        <v>620</v>
      </c>
      <c r="E647" s="2">
        <f>C647-D647</f>
        <v>130</v>
      </c>
      <c r="F647" s="3">
        <f t="shared" si="245"/>
        <v>0.82666666666666666</v>
      </c>
      <c r="G647" s="2">
        <v>9</v>
      </c>
      <c r="H647" s="4">
        <f t="shared" si="247"/>
        <v>68.888888888888886</v>
      </c>
      <c r="I647" s="10">
        <v>46009</v>
      </c>
      <c r="J647" s="17">
        <v>2</v>
      </c>
    </row>
    <row r="648" spans="2:14" x14ac:dyDescent="0.2">
      <c r="B648" s="1" t="s">
        <v>9</v>
      </c>
      <c r="C648" s="2">
        <v>115</v>
      </c>
      <c r="D648" s="2">
        <v>115</v>
      </c>
      <c r="E648" s="2">
        <f>C648-D648</f>
        <v>0</v>
      </c>
      <c r="F648" s="3">
        <f t="shared" ref="F648:F655" si="248">D648/C648</f>
        <v>1</v>
      </c>
      <c r="G648" s="2">
        <v>7</v>
      </c>
      <c r="H648" s="4">
        <f t="shared" si="247"/>
        <v>16.428571428571427</v>
      </c>
      <c r="I648" s="10">
        <v>46009</v>
      </c>
      <c r="J648" s="17"/>
    </row>
    <row r="649" spans="2:14" x14ac:dyDescent="0.2">
      <c r="B649" s="5" t="s">
        <v>10</v>
      </c>
      <c r="C649" s="6">
        <v>337</v>
      </c>
      <c r="D649" s="59">
        <f>113+177</f>
        <v>290</v>
      </c>
      <c r="E649" s="2">
        <f>C649-D649</f>
        <v>47</v>
      </c>
      <c r="F649" s="3">
        <f t="shared" si="248"/>
        <v>0.86053412462908008</v>
      </c>
      <c r="G649" s="6">
        <v>12</v>
      </c>
      <c r="H649" s="4">
        <f t="shared" si="247"/>
        <v>24.166666666666668</v>
      </c>
      <c r="I649" s="10">
        <v>46009</v>
      </c>
      <c r="J649" s="17">
        <v>16</v>
      </c>
    </row>
    <row r="650" spans="2:14" x14ac:dyDescent="0.2">
      <c r="B650" s="1" t="s">
        <v>11</v>
      </c>
      <c r="C650" s="20">
        <v>783</v>
      </c>
      <c r="D650" s="20">
        <v>763</v>
      </c>
      <c r="E650" s="2">
        <f>C650-D650</f>
        <v>20</v>
      </c>
      <c r="F650" s="3">
        <f t="shared" si="248"/>
        <v>0.97445721583652622</v>
      </c>
      <c r="G650" s="6">
        <v>9</v>
      </c>
      <c r="H650" s="4">
        <f t="shared" si="247"/>
        <v>84.777777777777771</v>
      </c>
      <c r="I650" s="10">
        <v>46009</v>
      </c>
      <c r="J650" s="17">
        <v>11</v>
      </c>
      <c r="K650">
        <v>10</v>
      </c>
    </row>
    <row r="651" spans="2:14" x14ac:dyDescent="0.2">
      <c r="B651" s="5" t="s">
        <v>12</v>
      </c>
      <c r="C651" s="20">
        <v>434</v>
      </c>
      <c r="D651" s="20">
        <v>420</v>
      </c>
      <c r="E651" s="20">
        <f>C651-D651</f>
        <v>14</v>
      </c>
      <c r="F651" s="3">
        <f t="shared" si="248"/>
        <v>0.967741935483871</v>
      </c>
      <c r="G651" s="6">
        <v>17</v>
      </c>
      <c r="H651" s="4">
        <f t="shared" si="247"/>
        <v>24.705882352941178</v>
      </c>
      <c r="I651" s="10">
        <v>46009</v>
      </c>
      <c r="J651" s="17"/>
    </row>
    <row r="652" spans="2:14" x14ac:dyDescent="0.2">
      <c r="B652" s="5" t="s">
        <v>17</v>
      </c>
      <c r="C652" s="2">
        <v>1457</v>
      </c>
      <c r="D652" s="6">
        <v>1431</v>
      </c>
      <c r="E652" s="2">
        <f t="shared" ref="E652:E654" si="249">C652-D652</f>
        <v>26</v>
      </c>
      <c r="F652" s="3">
        <f t="shared" si="248"/>
        <v>0.9821551132463967</v>
      </c>
      <c r="G652" s="6">
        <v>5</v>
      </c>
      <c r="H652" s="4">
        <f t="shared" si="247"/>
        <v>286.2</v>
      </c>
      <c r="I652" s="10">
        <v>46009</v>
      </c>
      <c r="L652">
        <v>11</v>
      </c>
      <c r="N652">
        <v>58</v>
      </c>
    </row>
    <row r="653" spans="2:14" x14ac:dyDescent="0.2">
      <c r="B653" s="5" t="s">
        <v>50</v>
      </c>
      <c r="C653" s="2">
        <v>700</v>
      </c>
      <c r="D653" s="6">
        <v>670</v>
      </c>
      <c r="E653" s="2">
        <f t="shared" si="249"/>
        <v>30</v>
      </c>
      <c r="F653" s="3">
        <f t="shared" si="248"/>
        <v>0.95714285714285718</v>
      </c>
      <c r="G653" s="6">
        <v>2</v>
      </c>
      <c r="H653" s="4">
        <f t="shared" ref="H653:H660" si="250">D653/G653</f>
        <v>335</v>
      </c>
      <c r="I653" s="10">
        <v>46009</v>
      </c>
    </row>
    <row r="654" spans="2:14" x14ac:dyDescent="0.2">
      <c r="B654" s="1" t="s">
        <v>7</v>
      </c>
      <c r="C654" s="20">
        <v>1434</v>
      </c>
      <c r="D654" s="20">
        <v>1413</v>
      </c>
      <c r="E654" s="20">
        <f t="shared" si="249"/>
        <v>21</v>
      </c>
      <c r="F654" s="3">
        <f t="shared" si="248"/>
        <v>0.9853556485355649</v>
      </c>
      <c r="G654" s="2">
        <v>4</v>
      </c>
      <c r="H654" s="4">
        <f t="shared" si="250"/>
        <v>353.25</v>
      </c>
      <c r="I654" s="10">
        <v>46010</v>
      </c>
      <c r="J654" s="17">
        <v>1</v>
      </c>
      <c r="M654">
        <v>11</v>
      </c>
    </row>
    <row r="655" spans="2:14" x14ac:dyDescent="0.2">
      <c r="B655" s="5" t="s">
        <v>8</v>
      </c>
      <c r="C655" s="6">
        <v>413</v>
      </c>
      <c r="D655" s="6">
        <v>353</v>
      </c>
      <c r="E655" s="2">
        <f>C655-D655</f>
        <v>60</v>
      </c>
      <c r="F655" s="3">
        <f t="shared" si="248"/>
        <v>0.85472154963680391</v>
      </c>
      <c r="G655" s="2">
        <v>9</v>
      </c>
      <c r="H655" s="4">
        <f t="shared" si="250"/>
        <v>39.222222222222221</v>
      </c>
      <c r="I655" s="10">
        <v>46010</v>
      </c>
      <c r="J655" s="17">
        <v>3</v>
      </c>
    </row>
    <row r="656" spans="2:14" x14ac:dyDescent="0.2">
      <c r="B656" s="1" t="s">
        <v>9</v>
      </c>
      <c r="C656" s="2">
        <v>64</v>
      </c>
      <c r="D656" s="2">
        <v>37</v>
      </c>
      <c r="E656" s="2">
        <f>C656-D656</f>
        <v>27</v>
      </c>
      <c r="F656" s="3">
        <f t="shared" ref="F656:F663" si="251">D656/C656</f>
        <v>0.578125</v>
      </c>
      <c r="G656" s="2">
        <v>7</v>
      </c>
      <c r="H656" s="4">
        <f t="shared" si="250"/>
        <v>5.2857142857142856</v>
      </c>
      <c r="I656" s="10">
        <v>46010</v>
      </c>
      <c r="J656" s="17"/>
    </row>
    <row r="657" spans="2:14" x14ac:dyDescent="0.2">
      <c r="B657" s="5" t="s">
        <v>10</v>
      </c>
      <c r="C657" s="6">
        <v>659</v>
      </c>
      <c r="D657" s="59">
        <v>85</v>
      </c>
      <c r="E657" s="2">
        <f>C657-D657</f>
        <v>574</v>
      </c>
      <c r="F657" s="3">
        <f t="shared" si="251"/>
        <v>0.12898330804248861</v>
      </c>
      <c r="G657" s="6">
        <v>12</v>
      </c>
      <c r="H657" s="4">
        <f t="shared" si="250"/>
        <v>7.083333333333333</v>
      </c>
      <c r="I657" s="10">
        <v>46010</v>
      </c>
      <c r="J657" s="17">
        <v>185</v>
      </c>
    </row>
    <row r="658" spans="2:14" x14ac:dyDescent="0.2">
      <c r="B658" s="1" t="s">
        <v>11</v>
      </c>
      <c r="C658" s="20">
        <v>663</v>
      </c>
      <c r="D658" s="20">
        <v>649</v>
      </c>
      <c r="E658" s="2">
        <f>C658-D658</f>
        <v>14</v>
      </c>
      <c r="F658" s="3">
        <f t="shared" si="251"/>
        <v>0.97888386123680238</v>
      </c>
      <c r="G658" s="6">
        <v>9</v>
      </c>
      <c r="H658" s="4">
        <f t="shared" si="250"/>
        <v>72.111111111111114</v>
      </c>
      <c r="I658" s="10">
        <v>46010</v>
      </c>
      <c r="J658" s="17"/>
      <c r="K658">
        <v>10</v>
      </c>
    </row>
    <row r="659" spans="2:14" x14ac:dyDescent="0.2">
      <c r="B659" s="5" t="s">
        <v>12</v>
      </c>
      <c r="C659" s="20">
        <v>166</v>
      </c>
      <c r="D659" s="20">
        <v>152</v>
      </c>
      <c r="E659" s="20">
        <f>C659-D659</f>
        <v>14</v>
      </c>
      <c r="F659" s="3">
        <f t="shared" si="251"/>
        <v>0.91566265060240959</v>
      </c>
      <c r="G659" s="6">
        <v>17</v>
      </c>
      <c r="H659" s="4">
        <f t="shared" si="250"/>
        <v>8.9411764705882355</v>
      </c>
      <c r="I659" s="10">
        <v>46010</v>
      </c>
      <c r="J659" s="17"/>
    </row>
    <row r="660" spans="2:14" x14ac:dyDescent="0.2">
      <c r="B660" s="5" t="s">
        <v>17</v>
      </c>
      <c r="C660" s="2">
        <v>995</v>
      </c>
      <c r="D660" s="6">
        <v>995</v>
      </c>
      <c r="E660" s="2">
        <f t="shared" ref="E660:E662" si="252">C660-D660</f>
        <v>0</v>
      </c>
      <c r="F660" s="3">
        <f t="shared" si="251"/>
        <v>1</v>
      </c>
      <c r="G660" s="6">
        <v>6</v>
      </c>
      <c r="H660" s="4">
        <f t="shared" si="250"/>
        <v>165.83333333333334</v>
      </c>
      <c r="I660" s="10">
        <v>46010</v>
      </c>
      <c r="L660">
        <v>9</v>
      </c>
      <c r="N660">
        <v>24</v>
      </c>
    </row>
    <row r="661" spans="2:14" x14ac:dyDescent="0.2">
      <c r="B661" s="5" t="s">
        <v>50</v>
      </c>
      <c r="C661" s="2">
        <v>628</v>
      </c>
      <c r="D661" s="6">
        <v>625</v>
      </c>
      <c r="E661" s="2">
        <f t="shared" si="252"/>
        <v>3</v>
      </c>
      <c r="F661" s="3">
        <f t="shared" si="251"/>
        <v>0.99522292993630568</v>
      </c>
      <c r="G661" s="6">
        <v>2</v>
      </c>
      <c r="H661" s="4">
        <f t="shared" ref="H661:H668" si="253">D661/G661</f>
        <v>312.5</v>
      </c>
      <c r="I661" s="10">
        <v>46010</v>
      </c>
    </row>
    <row r="662" spans="2:14" x14ac:dyDescent="0.2">
      <c r="B662" s="1" t="s">
        <v>7</v>
      </c>
      <c r="C662" s="20">
        <v>869</v>
      </c>
      <c r="D662" s="20">
        <v>869</v>
      </c>
      <c r="E662" s="20">
        <f t="shared" si="252"/>
        <v>0</v>
      </c>
      <c r="F662" s="3">
        <f t="shared" si="251"/>
        <v>1</v>
      </c>
      <c r="G662" s="2">
        <v>5</v>
      </c>
      <c r="H662" s="4">
        <f t="shared" si="253"/>
        <v>173.8</v>
      </c>
      <c r="I662" s="10">
        <v>46013</v>
      </c>
      <c r="J662" s="17">
        <v>1</v>
      </c>
      <c r="M662">
        <v>4</v>
      </c>
    </row>
    <row r="663" spans="2:14" x14ac:dyDescent="0.2">
      <c r="B663" s="5" t="s">
        <v>8</v>
      </c>
      <c r="C663" s="6">
        <v>1291</v>
      </c>
      <c r="D663" s="6">
        <v>1213</v>
      </c>
      <c r="E663" s="2">
        <f>C663-D663</f>
        <v>78</v>
      </c>
      <c r="F663" s="3">
        <f t="shared" si="251"/>
        <v>0.93958171959721148</v>
      </c>
      <c r="G663" s="2">
        <v>8</v>
      </c>
      <c r="H663" s="4">
        <f t="shared" si="253"/>
        <v>151.625</v>
      </c>
      <c r="I663" s="10">
        <v>46013</v>
      </c>
      <c r="J663" s="17">
        <v>3</v>
      </c>
    </row>
    <row r="664" spans="2:14" x14ac:dyDescent="0.2">
      <c r="B664" s="1" t="s">
        <v>9</v>
      </c>
      <c r="C664" s="2">
        <v>136</v>
      </c>
      <c r="D664" s="2">
        <v>112</v>
      </c>
      <c r="E664" s="2">
        <f>C664-D664</f>
        <v>24</v>
      </c>
      <c r="F664" s="3">
        <f t="shared" ref="F664:F671" si="254">D664/C664</f>
        <v>0.82352941176470584</v>
      </c>
      <c r="G664" s="2">
        <v>9</v>
      </c>
      <c r="H664" s="4">
        <f t="shared" si="253"/>
        <v>12.444444444444445</v>
      </c>
      <c r="I664" s="10">
        <v>46013</v>
      </c>
      <c r="J664" s="17"/>
    </row>
    <row r="665" spans="2:14" x14ac:dyDescent="0.2">
      <c r="B665" s="5" t="s">
        <v>10</v>
      </c>
      <c r="C665" s="6">
        <f>306+391</f>
        <v>697</v>
      </c>
      <c r="D665" s="59">
        <f>235+154</f>
        <v>389</v>
      </c>
      <c r="E665" s="2">
        <f>C665-D665</f>
        <v>308</v>
      </c>
      <c r="F665" s="3">
        <f t="shared" si="254"/>
        <v>0.55810616929698709</v>
      </c>
      <c r="G665" s="6">
        <v>11</v>
      </c>
      <c r="H665" s="4">
        <f t="shared" si="253"/>
        <v>35.363636363636367</v>
      </c>
      <c r="I665" s="10">
        <v>46013</v>
      </c>
      <c r="J665" s="17"/>
    </row>
    <row r="666" spans="2:14" x14ac:dyDescent="0.2">
      <c r="B666" s="1" t="s">
        <v>11</v>
      </c>
      <c r="C666" s="20">
        <v>691</v>
      </c>
      <c r="D666" s="20">
        <v>545</v>
      </c>
      <c r="E666" s="2">
        <f>C666-D666</f>
        <v>146</v>
      </c>
      <c r="F666" s="3">
        <f t="shared" si="254"/>
        <v>0.78871201157742399</v>
      </c>
      <c r="G666" s="6">
        <v>8</v>
      </c>
      <c r="H666" s="4">
        <f t="shared" si="253"/>
        <v>68.125</v>
      </c>
      <c r="I666" s="10">
        <v>46013</v>
      </c>
      <c r="J666" s="17">
        <v>52</v>
      </c>
      <c r="K666">
        <v>12</v>
      </c>
    </row>
    <row r="667" spans="2:14" x14ac:dyDescent="0.2">
      <c r="B667" s="5" t="s">
        <v>12</v>
      </c>
      <c r="C667" s="20">
        <v>153</v>
      </c>
      <c r="D667" s="20">
        <v>131</v>
      </c>
      <c r="E667" s="20">
        <f>C667-D667</f>
        <v>22</v>
      </c>
      <c r="F667" s="3">
        <f t="shared" si="254"/>
        <v>0.85620915032679734</v>
      </c>
      <c r="G667" s="6">
        <v>17</v>
      </c>
      <c r="H667" s="4">
        <f t="shared" si="253"/>
        <v>7.7058823529411766</v>
      </c>
      <c r="I667" s="10">
        <v>46013</v>
      </c>
      <c r="J667" s="17"/>
    </row>
    <row r="668" spans="2:14" x14ac:dyDescent="0.2">
      <c r="B668" s="5" t="s">
        <v>17</v>
      </c>
      <c r="C668" s="2">
        <v>577</v>
      </c>
      <c r="D668" s="6">
        <v>577</v>
      </c>
      <c r="E668" s="2">
        <f t="shared" ref="E668:E670" si="255">C668-D668</f>
        <v>0</v>
      </c>
      <c r="F668" s="3">
        <f t="shared" si="254"/>
        <v>1</v>
      </c>
      <c r="G668" s="6">
        <v>6</v>
      </c>
      <c r="H668" s="4">
        <f t="shared" si="253"/>
        <v>96.166666666666671</v>
      </c>
      <c r="I668" s="10">
        <v>46013</v>
      </c>
      <c r="L668">
        <v>4</v>
      </c>
      <c r="N668">
        <v>22</v>
      </c>
    </row>
    <row r="669" spans="2:14" x14ac:dyDescent="0.2">
      <c r="B669" s="5" t="s">
        <v>50</v>
      </c>
      <c r="C669" s="2">
        <v>541</v>
      </c>
      <c r="D669" s="6">
        <v>541</v>
      </c>
      <c r="E669" s="2">
        <f t="shared" si="255"/>
        <v>0</v>
      </c>
      <c r="F669" s="3">
        <f t="shared" si="254"/>
        <v>1</v>
      </c>
      <c r="G669" s="6">
        <v>2</v>
      </c>
      <c r="H669" s="4">
        <f t="shared" ref="H669:H676" si="256">D669/G669</f>
        <v>270.5</v>
      </c>
      <c r="I669" s="10">
        <v>46013</v>
      </c>
    </row>
    <row r="670" spans="2:14" x14ac:dyDescent="0.2">
      <c r="B670" s="1" t="s">
        <v>7</v>
      </c>
      <c r="C670" s="20">
        <v>510</v>
      </c>
      <c r="D670" s="20">
        <v>483</v>
      </c>
      <c r="E670" s="20">
        <f t="shared" si="255"/>
        <v>27</v>
      </c>
      <c r="F670" s="3">
        <f t="shared" si="254"/>
        <v>0.94705882352941173</v>
      </c>
      <c r="G670" s="2">
        <v>5</v>
      </c>
      <c r="H670" s="4">
        <f t="shared" si="256"/>
        <v>96.6</v>
      </c>
      <c r="I670" s="10">
        <v>46014</v>
      </c>
      <c r="J670" s="17">
        <v>1</v>
      </c>
      <c r="M670">
        <v>4</v>
      </c>
    </row>
    <row r="671" spans="2:14" x14ac:dyDescent="0.2">
      <c r="B671" s="5" t="s">
        <v>8</v>
      </c>
      <c r="C671" s="6">
        <v>842</v>
      </c>
      <c r="D671" s="6">
        <v>744</v>
      </c>
      <c r="E671" s="2">
        <f>C671-D671</f>
        <v>98</v>
      </c>
      <c r="F671" s="3">
        <f t="shared" si="254"/>
        <v>0.88361045130641325</v>
      </c>
      <c r="G671" s="2">
        <v>8</v>
      </c>
      <c r="H671" s="4">
        <f t="shared" si="256"/>
        <v>93</v>
      </c>
      <c r="I671" s="10">
        <v>46014</v>
      </c>
      <c r="J671" s="17">
        <v>4</v>
      </c>
    </row>
    <row r="672" spans="2:14" x14ac:dyDescent="0.2">
      <c r="B672" s="1" t="s">
        <v>9</v>
      </c>
      <c r="C672" s="2">
        <v>274</v>
      </c>
      <c r="D672" s="2">
        <v>244</v>
      </c>
      <c r="E672" s="2">
        <f>C672-D672</f>
        <v>30</v>
      </c>
      <c r="F672" s="3">
        <f t="shared" ref="F672:F679" si="257">D672/C672</f>
        <v>0.89051094890510951</v>
      </c>
      <c r="G672" s="2">
        <v>7</v>
      </c>
      <c r="H672" s="4">
        <f t="shared" si="256"/>
        <v>34.857142857142854</v>
      </c>
      <c r="I672" s="10">
        <v>46014</v>
      </c>
      <c r="J672" s="17"/>
    </row>
    <row r="673" spans="2:14" x14ac:dyDescent="0.2">
      <c r="B673" s="5" t="s">
        <v>10</v>
      </c>
      <c r="C673" s="6">
        <f>386+294+239</f>
        <v>919</v>
      </c>
      <c r="D673" s="59">
        <f>274+145</f>
        <v>419</v>
      </c>
      <c r="E673" s="2">
        <f>C673-D673</f>
        <v>500</v>
      </c>
      <c r="F673" s="3">
        <f t="shared" si="257"/>
        <v>0.45593035908596302</v>
      </c>
      <c r="G673" s="6">
        <v>11</v>
      </c>
      <c r="H673" s="4">
        <f t="shared" si="256"/>
        <v>38.090909090909093</v>
      </c>
      <c r="I673" s="10">
        <v>46014</v>
      </c>
      <c r="J673" s="17"/>
    </row>
    <row r="674" spans="2:14" x14ac:dyDescent="0.2">
      <c r="B674" s="1" t="s">
        <v>11</v>
      </c>
      <c r="C674" s="20">
        <v>432</v>
      </c>
      <c r="D674" s="20">
        <v>381</v>
      </c>
      <c r="E674" s="2">
        <f>C674-D674</f>
        <v>51</v>
      </c>
      <c r="F674" s="3">
        <f t="shared" si="257"/>
        <v>0.88194444444444442</v>
      </c>
      <c r="G674" s="6">
        <v>9</v>
      </c>
      <c r="H674" s="4">
        <f t="shared" si="256"/>
        <v>42.333333333333336</v>
      </c>
      <c r="I674" s="10">
        <v>46014</v>
      </c>
      <c r="J674" s="17">
        <v>7</v>
      </c>
      <c r="K674">
        <v>12</v>
      </c>
    </row>
    <row r="675" spans="2:14" x14ac:dyDescent="0.2">
      <c r="B675" s="5" t="s">
        <v>12</v>
      </c>
      <c r="C675" s="20">
        <v>171</v>
      </c>
      <c r="D675" s="20">
        <v>161</v>
      </c>
      <c r="E675" s="20">
        <f>C675-D675</f>
        <v>10</v>
      </c>
      <c r="F675" s="3">
        <f t="shared" si="257"/>
        <v>0.94152046783625731</v>
      </c>
      <c r="G675" s="6">
        <v>17</v>
      </c>
      <c r="H675" s="4">
        <f t="shared" si="256"/>
        <v>9.4705882352941178</v>
      </c>
      <c r="I675" s="10">
        <v>46014</v>
      </c>
      <c r="J675" s="17"/>
    </row>
    <row r="676" spans="2:14" x14ac:dyDescent="0.2">
      <c r="B676" s="5" t="s">
        <v>17</v>
      </c>
      <c r="C676" s="2">
        <v>65</v>
      </c>
      <c r="D676" s="6">
        <v>64</v>
      </c>
      <c r="E676" s="2">
        <f t="shared" ref="E676:E678" si="258">C676-D676</f>
        <v>1</v>
      </c>
      <c r="F676" s="3">
        <f t="shared" si="257"/>
        <v>0.98461538461538467</v>
      </c>
      <c r="G676" s="6">
        <v>6</v>
      </c>
      <c r="H676" s="4">
        <f t="shared" si="256"/>
        <v>10.666666666666666</v>
      </c>
      <c r="I676" s="10">
        <v>46014</v>
      </c>
      <c r="L676">
        <v>6</v>
      </c>
      <c r="N676">
        <v>10</v>
      </c>
    </row>
    <row r="677" spans="2:14" x14ac:dyDescent="0.2">
      <c r="B677" s="5" t="s">
        <v>50</v>
      </c>
      <c r="C677" s="2">
        <v>458</v>
      </c>
      <c r="D677" s="6">
        <v>422</v>
      </c>
      <c r="E677" s="2">
        <f t="shared" si="258"/>
        <v>36</v>
      </c>
      <c r="F677" s="3">
        <f t="shared" si="257"/>
        <v>0.92139737991266379</v>
      </c>
      <c r="G677" s="6">
        <v>2</v>
      </c>
      <c r="H677" s="4">
        <f t="shared" ref="H677:H684" si="259">D677/G677</f>
        <v>211</v>
      </c>
      <c r="I677" s="10">
        <v>46014</v>
      </c>
    </row>
    <row r="678" spans="2:14" x14ac:dyDescent="0.2">
      <c r="B678" s="1" t="s">
        <v>7</v>
      </c>
      <c r="C678" s="20">
        <v>50</v>
      </c>
      <c r="D678" s="20">
        <v>47</v>
      </c>
      <c r="E678" s="20">
        <f t="shared" si="258"/>
        <v>3</v>
      </c>
      <c r="F678" s="3">
        <f t="shared" si="257"/>
        <v>0.94</v>
      </c>
      <c r="G678" s="2">
        <v>3</v>
      </c>
      <c r="H678" s="4">
        <f t="shared" si="259"/>
        <v>15.666666666666666</v>
      </c>
      <c r="I678" s="10">
        <v>46015</v>
      </c>
      <c r="J678" s="17"/>
      <c r="M678">
        <v>7</v>
      </c>
    </row>
    <row r="679" spans="2:14" x14ac:dyDescent="0.2">
      <c r="B679" s="5" t="s">
        <v>8</v>
      </c>
      <c r="C679" s="6">
        <v>498</v>
      </c>
      <c r="D679" s="6">
        <v>485</v>
      </c>
      <c r="E679" s="2">
        <f>C679-D679</f>
        <v>13</v>
      </c>
      <c r="F679" s="3">
        <f t="shared" si="257"/>
        <v>0.97389558232931728</v>
      </c>
      <c r="G679" s="2">
        <v>7</v>
      </c>
      <c r="H679" s="4">
        <f t="shared" si="259"/>
        <v>69.285714285714292</v>
      </c>
      <c r="I679" s="10">
        <v>46015</v>
      </c>
      <c r="J679" s="17">
        <v>1</v>
      </c>
    </row>
    <row r="680" spans="2:14" x14ac:dyDescent="0.2">
      <c r="B680" s="1" t="s">
        <v>9</v>
      </c>
      <c r="C680" s="2">
        <v>318</v>
      </c>
      <c r="D680" s="2">
        <v>316</v>
      </c>
      <c r="E680" s="2">
        <f>C680-D680</f>
        <v>2</v>
      </c>
      <c r="F680" s="3">
        <f t="shared" ref="F680:F687" si="260">D680/C680</f>
        <v>0.99371069182389937</v>
      </c>
      <c r="G680" s="2">
        <v>8</v>
      </c>
      <c r="H680" s="4">
        <f t="shared" si="259"/>
        <v>39.5</v>
      </c>
      <c r="I680" s="10">
        <v>46015</v>
      </c>
      <c r="J680" s="17"/>
    </row>
    <row r="681" spans="2:14" x14ac:dyDescent="0.2">
      <c r="B681" s="5" t="s">
        <v>10</v>
      </c>
      <c r="C681" s="6">
        <f>478+157+373</f>
        <v>1008</v>
      </c>
      <c r="D681" s="59">
        <f>399+82+359</f>
        <v>840</v>
      </c>
      <c r="E681" s="2">
        <f>C681-D681</f>
        <v>168</v>
      </c>
      <c r="F681" s="3">
        <f t="shared" si="260"/>
        <v>0.83333333333333337</v>
      </c>
      <c r="G681" s="6">
        <v>11</v>
      </c>
      <c r="H681" s="4">
        <f t="shared" si="259"/>
        <v>76.36363636363636</v>
      </c>
      <c r="I681" s="10">
        <v>46015</v>
      </c>
      <c r="J681" s="17"/>
    </row>
    <row r="682" spans="2:14" x14ac:dyDescent="0.2">
      <c r="B682" s="1" t="s">
        <v>11</v>
      </c>
      <c r="C682" s="20">
        <v>234</v>
      </c>
      <c r="D682" s="20">
        <v>146</v>
      </c>
      <c r="E682" s="2">
        <f>C682-D682</f>
        <v>88</v>
      </c>
      <c r="F682" s="3">
        <f t="shared" si="260"/>
        <v>0.62393162393162394</v>
      </c>
      <c r="G682" s="6">
        <v>9</v>
      </c>
      <c r="H682" s="4">
        <f t="shared" si="259"/>
        <v>16.222222222222221</v>
      </c>
      <c r="I682" s="10">
        <v>46015</v>
      </c>
      <c r="J682" s="17">
        <v>56</v>
      </c>
      <c r="K682">
        <v>9</v>
      </c>
    </row>
    <row r="683" spans="2:14" x14ac:dyDescent="0.2">
      <c r="B683" s="5" t="s">
        <v>12</v>
      </c>
      <c r="C683" s="20">
        <v>336</v>
      </c>
      <c r="D683" s="20">
        <v>256</v>
      </c>
      <c r="E683" s="20">
        <f>C683-D683</f>
        <v>80</v>
      </c>
      <c r="F683" s="3">
        <f t="shared" si="260"/>
        <v>0.76190476190476186</v>
      </c>
      <c r="G683" s="6">
        <v>18</v>
      </c>
      <c r="H683" s="4">
        <f t="shared" si="259"/>
        <v>14.222222222222221</v>
      </c>
      <c r="I683" s="10">
        <v>46015</v>
      </c>
      <c r="J683" s="17"/>
    </row>
    <row r="684" spans="2:14" x14ac:dyDescent="0.2">
      <c r="B684" s="5" t="s">
        <v>17</v>
      </c>
      <c r="C684" s="2">
        <v>648</v>
      </c>
      <c r="D684" s="6">
        <v>609</v>
      </c>
      <c r="E684" s="2">
        <f t="shared" ref="E684:E686" si="261">C684-D684</f>
        <v>39</v>
      </c>
      <c r="F684" s="3">
        <f t="shared" si="260"/>
        <v>0.93981481481481477</v>
      </c>
      <c r="G684" s="6">
        <v>6</v>
      </c>
      <c r="H684" s="4">
        <f t="shared" si="259"/>
        <v>101.5</v>
      </c>
      <c r="I684" s="10">
        <v>46015</v>
      </c>
      <c r="L684">
        <v>12</v>
      </c>
      <c r="N684">
        <v>62</v>
      </c>
    </row>
    <row r="685" spans="2:14" x14ac:dyDescent="0.2">
      <c r="B685" s="5" t="s">
        <v>50</v>
      </c>
      <c r="C685" s="2">
        <v>307</v>
      </c>
      <c r="D685" s="6">
        <v>304</v>
      </c>
      <c r="E685" s="2">
        <f t="shared" si="261"/>
        <v>3</v>
      </c>
      <c r="F685" s="3">
        <f t="shared" si="260"/>
        <v>0.99022801302931596</v>
      </c>
      <c r="G685" s="6">
        <v>2</v>
      </c>
      <c r="H685" s="4">
        <f t="shared" ref="H685:H692" si="262">D685/G685</f>
        <v>152</v>
      </c>
      <c r="I685" s="10">
        <v>46015</v>
      </c>
    </row>
    <row r="686" spans="2:14" x14ac:dyDescent="0.2">
      <c r="B686" s="1" t="s">
        <v>7</v>
      </c>
      <c r="C686" s="20">
        <v>699</v>
      </c>
      <c r="D686" s="20">
        <v>679</v>
      </c>
      <c r="E686" s="20">
        <f t="shared" si="261"/>
        <v>20</v>
      </c>
      <c r="F686" s="3">
        <f t="shared" si="260"/>
        <v>0.97138769670958514</v>
      </c>
      <c r="G686" s="2">
        <v>3</v>
      </c>
      <c r="H686" s="4">
        <f t="shared" si="262"/>
        <v>226.33333333333334</v>
      </c>
      <c r="I686" s="10">
        <v>46016</v>
      </c>
      <c r="J686" s="17">
        <v>1</v>
      </c>
      <c r="M686">
        <v>12</v>
      </c>
    </row>
    <row r="687" spans="2:14" x14ac:dyDescent="0.2">
      <c r="B687" s="5" t="s">
        <v>8</v>
      </c>
      <c r="C687" s="6">
        <v>69</v>
      </c>
      <c r="D687" s="6">
        <v>56</v>
      </c>
      <c r="E687" s="2">
        <f>C687-D687</f>
        <v>13</v>
      </c>
      <c r="F687" s="3">
        <f t="shared" si="260"/>
        <v>0.81159420289855078</v>
      </c>
      <c r="G687" s="2">
        <v>8</v>
      </c>
      <c r="H687" s="4">
        <f t="shared" si="262"/>
        <v>7</v>
      </c>
      <c r="I687" s="10">
        <v>46016</v>
      </c>
      <c r="J687" s="17">
        <v>5</v>
      </c>
    </row>
    <row r="688" spans="2:14" x14ac:dyDescent="0.2">
      <c r="B688" s="1" t="s">
        <v>9</v>
      </c>
      <c r="C688" s="2">
        <v>160</v>
      </c>
      <c r="D688" s="2">
        <v>160</v>
      </c>
      <c r="E688" s="2">
        <f>C688-D688</f>
        <v>0</v>
      </c>
      <c r="F688" s="3">
        <f t="shared" ref="F688:F695" si="263">D688/C688</f>
        <v>1</v>
      </c>
      <c r="G688" s="2">
        <v>6</v>
      </c>
      <c r="H688" s="4">
        <f t="shared" si="262"/>
        <v>26.666666666666668</v>
      </c>
      <c r="I688" s="10">
        <v>46016</v>
      </c>
      <c r="J688" s="17"/>
    </row>
    <row r="689" spans="2:14" x14ac:dyDescent="0.2">
      <c r="B689" s="5" t="s">
        <v>10</v>
      </c>
      <c r="C689" s="6">
        <f>4+480+128</f>
        <v>612</v>
      </c>
      <c r="D689" s="59">
        <f>345+48</f>
        <v>393</v>
      </c>
      <c r="E689" s="2">
        <f>C689-D689</f>
        <v>219</v>
      </c>
      <c r="F689" s="3">
        <f t="shared" si="263"/>
        <v>0.64215686274509809</v>
      </c>
      <c r="G689" s="6">
        <v>11</v>
      </c>
      <c r="H689" s="4">
        <f t="shared" si="262"/>
        <v>35.727272727272727</v>
      </c>
      <c r="I689" s="10">
        <v>46016</v>
      </c>
      <c r="J689" s="17"/>
    </row>
    <row r="690" spans="2:14" x14ac:dyDescent="0.2">
      <c r="B690" s="1" t="s">
        <v>11</v>
      </c>
      <c r="C690" s="20">
        <v>1460</v>
      </c>
      <c r="D690" s="20">
        <v>1439</v>
      </c>
      <c r="E690" s="2">
        <f>C690-D690</f>
        <v>21</v>
      </c>
      <c r="F690" s="3">
        <f t="shared" si="263"/>
        <v>0.98561643835616441</v>
      </c>
      <c r="G690" s="6">
        <v>9</v>
      </c>
      <c r="H690" s="4">
        <f t="shared" si="262"/>
        <v>159.88888888888889</v>
      </c>
      <c r="I690" s="10">
        <v>46016</v>
      </c>
      <c r="J690" s="17">
        <v>1</v>
      </c>
      <c r="K690">
        <v>12</v>
      </c>
    </row>
    <row r="691" spans="2:14" x14ac:dyDescent="0.2">
      <c r="B691" s="5" t="s">
        <v>12</v>
      </c>
      <c r="C691" s="20">
        <v>486</v>
      </c>
      <c r="D691" s="20">
        <v>465</v>
      </c>
      <c r="E691" s="20">
        <f>C691-D691</f>
        <v>21</v>
      </c>
      <c r="F691" s="3">
        <f t="shared" si="263"/>
        <v>0.95679012345679015</v>
      </c>
      <c r="G691" s="6">
        <v>21</v>
      </c>
      <c r="H691" s="4">
        <f t="shared" si="262"/>
        <v>22.142857142857142</v>
      </c>
      <c r="I691" s="10">
        <v>46016</v>
      </c>
      <c r="J691" s="17"/>
    </row>
    <row r="692" spans="2:14" x14ac:dyDescent="0.2">
      <c r="B692" s="5" t="s">
        <v>17</v>
      </c>
      <c r="C692" s="2">
        <v>266</v>
      </c>
      <c r="D692" s="6">
        <v>261</v>
      </c>
      <c r="E692" s="2">
        <f t="shared" ref="E692:E694" si="264">C692-D692</f>
        <v>5</v>
      </c>
      <c r="F692" s="3">
        <f t="shared" si="263"/>
        <v>0.98120300751879697</v>
      </c>
      <c r="G692" s="6">
        <v>6</v>
      </c>
      <c r="H692" s="4">
        <f t="shared" si="262"/>
        <v>43.5</v>
      </c>
      <c r="I692" s="10">
        <v>46016</v>
      </c>
      <c r="L692">
        <v>7</v>
      </c>
      <c r="N692">
        <v>25</v>
      </c>
    </row>
    <row r="693" spans="2:14" x14ac:dyDescent="0.2">
      <c r="B693" s="5" t="s">
        <v>50</v>
      </c>
      <c r="C693" s="2">
        <v>166</v>
      </c>
      <c r="D693" s="6">
        <v>166</v>
      </c>
      <c r="E693" s="2">
        <f t="shared" si="264"/>
        <v>0</v>
      </c>
      <c r="F693" s="3">
        <f t="shared" si="263"/>
        <v>1</v>
      </c>
      <c r="G693" s="6">
        <v>2</v>
      </c>
      <c r="H693" s="4">
        <f t="shared" ref="H693:H700" si="265">D693/G693</f>
        <v>83</v>
      </c>
      <c r="I693" s="10">
        <v>46016</v>
      </c>
    </row>
    <row r="694" spans="2:14" x14ac:dyDescent="0.2">
      <c r="B694" s="1" t="s">
        <v>7</v>
      </c>
      <c r="C694" s="20">
        <v>128</v>
      </c>
      <c r="D694" s="20">
        <v>128</v>
      </c>
      <c r="E694" s="20">
        <f t="shared" si="264"/>
        <v>0</v>
      </c>
      <c r="F694" s="3">
        <f t="shared" si="263"/>
        <v>1</v>
      </c>
      <c r="G694" s="2">
        <v>3</v>
      </c>
      <c r="H694" s="4">
        <f t="shared" si="265"/>
        <v>42.666666666666664</v>
      </c>
      <c r="I694" s="10">
        <v>46017</v>
      </c>
      <c r="M694">
        <v>6</v>
      </c>
    </row>
    <row r="695" spans="2:14" x14ac:dyDescent="0.2">
      <c r="B695" s="5" t="s">
        <v>8</v>
      </c>
      <c r="C695" s="6">
        <v>660</v>
      </c>
      <c r="D695" s="6">
        <v>620</v>
      </c>
      <c r="E695" s="2">
        <f>C695-D695</f>
        <v>40</v>
      </c>
      <c r="F695" s="3">
        <f t="shared" si="263"/>
        <v>0.93939393939393945</v>
      </c>
      <c r="G695" s="2">
        <v>7</v>
      </c>
      <c r="H695" s="4">
        <f t="shared" si="265"/>
        <v>88.571428571428569</v>
      </c>
      <c r="I695" s="10">
        <v>46017</v>
      </c>
    </row>
    <row r="696" spans="2:14" x14ac:dyDescent="0.2">
      <c r="B696" s="1" t="s">
        <v>9</v>
      </c>
      <c r="C696" s="2">
        <v>235</v>
      </c>
      <c r="D696" s="2">
        <v>235</v>
      </c>
      <c r="E696" s="2">
        <f>C696-D696</f>
        <v>0</v>
      </c>
      <c r="F696" s="3">
        <f t="shared" ref="F696:F703" si="266">D696/C696</f>
        <v>1</v>
      </c>
      <c r="G696" s="2">
        <v>7</v>
      </c>
      <c r="H696" s="4">
        <f t="shared" si="265"/>
        <v>33.571428571428569</v>
      </c>
      <c r="I696" s="10">
        <v>46017</v>
      </c>
    </row>
    <row r="697" spans="2:14" x14ac:dyDescent="0.2">
      <c r="B697" s="5" t="s">
        <v>10</v>
      </c>
      <c r="C697" s="6">
        <f>119+72+562</f>
        <v>753</v>
      </c>
      <c r="D697" s="59">
        <f>63+72+562</f>
        <v>697</v>
      </c>
      <c r="E697" s="2">
        <f>C697-D697</f>
        <v>56</v>
      </c>
      <c r="F697" s="3">
        <f t="shared" si="266"/>
        <v>0.92563081009296144</v>
      </c>
      <c r="G697" s="6">
        <v>11</v>
      </c>
      <c r="H697" s="4">
        <f t="shared" si="265"/>
        <v>63.363636363636367</v>
      </c>
      <c r="I697" s="10">
        <v>46017</v>
      </c>
    </row>
    <row r="698" spans="2:14" x14ac:dyDescent="0.2">
      <c r="B698" s="1" t="s">
        <v>11</v>
      </c>
      <c r="C698" s="20">
        <v>1053</v>
      </c>
      <c r="D698" s="20">
        <v>952</v>
      </c>
      <c r="E698" s="2">
        <f>C698-D698</f>
        <v>101</v>
      </c>
      <c r="F698" s="3">
        <f t="shared" si="266"/>
        <v>0.90408357075023738</v>
      </c>
      <c r="G698" s="6">
        <v>8</v>
      </c>
      <c r="H698" s="4">
        <f t="shared" si="265"/>
        <v>119</v>
      </c>
      <c r="I698" s="10">
        <v>46017</v>
      </c>
      <c r="J698" s="17">
        <v>52</v>
      </c>
      <c r="K698">
        <v>7</v>
      </c>
    </row>
    <row r="699" spans="2:14" x14ac:dyDescent="0.2">
      <c r="B699" s="5" t="s">
        <v>12</v>
      </c>
      <c r="C699" s="20">
        <v>418</v>
      </c>
      <c r="D699" s="20">
        <v>418</v>
      </c>
      <c r="E699" s="20">
        <f>C699-D699</f>
        <v>0</v>
      </c>
      <c r="F699" s="3">
        <f t="shared" si="266"/>
        <v>1</v>
      </c>
      <c r="G699" s="6">
        <v>21</v>
      </c>
      <c r="H699" s="4">
        <f t="shared" si="265"/>
        <v>19.904761904761905</v>
      </c>
      <c r="I699" s="10">
        <v>46017</v>
      </c>
      <c r="J699" s="17">
        <v>4</v>
      </c>
    </row>
    <row r="700" spans="2:14" x14ac:dyDescent="0.2">
      <c r="B700" s="5" t="s">
        <v>17</v>
      </c>
      <c r="C700" s="2">
        <v>200</v>
      </c>
      <c r="D700" s="6">
        <v>200</v>
      </c>
      <c r="E700" s="2">
        <f t="shared" ref="E700:E702" si="267">C700-D700</f>
        <v>0</v>
      </c>
      <c r="F700" s="3">
        <f t="shared" si="266"/>
        <v>1</v>
      </c>
      <c r="G700" s="6">
        <v>6</v>
      </c>
      <c r="H700" s="4">
        <f t="shared" si="265"/>
        <v>33.333333333333336</v>
      </c>
      <c r="I700" s="10">
        <v>46017</v>
      </c>
      <c r="L700">
        <v>3</v>
      </c>
      <c r="N700">
        <v>15</v>
      </c>
    </row>
    <row r="701" spans="2:14" x14ac:dyDescent="0.2">
      <c r="B701" s="5" t="s">
        <v>50</v>
      </c>
      <c r="C701" s="2">
        <v>314</v>
      </c>
      <c r="D701" s="6">
        <v>314</v>
      </c>
      <c r="E701" s="2">
        <f t="shared" si="267"/>
        <v>0</v>
      </c>
      <c r="F701" s="3">
        <f t="shared" si="266"/>
        <v>1</v>
      </c>
      <c r="G701" s="6">
        <v>2</v>
      </c>
      <c r="H701" s="4">
        <f t="shared" ref="H701:H708" si="268">D701/G701</f>
        <v>157</v>
      </c>
      <c r="I701" s="10">
        <v>46017</v>
      </c>
    </row>
    <row r="702" spans="2:14" x14ac:dyDescent="0.2">
      <c r="B702" s="1" t="s">
        <v>7</v>
      </c>
      <c r="C702" s="20">
        <v>174</v>
      </c>
      <c r="D702" s="20">
        <v>174</v>
      </c>
      <c r="E702" s="20">
        <f t="shared" si="267"/>
        <v>0</v>
      </c>
      <c r="F702" s="3">
        <f t="shared" si="266"/>
        <v>1</v>
      </c>
      <c r="G702" s="2">
        <v>3</v>
      </c>
      <c r="H702" s="4">
        <f t="shared" si="268"/>
        <v>58</v>
      </c>
      <c r="I702" s="10">
        <v>46020</v>
      </c>
      <c r="M702">
        <v>3</v>
      </c>
    </row>
    <row r="703" spans="2:14" x14ac:dyDescent="0.2">
      <c r="B703" s="5" t="s">
        <v>8</v>
      </c>
      <c r="C703" s="6">
        <v>86</v>
      </c>
      <c r="D703" s="6">
        <v>83</v>
      </c>
      <c r="E703" s="2">
        <f>C703-D703</f>
        <v>3</v>
      </c>
      <c r="F703" s="3">
        <f t="shared" si="266"/>
        <v>0.96511627906976749</v>
      </c>
      <c r="G703" s="2">
        <v>7</v>
      </c>
      <c r="H703" s="4">
        <f t="shared" si="268"/>
        <v>11.857142857142858</v>
      </c>
      <c r="I703" s="10">
        <v>46020</v>
      </c>
      <c r="J703" s="17">
        <v>2</v>
      </c>
    </row>
    <row r="704" spans="2:14" x14ac:dyDescent="0.2">
      <c r="B704" s="1" t="s">
        <v>9</v>
      </c>
      <c r="C704" s="2">
        <v>11</v>
      </c>
      <c r="D704" s="2">
        <v>11</v>
      </c>
      <c r="E704" s="2">
        <f>C704-D704</f>
        <v>0</v>
      </c>
      <c r="F704" s="3">
        <f t="shared" ref="F704:F711" si="269">D704/C704</f>
        <v>1</v>
      </c>
      <c r="G704" s="2">
        <v>6</v>
      </c>
      <c r="H704" s="4">
        <f t="shared" si="268"/>
        <v>1.8333333333333333</v>
      </c>
      <c r="I704" s="10">
        <v>46020</v>
      </c>
    </row>
    <row r="705" spans="2:14" x14ac:dyDescent="0.2">
      <c r="B705" s="5" t="s">
        <v>10</v>
      </c>
      <c r="C705" s="6">
        <f>121+9+12</f>
        <v>142</v>
      </c>
      <c r="D705" s="59">
        <f>77+9+2</f>
        <v>88</v>
      </c>
      <c r="E705" s="2">
        <f>C705-D705</f>
        <v>54</v>
      </c>
      <c r="F705" s="3">
        <f t="shared" si="269"/>
        <v>0.61971830985915488</v>
      </c>
      <c r="G705" s="6">
        <v>11</v>
      </c>
      <c r="H705" s="4">
        <f t="shared" si="268"/>
        <v>8</v>
      </c>
      <c r="I705" s="10">
        <v>46020</v>
      </c>
      <c r="J705" s="17">
        <v>14</v>
      </c>
    </row>
    <row r="706" spans="2:14" x14ac:dyDescent="0.2">
      <c r="B706" s="1" t="s">
        <v>11</v>
      </c>
      <c r="C706" s="20">
        <v>765</v>
      </c>
      <c r="D706" s="20">
        <v>717</v>
      </c>
      <c r="E706" s="2">
        <f>C706-D706</f>
        <v>48</v>
      </c>
      <c r="F706" s="3">
        <f t="shared" si="269"/>
        <v>0.93725490196078431</v>
      </c>
      <c r="G706" s="6">
        <v>8</v>
      </c>
      <c r="H706" s="4">
        <f t="shared" si="268"/>
        <v>89.625</v>
      </c>
      <c r="I706" s="10">
        <v>46020</v>
      </c>
      <c r="J706" s="17"/>
      <c r="K706">
        <v>6</v>
      </c>
    </row>
    <row r="707" spans="2:14" x14ac:dyDescent="0.2">
      <c r="B707" s="5" t="s">
        <v>12</v>
      </c>
      <c r="C707" s="20">
        <v>427</v>
      </c>
      <c r="D707" s="20">
        <v>412</v>
      </c>
      <c r="E707" s="20">
        <f>C707-D707</f>
        <v>15</v>
      </c>
      <c r="F707" s="3">
        <f t="shared" si="269"/>
        <v>0.96487119437939106</v>
      </c>
      <c r="G707" s="6">
        <v>21</v>
      </c>
      <c r="H707" s="4">
        <f t="shared" si="268"/>
        <v>19.61904761904762</v>
      </c>
      <c r="I707" s="10">
        <v>46020</v>
      </c>
      <c r="J707" s="17">
        <v>1</v>
      </c>
    </row>
    <row r="708" spans="2:14" x14ac:dyDescent="0.2">
      <c r="B708" s="5" t="s">
        <v>17</v>
      </c>
      <c r="C708" s="2">
        <v>1</v>
      </c>
      <c r="D708" s="6">
        <v>1</v>
      </c>
      <c r="E708" s="2">
        <f t="shared" ref="E708:E710" si="270">C708-D708</f>
        <v>0</v>
      </c>
      <c r="F708" s="3">
        <f t="shared" si="269"/>
        <v>1</v>
      </c>
      <c r="G708" s="6">
        <v>4</v>
      </c>
      <c r="H708" s="4">
        <f t="shared" si="268"/>
        <v>0.25</v>
      </c>
      <c r="I708" s="10">
        <v>46020</v>
      </c>
      <c r="L708">
        <v>1</v>
      </c>
      <c r="N708">
        <v>1</v>
      </c>
    </row>
    <row r="709" spans="2:14" x14ac:dyDescent="0.2">
      <c r="B709" s="5" t="s">
        <v>50</v>
      </c>
      <c r="C709" s="2">
        <v>2</v>
      </c>
      <c r="D709" s="6">
        <v>2</v>
      </c>
      <c r="E709" s="2">
        <f t="shared" si="270"/>
        <v>0</v>
      </c>
      <c r="F709" s="3">
        <f t="shared" si="269"/>
        <v>1</v>
      </c>
      <c r="G709" s="6">
        <v>2</v>
      </c>
      <c r="H709" s="4">
        <f t="shared" ref="H709:H716" si="271">D709/G709</f>
        <v>1</v>
      </c>
      <c r="I709" s="10">
        <v>46020</v>
      </c>
    </row>
    <row r="710" spans="2:14" x14ac:dyDescent="0.2">
      <c r="B710" s="1" t="s">
        <v>7</v>
      </c>
      <c r="C710" s="20">
        <v>2246</v>
      </c>
      <c r="D710" s="20">
        <v>2246</v>
      </c>
      <c r="E710" s="20">
        <f t="shared" si="270"/>
        <v>0</v>
      </c>
      <c r="F710" s="3">
        <f t="shared" si="269"/>
        <v>1</v>
      </c>
      <c r="G710" s="2">
        <v>5</v>
      </c>
      <c r="H710" s="4">
        <f t="shared" si="271"/>
        <v>449.2</v>
      </c>
      <c r="I710" s="10">
        <v>46028</v>
      </c>
      <c r="M710">
        <v>4</v>
      </c>
    </row>
    <row r="711" spans="2:14" x14ac:dyDescent="0.2">
      <c r="B711" s="5" t="s">
        <v>8</v>
      </c>
      <c r="C711" s="6">
        <v>301</v>
      </c>
      <c r="D711" s="6">
        <v>106</v>
      </c>
      <c r="E711" s="2">
        <f>C711-D711</f>
        <v>195</v>
      </c>
      <c r="F711" s="3">
        <f t="shared" si="269"/>
        <v>0.35215946843853818</v>
      </c>
      <c r="G711" s="2">
        <v>8</v>
      </c>
      <c r="H711" s="4">
        <f t="shared" si="271"/>
        <v>13.25</v>
      </c>
      <c r="I711" s="10">
        <v>46028</v>
      </c>
      <c r="J711" s="17"/>
    </row>
    <row r="712" spans="2:14" x14ac:dyDescent="0.2">
      <c r="B712" s="1" t="s">
        <v>9</v>
      </c>
      <c r="C712" s="2">
        <v>83</v>
      </c>
      <c r="D712" s="2">
        <v>81</v>
      </c>
      <c r="E712" s="2">
        <f>C712-D712</f>
        <v>2</v>
      </c>
      <c r="F712" s="3">
        <f t="shared" ref="F712:F719" si="272">D712/C712</f>
        <v>0.97590361445783136</v>
      </c>
      <c r="G712" s="2">
        <v>7</v>
      </c>
      <c r="H712" s="4">
        <f t="shared" si="271"/>
        <v>11.571428571428571</v>
      </c>
      <c r="I712" s="10">
        <v>46028</v>
      </c>
    </row>
    <row r="713" spans="2:14" x14ac:dyDescent="0.2">
      <c r="B713" s="5" t="s">
        <v>10</v>
      </c>
      <c r="C713" s="6">
        <f>683+111+1123</f>
        <v>1917</v>
      </c>
      <c r="D713" s="59">
        <f>339+61+193</f>
        <v>593</v>
      </c>
      <c r="E713" s="2">
        <f>C713-D713</f>
        <v>1324</v>
      </c>
      <c r="F713" s="3">
        <f t="shared" si="272"/>
        <v>0.3093375065206051</v>
      </c>
      <c r="G713" s="6">
        <v>12</v>
      </c>
      <c r="H713" s="4">
        <f t="shared" si="271"/>
        <v>49.416666666666664</v>
      </c>
      <c r="I713" s="10">
        <v>46028</v>
      </c>
      <c r="J713" s="17"/>
    </row>
    <row r="714" spans="2:14" x14ac:dyDescent="0.2">
      <c r="B714" s="1" t="s">
        <v>11</v>
      </c>
      <c r="C714" s="20">
        <v>39</v>
      </c>
      <c r="D714" s="20">
        <v>39</v>
      </c>
      <c r="E714" s="2">
        <f>C714-D714</f>
        <v>0</v>
      </c>
      <c r="F714" s="3">
        <f t="shared" si="272"/>
        <v>1</v>
      </c>
      <c r="G714" s="6">
        <v>9</v>
      </c>
      <c r="H714" s="4">
        <f t="shared" si="271"/>
        <v>4.333333333333333</v>
      </c>
      <c r="I714" s="10">
        <v>46028</v>
      </c>
      <c r="J714" s="17">
        <v>28</v>
      </c>
      <c r="K714">
        <v>10</v>
      </c>
    </row>
    <row r="715" spans="2:14" x14ac:dyDescent="0.2">
      <c r="B715" s="5" t="s">
        <v>12</v>
      </c>
      <c r="C715" s="20">
        <v>1</v>
      </c>
      <c r="D715" s="20">
        <v>1</v>
      </c>
      <c r="E715" s="20">
        <f>C715-D715</f>
        <v>0</v>
      </c>
      <c r="F715" s="3">
        <f t="shared" si="272"/>
        <v>1</v>
      </c>
      <c r="G715" s="6">
        <v>17</v>
      </c>
      <c r="H715" s="4">
        <f t="shared" si="271"/>
        <v>5.8823529411764705E-2</v>
      </c>
      <c r="I715" s="10">
        <v>46028</v>
      </c>
      <c r="J715" s="17">
        <v>1</v>
      </c>
    </row>
    <row r="716" spans="2:14" x14ac:dyDescent="0.2">
      <c r="B716" s="5" t="s">
        <v>17</v>
      </c>
      <c r="C716" s="2">
        <v>517</v>
      </c>
      <c r="D716" s="6">
        <v>472</v>
      </c>
      <c r="E716" s="2">
        <f t="shared" ref="E716:E718" si="273">C716-D716</f>
        <v>45</v>
      </c>
      <c r="F716" s="3">
        <f t="shared" si="272"/>
        <v>0.91295938104448737</v>
      </c>
      <c r="G716" s="6">
        <v>6</v>
      </c>
      <c r="H716" s="4">
        <f t="shared" si="271"/>
        <v>78.666666666666671</v>
      </c>
      <c r="I716" s="10">
        <v>46028</v>
      </c>
      <c r="L716">
        <v>10</v>
      </c>
      <c r="N716">
        <v>1</v>
      </c>
    </row>
    <row r="717" spans="2:14" x14ac:dyDescent="0.2">
      <c r="B717" s="5" t="s">
        <v>50</v>
      </c>
      <c r="C717" s="2">
        <v>120</v>
      </c>
      <c r="D717" s="6">
        <v>106</v>
      </c>
      <c r="E717" s="2">
        <f t="shared" si="273"/>
        <v>14</v>
      </c>
      <c r="F717" s="3">
        <f t="shared" si="272"/>
        <v>0.8833333333333333</v>
      </c>
      <c r="G717" s="6">
        <v>2</v>
      </c>
      <c r="H717" s="4">
        <f t="shared" ref="H717:H724" si="274">D717/G717</f>
        <v>53</v>
      </c>
      <c r="I717" s="10">
        <v>46028</v>
      </c>
    </row>
    <row r="718" spans="2:14" x14ac:dyDescent="0.2">
      <c r="B718" s="1" t="s">
        <v>7</v>
      </c>
      <c r="C718" s="20">
        <v>555</v>
      </c>
      <c r="D718" s="20">
        <v>524</v>
      </c>
      <c r="E718" s="20">
        <f t="shared" si="273"/>
        <v>31</v>
      </c>
      <c r="F718" s="3">
        <f t="shared" si="272"/>
        <v>0.94414414414414416</v>
      </c>
      <c r="G718" s="2">
        <v>5</v>
      </c>
      <c r="H718" s="4">
        <f t="shared" si="274"/>
        <v>104.8</v>
      </c>
      <c r="I718" s="10">
        <v>46029</v>
      </c>
      <c r="M718">
        <v>10</v>
      </c>
    </row>
    <row r="719" spans="2:14" x14ac:dyDescent="0.2">
      <c r="B719" s="5" t="s">
        <v>8</v>
      </c>
      <c r="C719" s="6">
        <v>1800</v>
      </c>
      <c r="D719" s="6">
        <v>1450</v>
      </c>
      <c r="E719" s="2">
        <f>C719-D719</f>
        <v>350</v>
      </c>
      <c r="F719" s="3">
        <f t="shared" si="272"/>
        <v>0.80555555555555558</v>
      </c>
      <c r="G719" s="2">
        <v>9</v>
      </c>
      <c r="H719" s="4">
        <f t="shared" si="274"/>
        <v>161.11111111111111</v>
      </c>
      <c r="I719" s="10">
        <v>46029</v>
      </c>
      <c r="J719" s="17">
        <v>3</v>
      </c>
    </row>
    <row r="720" spans="2:14" x14ac:dyDescent="0.2">
      <c r="B720" s="1" t="s">
        <v>9</v>
      </c>
      <c r="C720" s="2">
        <v>57</v>
      </c>
      <c r="D720" s="2">
        <v>57</v>
      </c>
      <c r="E720" s="2">
        <f>C720-D720</f>
        <v>0</v>
      </c>
      <c r="F720" s="3">
        <f t="shared" ref="F720:F727" si="275">D720/C720</f>
        <v>1</v>
      </c>
      <c r="G720" s="2">
        <v>8</v>
      </c>
      <c r="H720" s="4">
        <f t="shared" si="274"/>
        <v>7.125</v>
      </c>
      <c r="I720" s="10">
        <v>46029</v>
      </c>
    </row>
    <row r="721" spans="2:14" x14ac:dyDescent="0.2">
      <c r="B721" s="5" t="s">
        <v>10</v>
      </c>
      <c r="C721" s="6">
        <f>533+24+368</f>
        <v>925</v>
      </c>
      <c r="D721" s="59">
        <f>398+12+222</f>
        <v>632</v>
      </c>
      <c r="E721" s="2">
        <f>C721-D721</f>
        <v>293</v>
      </c>
      <c r="F721" s="3">
        <f t="shared" si="275"/>
        <v>0.68324324324324326</v>
      </c>
      <c r="G721" s="6">
        <v>11</v>
      </c>
      <c r="H721" s="4">
        <f t="shared" si="274"/>
        <v>57.454545454545453</v>
      </c>
      <c r="I721" s="10">
        <v>46029</v>
      </c>
      <c r="J721" s="17">
        <v>35</v>
      </c>
    </row>
    <row r="722" spans="2:14" x14ac:dyDescent="0.2">
      <c r="B722" s="1" t="s">
        <v>11</v>
      </c>
      <c r="C722" s="20">
        <v>225</v>
      </c>
      <c r="D722" s="20">
        <v>204</v>
      </c>
      <c r="E722" s="2">
        <f>C722-D722</f>
        <v>21</v>
      </c>
      <c r="F722" s="3">
        <f t="shared" si="275"/>
        <v>0.90666666666666662</v>
      </c>
      <c r="G722" s="6">
        <v>8</v>
      </c>
      <c r="H722" s="4">
        <f t="shared" si="274"/>
        <v>25.5</v>
      </c>
      <c r="I722" s="10">
        <v>46029</v>
      </c>
      <c r="J722" s="17">
        <v>26</v>
      </c>
      <c r="K722">
        <v>9</v>
      </c>
    </row>
    <row r="723" spans="2:14" x14ac:dyDescent="0.2">
      <c r="B723" s="5" t="s">
        <v>12</v>
      </c>
      <c r="C723" s="20">
        <v>4</v>
      </c>
      <c r="D723" s="20">
        <v>3</v>
      </c>
      <c r="E723" s="20">
        <f>C723-D723</f>
        <v>1</v>
      </c>
      <c r="F723" s="3">
        <f t="shared" si="275"/>
        <v>0.75</v>
      </c>
      <c r="G723" s="6">
        <v>20</v>
      </c>
      <c r="H723" s="4">
        <f t="shared" si="274"/>
        <v>0.15</v>
      </c>
      <c r="I723" s="10">
        <v>46029</v>
      </c>
    </row>
    <row r="724" spans="2:14" x14ac:dyDescent="0.2">
      <c r="B724" s="5" t="s">
        <v>17</v>
      </c>
      <c r="C724" s="2">
        <v>380</v>
      </c>
      <c r="D724" s="6">
        <v>375</v>
      </c>
      <c r="E724" s="2">
        <f t="shared" ref="E724:E726" si="276">C724-D724</f>
        <v>5</v>
      </c>
      <c r="F724" s="3">
        <f t="shared" si="275"/>
        <v>0.98684210526315785</v>
      </c>
      <c r="G724" s="6">
        <v>6</v>
      </c>
      <c r="H724" s="4">
        <f t="shared" si="274"/>
        <v>62.5</v>
      </c>
      <c r="I724" s="10">
        <v>46029</v>
      </c>
      <c r="L724">
        <v>12</v>
      </c>
      <c r="N724">
        <v>14</v>
      </c>
    </row>
    <row r="725" spans="2:14" x14ac:dyDescent="0.2">
      <c r="B725" s="5" t="s">
        <v>50</v>
      </c>
      <c r="C725" s="2">
        <v>955</v>
      </c>
      <c r="D725" s="6">
        <v>0</v>
      </c>
      <c r="E725" s="2">
        <f t="shared" si="276"/>
        <v>955</v>
      </c>
      <c r="F725" s="3">
        <f t="shared" si="275"/>
        <v>0</v>
      </c>
      <c r="G725" s="6">
        <v>2</v>
      </c>
      <c r="H725" s="4">
        <f t="shared" ref="H725:H732" si="277">D725/G725</f>
        <v>0</v>
      </c>
      <c r="I725" s="10">
        <v>46029</v>
      </c>
    </row>
    <row r="726" spans="2:14" x14ac:dyDescent="0.2">
      <c r="B726" s="1" t="s">
        <v>7</v>
      </c>
      <c r="C726" s="20">
        <v>288</v>
      </c>
      <c r="D726" s="20">
        <v>274</v>
      </c>
      <c r="E726" s="20">
        <f t="shared" si="276"/>
        <v>14</v>
      </c>
      <c r="F726" s="3">
        <f t="shared" si="275"/>
        <v>0.95138888888888884</v>
      </c>
      <c r="G726" s="2">
        <v>3</v>
      </c>
      <c r="H726" s="4">
        <f t="shared" si="277"/>
        <v>91.333333333333329</v>
      </c>
      <c r="I726" s="10">
        <v>46030</v>
      </c>
      <c r="J726" s="17">
        <v>5</v>
      </c>
      <c r="M726">
        <v>10</v>
      </c>
    </row>
    <row r="727" spans="2:14" x14ac:dyDescent="0.2">
      <c r="B727" s="5" t="s">
        <v>8</v>
      </c>
      <c r="C727" s="6">
        <v>920</v>
      </c>
      <c r="D727" s="6">
        <v>842</v>
      </c>
      <c r="E727" s="2">
        <f>C727-D727</f>
        <v>78</v>
      </c>
      <c r="F727" s="3">
        <f t="shared" si="275"/>
        <v>0.91521739130434787</v>
      </c>
      <c r="G727" s="2">
        <v>9</v>
      </c>
      <c r="H727" s="4">
        <f t="shared" si="277"/>
        <v>93.555555555555557</v>
      </c>
      <c r="I727" s="10">
        <v>46030</v>
      </c>
      <c r="J727" s="17">
        <v>5</v>
      </c>
    </row>
    <row r="728" spans="2:14" x14ac:dyDescent="0.2">
      <c r="B728" s="1" t="s">
        <v>9</v>
      </c>
      <c r="C728" s="2">
        <v>520</v>
      </c>
      <c r="D728" s="2">
        <v>518</v>
      </c>
      <c r="E728" s="2">
        <f>C728-D728</f>
        <v>2</v>
      </c>
      <c r="F728" s="3">
        <f t="shared" ref="F728:F733" si="278">D728/C728</f>
        <v>0.99615384615384617</v>
      </c>
      <c r="G728" s="2">
        <v>7</v>
      </c>
      <c r="H728" s="4">
        <f t="shared" si="277"/>
        <v>74</v>
      </c>
      <c r="I728" s="10">
        <v>46030</v>
      </c>
    </row>
    <row r="729" spans="2:14" x14ac:dyDescent="0.2">
      <c r="B729" s="5" t="s">
        <v>10</v>
      </c>
      <c r="C729" s="6">
        <f>1145+3+173</f>
        <v>1321</v>
      </c>
      <c r="D729" s="59">
        <v>0</v>
      </c>
      <c r="E729" s="2">
        <f>C729-D729</f>
        <v>1321</v>
      </c>
      <c r="F729" s="3">
        <f t="shared" si="278"/>
        <v>0</v>
      </c>
      <c r="G729" s="6">
        <v>12</v>
      </c>
      <c r="H729" s="4">
        <f t="shared" si="277"/>
        <v>0</v>
      </c>
      <c r="I729" s="10">
        <v>46030</v>
      </c>
      <c r="J729" s="17"/>
    </row>
    <row r="730" spans="2:14" x14ac:dyDescent="0.2">
      <c r="B730" s="1" t="s">
        <v>11</v>
      </c>
      <c r="C730" s="20">
        <v>802</v>
      </c>
      <c r="D730" s="20">
        <v>800</v>
      </c>
      <c r="E730" s="2">
        <f>C730-D730</f>
        <v>2</v>
      </c>
      <c r="F730" s="3">
        <f t="shared" si="278"/>
        <v>0.99750623441396513</v>
      </c>
      <c r="G730" s="6">
        <v>9</v>
      </c>
      <c r="H730" s="4">
        <f t="shared" si="277"/>
        <v>88.888888888888886</v>
      </c>
      <c r="I730" s="10">
        <v>46030</v>
      </c>
      <c r="J730" s="17">
        <v>18</v>
      </c>
      <c r="K730">
        <v>9</v>
      </c>
    </row>
    <row r="731" spans="2:14" x14ac:dyDescent="0.2">
      <c r="B731" s="5" t="s">
        <v>12</v>
      </c>
      <c r="C731" s="20">
        <v>295</v>
      </c>
      <c r="D731" s="20">
        <v>295</v>
      </c>
      <c r="E731" s="20">
        <f>C731-D731</f>
        <v>0</v>
      </c>
      <c r="F731" s="3">
        <f t="shared" si="278"/>
        <v>1</v>
      </c>
      <c r="G731" s="6">
        <v>19</v>
      </c>
      <c r="H731" s="4">
        <f t="shared" si="277"/>
        <v>15.526315789473685</v>
      </c>
      <c r="I731" s="10">
        <v>46030</v>
      </c>
    </row>
    <row r="732" spans="2:14" x14ac:dyDescent="0.2">
      <c r="B732" s="5" t="s">
        <v>17</v>
      </c>
      <c r="C732" s="2">
        <v>1232</v>
      </c>
      <c r="D732" s="6">
        <v>1185</v>
      </c>
      <c r="E732" s="2">
        <f t="shared" ref="E732:E733" si="279">C732-D732</f>
        <v>47</v>
      </c>
      <c r="F732" s="3">
        <f t="shared" si="278"/>
        <v>0.96185064935064934</v>
      </c>
      <c r="G732" s="6">
        <v>6</v>
      </c>
      <c r="H732" s="4">
        <f t="shared" si="277"/>
        <v>197.5</v>
      </c>
      <c r="I732" s="10">
        <v>46030</v>
      </c>
      <c r="L732">
        <v>13</v>
      </c>
      <c r="N732">
        <v>68</v>
      </c>
    </row>
    <row r="733" spans="2:14" x14ac:dyDescent="0.2">
      <c r="B733" s="5" t="s">
        <v>50</v>
      </c>
      <c r="C733" s="2">
        <v>413</v>
      </c>
      <c r="D733" s="6">
        <v>413</v>
      </c>
      <c r="E733" s="2">
        <f t="shared" si="279"/>
        <v>0</v>
      </c>
      <c r="F733" s="3">
        <f t="shared" si="278"/>
        <v>1</v>
      </c>
      <c r="G733" s="6">
        <v>2</v>
      </c>
      <c r="H733" s="4">
        <f t="shared" ref="H733" si="280">D733/G733</f>
        <v>206.5</v>
      </c>
      <c r="I733" s="10">
        <v>46030</v>
      </c>
    </row>
    <row r="734" spans="2:14" x14ac:dyDescent="0.2">
      <c r="B734" s="1" t="s">
        <v>7</v>
      </c>
      <c r="C734" s="20">
        <v>1075</v>
      </c>
      <c r="D734" s="20">
        <v>1043</v>
      </c>
      <c r="E734" s="20">
        <f t="shared" ref="E734" si="281">C734-D734</f>
        <v>32</v>
      </c>
      <c r="F734" s="3">
        <f t="shared" ref="F734:F741" si="282">D734/C734</f>
        <v>0.97023255813953491</v>
      </c>
      <c r="G734" s="2">
        <v>5</v>
      </c>
      <c r="H734" s="4">
        <f t="shared" ref="H734:H741" si="283">D734/G734</f>
        <v>208.6</v>
      </c>
      <c r="I734" s="10">
        <v>46031</v>
      </c>
      <c r="J734" s="17">
        <v>1</v>
      </c>
      <c r="M734">
        <v>13</v>
      </c>
    </row>
    <row r="735" spans="2:14" x14ac:dyDescent="0.2">
      <c r="B735" s="5" t="s">
        <v>8</v>
      </c>
      <c r="C735" s="6">
        <v>343</v>
      </c>
      <c r="D735" s="6">
        <v>318</v>
      </c>
      <c r="E735" s="2">
        <f>C735-D735</f>
        <v>25</v>
      </c>
      <c r="F735" s="3">
        <f t="shared" si="282"/>
        <v>0.92711370262390669</v>
      </c>
      <c r="G735" s="2">
        <v>9</v>
      </c>
      <c r="H735" s="4">
        <f t="shared" si="283"/>
        <v>35.333333333333336</v>
      </c>
      <c r="I735" s="10">
        <v>46031</v>
      </c>
      <c r="J735" s="17">
        <v>5</v>
      </c>
    </row>
    <row r="736" spans="2:14" x14ac:dyDescent="0.2">
      <c r="B736" s="1" t="s">
        <v>9</v>
      </c>
      <c r="C736" s="2">
        <v>146</v>
      </c>
      <c r="D736" s="2">
        <v>146</v>
      </c>
      <c r="E736" s="2">
        <f>C736-D736</f>
        <v>0</v>
      </c>
      <c r="F736" s="3">
        <f t="shared" si="282"/>
        <v>1</v>
      </c>
      <c r="G736" s="2">
        <v>9</v>
      </c>
      <c r="H736" s="4">
        <f t="shared" si="283"/>
        <v>16.222222222222221</v>
      </c>
      <c r="I736" s="10">
        <v>46031</v>
      </c>
    </row>
    <row r="737" spans="2:14" x14ac:dyDescent="0.2">
      <c r="B737" s="5" t="s">
        <v>10</v>
      </c>
      <c r="C737" s="6">
        <f>477+72+846</f>
        <v>1395</v>
      </c>
      <c r="D737" s="59">
        <f>477+72+787</f>
        <v>1336</v>
      </c>
      <c r="E737" s="2">
        <f>C737-D737</f>
        <v>59</v>
      </c>
      <c r="F737" s="3">
        <f t="shared" si="282"/>
        <v>0.95770609318996414</v>
      </c>
      <c r="G737" s="6">
        <v>12</v>
      </c>
      <c r="H737" s="4">
        <f t="shared" si="283"/>
        <v>111.33333333333333</v>
      </c>
      <c r="I737" s="10">
        <v>46031</v>
      </c>
      <c r="J737" s="17">
        <v>98</v>
      </c>
    </row>
    <row r="738" spans="2:14" x14ac:dyDescent="0.2">
      <c r="B738" s="1" t="s">
        <v>11</v>
      </c>
      <c r="C738" s="20">
        <v>552</v>
      </c>
      <c r="D738" s="20">
        <v>537</v>
      </c>
      <c r="E738" s="2">
        <f>C738-D738</f>
        <v>15</v>
      </c>
      <c r="F738" s="3">
        <f t="shared" si="282"/>
        <v>0.97282608695652173</v>
      </c>
      <c r="G738" s="6">
        <v>9</v>
      </c>
      <c r="H738" s="4">
        <f t="shared" si="283"/>
        <v>59.666666666666664</v>
      </c>
      <c r="I738" s="10">
        <v>46031</v>
      </c>
      <c r="J738" s="17">
        <v>64</v>
      </c>
      <c r="K738">
        <v>13</v>
      </c>
    </row>
    <row r="739" spans="2:14" x14ac:dyDescent="0.2">
      <c r="B739" s="5" t="s">
        <v>12</v>
      </c>
      <c r="C739" s="20">
        <v>174</v>
      </c>
      <c r="D739" s="20">
        <v>174</v>
      </c>
      <c r="E739" s="20">
        <f>C739-D739</f>
        <v>0</v>
      </c>
      <c r="F739" s="3">
        <f t="shared" si="282"/>
        <v>1</v>
      </c>
      <c r="G739" s="6">
        <v>19</v>
      </c>
      <c r="H739" s="4">
        <f t="shared" si="283"/>
        <v>9.1578947368421044</v>
      </c>
      <c r="I739" s="10">
        <v>46031</v>
      </c>
    </row>
    <row r="740" spans="2:14" x14ac:dyDescent="0.2">
      <c r="B740" s="5" t="s">
        <v>17</v>
      </c>
      <c r="C740" s="2">
        <v>632</v>
      </c>
      <c r="D740" s="6">
        <v>624</v>
      </c>
      <c r="E740" s="2">
        <f t="shared" ref="E740:E742" si="284">C740-D740</f>
        <v>8</v>
      </c>
      <c r="F740" s="3">
        <f t="shared" si="282"/>
        <v>0.98734177215189878</v>
      </c>
      <c r="G740" s="6">
        <v>6</v>
      </c>
      <c r="H740" s="4">
        <f t="shared" si="283"/>
        <v>104</v>
      </c>
      <c r="I740" s="10">
        <v>46031</v>
      </c>
      <c r="L740">
        <v>14</v>
      </c>
      <c r="N740">
        <v>58</v>
      </c>
    </row>
    <row r="741" spans="2:14" x14ac:dyDescent="0.2">
      <c r="B741" s="5" t="s">
        <v>50</v>
      </c>
      <c r="C741" s="2">
        <v>148</v>
      </c>
      <c r="D741" s="6">
        <v>142</v>
      </c>
      <c r="E741" s="2">
        <f t="shared" si="284"/>
        <v>6</v>
      </c>
      <c r="F741" s="3">
        <f t="shared" si="282"/>
        <v>0.95945945945945943</v>
      </c>
      <c r="G741" s="6">
        <v>2</v>
      </c>
      <c r="H741" s="4">
        <f t="shared" si="283"/>
        <v>71</v>
      </c>
      <c r="I741" s="10">
        <v>46031</v>
      </c>
    </row>
    <row r="742" spans="2:14" x14ac:dyDescent="0.2">
      <c r="B742" s="1" t="s">
        <v>7</v>
      </c>
      <c r="C742" s="20">
        <v>571</v>
      </c>
      <c r="D742" s="20">
        <v>535</v>
      </c>
      <c r="E742" s="20">
        <f t="shared" si="284"/>
        <v>36</v>
      </c>
      <c r="F742" s="3">
        <f t="shared" ref="F742:F749" si="285">D742/C742</f>
        <v>0.9369527145359019</v>
      </c>
      <c r="G742" s="2">
        <v>5</v>
      </c>
      <c r="H742" s="4">
        <f t="shared" ref="H742:H749" si="286">D742/G742</f>
        <v>107</v>
      </c>
      <c r="I742" s="10">
        <v>46034</v>
      </c>
      <c r="J742" s="17">
        <v>1</v>
      </c>
      <c r="M742">
        <v>12</v>
      </c>
    </row>
    <row r="743" spans="2:14" x14ac:dyDescent="0.2">
      <c r="B743" s="5" t="s">
        <v>8</v>
      </c>
      <c r="C743" s="6">
        <v>1006</v>
      </c>
      <c r="D743" s="6">
        <v>757</v>
      </c>
      <c r="E743" s="2">
        <f>C743-D743</f>
        <v>249</v>
      </c>
      <c r="F743" s="3">
        <f t="shared" si="285"/>
        <v>0.75248508946322068</v>
      </c>
      <c r="G743" s="2">
        <v>8</v>
      </c>
      <c r="H743" s="4">
        <f t="shared" si="286"/>
        <v>94.625</v>
      </c>
      <c r="I743" s="10">
        <v>46034</v>
      </c>
      <c r="J743" s="17">
        <v>5</v>
      </c>
    </row>
    <row r="744" spans="2:14" x14ac:dyDescent="0.2">
      <c r="B744" s="1" t="s">
        <v>9</v>
      </c>
      <c r="C744" s="2">
        <v>46</v>
      </c>
      <c r="D744" s="2">
        <v>43</v>
      </c>
      <c r="E744" s="2">
        <f>C744-D744</f>
        <v>3</v>
      </c>
      <c r="F744" s="3">
        <f t="shared" si="285"/>
        <v>0.93478260869565222</v>
      </c>
      <c r="G744" s="2">
        <v>9</v>
      </c>
      <c r="H744" s="4">
        <f t="shared" si="286"/>
        <v>4.7777777777777777</v>
      </c>
      <c r="I744" s="10">
        <v>46034</v>
      </c>
    </row>
    <row r="745" spans="2:14" x14ac:dyDescent="0.2">
      <c r="B745" s="5" t="s">
        <v>10</v>
      </c>
      <c r="C745" s="6">
        <f>147+26+296</f>
        <v>469</v>
      </c>
      <c r="D745" s="59">
        <f>131+26+156</f>
        <v>313</v>
      </c>
      <c r="E745" s="2">
        <f>C745-D745</f>
        <v>156</v>
      </c>
      <c r="F745" s="3">
        <f t="shared" si="285"/>
        <v>0.66737739872068236</v>
      </c>
      <c r="G745" s="6">
        <v>12</v>
      </c>
      <c r="H745" s="4">
        <f t="shared" si="286"/>
        <v>26.083333333333332</v>
      </c>
      <c r="I745" s="10">
        <v>46034</v>
      </c>
      <c r="J745" s="17"/>
    </row>
    <row r="746" spans="2:14" x14ac:dyDescent="0.2">
      <c r="B746" s="1" t="s">
        <v>11</v>
      </c>
      <c r="C746" s="20">
        <v>1794</v>
      </c>
      <c r="D746" s="20">
        <v>1725</v>
      </c>
      <c r="E746" s="2">
        <f>C746-D746</f>
        <v>69</v>
      </c>
      <c r="F746" s="3">
        <f t="shared" si="285"/>
        <v>0.96153846153846156</v>
      </c>
      <c r="G746" s="6">
        <v>8</v>
      </c>
      <c r="H746" s="4">
        <f t="shared" si="286"/>
        <v>215.625</v>
      </c>
      <c r="I746" s="10">
        <v>46034</v>
      </c>
      <c r="J746" s="17"/>
      <c r="K746">
        <v>11</v>
      </c>
    </row>
    <row r="747" spans="2:14" x14ac:dyDescent="0.2">
      <c r="B747" s="5" t="s">
        <v>12</v>
      </c>
      <c r="C747" s="20">
        <v>390</v>
      </c>
      <c r="D747" s="20">
        <v>324</v>
      </c>
      <c r="E747" s="20">
        <f>C747-D747</f>
        <v>66</v>
      </c>
      <c r="F747" s="3">
        <f t="shared" si="285"/>
        <v>0.83076923076923082</v>
      </c>
      <c r="G747" s="6">
        <v>17</v>
      </c>
      <c r="H747" s="4">
        <f t="shared" si="286"/>
        <v>19.058823529411764</v>
      </c>
      <c r="I747" s="10">
        <v>46034</v>
      </c>
    </row>
    <row r="748" spans="2:14" x14ac:dyDescent="0.2">
      <c r="B748" s="5" t="s">
        <v>17</v>
      </c>
      <c r="C748" s="2">
        <v>695</v>
      </c>
      <c r="D748" s="6">
        <v>675</v>
      </c>
      <c r="E748" s="2">
        <f t="shared" ref="E748:E750" si="287">C748-D748</f>
        <v>20</v>
      </c>
      <c r="F748" s="3">
        <f t="shared" si="285"/>
        <v>0.97122302158273377</v>
      </c>
      <c r="G748" s="6">
        <v>5</v>
      </c>
      <c r="H748" s="4">
        <f t="shared" si="286"/>
        <v>135</v>
      </c>
      <c r="I748" s="10">
        <v>46034</v>
      </c>
      <c r="L748">
        <v>13</v>
      </c>
      <c r="N748">
        <v>45</v>
      </c>
    </row>
    <row r="749" spans="2:14" x14ac:dyDescent="0.2">
      <c r="B749" s="5" t="s">
        <v>50</v>
      </c>
      <c r="C749" s="2">
        <v>712</v>
      </c>
      <c r="D749" s="6">
        <v>710</v>
      </c>
      <c r="E749" s="2">
        <f t="shared" si="287"/>
        <v>2</v>
      </c>
      <c r="F749" s="3">
        <f t="shared" si="285"/>
        <v>0.9971910112359551</v>
      </c>
      <c r="G749" s="6">
        <v>2</v>
      </c>
      <c r="H749" s="4">
        <f t="shared" si="286"/>
        <v>355</v>
      </c>
      <c r="I749" s="10">
        <v>46034</v>
      </c>
    </row>
    <row r="750" spans="2:14" x14ac:dyDescent="0.2">
      <c r="B750" s="1" t="s">
        <v>7</v>
      </c>
      <c r="C750" s="20">
        <v>612</v>
      </c>
      <c r="D750" s="20">
        <v>551</v>
      </c>
      <c r="E750" s="20">
        <f t="shared" si="287"/>
        <v>61</v>
      </c>
      <c r="F750" s="3">
        <f t="shared" ref="F750:F757" si="288">D750/C750</f>
        <v>0.90032679738562094</v>
      </c>
      <c r="G750" s="2">
        <v>5</v>
      </c>
      <c r="H750" s="4">
        <f t="shared" ref="H750:H757" si="289">D750/G750</f>
        <v>110.2</v>
      </c>
      <c r="I750" s="10">
        <v>46035</v>
      </c>
      <c r="J750" s="17">
        <v>2</v>
      </c>
      <c r="M750">
        <v>14</v>
      </c>
    </row>
    <row r="751" spans="2:14" x14ac:dyDescent="0.2">
      <c r="B751" s="5" t="s">
        <v>8</v>
      </c>
      <c r="C751" s="6">
        <v>595</v>
      </c>
      <c r="D751" s="6">
        <v>511</v>
      </c>
      <c r="E751" s="2">
        <f>C751-D751</f>
        <v>84</v>
      </c>
      <c r="F751" s="3">
        <f t="shared" si="288"/>
        <v>0.85882352941176465</v>
      </c>
      <c r="G751" s="2">
        <v>8</v>
      </c>
      <c r="H751" s="4">
        <f t="shared" si="289"/>
        <v>63.875</v>
      </c>
      <c r="I751" s="10">
        <v>46035</v>
      </c>
      <c r="J751" s="17">
        <v>7</v>
      </c>
    </row>
    <row r="752" spans="2:14" x14ac:dyDescent="0.2">
      <c r="B752" s="1" t="s">
        <v>9</v>
      </c>
      <c r="C752" s="2">
        <v>125</v>
      </c>
      <c r="D752" s="2">
        <v>100</v>
      </c>
      <c r="E752" s="2">
        <f>C752-D752</f>
        <v>25</v>
      </c>
      <c r="F752" s="3">
        <f t="shared" si="288"/>
        <v>0.8</v>
      </c>
      <c r="G752" s="2">
        <v>8</v>
      </c>
      <c r="H752" s="4">
        <f t="shared" si="289"/>
        <v>12.5</v>
      </c>
      <c r="I752" s="10">
        <v>46035</v>
      </c>
    </row>
    <row r="753" spans="2:14" x14ac:dyDescent="0.2">
      <c r="B753" s="5" t="s">
        <v>10</v>
      </c>
      <c r="C753" s="6">
        <f>730+167</f>
        <v>897</v>
      </c>
      <c r="D753" s="59">
        <f>228+20</f>
        <v>248</v>
      </c>
      <c r="E753" s="2">
        <f>C753-D753</f>
        <v>649</v>
      </c>
      <c r="F753" s="3">
        <f t="shared" si="288"/>
        <v>0.27647714604236345</v>
      </c>
      <c r="G753" s="6">
        <v>11</v>
      </c>
      <c r="H753" s="4">
        <f t="shared" si="289"/>
        <v>22.545454545454547</v>
      </c>
      <c r="I753" s="10">
        <v>46035</v>
      </c>
      <c r="J753" s="17">
        <f>226-192</f>
        <v>34</v>
      </c>
    </row>
    <row r="754" spans="2:14" x14ac:dyDescent="0.2">
      <c r="B754" s="1" t="s">
        <v>11</v>
      </c>
      <c r="C754" s="20">
        <v>825</v>
      </c>
      <c r="D754" s="20">
        <v>592</v>
      </c>
      <c r="E754" s="2">
        <f>C754-D754</f>
        <v>233</v>
      </c>
      <c r="F754" s="3">
        <f t="shared" si="288"/>
        <v>0.71757575757575753</v>
      </c>
      <c r="G754" s="6">
        <v>9</v>
      </c>
      <c r="H754" s="4">
        <f t="shared" si="289"/>
        <v>65.777777777777771</v>
      </c>
      <c r="I754" s="10">
        <v>46035</v>
      </c>
      <c r="J754" s="17">
        <v>5</v>
      </c>
      <c r="K754">
        <v>10</v>
      </c>
    </row>
    <row r="755" spans="2:14" x14ac:dyDescent="0.2">
      <c r="B755" s="5" t="s">
        <v>12</v>
      </c>
      <c r="C755" s="20">
        <v>382</v>
      </c>
      <c r="D755" s="20">
        <v>308</v>
      </c>
      <c r="E755" s="20">
        <f>C755-D755</f>
        <v>74</v>
      </c>
      <c r="F755" s="3">
        <f t="shared" si="288"/>
        <v>0.80628272251308897</v>
      </c>
      <c r="G755" s="6">
        <v>19</v>
      </c>
      <c r="H755" s="4">
        <f t="shared" si="289"/>
        <v>16.210526315789473</v>
      </c>
      <c r="I755" s="10">
        <v>46035</v>
      </c>
      <c r="J755" s="17">
        <v>1</v>
      </c>
    </row>
    <row r="756" spans="2:14" x14ac:dyDescent="0.2">
      <c r="B756" s="5" t="s">
        <v>17</v>
      </c>
      <c r="C756" s="2">
        <v>1268</v>
      </c>
      <c r="D756" s="6">
        <v>1265</v>
      </c>
      <c r="E756" s="2">
        <f t="shared" ref="E756:E758" si="290">C756-D756</f>
        <v>3</v>
      </c>
      <c r="F756" s="3">
        <f t="shared" si="288"/>
        <v>0.99763406940063093</v>
      </c>
      <c r="G756" s="6">
        <v>6</v>
      </c>
      <c r="H756" s="4">
        <f t="shared" si="289"/>
        <v>210.83333333333334</v>
      </c>
      <c r="I756" s="10">
        <v>46035</v>
      </c>
      <c r="L756">
        <v>11</v>
      </c>
      <c r="N756">
        <v>52</v>
      </c>
    </row>
    <row r="757" spans="2:14" x14ac:dyDescent="0.2">
      <c r="B757" s="5" t="s">
        <v>50</v>
      </c>
      <c r="C757" s="2">
        <v>721</v>
      </c>
      <c r="D757" s="6">
        <v>204</v>
      </c>
      <c r="E757" s="2">
        <f t="shared" si="290"/>
        <v>517</v>
      </c>
      <c r="F757" s="3">
        <f t="shared" si="288"/>
        <v>0.28294036061026351</v>
      </c>
      <c r="G757" s="6">
        <v>2</v>
      </c>
      <c r="H757" s="4">
        <f t="shared" si="289"/>
        <v>102</v>
      </c>
      <c r="I757" s="10">
        <v>46035</v>
      </c>
    </row>
    <row r="758" spans="2:14" x14ac:dyDescent="0.2">
      <c r="B758" s="1" t="s">
        <v>7</v>
      </c>
      <c r="C758" s="20">
        <v>1009</v>
      </c>
      <c r="D758" s="20">
        <v>1007</v>
      </c>
      <c r="E758" s="20">
        <f t="shared" si="290"/>
        <v>2</v>
      </c>
      <c r="F758" s="3">
        <f t="shared" ref="F758:F765" si="291">D758/C758</f>
        <v>0.998017839444995</v>
      </c>
      <c r="G758" s="2">
        <v>5</v>
      </c>
      <c r="H758" s="4">
        <f t="shared" ref="H758:H765" si="292">D758/G758</f>
        <v>201.4</v>
      </c>
      <c r="I758" s="10">
        <v>46036</v>
      </c>
      <c r="J758" s="17">
        <v>3</v>
      </c>
      <c r="M758">
        <v>8</v>
      </c>
    </row>
    <row r="759" spans="2:14" x14ac:dyDescent="0.2">
      <c r="B759" s="5" t="s">
        <v>8</v>
      </c>
      <c r="C759" s="6">
        <v>590</v>
      </c>
      <c r="D759" s="6">
        <v>346</v>
      </c>
      <c r="E759" s="2">
        <f>C759-D759</f>
        <v>244</v>
      </c>
      <c r="F759" s="3">
        <f t="shared" si="291"/>
        <v>0.58644067796610166</v>
      </c>
      <c r="G759" s="2">
        <v>9</v>
      </c>
      <c r="H759" s="4">
        <f t="shared" si="292"/>
        <v>38.444444444444443</v>
      </c>
      <c r="I759" s="10">
        <v>46036</v>
      </c>
      <c r="J759" s="17"/>
    </row>
    <row r="760" spans="2:14" x14ac:dyDescent="0.2">
      <c r="B760" s="1" t="s">
        <v>9</v>
      </c>
      <c r="C760" s="2">
        <v>137</v>
      </c>
      <c r="D760" s="2">
        <v>68</v>
      </c>
      <c r="E760" s="2">
        <f>C760-D760</f>
        <v>69</v>
      </c>
      <c r="F760" s="3">
        <f t="shared" si="291"/>
        <v>0.49635036496350365</v>
      </c>
      <c r="G760" s="2">
        <v>6</v>
      </c>
      <c r="H760" s="4">
        <f t="shared" si="292"/>
        <v>11.333333333333334</v>
      </c>
      <c r="I760" s="10">
        <v>46036</v>
      </c>
    </row>
    <row r="761" spans="2:14" x14ac:dyDescent="0.2">
      <c r="B761" s="5" t="s">
        <v>10</v>
      </c>
      <c r="C761" s="6">
        <f>629+5+104</f>
        <v>738</v>
      </c>
      <c r="D761" s="59">
        <f>56+51</f>
        <v>107</v>
      </c>
      <c r="E761" s="2">
        <f>C761-D761</f>
        <v>631</v>
      </c>
      <c r="F761" s="3">
        <f t="shared" si="291"/>
        <v>0.14498644986449866</v>
      </c>
      <c r="G761" s="6">
        <v>11</v>
      </c>
      <c r="H761" s="4">
        <f t="shared" si="292"/>
        <v>9.7272727272727266</v>
      </c>
      <c r="I761" s="10">
        <v>46036</v>
      </c>
      <c r="J761" s="17">
        <v>12</v>
      </c>
    </row>
    <row r="762" spans="2:14" x14ac:dyDescent="0.2">
      <c r="B762" s="1" t="s">
        <v>11</v>
      </c>
      <c r="C762" s="20">
        <v>616</v>
      </c>
      <c r="D762" s="20">
        <v>510</v>
      </c>
      <c r="E762" s="2">
        <f>C762-D762</f>
        <v>106</v>
      </c>
      <c r="F762" s="3">
        <f t="shared" si="291"/>
        <v>0.82792207792207795</v>
      </c>
      <c r="G762" s="6">
        <v>9</v>
      </c>
      <c r="H762" s="4">
        <f t="shared" si="292"/>
        <v>56.666666666666664</v>
      </c>
      <c r="I762" s="10">
        <v>46036</v>
      </c>
      <c r="J762" s="17">
        <v>4</v>
      </c>
      <c r="K762">
        <v>12</v>
      </c>
    </row>
    <row r="763" spans="2:14" x14ac:dyDescent="0.2">
      <c r="B763" s="5" t="s">
        <v>12</v>
      </c>
      <c r="C763" s="20">
        <v>505</v>
      </c>
      <c r="D763" s="20">
        <v>270</v>
      </c>
      <c r="E763" s="20">
        <f>C763-D763</f>
        <v>235</v>
      </c>
      <c r="F763" s="3">
        <f t="shared" si="291"/>
        <v>0.53465346534653468</v>
      </c>
      <c r="G763" s="6">
        <v>18</v>
      </c>
      <c r="H763" s="4">
        <f t="shared" si="292"/>
        <v>15</v>
      </c>
      <c r="I763" s="10">
        <v>46036</v>
      </c>
      <c r="J763" s="17"/>
    </row>
    <row r="764" spans="2:14" x14ac:dyDescent="0.2">
      <c r="B764" s="5" t="s">
        <v>17</v>
      </c>
      <c r="C764" s="2">
        <v>294</v>
      </c>
      <c r="D764" s="6">
        <v>294</v>
      </c>
      <c r="E764" s="2">
        <f t="shared" ref="E764:E766" si="293">C764-D764</f>
        <v>0</v>
      </c>
      <c r="F764" s="3">
        <f t="shared" si="291"/>
        <v>1</v>
      </c>
      <c r="G764" s="6">
        <v>6</v>
      </c>
      <c r="H764" s="4">
        <f t="shared" si="292"/>
        <v>49</v>
      </c>
      <c r="I764" s="10">
        <v>46036</v>
      </c>
      <c r="L764">
        <v>10</v>
      </c>
      <c r="N764">
        <v>33</v>
      </c>
    </row>
    <row r="765" spans="2:14" x14ac:dyDescent="0.2">
      <c r="B765" s="5" t="s">
        <v>50</v>
      </c>
      <c r="C765" s="2">
        <v>270</v>
      </c>
      <c r="D765" s="6">
        <v>236</v>
      </c>
      <c r="E765" s="2">
        <f t="shared" si="293"/>
        <v>34</v>
      </c>
      <c r="F765" s="3">
        <f t="shared" si="291"/>
        <v>0.87407407407407411</v>
      </c>
      <c r="G765" s="6">
        <v>2</v>
      </c>
      <c r="H765" s="4">
        <f t="shared" si="292"/>
        <v>118</v>
      </c>
      <c r="I765" s="10">
        <v>46036</v>
      </c>
    </row>
    <row r="766" spans="2:14" x14ac:dyDescent="0.2">
      <c r="B766" s="1" t="s">
        <v>7</v>
      </c>
      <c r="C766" s="20">
        <v>304</v>
      </c>
      <c r="D766" s="20">
        <v>303</v>
      </c>
      <c r="E766" s="20">
        <f t="shared" si="293"/>
        <v>1</v>
      </c>
      <c r="F766" s="3">
        <f t="shared" ref="F766:F773" si="294">D766/C766</f>
        <v>0.99671052631578949</v>
      </c>
      <c r="G766" s="2">
        <v>3</v>
      </c>
      <c r="H766" s="4">
        <f t="shared" ref="H766:H773" si="295">D766/G766</f>
        <v>101</v>
      </c>
      <c r="I766" s="10">
        <v>46037</v>
      </c>
      <c r="J766" s="17">
        <v>3</v>
      </c>
      <c r="M766">
        <v>10</v>
      </c>
    </row>
    <row r="767" spans="2:14" x14ac:dyDescent="0.2">
      <c r="B767" s="5" t="s">
        <v>8</v>
      </c>
      <c r="C767" s="6">
        <v>1148</v>
      </c>
      <c r="D767" s="6">
        <v>965</v>
      </c>
      <c r="E767" s="2">
        <f>C767-D767</f>
        <v>183</v>
      </c>
      <c r="F767" s="3">
        <f t="shared" si="294"/>
        <v>0.84059233449477355</v>
      </c>
      <c r="G767" s="2">
        <v>9</v>
      </c>
      <c r="H767" s="4">
        <f t="shared" si="295"/>
        <v>107.22222222222223</v>
      </c>
      <c r="I767" s="10">
        <v>46037</v>
      </c>
      <c r="J767" s="17">
        <v>2</v>
      </c>
    </row>
    <row r="768" spans="2:14" x14ac:dyDescent="0.2">
      <c r="B768" s="1" t="s">
        <v>9</v>
      </c>
      <c r="C768" s="2">
        <v>61</v>
      </c>
      <c r="D768" s="2">
        <v>61</v>
      </c>
      <c r="E768" s="2">
        <f>C768-D768</f>
        <v>0</v>
      </c>
      <c r="F768" s="3">
        <f t="shared" si="294"/>
        <v>1</v>
      </c>
      <c r="G768" s="2">
        <v>6</v>
      </c>
      <c r="H768" s="4">
        <f t="shared" si="295"/>
        <v>10.166666666666666</v>
      </c>
      <c r="I768" s="10">
        <v>46037</v>
      </c>
    </row>
    <row r="769" spans="2:14" x14ac:dyDescent="0.2">
      <c r="B769" s="5" t="s">
        <v>10</v>
      </c>
      <c r="C769" s="6">
        <f>701+81+721</f>
        <v>1503</v>
      </c>
      <c r="D769" s="59">
        <f>171+137</f>
        <v>308</v>
      </c>
      <c r="E769" s="2">
        <f>C769-D769</f>
        <v>1195</v>
      </c>
      <c r="F769" s="3">
        <f t="shared" si="294"/>
        <v>0.20492348636061211</v>
      </c>
      <c r="G769" s="6">
        <v>11</v>
      </c>
      <c r="H769" s="4">
        <f t="shared" si="295"/>
        <v>28</v>
      </c>
      <c r="I769" s="10">
        <v>46037</v>
      </c>
      <c r="J769" s="17"/>
    </row>
    <row r="770" spans="2:14" x14ac:dyDescent="0.2">
      <c r="B770" s="1" t="s">
        <v>11</v>
      </c>
      <c r="C770" s="20">
        <v>1303</v>
      </c>
      <c r="D770" s="20">
        <v>641</v>
      </c>
      <c r="E770" s="2">
        <f>C770-D770</f>
        <v>662</v>
      </c>
      <c r="F770" s="3">
        <f t="shared" si="294"/>
        <v>0.49194167306216424</v>
      </c>
      <c r="G770" s="6">
        <v>9</v>
      </c>
      <c r="H770" s="4">
        <f t="shared" si="295"/>
        <v>71.222222222222229</v>
      </c>
      <c r="I770" s="10">
        <v>46037</v>
      </c>
      <c r="J770" s="17">
        <v>12</v>
      </c>
      <c r="K770">
        <v>10</v>
      </c>
    </row>
    <row r="771" spans="2:14" x14ac:dyDescent="0.2">
      <c r="B771" s="5" t="s">
        <v>12</v>
      </c>
      <c r="C771" s="20">
        <v>215</v>
      </c>
      <c r="D771" s="20">
        <v>110</v>
      </c>
      <c r="E771" s="20">
        <f>C771-D771</f>
        <v>105</v>
      </c>
      <c r="F771" s="3">
        <f t="shared" si="294"/>
        <v>0.51162790697674421</v>
      </c>
      <c r="G771" s="6">
        <v>21</v>
      </c>
      <c r="H771" s="4">
        <f t="shared" si="295"/>
        <v>5.2380952380952381</v>
      </c>
      <c r="I771" s="10">
        <v>46037</v>
      </c>
      <c r="J771" s="17"/>
    </row>
    <row r="772" spans="2:14" x14ac:dyDescent="0.2">
      <c r="B772" s="5" t="s">
        <v>17</v>
      </c>
      <c r="C772" s="2">
        <v>628</v>
      </c>
      <c r="D772" s="6">
        <v>628</v>
      </c>
      <c r="E772" s="2">
        <f t="shared" ref="E772:E774" si="296">C772-D772</f>
        <v>0</v>
      </c>
      <c r="F772" s="3">
        <f t="shared" si="294"/>
        <v>1</v>
      </c>
      <c r="G772" s="6">
        <v>5</v>
      </c>
      <c r="H772" s="4">
        <f t="shared" si="295"/>
        <v>125.6</v>
      </c>
      <c r="I772" s="10">
        <v>46037</v>
      </c>
      <c r="L772">
        <v>13</v>
      </c>
      <c r="N772">
        <v>46</v>
      </c>
    </row>
    <row r="773" spans="2:14" x14ac:dyDescent="0.2">
      <c r="B773" s="5" t="s">
        <v>50</v>
      </c>
      <c r="C773" s="2">
        <v>314</v>
      </c>
      <c r="D773" s="6">
        <v>254</v>
      </c>
      <c r="E773" s="2">
        <f t="shared" si="296"/>
        <v>60</v>
      </c>
      <c r="F773" s="3">
        <f t="shared" si="294"/>
        <v>0.80891719745222934</v>
      </c>
      <c r="G773" s="6">
        <v>2</v>
      </c>
      <c r="H773" s="4">
        <f t="shared" si="295"/>
        <v>127</v>
      </c>
      <c r="I773" s="10">
        <v>46037</v>
      </c>
    </row>
    <row r="774" spans="2:14" x14ac:dyDescent="0.2">
      <c r="B774" s="1" t="s">
        <v>7</v>
      </c>
      <c r="C774" s="20">
        <v>502</v>
      </c>
      <c r="D774" s="20">
        <v>454</v>
      </c>
      <c r="E774" s="20">
        <f t="shared" si="296"/>
        <v>48</v>
      </c>
      <c r="F774" s="3">
        <f t="shared" ref="F774:F781" si="297">D774/C774</f>
        <v>0.90438247011952189</v>
      </c>
      <c r="G774" s="2">
        <v>3</v>
      </c>
      <c r="H774" s="4">
        <f t="shared" ref="H774:H781" si="298">D774/G774</f>
        <v>151.33333333333334</v>
      </c>
      <c r="I774" s="10">
        <v>46038</v>
      </c>
      <c r="J774" s="17">
        <v>5</v>
      </c>
      <c r="M774">
        <v>11</v>
      </c>
    </row>
    <row r="775" spans="2:14" x14ac:dyDescent="0.2">
      <c r="B775" s="5" t="s">
        <v>8</v>
      </c>
      <c r="C775" s="6">
        <v>320</v>
      </c>
      <c r="D775" s="6">
        <v>285</v>
      </c>
      <c r="E775" s="2">
        <f>C775-D775</f>
        <v>35</v>
      </c>
      <c r="F775" s="3">
        <f t="shared" si="297"/>
        <v>0.890625</v>
      </c>
      <c r="G775" s="2">
        <v>8</v>
      </c>
      <c r="H775" s="4">
        <f t="shared" si="298"/>
        <v>35.625</v>
      </c>
      <c r="I775" s="10">
        <v>46038</v>
      </c>
      <c r="J775" s="17">
        <v>4</v>
      </c>
    </row>
    <row r="776" spans="2:14" x14ac:dyDescent="0.2">
      <c r="B776" s="1" t="s">
        <v>9</v>
      </c>
      <c r="C776" s="2">
        <v>63</v>
      </c>
      <c r="D776" s="2">
        <v>63</v>
      </c>
      <c r="E776" s="2">
        <f>C776-D776</f>
        <v>0</v>
      </c>
      <c r="F776" s="3">
        <f t="shared" si="297"/>
        <v>1</v>
      </c>
      <c r="G776" s="2">
        <v>7</v>
      </c>
      <c r="H776" s="4">
        <f t="shared" si="298"/>
        <v>9</v>
      </c>
      <c r="I776" s="10">
        <v>46038</v>
      </c>
    </row>
    <row r="777" spans="2:14" x14ac:dyDescent="0.2">
      <c r="B777" s="5" t="s">
        <v>10</v>
      </c>
      <c r="C777" s="6">
        <f>379+277+477</f>
        <v>1133</v>
      </c>
      <c r="D777" s="59">
        <f>222+277+367</f>
        <v>866</v>
      </c>
      <c r="E777" s="2">
        <f>C777-D777</f>
        <v>267</v>
      </c>
      <c r="F777" s="3">
        <f t="shared" si="297"/>
        <v>0.76434245366284204</v>
      </c>
      <c r="G777" s="6">
        <v>12</v>
      </c>
      <c r="H777" s="4">
        <f t="shared" si="298"/>
        <v>72.166666666666671</v>
      </c>
      <c r="I777" s="10">
        <v>46038</v>
      </c>
      <c r="J777" s="17">
        <v>10</v>
      </c>
    </row>
    <row r="778" spans="2:14" x14ac:dyDescent="0.2">
      <c r="B778" s="1" t="s">
        <v>11</v>
      </c>
      <c r="C778" s="20">
        <v>518</v>
      </c>
      <c r="D778" s="20">
        <v>382</v>
      </c>
      <c r="E778" s="2">
        <f>C778-D778</f>
        <v>136</v>
      </c>
      <c r="F778" s="3">
        <f t="shared" si="297"/>
        <v>0.73745173745173742</v>
      </c>
      <c r="G778" s="6">
        <v>9</v>
      </c>
      <c r="H778" s="4">
        <f t="shared" si="298"/>
        <v>42.444444444444443</v>
      </c>
      <c r="I778" s="10">
        <v>46038</v>
      </c>
      <c r="J778" s="17">
        <v>9</v>
      </c>
      <c r="K778">
        <v>10</v>
      </c>
    </row>
    <row r="779" spans="2:14" x14ac:dyDescent="0.2">
      <c r="B779" s="5" t="s">
        <v>12</v>
      </c>
      <c r="C779" s="20">
        <v>232</v>
      </c>
      <c r="D779" s="20">
        <v>222</v>
      </c>
      <c r="E779" s="20">
        <f>C779-D779</f>
        <v>10</v>
      </c>
      <c r="F779" s="3">
        <f t="shared" si="297"/>
        <v>0.9568965517241379</v>
      </c>
      <c r="G779" s="6">
        <v>19</v>
      </c>
      <c r="H779" s="4">
        <f t="shared" si="298"/>
        <v>11.684210526315789</v>
      </c>
      <c r="I779" s="10">
        <v>46038</v>
      </c>
      <c r="J779" s="17"/>
    </row>
    <row r="780" spans="2:14" x14ac:dyDescent="0.2">
      <c r="B780" s="5" t="s">
        <v>17</v>
      </c>
      <c r="C780" s="2">
        <v>169</v>
      </c>
      <c r="D780" s="6">
        <v>154</v>
      </c>
      <c r="E780" s="2">
        <f t="shared" ref="E780:E782" si="299">C780-D780</f>
        <v>15</v>
      </c>
      <c r="F780" s="3">
        <f t="shared" si="297"/>
        <v>0.91124260355029585</v>
      </c>
      <c r="G780" s="6">
        <v>5</v>
      </c>
      <c r="H780" s="4">
        <f t="shared" si="298"/>
        <v>30.8</v>
      </c>
      <c r="I780" s="10">
        <v>46038</v>
      </c>
      <c r="L780">
        <v>9</v>
      </c>
      <c r="N780">
        <v>29</v>
      </c>
    </row>
    <row r="781" spans="2:14" x14ac:dyDescent="0.2">
      <c r="B781" s="5" t="s">
        <v>50</v>
      </c>
      <c r="C781" s="2">
        <v>228</v>
      </c>
      <c r="D781" s="6">
        <v>228</v>
      </c>
      <c r="E781" s="2">
        <f t="shared" si="299"/>
        <v>0</v>
      </c>
      <c r="F781" s="3">
        <f t="shared" si="297"/>
        <v>1</v>
      </c>
      <c r="G781" s="6">
        <v>2</v>
      </c>
      <c r="H781" s="4">
        <f t="shared" si="298"/>
        <v>114</v>
      </c>
      <c r="I781" s="10">
        <v>46038</v>
      </c>
    </row>
    <row r="782" spans="2:14" x14ac:dyDescent="0.2">
      <c r="B782" s="1" t="s">
        <v>7</v>
      </c>
      <c r="C782" s="20">
        <v>145</v>
      </c>
      <c r="D782" s="20">
        <v>145</v>
      </c>
      <c r="E782" s="20">
        <f t="shared" si="299"/>
        <v>0</v>
      </c>
      <c r="F782" s="3">
        <f t="shared" ref="F782:F789" si="300">D782/C782</f>
        <v>1</v>
      </c>
      <c r="G782" s="2">
        <v>3</v>
      </c>
      <c r="H782" s="4">
        <f t="shared" ref="H782:H789" si="301">D782/G782</f>
        <v>48.333333333333336</v>
      </c>
      <c r="I782" s="10">
        <v>46041</v>
      </c>
      <c r="J782" s="17">
        <v>4</v>
      </c>
      <c r="M782">
        <v>9</v>
      </c>
    </row>
    <row r="783" spans="2:14" x14ac:dyDescent="0.2">
      <c r="B783" s="5" t="s">
        <v>8</v>
      </c>
      <c r="C783" s="6">
        <v>452</v>
      </c>
      <c r="D783" s="6">
        <v>362</v>
      </c>
      <c r="E783" s="2">
        <f>C783-D783</f>
        <v>90</v>
      </c>
      <c r="F783" s="3">
        <f t="shared" si="300"/>
        <v>0.80088495575221241</v>
      </c>
      <c r="G783" s="2">
        <v>9</v>
      </c>
      <c r="H783" s="4">
        <f t="shared" si="301"/>
        <v>40.222222222222221</v>
      </c>
      <c r="I783" s="10">
        <v>46041</v>
      </c>
      <c r="J783" s="17"/>
    </row>
    <row r="784" spans="2:14" x14ac:dyDescent="0.2">
      <c r="B784" s="1" t="s">
        <v>9</v>
      </c>
      <c r="C784" s="2">
        <v>37</v>
      </c>
      <c r="D784" s="2">
        <v>36</v>
      </c>
      <c r="E784" s="2">
        <f>C784-D784</f>
        <v>1</v>
      </c>
      <c r="F784" s="3">
        <f t="shared" si="300"/>
        <v>0.97297297297297303</v>
      </c>
      <c r="G784" s="2">
        <v>7</v>
      </c>
      <c r="H784" s="4">
        <f t="shared" si="301"/>
        <v>5.1428571428571432</v>
      </c>
      <c r="I784" s="10">
        <v>46041</v>
      </c>
    </row>
    <row r="785" spans="2:14" x14ac:dyDescent="0.2">
      <c r="B785" s="5" t="s">
        <v>10</v>
      </c>
      <c r="C785" s="6">
        <f>364+41+477</f>
        <v>882</v>
      </c>
      <c r="D785" s="59">
        <f>339+90+24</f>
        <v>453</v>
      </c>
      <c r="E785" s="2">
        <f>C785-D785</f>
        <v>429</v>
      </c>
      <c r="F785" s="3">
        <f t="shared" si="300"/>
        <v>0.51360544217687076</v>
      </c>
      <c r="G785" s="6">
        <v>12</v>
      </c>
      <c r="H785" s="4">
        <f t="shared" si="301"/>
        <v>37.75</v>
      </c>
      <c r="I785" s="10">
        <v>46041</v>
      </c>
      <c r="J785" s="17">
        <v>41</v>
      </c>
    </row>
    <row r="786" spans="2:14" x14ac:dyDescent="0.2">
      <c r="B786" s="1" t="s">
        <v>11</v>
      </c>
      <c r="C786" s="20">
        <v>67</v>
      </c>
      <c r="D786" s="20">
        <v>65</v>
      </c>
      <c r="E786" s="2">
        <f>C786-D786</f>
        <v>2</v>
      </c>
      <c r="F786" s="3">
        <f t="shared" si="300"/>
        <v>0.97014925373134331</v>
      </c>
      <c r="G786" s="6">
        <v>9</v>
      </c>
      <c r="H786" s="4">
        <f t="shared" si="301"/>
        <v>7.2222222222222223</v>
      </c>
      <c r="I786" s="10">
        <v>46041</v>
      </c>
      <c r="J786" s="17">
        <v>25</v>
      </c>
      <c r="K786">
        <v>6</v>
      </c>
    </row>
    <row r="787" spans="2:14" x14ac:dyDescent="0.2">
      <c r="B787" s="5" t="s">
        <v>12</v>
      </c>
      <c r="C787" s="20">
        <v>437</v>
      </c>
      <c r="D787" s="20">
        <v>408</v>
      </c>
      <c r="E787" s="20">
        <f>C787-D787</f>
        <v>29</v>
      </c>
      <c r="F787" s="3">
        <f t="shared" si="300"/>
        <v>0.93363844393592677</v>
      </c>
      <c r="G787" s="6">
        <v>20</v>
      </c>
      <c r="H787" s="4">
        <f t="shared" si="301"/>
        <v>20.399999999999999</v>
      </c>
      <c r="I787" s="10">
        <v>46041</v>
      </c>
      <c r="J787" s="17">
        <v>1</v>
      </c>
    </row>
    <row r="788" spans="2:14" x14ac:dyDescent="0.2">
      <c r="B788" s="5" t="s">
        <v>17</v>
      </c>
      <c r="C788" s="2">
        <v>108</v>
      </c>
      <c r="D788" s="6">
        <v>103</v>
      </c>
      <c r="E788" s="2">
        <f t="shared" ref="E788:E790" si="302">C788-D788</f>
        <v>5</v>
      </c>
      <c r="F788" s="3">
        <f t="shared" si="300"/>
        <v>0.95370370370370372</v>
      </c>
      <c r="G788" s="6">
        <v>4</v>
      </c>
      <c r="H788" s="4">
        <f t="shared" si="301"/>
        <v>25.75</v>
      </c>
      <c r="I788" s="10">
        <v>46041</v>
      </c>
      <c r="L788">
        <v>9</v>
      </c>
      <c r="N788">
        <v>17</v>
      </c>
    </row>
    <row r="789" spans="2:14" x14ac:dyDescent="0.2">
      <c r="B789" s="5" t="s">
        <v>50</v>
      </c>
      <c r="C789" s="2">
        <v>102</v>
      </c>
      <c r="D789" s="6">
        <v>64</v>
      </c>
      <c r="E789" s="2">
        <f t="shared" si="302"/>
        <v>38</v>
      </c>
      <c r="F789" s="3">
        <f t="shared" si="300"/>
        <v>0.62745098039215685</v>
      </c>
      <c r="G789" s="6">
        <v>2</v>
      </c>
      <c r="H789" s="4">
        <f t="shared" si="301"/>
        <v>32</v>
      </c>
      <c r="I789" s="10">
        <v>46041</v>
      </c>
    </row>
    <row r="790" spans="2:14" x14ac:dyDescent="0.2">
      <c r="B790" s="1" t="s">
        <v>7</v>
      </c>
      <c r="C790" s="20">
        <v>90</v>
      </c>
      <c r="D790" s="20">
        <v>85</v>
      </c>
      <c r="E790" s="20">
        <f t="shared" si="302"/>
        <v>5</v>
      </c>
      <c r="F790" s="3">
        <f t="shared" ref="F790:F797" si="303">D790/C790</f>
        <v>0.94444444444444442</v>
      </c>
      <c r="G790" s="2">
        <v>3</v>
      </c>
      <c r="H790" s="4">
        <f t="shared" ref="H790:H797" si="304">D790/G790</f>
        <v>28.333333333333332</v>
      </c>
      <c r="I790" s="10">
        <v>46042</v>
      </c>
      <c r="M790">
        <v>6</v>
      </c>
    </row>
    <row r="791" spans="2:14" x14ac:dyDescent="0.2">
      <c r="B791" s="5" t="s">
        <v>8</v>
      </c>
      <c r="C791" s="6">
        <v>152</v>
      </c>
      <c r="D791" s="6">
        <v>131</v>
      </c>
      <c r="E791" s="2">
        <f>C791-D791</f>
        <v>21</v>
      </c>
      <c r="F791" s="3">
        <f t="shared" si="303"/>
        <v>0.86184210526315785</v>
      </c>
      <c r="G791" s="2">
        <v>9</v>
      </c>
      <c r="H791" s="4">
        <f t="shared" si="304"/>
        <v>14.555555555555555</v>
      </c>
      <c r="I791" s="10">
        <v>46042</v>
      </c>
      <c r="J791" s="17">
        <v>4</v>
      </c>
    </row>
    <row r="792" spans="2:14" x14ac:dyDescent="0.2">
      <c r="B792" s="1" t="s">
        <v>9</v>
      </c>
      <c r="C792" s="2">
        <v>103</v>
      </c>
      <c r="D792" s="2">
        <v>57</v>
      </c>
      <c r="E792" s="2">
        <f>C792-D792</f>
        <v>46</v>
      </c>
      <c r="F792" s="3">
        <f t="shared" si="303"/>
        <v>0.55339805825242716</v>
      </c>
      <c r="G792" s="2">
        <v>5</v>
      </c>
      <c r="H792" s="4">
        <f t="shared" si="304"/>
        <v>11.4</v>
      </c>
      <c r="I792" s="10">
        <v>46042</v>
      </c>
    </row>
    <row r="793" spans="2:14" x14ac:dyDescent="0.2">
      <c r="B793" s="5" t="s">
        <v>10</v>
      </c>
      <c r="C793" s="6">
        <f>80+35+202</f>
        <v>317</v>
      </c>
      <c r="D793" s="59">
        <f>13+74+170</f>
        <v>257</v>
      </c>
      <c r="E793" s="2">
        <f>C793-D793</f>
        <v>60</v>
      </c>
      <c r="F793" s="3">
        <f t="shared" si="303"/>
        <v>0.81072555205047314</v>
      </c>
      <c r="G793" s="6">
        <v>12</v>
      </c>
      <c r="H793" s="4">
        <f t="shared" si="304"/>
        <v>21.416666666666668</v>
      </c>
      <c r="I793" s="10">
        <v>46042</v>
      </c>
      <c r="J793" s="17">
        <v>2</v>
      </c>
    </row>
    <row r="794" spans="2:14" x14ac:dyDescent="0.2">
      <c r="B794" s="1" t="s">
        <v>11</v>
      </c>
      <c r="C794" s="20">
        <v>812</v>
      </c>
      <c r="D794" s="20">
        <v>678</v>
      </c>
      <c r="E794" s="2">
        <f>C794-D794</f>
        <v>134</v>
      </c>
      <c r="F794" s="3">
        <f t="shared" si="303"/>
        <v>0.83497536945812811</v>
      </c>
      <c r="G794" s="6">
        <v>8</v>
      </c>
      <c r="H794" s="4">
        <f t="shared" si="304"/>
        <v>84.75</v>
      </c>
      <c r="I794" s="10">
        <v>46042</v>
      </c>
      <c r="J794" s="17">
        <v>11</v>
      </c>
      <c r="K794">
        <v>11</v>
      </c>
    </row>
    <row r="795" spans="2:14" x14ac:dyDescent="0.2">
      <c r="B795" s="5" t="s">
        <v>12</v>
      </c>
      <c r="C795" s="20">
        <v>133</v>
      </c>
      <c r="D795" s="20">
        <v>122</v>
      </c>
      <c r="E795" s="20">
        <f>C795-D795</f>
        <v>11</v>
      </c>
      <c r="F795" s="3">
        <f t="shared" si="303"/>
        <v>0.91729323308270672</v>
      </c>
      <c r="G795" s="6">
        <v>20</v>
      </c>
      <c r="H795" s="4">
        <f t="shared" si="304"/>
        <v>6.1</v>
      </c>
      <c r="I795" s="10">
        <v>46042</v>
      </c>
      <c r="J795" s="17">
        <v>1</v>
      </c>
    </row>
    <row r="796" spans="2:14" x14ac:dyDescent="0.2">
      <c r="B796" s="5" t="s">
        <v>17</v>
      </c>
      <c r="C796" s="2">
        <v>56</v>
      </c>
      <c r="D796" s="6">
        <v>52</v>
      </c>
      <c r="E796" s="2">
        <f t="shared" ref="E796:E798" si="305">C796-D796</f>
        <v>4</v>
      </c>
      <c r="F796" s="3">
        <f t="shared" si="303"/>
        <v>0.9285714285714286</v>
      </c>
      <c r="G796" s="6">
        <v>4</v>
      </c>
      <c r="H796" s="4">
        <f t="shared" si="304"/>
        <v>13</v>
      </c>
      <c r="I796" s="10">
        <v>46042</v>
      </c>
      <c r="L796">
        <v>4</v>
      </c>
      <c r="N796">
        <v>6</v>
      </c>
    </row>
    <row r="797" spans="2:14" x14ac:dyDescent="0.2">
      <c r="B797" s="5" t="s">
        <v>50</v>
      </c>
      <c r="C797" s="2">
        <v>74</v>
      </c>
      <c r="D797" s="6">
        <v>74</v>
      </c>
      <c r="E797" s="2">
        <f t="shared" si="305"/>
        <v>0</v>
      </c>
      <c r="F797" s="3">
        <f t="shared" si="303"/>
        <v>1</v>
      </c>
      <c r="G797" s="6">
        <v>2</v>
      </c>
      <c r="H797" s="4">
        <f t="shared" si="304"/>
        <v>37</v>
      </c>
      <c r="I797" s="10">
        <v>46042</v>
      </c>
    </row>
    <row r="798" spans="2:14" x14ac:dyDescent="0.2">
      <c r="B798" s="1" t="s">
        <v>7</v>
      </c>
      <c r="C798" s="20">
        <v>41</v>
      </c>
      <c r="D798" s="20">
        <v>38</v>
      </c>
      <c r="E798" s="20">
        <f t="shared" si="305"/>
        <v>3</v>
      </c>
      <c r="F798" s="3">
        <f t="shared" ref="F798:F805" si="306">D798/C798</f>
        <v>0.92682926829268297</v>
      </c>
      <c r="G798" s="2">
        <v>3</v>
      </c>
      <c r="H798" s="4">
        <f t="shared" ref="H798:H805" si="307">D798/G798</f>
        <v>12.666666666666666</v>
      </c>
      <c r="I798" s="10">
        <v>46043</v>
      </c>
      <c r="M798">
        <v>3</v>
      </c>
    </row>
    <row r="799" spans="2:14" x14ac:dyDescent="0.2">
      <c r="B799" s="5" t="s">
        <v>8</v>
      </c>
      <c r="C799" s="6">
        <v>126</v>
      </c>
      <c r="D799" s="6">
        <v>86</v>
      </c>
      <c r="E799" s="2">
        <f>C799-D799</f>
        <v>40</v>
      </c>
      <c r="F799" s="3">
        <f t="shared" si="306"/>
        <v>0.68253968253968256</v>
      </c>
      <c r="G799" s="2">
        <v>9</v>
      </c>
      <c r="H799" s="4">
        <f t="shared" si="307"/>
        <v>9.5555555555555554</v>
      </c>
      <c r="I799" s="10">
        <v>46043</v>
      </c>
      <c r="J799" s="17">
        <v>3</v>
      </c>
    </row>
    <row r="800" spans="2:14" x14ac:dyDescent="0.2">
      <c r="B800" s="1" t="s">
        <v>9</v>
      </c>
      <c r="C800" s="2">
        <v>54</v>
      </c>
      <c r="D800" s="2">
        <v>37</v>
      </c>
      <c r="E800" s="2">
        <f>C800-D800</f>
        <v>17</v>
      </c>
      <c r="F800" s="3">
        <f t="shared" si="306"/>
        <v>0.68518518518518523</v>
      </c>
      <c r="G800" s="2">
        <v>7</v>
      </c>
      <c r="H800" s="4">
        <f t="shared" si="307"/>
        <v>5.2857142857142856</v>
      </c>
      <c r="I800" s="10">
        <v>46043</v>
      </c>
      <c r="J800" s="17"/>
    </row>
    <row r="801" spans="2:18" x14ac:dyDescent="0.2">
      <c r="B801" s="5" t="s">
        <v>10</v>
      </c>
      <c r="C801" s="6">
        <f>87+66</f>
        <v>153</v>
      </c>
      <c r="D801" s="59">
        <f>83+53</f>
        <v>136</v>
      </c>
      <c r="E801" s="2">
        <f>C801-D801</f>
        <v>17</v>
      </c>
      <c r="F801" s="3">
        <f t="shared" si="306"/>
        <v>0.88888888888888884</v>
      </c>
      <c r="G801" s="6">
        <v>12</v>
      </c>
      <c r="H801" s="4">
        <f t="shared" si="307"/>
        <v>11.333333333333334</v>
      </c>
      <c r="I801" s="10">
        <v>46043</v>
      </c>
      <c r="J801" s="17">
        <v>15</v>
      </c>
    </row>
    <row r="802" spans="2:18" x14ac:dyDescent="0.2">
      <c r="B802" s="1" t="s">
        <v>11</v>
      </c>
      <c r="C802" s="20">
        <v>665</v>
      </c>
      <c r="D802" s="20">
        <v>572</v>
      </c>
      <c r="E802" s="2">
        <f>C802-D802</f>
        <v>93</v>
      </c>
      <c r="F802" s="3">
        <f t="shared" si="306"/>
        <v>0.86015037593984967</v>
      </c>
      <c r="G802" s="6">
        <v>9</v>
      </c>
      <c r="H802" s="4">
        <f t="shared" si="307"/>
        <v>63.555555555555557</v>
      </c>
      <c r="I802" s="10">
        <v>46043</v>
      </c>
      <c r="J802" s="17">
        <v>30</v>
      </c>
      <c r="K802">
        <v>8</v>
      </c>
    </row>
    <row r="803" spans="2:18" x14ac:dyDescent="0.2">
      <c r="B803" s="5" t="s">
        <v>12</v>
      </c>
      <c r="C803" s="20">
        <v>226</v>
      </c>
      <c r="D803" s="20">
        <v>200</v>
      </c>
      <c r="E803" s="20">
        <f>C803-D803</f>
        <v>26</v>
      </c>
      <c r="F803" s="3">
        <f t="shared" si="306"/>
        <v>0.88495575221238942</v>
      </c>
      <c r="G803" s="6">
        <v>20</v>
      </c>
      <c r="H803" s="4">
        <f t="shared" si="307"/>
        <v>10</v>
      </c>
      <c r="I803" s="10">
        <v>46043</v>
      </c>
      <c r="J803" s="17"/>
    </row>
    <row r="804" spans="2:18" x14ac:dyDescent="0.2">
      <c r="B804" s="5" t="s">
        <v>17</v>
      </c>
      <c r="C804" s="2">
        <v>455</v>
      </c>
      <c r="D804" s="6">
        <v>453</v>
      </c>
      <c r="E804" s="2">
        <f t="shared" ref="E804:E806" si="308">C804-D804</f>
        <v>2</v>
      </c>
      <c r="F804" s="3">
        <f t="shared" si="306"/>
        <v>0.99560439560439562</v>
      </c>
      <c r="G804" s="6">
        <v>6</v>
      </c>
      <c r="H804" s="4">
        <f t="shared" si="307"/>
        <v>75.5</v>
      </c>
      <c r="I804" s="10">
        <v>46043</v>
      </c>
      <c r="L804">
        <v>12</v>
      </c>
      <c r="N804">
        <v>36</v>
      </c>
    </row>
    <row r="805" spans="2:18" x14ac:dyDescent="0.2">
      <c r="B805" s="5" t="s">
        <v>50</v>
      </c>
      <c r="C805" s="2">
        <v>54</v>
      </c>
      <c r="D805" s="6">
        <v>54</v>
      </c>
      <c r="E805" s="2">
        <f t="shared" si="308"/>
        <v>0</v>
      </c>
      <c r="F805" s="3">
        <f t="shared" si="306"/>
        <v>1</v>
      </c>
      <c r="G805" s="6">
        <v>2</v>
      </c>
      <c r="H805" s="4">
        <f t="shared" si="307"/>
        <v>27</v>
      </c>
      <c r="I805" s="10">
        <v>46043</v>
      </c>
    </row>
    <row r="806" spans="2:18" x14ac:dyDescent="0.2">
      <c r="B806" s="74" t="s">
        <v>7</v>
      </c>
      <c r="C806" s="20">
        <v>377</v>
      </c>
      <c r="D806" s="20">
        <v>324</v>
      </c>
      <c r="E806" s="20">
        <f t="shared" si="308"/>
        <v>53</v>
      </c>
      <c r="F806" s="3">
        <f t="shared" ref="F806:F813" si="309">D806/C806</f>
        <v>0.85941644562334218</v>
      </c>
      <c r="G806" s="2">
        <v>3</v>
      </c>
      <c r="H806" s="4">
        <f t="shared" ref="H806:H813" si="310">D806/G806</f>
        <v>108</v>
      </c>
      <c r="I806" s="10">
        <v>46044</v>
      </c>
      <c r="M806">
        <v>6</v>
      </c>
    </row>
    <row r="807" spans="2:18" x14ac:dyDescent="0.2">
      <c r="B807" s="5" t="s">
        <v>8</v>
      </c>
      <c r="C807" s="6">
        <v>50</v>
      </c>
      <c r="D807" s="6">
        <v>29</v>
      </c>
      <c r="E807" s="2">
        <f>C807-D807</f>
        <v>21</v>
      </c>
      <c r="F807" s="3">
        <f t="shared" si="309"/>
        <v>0.57999999999999996</v>
      </c>
      <c r="G807" s="2">
        <v>9</v>
      </c>
      <c r="H807" s="4">
        <f t="shared" si="310"/>
        <v>3.2222222222222223</v>
      </c>
      <c r="I807" s="10">
        <v>46044</v>
      </c>
      <c r="J807" s="17">
        <v>2</v>
      </c>
    </row>
    <row r="808" spans="2:18" x14ac:dyDescent="0.2">
      <c r="B808" s="1" t="s">
        <v>9</v>
      </c>
      <c r="C808" s="2">
        <v>64</v>
      </c>
      <c r="D808" s="2">
        <v>49</v>
      </c>
      <c r="E808" s="2">
        <f>C808-D808</f>
        <v>15</v>
      </c>
      <c r="F808" s="3">
        <f t="shared" si="309"/>
        <v>0.765625</v>
      </c>
      <c r="G808" s="2">
        <v>7</v>
      </c>
      <c r="H808" s="4">
        <f t="shared" si="310"/>
        <v>7</v>
      </c>
      <c r="I808" s="10">
        <v>46044</v>
      </c>
      <c r="J808" s="17">
        <v>2</v>
      </c>
    </row>
    <row r="809" spans="2:18" x14ac:dyDescent="0.2">
      <c r="B809" s="5" t="s">
        <v>10</v>
      </c>
      <c r="C809" s="6">
        <f>66+2+82</f>
        <v>150</v>
      </c>
      <c r="D809" s="59">
        <v>148</v>
      </c>
      <c r="E809" s="2">
        <f>C809-D809</f>
        <v>2</v>
      </c>
      <c r="F809" s="3">
        <f t="shared" si="309"/>
        <v>0.98666666666666669</v>
      </c>
      <c r="G809" s="6">
        <v>11</v>
      </c>
      <c r="H809" s="4">
        <f t="shared" si="310"/>
        <v>13.454545454545455</v>
      </c>
      <c r="I809" s="10">
        <v>46044</v>
      </c>
      <c r="J809" s="17"/>
    </row>
    <row r="810" spans="2:18" x14ac:dyDescent="0.2">
      <c r="B810" s="1" t="s">
        <v>11</v>
      </c>
      <c r="C810" s="20">
        <v>617</v>
      </c>
      <c r="D810" s="20">
        <v>516</v>
      </c>
      <c r="E810" s="2">
        <f>C810-D810</f>
        <v>101</v>
      </c>
      <c r="F810" s="3">
        <f t="shared" si="309"/>
        <v>0.83630470016207459</v>
      </c>
      <c r="G810" s="6">
        <v>8</v>
      </c>
      <c r="H810" s="4">
        <f t="shared" si="310"/>
        <v>64.5</v>
      </c>
      <c r="I810" s="10">
        <v>46044</v>
      </c>
      <c r="J810" s="17"/>
      <c r="K810">
        <v>15</v>
      </c>
    </row>
    <row r="811" spans="2:18" x14ac:dyDescent="0.2">
      <c r="B811" s="5" t="s">
        <v>12</v>
      </c>
      <c r="C811" s="20">
        <v>356</v>
      </c>
      <c r="D811" s="20">
        <v>277</v>
      </c>
      <c r="E811" s="20">
        <f>C811-D811</f>
        <v>79</v>
      </c>
      <c r="F811" s="3">
        <f t="shared" si="309"/>
        <v>0.7780898876404494</v>
      </c>
      <c r="G811" s="6">
        <v>17</v>
      </c>
      <c r="H811" s="4">
        <f t="shared" si="310"/>
        <v>16.294117647058822</v>
      </c>
      <c r="I811" s="10">
        <v>46044</v>
      </c>
      <c r="J811" s="17"/>
    </row>
    <row r="812" spans="2:18" x14ac:dyDescent="0.2">
      <c r="B812" s="5" t="s">
        <v>17</v>
      </c>
      <c r="C812" s="2">
        <v>257</v>
      </c>
      <c r="D812" s="6">
        <v>236</v>
      </c>
      <c r="E812" s="2">
        <f t="shared" ref="E812:E814" si="311">C812-D812</f>
        <v>21</v>
      </c>
      <c r="F812" s="3">
        <f t="shared" si="309"/>
        <v>0.91828793774319062</v>
      </c>
      <c r="G812" s="6">
        <v>5</v>
      </c>
      <c r="H812" s="4">
        <f t="shared" si="310"/>
        <v>47.2</v>
      </c>
      <c r="I812" s="10">
        <v>46044</v>
      </c>
      <c r="L812">
        <v>8</v>
      </c>
      <c r="M812" s="71"/>
      <c r="N812" s="72">
        <v>1</v>
      </c>
      <c r="O812" s="71"/>
      <c r="P812" s="71"/>
      <c r="Q812" s="71"/>
      <c r="R812" s="71"/>
    </row>
    <row r="813" spans="2:18" x14ac:dyDescent="0.2">
      <c r="B813" s="5" t="s">
        <v>50</v>
      </c>
      <c r="C813" s="2">
        <v>488</v>
      </c>
      <c r="D813" s="6">
        <v>475</v>
      </c>
      <c r="E813" s="2">
        <f t="shared" si="311"/>
        <v>13</v>
      </c>
      <c r="F813" s="3">
        <f t="shared" si="309"/>
        <v>0.97336065573770492</v>
      </c>
      <c r="G813" s="6">
        <v>2</v>
      </c>
      <c r="H813" s="4">
        <f t="shared" si="310"/>
        <v>237.5</v>
      </c>
      <c r="I813" s="10">
        <v>46044</v>
      </c>
      <c r="M813" s="71"/>
      <c r="N813" s="71"/>
      <c r="O813" s="71"/>
      <c r="P813" s="71"/>
      <c r="Q813" s="71"/>
      <c r="R813" s="71"/>
    </row>
    <row r="814" spans="2:18" x14ac:dyDescent="0.2">
      <c r="B814" s="1" t="s">
        <v>7</v>
      </c>
      <c r="C814" s="20">
        <v>98</v>
      </c>
      <c r="D814" s="20">
        <v>97</v>
      </c>
      <c r="E814" s="20">
        <f t="shared" si="311"/>
        <v>1</v>
      </c>
      <c r="F814" s="3">
        <f t="shared" ref="F814:F821" si="312">D814/C814</f>
        <v>0.98979591836734693</v>
      </c>
      <c r="G814" s="2">
        <v>3</v>
      </c>
      <c r="H814" s="4">
        <f t="shared" ref="H814:H821" si="313">D814/G814</f>
        <v>32.333333333333336</v>
      </c>
      <c r="I814" s="10">
        <v>46048</v>
      </c>
      <c r="J814" s="17">
        <v>1</v>
      </c>
      <c r="M814">
        <v>5</v>
      </c>
    </row>
    <row r="815" spans="2:18" x14ac:dyDescent="0.2">
      <c r="B815" s="5" t="s">
        <v>8</v>
      </c>
      <c r="C815" s="6">
        <v>232</v>
      </c>
      <c r="D815" s="6">
        <v>193</v>
      </c>
      <c r="E815" s="2">
        <f>C815-D815</f>
        <v>39</v>
      </c>
      <c r="F815" s="3">
        <f t="shared" si="312"/>
        <v>0.8318965517241379</v>
      </c>
      <c r="G815" s="2">
        <v>8</v>
      </c>
      <c r="H815" s="4">
        <f t="shared" si="313"/>
        <v>24.125</v>
      </c>
      <c r="I815" s="10">
        <v>46048</v>
      </c>
      <c r="J815" s="17">
        <v>6</v>
      </c>
    </row>
    <row r="816" spans="2:18" x14ac:dyDescent="0.2">
      <c r="B816" s="1" t="s">
        <v>9</v>
      </c>
      <c r="C816" s="2">
        <v>174</v>
      </c>
      <c r="D816" s="2">
        <v>104</v>
      </c>
      <c r="E816" s="2">
        <f>C816-D816</f>
        <v>70</v>
      </c>
      <c r="F816" s="3">
        <f t="shared" si="312"/>
        <v>0.5977011494252874</v>
      </c>
      <c r="G816" s="2">
        <v>8</v>
      </c>
      <c r="H816" s="4">
        <f t="shared" si="313"/>
        <v>13</v>
      </c>
      <c r="I816" s="10">
        <v>46048</v>
      </c>
      <c r="J816" s="17"/>
    </row>
    <row r="817" spans="2:14" x14ac:dyDescent="0.2">
      <c r="B817" s="5" t="s">
        <v>10</v>
      </c>
      <c r="C817" s="6">
        <f>465+177+145</f>
        <v>787</v>
      </c>
      <c r="D817" s="59">
        <f>369+178+93</f>
        <v>640</v>
      </c>
      <c r="E817" s="2">
        <f>C817-D817</f>
        <v>147</v>
      </c>
      <c r="F817" s="3">
        <f t="shared" si="312"/>
        <v>0.81321473951715373</v>
      </c>
      <c r="G817" s="6">
        <v>11</v>
      </c>
      <c r="H817" s="4">
        <f t="shared" si="313"/>
        <v>58.18181818181818</v>
      </c>
      <c r="I817" s="10">
        <v>46048</v>
      </c>
      <c r="J817" s="17"/>
    </row>
    <row r="818" spans="2:14" x14ac:dyDescent="0.2">
      <c r="B818" s="1" t="s">
        <v>11</v>
      </c>
      <c r="C818" s="20">
        <v>942</v>
      </c>
      <c r="D818" s="20">
        <v>808</v>
      </c>
      <c r="E818" s="2">
        <f>C818-D818</f>
        <v>134</v>
      </c>
      <c r="F818" s="3">
        <f t="shared" si="312"/>
        <v>0.8577494692144374</v>
      </c>
      <c r="G818" s="6">
        <v>9</v>
      </c>
      <c r="H818" s="4">
        <f t="shared" si="313"/>
        <v>89.777777777777771</v>
      </c>
      <c r="I818" s="10">
        <v>46048</v>
      </c>
      <c r="J818" s="17">
        <v>5</v>
      </c>
      <c r="K818">
        <v>13</v>
      </c>
    </row>
    <row r="819" spans="2:14" x14ac:dyDescent="0.2">
      <c r="B819" s="5" t="s">
        <v>12</v>
      </c>
      <c r="C819" s="20">
        <v>384</v>
      </c>
      <c r="D819" s="20">
        <v>170</v>
      </c>
      <c r="E819" s="20">
        <f>C819-D819</f>
        <v>214</v>
      </c>
      <c r="F819" s="3">
        <f t="shared" si="312"/>
        <v>0.44270833333333331</v>
      </c>
      <c r="G819" s="6">
        <v>20</v>
      </c>
      <c r="H819" s="4">
        <f t="shared" si="313"/>
        <v>8.5</v>
      </c>
      <c r="I819" s="10">
        <v>46048</v>
      </c>
      <c r="J819" s="17"/>
    </row>
    <row r="820" spans="2:14" x14ac:dyDescent="0.2">
      <c r="B820" s="5" t="s">
        <v>17</v>
      </c>
      <c r="C820" s="2">
        <v>1384</v>
      </c>
      <c r="D820" s="6">
        <v>1344</v>
      </c>
      <c r="E820" s="2">
        <f t="shared" ref="E820:E822" si="314">C820-D820</f>
        <v>40</v>
      </c>
      <c r="F820" s="3">
        <f t="shared" si="312"/>
        <v>0.97109826589595372</v>
      </c>
      <c r="G820" s="6">
        <v>6</v>
      </c>
      <c r="H820" s="4">
        <f t="shared" si="313"/>
        <v>224</v>
      </c>
      <c r="I820" s="10">
        <v>46048</v>
      </c>
      <c r="L820">
        <v>5</v>
      </c>
      <c r="M820" s="71"/>
      <c r="N820" s="72">
        <v>27</v>
      </c>
    </row>
    <row r="821" spans="2:14" x14ac:dyDescent="0.2">
      <c r="B821" s="5" t="s">
        <v>50</v>
      </c>
      <c r="C821" s="2">
        <v>183</v>
      </c>
      <c r="D821" s="6">
        <v>178</v>
      </c>
      <c r="E821" s="2">
        <f t="shared" si="314"/>
        <v>5</v>
      </c>
      <c r="F821" s="3">
        <f t="shared" si="312"/>
        <v>0.97267759562841527</v>
      </c>
      <c r="G821" s="6">
        <v>2</v>
      </c>
      <c r="H821" s="4">
        <f t="shared" si="313"/>
        <v>89</v>
      </c>
      <c r="I821" s="10">
        <v>46048</v>
      </c>
      <c r="M821" s="71"/>
      <c r="N821" s="71"/>
    </row>
    <row r="822" spans="2:14" x14ac:dyDescent="0.2">
      <c r="B822" s="1" t="s">
        <v>7</v>
      </c>
      <c r="C822" s="20">
        <v>864</v>
      </c>
      <c r="D822" s="20">
        <v>864</v>
      </c>
      <c r="E822" s="20">
        <f t="shared" si="314"/>
        <v>0</v>
      </c>
      <c r="F822" s="3">
        <f t="shared" ref="F822:F829" si="315">D822/C822</f>
        <v>1</v>
      </c>
      <c r="G822" s="2">
        <v>5</v>
      </c>
      <c r="H822" s="4">
        <f t="shared" ref="H822:H829" si="316">D822/G822</f>
        <v>172.8</v>
      </c>
      <c r="I822" s="10">
        <v>46049</v>
      </c>
      <c r="J822" s="17">
        <v>1</v>
      </c>
      <c r="M822">
        <v>3</v>
      </c>
    </row>
    <row r="823" spans="2:14" x14ac:dyDescent="0.2">
      <c r="B823" s="5" t="s">
        <v>8</v>
      </c>
      <c r="C823" s="6">
        <v>104</v>
      </c>
      <c r="D823" s="6">
        <v>83</v>
      </c>
      <c r="E823" s="2">
        <f>C823-D823</f>
        <v>21</v>
      </c>
      <c r="F823" s="3">
        <f t="shared" si="315"/>
        <v>0.79807692307692313</v>
      </c>
      <c r="G823" s="2">
        <v>8</v>
      </c>
      <c r="H823" s="4">
        <f t="shared" si="316"/>
        <v>10.375</v>
      </c>
      <c r="I823" s="10">
        <v>46049</v>
      </c>
      <c r="J823" s="17">
        <v>1</v>
      </c>
      <c r="N823">
        <v>57</v>
      </c>
    </row>
    <row r="824" spans="2:14" x14ac:dyDescent="0.2">
      <c r="B824" s="1" t="s">
        <v>9</v>
      </c>
      <c r="C824" s="2">
        <v>21</v>
      </c>
      <c r="D824" s="2">
        <v>21</v>
      </c>
      <c r="E824" s="2">
        <f>C824-D824</f>
        <v>0</v>
      </c>
      <c r="F824" s="3">
        <f t="shared" si="315"/>
        <v>1</v>
      </c>
      <c r="G824" s="2">
        <v>7</v>
      </c>
      <c r="H824" s="4">
        <f t="shared" si="316"/>
        <v>3</v>
      </c>
      <c r="I824" s="10">
        <v>46049</v>
      </c>
      <c r="J824" s="17"/>
    </row>
    <row r="825" spans="2:14" x14ac:dyDescent="0.2">
      <c r="B825" s="5" t="s">
        <v>10</v>
      </c>
      <c r="C825" s="6">
        <f>347+30+324</f>
        <v>701</v>
      </c>
      <c r="D825" s="59">
        <f>347+313+30</f>
        <v>690</v>
      </c>
      <c r="E825" s="2">
        <f>C825-D825</f>
        <v>11</v>
      </c>
      <c r="F825" s="3">
        <f t="shared" si="315"/>
        <v>0.98430813124108418</v>
      </c>
      <c r="G825" s="6">
        <v>11</v>
      </c>
      <c r="H825" s="4">
        <f t="shared" si="316"/>
        <v>62.727272727272727</v>
      </c>
      <c r="I825" s="10">
        <v>46049</v>
      </c>
      <c r="J825" s="17">
        <v>18</v>
      </c>
    </row>
    <row r="826" spans="2:14" x14ac:dyDescent="0.2">
      <c r="B826" s="1" t="s">
        <v>11</v>
      </c>
      <c r="C826" s="20">
        <v>722</v>
      </c>
      <c r="D826" s="20">
        <v>671</v>
      </c>
      <c r="E826" s="2">
        <f>C826-D826</f>
        <v>51</v>
      </c>
      <c r="F826" s="3">
        <f t="shared" si="315"/>
        <v>0.9293628808864266</v>
      </c>
      <c r="G826" s="6">
        <v>9</v>
      </c>
      <c r="H826" s="4">
        <f t="shared" si="316"/>
        <v>74.555555555555557</v>
      </c>
      <c r="I826" s="10">
        <v>46049</v>
      </c>
      <c r="J826" s="17">
        <v>18</v>
      </c>
      <c r="K826">
        <v>9</v>
      </c>
    </row>
    <row r="827" spans="2:14" x14ac:dyDescent="0.2">
      <c r="B827" s="5" t="s">
        <v>12</v>
      </c>
      <c r="C827" s="20">
        <v>111</v>
      </c>
      <c r="D827" s="20">
        <v>21</v>
      </c>
      <c r="E827" s="20">
        <f>C827-D827</f>
        <v>90</v>
      </c>
      <c r="F827" s="3">
        <f t="shared" si="315"/>
        <v>0.1891891891891892</v>
      </c>
      <c r="G827" s="6">
        <v>19</v>
      </c>
      <c r="H827" s="4">
        <f t="shared" si="316"/>
        <v>1.1052631578947369</v>
      </c>
      <c r="I827" s="10">
        <v>46049</v>
      </c>
      <c r="J827" s="17"/>
    </row>
    <row r="828" spans="2:14" x14ac:dyDescent="0.2">
      <c r="B828" s="5" t="s">
        <v>17</v>
      </c>
      <c r="C828" s="2">
        <v>1071</v>
      </c>
      <c r="D828" s="6">
        <v>1060</v>
      </c>
      <c r="E828" s="2">
        <f t="shared" ref="E828:E830" si="317">C828-D828</f>
        <v>11</v>
      </c>
      <c r="F828" s="3">
        <f t="shared" si="315"/>
        <v>0.98972922502334271</v>
      </c>
      <c r="G828" s="6">
        <v>5</v>
      </c>
      <c r="H828" s="4">
        <f t="shared" si="316"/>
        <v>212</v>
      </c>
      <c r="I828" s="10">
        <v>46049</v>
      </c>
      <c r="L828">
        <v>9</v>
      </c>
      <c r="M828" s="71"/>
      <c r="N828" s="72">
        <v>15</v>
      </c>
    </row>
    <row r="829" spans="2:14" x14ac:dyDescent="0.2">
      <c r="B829" s="5" t="s">
        <v>50</v>
      </c>
      <c r="C829" s="2">
        <v>619</v>
      </c>
      <c r="D829" s="6">
        <v>465</v>
      </c>
      <c r="E829" s="2">
        <f t="shared" si="317"/>
        <v>154</v>
      </c>
      <c r="F829" s="3">
        <f t="shared" si="315"/>
        <v>0.7512116316639742</v>
      </c>
      <c r="G829" s="6">
        <v>2</v>
      </c>
      <c r="H829" s="4">
        <f t="shared" si="316"/>
        <v>232.5</v>
      </c>
      <c r="I829" s="10">
        <v>46049</v>
      </c>
      <c r="M829" s="71"/>
      <c r="N829" s="71"/>
    </row>
    <row r="830" spans="2:14" x14ac:dyDescent="0.2">
      <c r="B830" s="1" t="s">
        <v>7</v>
      </c>
      <c r="C830" s="20">
        <v>1337</v>
      </c>
      <c r="D830" s="20">
        <v>1329</v>
      </c>
      <c r="E830" s="20">
        <f t="shared" si="317"/>
        <v>8</v>
      </c>
      <c r="F830" s="3">
        <f t="shared" ref="F830:F837" si="318">D830/C830</f>
        <v>0.994016454749439</v>
      </c>
      <c r="G830" s="2">
        <v>5</v>
      </c>
      <c r="H830" s="4">
        <f t="shared" ref="H830:H837" si="319">D830/G830</f>
        <v>265.8</v>
      </c>
      <c r="I830" s="10">
        <v>46050</v>
      </c>
      <c r="J830" s="17">
        <v>15</v>
      </c>
      <c r="M830">
        <v>8</v>
      </c>
    </row>
    <row r="831" spans="2:14" x14ac:dyDescent="0.2">
      <c r="B831" s="5" t="s">
        <v>8</v>
      </c>
      <c r="C831" s="6">
        <v>722</v>
      </c>
      <c r="D831" s="6">
        <v>684</v>
      </c>
      <c r="E831" s="2">
        <f>C831-D831</f>
        <v>38</v>
      </c>
      <c r="F831" s="3">
        <f t="shared" si="318"/>
        <v>0.94736842105263153</v>
      </c>
      <c r="G831" s="2">
        <v>8</v>
      </c>
      <c r="H831" s="4">
        <f t="shared" si="319"/>
        <v>85.5</v>
      </c>
      <c r="I831" s="10">
        <v>46050</v>
      </c>
      <c r="J831" s="17">
        <v>10</v>
      </c>
      <c r="N831">
        <v>51</v>
      </c>
    </row>
    <row r="832" spans="2:14" x14ac:dyDescent="0.2">
      <c r="B832" s="1" t="s">
        <v>9</v>
      </c>
      <c r="C832" s="2">
        <v>4</v>
      </c>
      <c r="D832" s="2">
        <v>3</v>
      </c>
      <c r="E832" s="2">
        <f>C832-D832</f>
        <v>1</v>
      </c>
      <c r="F832" s="3">
        <f t="shared" si="318"/>
        <v>0.75</v>
      </c>
      <c r="G832" s="2">
        <v>6</v>
      </c>
      <c r="H832" s="4">
        <f t="shared" si="319"/>
        <v>0.5</v>
      </c>
      <c r="I832" s="10">
        <v>46050</v>
      </c>
      <c r="J832" s="17"/>
    </row>
    <row r="833" spans="2:14" x14ac:dyDescent="0.2">
      <c r="B833" s="5" t="s">
        <v>10</v>
      </c>
      <c r="C833" s="6">
        <f>403+320+239</f>
        <v>962</v>
      </c>
      <c r="D833" s="59">
        <f>392+316+212</f>
        <v>920</v>
      </c>
      <c r="E833" s="2">
        <f>C833-D833</f>
        <v>42</v>
      </c>
      <c r="F833" s="3">
        <f t="shared" si="318"/>
        <v>0.95634095634095639</v>
      </c>
      <c r="G833" s="6">
        <v>11</v>
      </c>
      <c r="H833" s="4">
        <f t="shared" si="319"/>
        <v>83.63636363636364</v>
      </c>
      <c r="I833" s="10">
        <v>46050</v>
      </c>
      <c r="J833" s="17">
        <v>160</v>
      </c>
    </row>
    <row r="834" spans="2:14" x14ac:dyDescent="0.2">
      <c r="B834" s="1" t="s">
        <v>11</v>
      </c>
      <c r="C834" s="20">
        <v>120</v>
      </c>
      <c r="D834" s="20">
        <v>118</v>
      </c>
      <c r="E834" s="2">
        <f>C834-D834</f>
        <v>2</v>
      </c>
      <c r="F834" s="3">
        <f t="shared" si="318"/>
        <v>0.98333333333333328</v>
      </c>
      <c r="G834" s="6">
        <v>8</v>
      </c>
      <c r="H834" s="4">
        <f t="shared" si="319"/>
        <v>14.75</v>
      </c>
      <c r="I834" s="10">
        <v>46050</v>
      </c>
      <c r="J834" s="17">
        <v>6</v>
      </c>
      <c r="K834">
        <v>6</v>
      </c>
    </row>
    <row r="835" spans="2:14" x14ac:dyDescent="0.2">
      <c r="B835" s="5" t="s">
        <v>12</v>
      </c>
      <c r="C835" s="20">
        <v>67</v>
      </c>
      <c r="D835" s="20">
        <v>67</v>
      </c>
      <c r="E835" s="20">
        <f>C835-D835</f>
        <v>0</v>
      </c>
      <c r="F835" s="3">
        <f t="shared" si="318"/>
        <v>1</v>
      </c>
      <c r="G835" s="6">
        <v>20</v>
      </c>
      <c r="H835" s="4">
        <f t="shared" si="319"/>
        <v>3.35</v>
      </c>
      <c r="I835" s="10">
        <v>46050</v>
      </c>
      <c r="J835" s="17">
        <v>1</v>
      </c>
    </row>
    <row r="836" spans="2:14" x14ac:dyDescent="0.2">
      <c r="B836" s="5" t="s">
        <v>17</v>
      </c>
      <c r="C836" s="2">
        <v>629</v>
      </c>
      <c r="D836" s="6">
        <v>629</v>
      </c>
      <c r="E836" s="2">
        <f t="shared" ref="E836:E845" si="320">C836-D836</f>
        <v>0</v>
      </c>
      <c r="F836" s="3">
        <f t="shared" si="318"/>
        <v>1</v>
      </c>
      <c r="G836" s="6">
        <v>5</v>
      </c>
      <c r="H836" s="4">
        <f t="shared" si="319"/>
        <v>125.8</v>
      </c>
      <c r="I836" s="10">
        <v>46050</v>
      </c>
      <c r="L836">
        <v>8</v>
      </c>
      <c r="M836" s="76"/>
      <c r="N836" s="72">
        <v>1</v>
      </c>
    </row>
    <row r="837" spans="2:14" x14ac:dyDescent="0.2">
      <c r="B837" s="5" t="s">
        <v>50</v>
      </c>
      <c r="C837" s="2">
        <v>662</v>
      </c>
      <c r="D837" s="6">
        <v>641</v>
      </c>
      <c r="E837" s="2">
        <f t="shared" si="320"/>
        <v>21</v>
      </c>
      <c r="F837" s="3">
        <f t="shared" si="318"/>
        <v>0.96827794561933533</v>
      </c>
      <c r="G837" s="6">
        <v>2</v>
      </c>
      <c r="H837" s="4">
        <f t="shared" si="319"/>
        <v>320.5</v>
      </c>
      <c r="I837" s="10">
        <v>46050</v>
      </c>
      <c r="M837" s="71"/>
      <c r="N837" s="71"/>
    </row>
    <row r="838" spans="2:14" x14ac:dyDescent="0.2">
      <c r="B838" s="1" t="s">
        <v>7</v>
      </c>
      <c r="C838" s="20">
        <v>549</v>
      </c>
      <c r="D838" s="20">
        <v>540</v>
      </c>
      <c r="E838" s="20">
        <f t="shared" si="320"/>
        <v>9</v>
      </c>
      <c r="F838" s="3">
        <f t="shared" ref="F838:F845" si="321">D838/C838</f>
        <v>0.98360655737704916</v>
      </c>
      <c r="G838" s="2">
        <v>3</v>
      </c>
      <c r="H838" s="4">
        <f t="shared" ref="H838:H845" si="322">D838/G838</f>
        <v>180</v>
      </c>
      <c r="I838" s="10">
        <v>46051</v>
      </c>
      <c r="J838" s="17">
        <v>2</v>
      </c>
    </row>
    <row r="839" spans="2:14" x14ac:dyDescent="0.2">
      <c r="B839" s="5" t="s">
        <v>8</v>
      </c>
      <c r="C839" s="6">
        <v>692</v>
      </c>
      <c r="D839" s="6">
        <v>624</v>
      </c>
      <c r="E839" s="2">
        <f t="shared" si="320"/>
        <v>68</v>
      </c>
      <c r="F839" s="3">
        <f t="shared" si="321"/>
        <v>0.90173410404624277</v>
      </c>
      <c r="G839" s="2">
        <v>8</v>
      </c>
      <c r="H839" s="4">
        <f t="shared" si="322"/>
        <v>78</v>
      </c>
      <c r="I839" s="10">
        <v>46051</v>
      </c>
      <c r="J839" s="17">
        <v>1</v>
      </c>
    </row>
    <row r="840" spans="2:14" x14ac:dyDescent="0.2">
      <c r="B840" s="1" t="s">
        <v>9</v>
      </c>
      <c r="C840" s="2">
        <v>23</v>
      </c>
      <c r="D840" s="2">
        <v>22</v>
      </c>
      <c r="E840" s="2">
        <f t="shared" si="320"/>
        <v>1</v>
      </c>
      <c r="F840" s="3">
        <f t="shared" si="321"/>
        <v>0.95652173913043481</v>
      </c>
      <c r="G840" s="2">
        <v>6</v>
      </c>
      <c r="H840" s="4">
        <f t="shared" si="322"/>
        <v>3.6666666666666665</v>
      </c>
      <c r="I840" s="10">
        <v>46051</v>
      </c>
    </row>
    <row r="841" spans="2:14" x14ac:dyDescent="0.2">
      <c r="B841" s="5" t="s">
        <v>10</v>
      </c>
      <c r="C841" s="6">
        <v>1138</v>
      </c>
      <c r="D841" s="59">
        <f>715+18+31</f>
        <v>764</v>
      </c>
      <c r="E841" s="2">
        <f t="shared" si="320"/>
        <v>374</v>
      </c>
      <c r="F841" s="3">
        <f t="shared" si="321"/>
        <v>0.67135325131810197</v>
      </c>
      <c r="G841" s="6">
        <v>11</v>
      </c>
      <c r="H841" s="4">
        <f t="shared" si="322"/>
        <v>69.454545454545453</v>
      </c>
      <c r="I841" s="10">
        <v>46051</v>
      </c>
      <c r="J841" s="17">
        <v>1</v>
      </c>
    </row>
    <row r="842" spans="2:14" x14ac:dyDescent="0.2">
      <c r="B842" s="1" t="s">
        <v>11</v>
      </c>
      <c r="C842" s="20">
        <v>739</v>
      </c>
      <c r="D842" s="20">
        <v>394</v>
      </c>
      <c r="E842" s="2">
        <f t="shared" si="320"/>
        <v>345</v>
      </c>
      <c r="F842" s="3">
        <f t="shared" si="321"/>
        <v>0.53315290933694182</v>
      </c>
      <c r="G842" s="6">
        <v>9</v>
      </c>
      <c r="H842" s="4">
        <f t="shared" si="322"/>
        <v>43.777777777777779</v>
      </c>
      <c r="I842" s="10">
        <v>46051</v>
      </c>
      <c r="J842" s="17">
        <v>17</v>
      </c>
    </row>
    <row r="843" spans="2:14" x14ac:dyDescent="0.2">
      <c r="B843" s="5" t="s">
        <v>12</v>
      </c>
      <c r="C843" s="20">
        <v>68</v>
      </c>
      <c r="D843" s="20">
        <v>53</v>
      </c>
      <c r="E843" s="2">
        <f t="shared" si="320"/>
        <v>15</v>
      </c>
      <c r="F843" s="3">
        <f t="shared" si="321"/>
        <v>0.77941176470588236</v>
      </c>
      <c r="G843" s="6">
        <v>18</v>
      </c>
      <c r="H843" s="4">
        <f t="shared" si="322"/>
        <v>2.9444444444444446</v>
      </c>
      <c r="I843" s="10">
        <v>46051</v>
      </c>
    </row>
    <row r="844" spans="2:14" x14ac:dyDescent="0.2">
      <c r="B844" s="5" t="s">
        <v>17</v>
      </c>
      <c r="C844" s="2">
        <v>517</v>
      </c>
      <c r="D844" s="6">
        <v>505</v>
      </c>
      <c r="E844" s="2">
        <f t="shared" si="320"/>
        <v>12</v>
      </c>
      <c r="F844" s="3">
        <f t="shared" si="321"/>
        <v>0.97678916827853002</v>
      </c>
      <c r="G844" s="6">
        <v>4</v>
      </c>
      <c r="H844" s="4">
        <f t="shared" si="322"/>
        <v>126.25</v>
      </c>
      <c r="I844" s="10">
        <v>46051</v>
      </c>
    </row>
    <row r="845" spans="2:14" x14ac:dyDescent="0.2">
      <c r="B845" s="5" t="s">
        <v>50</v>
      </c>
      <c r="C845" s="2">
        <v>324</v>
      </c>
      <c r="D845" s="6">
        <v>277</v>
      </c>
      <c r="E845" s="2">
        <f t="shared" si="320"/>
        <v>47</v>
      </c>
      <c r="F845" s="3">
        <f t="shared" si="321"/>
        <v>0.85493827160493829</v>
      </c>
      <c r="G845" s="6">
        <v>2</v>
      </c>
      <c r="H845" s="4">
        <f t="shared" si="322"/>
        <v>138.5</v>
      </c>
      <c r="I845" s="10">
        <v>46051</v>
      </c>
    </row>
    <row r="846" spans="2:14" x14ac:dyDescent="0.2">
      <c r="B846" s="1" t="s">
        <v>7</v>
      </c>
      <c r="C846" s="20">
        <v>557</v>
      </c>
      <c r="D846" s="20">
        <v>551</v>
      </c>
      <c r="E846" s="20">
        <f t="shared" ref="E846:E853" si="323">C846-D846</f>
        <v>6</v>
      </c>
      <c r="F846" s="3">
        <f t="shared" ref="F846:F853" si="324">D846/C846</f>
        <v>0.98922800718132853</v>
      </c>
      <c r="G846" s="2">
        <v>3</v>
      </c>
      <c r="H846" s="4">
        <f t="shared" ref="H846:H851" si="325">D846/G846</f>
        <v>183.66666666666666</v>
      </c>
      <c r="I846" s="10">
        <v>46052</v>
      </c>
      <c r="J846" s="17"/>
      <c r="M846">
        <v>10</v>
      </c>
    </row>
    <row r="847" spans="2:14" x14ac:dyDescent="0.2">
      <c r="B847" s="5" t="s">
        <v>8</v>
      </c>
      <c r="C847" s="6">
        <v>1138</v>
      </c>
      <c r="D847" s="6">
        <v>858</v>
      </c>
      <c r="E847" s="2">
        <f t="shared" si="323"/>
        <v>280</v>
      </c>
      <c r="F847" s="3">
        <f t="shared" si="324"/>
        <v>0.75395430579964851</v>
      </c>
      <c r="G847" s="2">
        <v>8</v>
      </c>
      <c r="H847" s="4">
        <f t="shared" si="325"/>
        <v>107.25</v>
      </c>
      <c r="I847" s="10">
        <v>46052</v>
      </c>
      <c r="J847" s="17">
        <v>2</v>
      </c>
      <c r="N847">
        <v>181</v>
      </c>
    </row>
    <row r="848" spans="2:14" x14ac:dyDescent="0.2">
      <c r="B848" s="1" t="s">
        <v>9</v>
      </c>
      <c r="C848" s="2">
        <v>29</v>
      </c>
      <c r="D848" s="2">
        <v>29</v>
      </c>
      <c r="E848" s="2">
        <f t="shared" si="323"/>
        <v>0</v>
      </c>
      <c r="F848" s="3">
        <f t="shared" si="324"/>
        <v>1</v>
      </c>
      <c r="G848" s="2">
        <v>6</v>
      </c>
      <c r="H848" s="4">
        <f t="shared" si="325"/>
        <v>4.833333333333333</v>
      </c>
      <c r="I848" s="10">
        <v>46052</v>
      </c>
    </row>
    <row r="849" spans="2:14" x14ac:dyDescent="0.2">
      <c r="B849" s="5" t="s">
        <v>10</v>
      </c>
      <c r="C849" s="6">
        <f>171+68+148</f>
        <v>387</v>
      </c>
      <c r="D849" s="59">
        <f>131+46+138</f>
        <v>315</v>
      </c>
      <c r="E849" s="2">
        <f t="shared" si="323"/>
        <v>72</v>
      </c>
      <c r="F849" s="3">
        <f t="shared" si="324"/>
        <v>0.81395348837209303</v>
      </c>
      <c r="G849" s="6">
        <v>11</v>
      </c>
      <c r="H849" s="4">
        <f t="shared" si="325"/>
        <v>28.636363636363637</v>
      </c>
      <c r="I849" s="10">
        <v>46052</v>
      </c>
      <c r="J849" s="17">
        <v>10</v>
      </c>
    </row>
    <row r="850" spans="2:14" x14ac:dyDescent="0.2">
      <c r="B850" s="1" t="s">
        <v>11</v>
      </c>
      <c r="C850" s="20">
        <v>329</v>
      </c>
      <c r="D850" s="20">
        <v>307</v>
      </c>
      <c r="E850" s="2">
        <f t="shared" si="323"/>
        <v>22</v>
      </c>
      <c r="F850" s="3">
        <f t="shared" si="324"/>
        <v>0.93313069908814594</v>
      </c>
      <c r="G850" s="6">
        <v>8</v>
      </c>
      <c r="H850" s="4">
        <f t="shared" si="325"/>
        <v>38.375</v>
      </c>
      <c r="I850" s="10">
        <v>46052</v>
      </c>
      <c r="J850" s="17">
        <v>6</v>
      </c>
      <c r="K850">
        <v>9</v>
      </c>
    </row>
    <row r="851" spans="2:14" x14ac:dyDescent="0.2">
      <c r="B851" s="5" t="s">
        <v>12</v>
      </c>
      <c r="C851" s="20">
        <v>14</v>
      </c>
      <c r="D851" s="20">
        <v>14</v>
      </c>
      <c r="E851" s="2">
        <f t="shared" si="323"/>
        <v>0</v>
      </c>
      <c r="F851" s="3">
        <f t="shared" si="324"/>
        <v>1</v>
      </c>
      <c r="G851" s="6">
        <v>18</v>
      </c>
      <c r="H851" s="4">
        <f t="shared" si="325"/>
        <v>0.77777777777777779</v>
      </c>
      <c r="I851" s="10">
        <v>46052</v>
      </c>
    </row>
    <row r="852" spans="2:14" x14ac:dyDescent="0.2">
      <c r="B852" s="5" t="s">
        <v>17</v>
      </c>
      <c r="C852" s="2">
        <v>488</v>
      </c>
      <c r="D852" s="6">
        <v>401</v>
      </c>
      <c r="E852" s="2">
        <f t="shared" si="323"/>
        <v>87</v>
      </c>
      <c r="F852" s="3">
        <f t="shared" si="324"/>
        <v>0.82172131147540983</v>
      </c>
      <c r="G852" s="6">
        <v>4</v>
      </c>
      <c r="H852" s="4">
        <f t="shared" ref="H852:H859" si="326">D852/G852</f>
        <v>100.25</v>
      </c>
      <c r="I852" s="10">
        <v>46052</v>
      </c>
      <c r="L852">
        <v>9</v>
      </c>
      <c r="N852">
        <v>46</v>
      </c>
    </row>
    <row r="853" spans="2:14" x14ac:dyDescent="0.2">
      <c r="B853" s="5" t="s">
        <v>50</v>
      </c>
      <c r="C853" s="2">
        <v>111</v>
      </c>
      <c r="D853" s="6">
        <v>111</v>
      </c>
      <c r="E853" s="2">
        <f t="shared" si="323"/>
        <v>0</v>
      </c>
      <c r="F853" s="3">
        <f t="shared" si="324"/>
        <v>1</v>
      </c>
      <c r="G853" s="6">
        <v>2</v>
      </c>
      <c r="H853" s="4">
        <f t="shared" si="326"/>
        <v>55.5</v>
      </c>
      <c r="I853" s="10">
        <v>46052</v>
      </c>
    </row>
    <row r="854" spans="2:14" x14ac:dyDescent="0.2">
      <c r="B854" s="1" t="s">
        <v>7</v>
      </c>
      <c r="C854" s="20">
        <v>297</v>
      </c>
      <c r="D854" s="20">
        <v>213</v>
      </c>
      <c r="E854" s="20">
        <f t="shared" ref="E854:E861" si="327">C854-D854</f>
        <v>84</v>
      </c>
      <c r="F854" s="3">
        <f t="shared" ref="F854:F861" si="328">D854/C854</f>
        <v>0.71717171717171713</v>
      </c>
      <c r="G854" s="2">
        <v>2</v>
      </c>
      <c r="H854" s="4">
        <f t="shared" si="326"/>
        <v>106.5</v>
      </c>
      <c r="I854" s="10">
        <v>46055</v>
      </c>
      <c r="J854" s="17"/>
      <c r="M854">
        <v>10</v>
      </c>
    </row>
    <row r="855" spans="2:14" x14ac:dyDescent="0.2">
      <c r="B855" s="5" t="s">
        <v>8</v>
      </c>
      <c r="C855" s="6">
        <v>585</v>
      </c>
      <c r="D855" s="6">
        <v>237</v>
      </c>
      <c r="E855" s="2">
        <f t="shared" si="327"/>
        <v>348</v>
      </c>
      <c r="F855" s="3">
        <f t="shared" si="328"/>
        <v>0.40512820512820513</v>
      </c>
      <c r="G855" s="2">
        <v>9</v>
      </c>
      <c r="H855" s="4">
        <f t="shared" si="326"/>
        <v>26.333333333333332</v>
      </c>
      <c r="I855" s="10">
        <v>46055</v>
      </c>
      <c r="J855" s="17">
        <v>2</v>
      </c>
    </row>
    <row r="856" spans="2:14" x14ac:dyDescent="0.2">
      <c r="B856" s="1" t="s">
        <v>9</v>
      </c>
      <c r="C856" s="2">
        <v>2</v>
      </c>
      <c r="D856" s="2">
        <v>2</v>
      </c>
      <c r="E856" s="2">
        <f t="shared" si="327"/>
        <v>0</v>
      </c>
      <c r="F856" s="3">
        <f t="shared" si="328"/>
        <v>1</v>
      </c>
      <c r="G856" s="2">
        <v>6</v>
      </c>
      <c r="H856" s="4">
        <f t="shared" si="326"/>
        <v>0.33333333333333331</v>
      </c>
      <c r="I856" s="10">
        <v>46055</v>
      </c>
    </row>
    <row r="857" spans="2:14" x14ac:dyDescent="0.2">
      <c r="B857" s="5" t="s">
        <v>10</v>
      </c>
      <c r="C857" s="6">
        <f>52+472+446</f>
        <v>970</v>
      </c>
      <c r="D857" s="59">
        <f>52+346+6</f>
        <v>404</v>
      </c>
      <c r="E857" s="2">
        <f t="shared" si="327"/>
        <v>566</v>
      </c>
      <c r="F857" s="3">
        <f t="shared" si="328"/>
        <v>0.41649484536082476</v>
      </c>
      <c r="G857" s="6">
        <v>11</v>
      </c>
      <c r="H857" s="4">
        <f t="shared" si="326"/>
        <v>36.727272727272727</v>
      </c>
      <c r="I857" s="10">
        <v>46055</v>
      </c>
      <c r="J857" s="17"/>
    </row>
    <row r="858" spans="2:14" x14ac:dyDescent="0.2">
      <c r="B858" s="1" t="s">
        <v>11</v>
      </c>
      <c r="C858" s="20">
        <v>882</v>
      </c>
      <c r="D858" s="20">
        <v>879</v>
      </c>
      <c r="E858" s="2">
        <f t="shared" si="327"/>
        <v>3</v>
      </c>
      <c r="F858" s="3">
        <f t="shared" si="328"/>
        <v>0.99659863945578231</v>
      </c>
      <c r="G858" s="6">
        <v>10</v>
      </c>
      <c r="H858" s="4">
        <f t="shared" si="326"/>
        <v>87.9</v>
      </c>
      <c r="I858" s="10">
        <v>46055</v>
      </c>
      <c r="J858" s="17">
        <v>4</v>
      </c>
      <c r="K858">
        <v>6</v>
      </c>
    </row>
    <row r="859" spans="2:14" x14ac:dyDescent="0.2">
      <c r="B859" s="5" t="s">
        <v>12</v>
      </c>
      <c r="C859" s="20">
        <v>155</v>
      </c>
      <c r="D859" s="20">
        <v>105</v>
      </c>
      <c r="E859" s="2">
        <f t="shared" si="327"/>
        <v>50</v>
      </c>
      <c r="F859" s="3">
        <f t="shared" si="328"/>
        <v>0.67741935483870963</v>
      </c>
      <c r="G859" s="6">
        <v>22</v>
      </c>
      <c r="H859" s="4">
        <f t="shared" si="326"/>
        <v>4.7727272727272725</v>
      </c>
      <c r="I859" s="10">
        <v>46055</v>
      </c>
      <c r="J859" s="17">
        <v>1</v>
      </c>
    </row>
    <row r="860" spans="2:14" x14ac:dyDescent="0.2">
      <c r="B860" s="5" t="s">
        <v>17</v>
      </c>
      <c r="C860" s="2">
        <v>1</v>
      </c>
      <c r="D860" s="6">
        <v>1</v>
      </c>
      <c r="E860" s="2">
        <f t="shared" si="327"/>
        <v>0</v>
      </c>
      <c r="F860" s="3">
        <f t="shared" si="328"/>
        <v>1</v>
      </c>
      <c r="G860" s="6">
        <v>5</v>
      </c>
      <c r="H860" s="4">
        <f t="shared" ref="H860:H867" si="329">D860/G860</f>
        <v>0.2</v>
      </c>
      <c r="I860" s="10">
        <v>46055</v>
      </c>
      <c r="L860">
        <v>1</v>
      </c>
      <c r="N860">
        <v>1</v>
      </c>
    </row>
    <row r="861" spans="2:14" x14ac:dyDescent="0.2">
      <c r="B861" s="5" t="s">
        <v>50</v>
      </c>
      <c r="C861" s="2">
        <v>191</v>
      </c>
      <c r="D861" s="6">
        <v>191</v>
      </c>
      <c r="E861" s="2">
        <f t="shared" si="327"/>
        <v>0</v>
      </c>
      <c r="F861" s="3">
        <f t="shared" si="328"/>
        <v>1</v>
      </c>
      <c r="G861" s="6">
        <v>2</v>
      </c>
      <c r="H861" s="4">
        <f t="shared" si="329"/>
        <v>95.5</v>
      </c>
      <c r="I861" s="10">
        <v>46055</v>
      </c>
    </row>
    <row r="862" spans="2:14" x14ac:dyDescent="0.2">
      <c r="B862" s="1" t="s">
        <v>7</v>
      </c>
      <c r="C862" s="20">
        <v>1</v>
      </c>
      <c r="D862" s="20">
        <v>1</v>
      </c>
      <c r="E862" s="20">
        <f t="shared" ref="E862:E869" si="330">C862-D862</f>
        <v>0</v>
      </c>
      <c r="F862" s="3">
        <f t="shared" ref="F862:F869" si="331">D862/C862</f>
        <v>1</v>
      </c>
      <c r="G862" s="2">
        <v>2</v>
      </c>
      <c r="H862" s="4">
        <f t="shared" si="329"/>
        <v>0.5</v>
      </c>
      <c r="I862" s="10">
        <v>46056</v>
      </c>
      <c r="J862" s="77"/>
      <c r="M862">
        <v>1</v>
      </c>
    </row>
    <row r="863" spans="2:14" x14ac:dyDescent="0.2">
      <c r="B863" s="5" t="s">
        <v>8</v>
      </c>
      <c r="C863" s="6">
        <v>290</v>
      </c>
      <c r="D863" s="6">
        <v>235</v>
      </c>
      <c r="E863" s="2">
        <f t="shared" si="330"/>
        <v>55</v>
      </c>
      <c r="F863" s="3">
        <f t="shared" si="331"/>
        <v>0.81034482758620685</v>
      </c>
      <c r="G863" s="2">
        <v>9</v>
      </c>
      <c r="H863" s="4">
        <f t="shared" si="329"/>
        <v>26.111111111111111</v>
      </c>
      <c r="I863" s="10">
        <v>46056</v>
      </c>
      <c r="J863" s="77"/>
      <c r="N863">
        <v>114</v>
      </c>
    </row>
    <row r="864" spans="2:14" x14ac:dyDescent="0.2">
      <c r="B864" s="1" t="s">
        <v>9</v>
      </c>
      <c r="C864" s="2">
        <v>127</v>
      </c>
      <c r="D864" s="2">
        <v>109</v>
      </c>
      <c r="E864" s="2">
        <f t="shared" si="330"/>
        <v>18</v>
      </c>
      <c r="F864" s="3">
        <f t="shared" si="331"/>
        <v>0.8582677165354331</v>
      </c>
      <c r="G864" s="2">
        <v>6</v>
      </c>
      <c r="H864" s="4">
        <f t="shared" si="329"/>
        <v>18.166666666666668</v>
      </c>
      <c r="I864" s="10">
        <v>46056</v>
      </c>
      <c r="J864" s="79">
        <v>2</v>
      </c>
    </row>
    <row r="865" spans="2:14" x14ac:dyDescent="0.2">
      <c r="B865" s="5" t="s">
        <v>10</v>
      </c>
      <c r="C865" s="6">
        <f>18+229+166</f>
        <v>413</v>
      </c>
      <c r="D865" s="59">
        <f>176+18+155</f>
        <v>349</v>
      </c>
      <c r="E865" s="2">
        <f t="shared" si="330"/>
        <v>64</v>
      </c>
      <c r="F865" s="3">
        <f t="shared" si="331"/>
        <v>0.84503631961259085</v>
      </c>
      <c r="G865" s="6">
        <v>11</v>
      </c>
      <c r="H865" s="4">
        <f t="shared" si="329"/>
        <v>31.727272727272727</v>
      </c>
      <c r="I865" s="10">
        <v>46056</v>
      </c>
      <c r="J865" s="79"/>
    </row>
    <row r="866" spans="2:14" x14ac:dyDescent="0.2">
      <c r="B866" s="1" t="s">
        <v>11</v>
      </c>
      <c r="C866" s="20">
        <v>350</v>
      </c>
      <c r="D866" s="20">
        <v>346</v>
      </c>
      <c r="E866" s="2">
        <f t="shared" si="330"/>
        <v>4</v>
      </c>
      <c r="F866" s="3">
        <f t="shared" si="331"/>
        <v>0.98857142857142855</v>
      </c>
      <c r="G866" s="6">
        <v>10</v>
      </c>
      <c r="H866" s="4">
        <f t="shared" si="329"/>
        <v>34.6</v>
      </c>
      <c r="I866" s="10">
        <v>46056</v>
      </c>
      <c r="J866" s="79">
        <v>17</v>
      </c>
      <c r="K866">
        <v>7</v>
      </c>
    </row>
    <row r="867" spans="2:14" x14ac:dyDescent="0.2">
      <c r="B867" s="5" t="s">
        <v>12</v>
      </c>
      <c r="C867" s="20">
        <v>318</v>
      </c>
      <c r="D867" s="20">
        <v>318</v>
      </c>
      <c r="E867" s="2">
        <f t="shared" si="330"/>
        <v>0</v>
      </c>
      <c r="F867" s="3">
        <f t="shared" si="331"/>
        <v>1</v>
      </c>
      <c r="G867" s="6">
        <v>22</v>
      </c>
      <c r="H867" s="4">
        <f t="shared" si="329"/>
        <v>14.454545454545455</v>
      </c>
      <c r="I867" s="10">
        <v>46056</v>
      </c>
      <c r="J867" s="79">
        <v>1</v>
      </c>
    </row>
    <row r="868" spans="2:14" x14ac:dyDescent="0.2">
      <c r="B868" s="5" t="s">
        <v>17</v>
      </c>
      <c r="C868" s="2">
        <v>618</v>
      </c>
      <c r="D868" s="6">
        <v>613</v>
      </c>
      <c r="E868" s="2">
        <f t="shared" si="330"/>
        <v>5</v>
      </c>
      <c r="F868" s="3">
        <f t="shared" si="331"/>
        <v>0.99190938511326865</v>
      </c>
      <c r="G868" s="6">
        <v>5</v>
      </c>
      <c r="H868" s="4">
        <f t="shared" ref="H868:H875" si="332">D868/G868</f>
        <v>122.6</v>
      </c>
      <c r="I868" s="10">
        <v>46056</v>
      </c>
      <c r="J868" s="79"/>
      <c r="L868">
        <v>9</v>
      </c>
      <c r="N868">
        <v>47</v>
      </c>
    </row>
    <row r="869" spans="2:14" x14ac:dyDescent="0.2">
      <c r="B869" s="5" t="s">
        <v>50</v>
      </c>
      <c r="C869" s="2">
        <v>504</v>
      </c>
      <c r="D869" s="6">
        <v>504</v>
      </c>
      <c r="E869" s="2">
        <f t="shared" si="330"/>
        <v>0</v>
      </c>
      <c r="F869" s="3">
        <f t="shared" si="331"/>
        <v>1</v>
      </c>
      <c r="G869" s="6">
        <v>2</v>
      </c>
      <c r="H869" s="4">
        <f t="shared" si="332"/>
        <v>252</v>
      </c>
      <c r="I869" s="10">
        <v>46056</v>
      </c>
      <c r="J869" s="78"/>
    </row>
    <row r="870" spans="2:14" x14ac:dyDescent="0.2">
      <c r="B870" s="1" t="s">
        <v>7</v>
      </c>
      <c r="C870" s="20">
        <v>599</v>
      </c>
      <c r="D870" s="20">
        <v>593</v>
      </c>
      <c r="E870" s="20">
        <f t="shared" ref="E870:E877" si="333">C870-D870</f>
        <v>6</v>
      </c>
      <c r="F870" s="3">
        <f t="shared" ref="F870:F877" si="334">D870/C870</f>
        <v>0.98998330550918201</v>
      </c>
      <c r="G870" s="2">
        <v>2</v>
      </c>
      <c r="H870" s="4">
        <f t="shared" si="332"/>
        <v>296.5</v>
      </c>
      <c r="I870" s="10">
        <v>46063</v>
      </c>
      <c r="J870" s="77"/>
      <c r="M870">
        <v>9</v>
      </c>
    </row>
    <row r="871" spans="2:14" x14ac:dyDescent="0.2">
      <c r="B871" s="5" t="s">
        <v>8</v>
      </c>
      <c r="C871" s="6">
        <v>654</v>
      </c>
      <c r="D871" s="6">
        <f>334+268</f>
        <v>602</v>
      </c>
      <c r="E871" s="2">
        <f t="shared" si="333"/>
        <v>52</v>
      </c>
      <c r="F871" s="3">
        <f t="shared" si="334"/>
        <v>0.92048929663608559</v>
      </c>
      <c r="G871" s="2">
        <v>9</v>
      </c>
      <c r="H871" s="4">
        <f t="shared" si="332"/>
        <v>66.888888888888886</v>
      </c>
      <c r="I871" s="10">
        <v>46063</v>
      </c>
      <c r="J871" s="80">
        <v>2</v>
      </c>
      <c r="N871">
        <v>156</v>
      </c>
    </row>
    <row r="872" spans="2:14" x14ac:dyDescent="0.2">
      <c r="B872" s="1" t="s">
        <v>9</v>
      </c>
      <c r="C872" s="2">
        <v>51</v>
      </c>
      <c r="D872" s="2">
        <v>21</v>
      </c>
      <c r="E872" s="2">
        <f t="shared" si="333"/>
        <v>30</v>
      </c>
      <c r="F872" s="3">
        <f t="shared" si="334"/>
        <v>0.41176470588235292</v>
      </c>
      <c r="G872" s="2">
        <v>6</v>
      </c>
      <c r="H872" s="4">
        <f t="shared" si="332"/>
        <v>3.5</v>
      </c>
      <c r="I872" s="10">
        <v>46063</v>
      </c>
      <c r="J872" s="79"/>
    </row>
    <row r="873" spans="2:14" x14ac:dyDescent="0.2">
      <c r="B873" s="5" t="s">
        <v>10</v>
      </c>
      <c r="C873" s="6">
        <f>507+9+517</f>
        <v>1033</v>
      </c>
      <c r="D873" s="59">
        <f>474+9+517</f>
        <v>1000</v>
      </c>
      <c r="E873" s="2">
        <f t="shared" si="333"/>
        <v>33</v>
      </c>
      <c r="F873" s="3">
        <f t="shared" si="334"/>
        <v>0.96805421103581801</v>
      </c>
      <c r="G873" s="6">
        <v>11</v>
      </c>
      <c r="H873" s="4">
        <f t="shared" si="332"/>
        <v>90.909090909090907</v>
      </c>
      <c r="I873" s="10">
        <v>46063</v>
      </c>
      <c r="J873" s="79"/>
    </row>
    <row r="874" spans="2:14" x14ac:dyDescent="0.2">
      <c r="B874" s="1" t="s">
        <v>11</v>
      </c>
      <c r="C874" s="20">
        <v>1043</v>
      </c>
      <c r="D874" s="20">
        <v>1043</v>
      </c>
      <c r="E874" s="2">
        <f t="shared" si="333"/>
        <v>0</v>
      </c>
      <c r="F874" s="3">
        <f t="shared" si="334"/>
        <v>1</v>
      </c>
      <c r="G874" s="6">
        <v>10</v>
      </c>
      <c r="H874" s="4">
        <f t="shared" si="332"/>
        <v>104.3</v>
      </c>
      <c r="I874" s="10">
        <v>46063</v>
      </c>
      <c r="J874" s="79">
        <v>4</v>
      </c>
      <c r="K874">
        <v>10</v>
      </c>
    </row>
    <row r="875" spans="2:14" x14ac:dyDescent="0.2">
      <c r="B875" s="5" t="s">
        <v>12</v>
      </c>
      <c r="C875" s="20">
        <v>333</v>
      </c>
      <c r="D875" s="20">
        <v>311</v>
      </c>
      <c r="E875" s="2">
        <f t="shared" si="333"/>
        <v>22</v>
      </c>
      <c r="F875" s="3">
        <f t="shared" si="334"/>
        <v>0.93393393393393398</v>
      </c>
      <c r="G875" s="6">
        <v>22</v>
      </c>
      <c r="H875" s="4">
        <f t="shared" si="332"/>
        <v>14.136363636363637</v>
      </c>
      <c r="I875" s="10">
        <v>46063</v>
      </c>
      <c r="J875" s="79">
        <v>1</v>
      </c>
    </row>
    <row r="876" spans="2:14" x14ac:dyDescent="0.2">
      <c r="B876" s="5" t="s">
        <v>17</v>
      </c>
      <c r="C876" s="2">
        <v>899</v>
      </c>
      <c r="D876" s="6">
        <v>652</v>
      </c>
      <c r="E876" s="2">
        <f t="shared" si="333"/>
        <v>247</v>
      </c>
      <c r="F876" s="3">
        <f t="shared" si="334"/>
        <v>0.72525027808676312</v>
      </c>
      <c r="G876" s="6">
        <v>5</v>
      </c>
      <c r="H876" s="4">
        <f t="shared" ref="H876:H883" si="335">D876/G876</f>
        <v>130.4</v>
      </c>
      <c r="I876" s="10">
        <v>46063</v>
      </c>
      <c r="J876" s="79"/>
      <c r="L876">
        <v>9</v>
      </c>
      <c r="N876">
        <v>28</v>
      </c>
    </row>
    <row r="877" spans="2:14" x14ac:dyDescent="0.2">
      <c r="B877" s="5" t="s">
        <v>50</v>
      </c>
      <c r="C877" s="2">
        <v>238</v>
      </c>
      <c r="D877" s="6">
        <v>236</v>
      </c>
      <c r="E877" s="2">
        <f t="shared" si="333"/>
        <v>2</v>
      </c>
      <c r="F877" s="3">
        <f t="shared" si="334"/>
        <v>0.99159663865546221</v>
      </c>
      <c r="G877" s="6">
        <v>2</v>
      </c>
      <c r="H877" s="4">
        <f t="shared" si="335"/>
        <v>118</v>
      </c>
      <c r="I877" s="10">
        <v>46063</v>
      </c>
      <c r="J877" s="78"/>
    </row>
    <row r="878" spans="2:14" x14ac:dyDescent="0.2">
      <c r="B878" s="1" t="s">
        <v>7</v>
      </c>
      <c r="C878" s="20">
        <v>822</v>
      </c>
      <c r="D878" s="20">
        <v>603</v>
      </c>
      <c r="E878" s="20">
        <f t="shared" ref="E878:E885" si="336">C878-D878</f>
        <v>219</v>
      </c>
      <c r="F878" s="3">
        <f t="shared" ref="F878:F885" si="337">D878/C878</f>
        <v>0.73357664233576647</v>
      </c>
      <c r="G878" s="2">
        <v>5</v>
      </c>
      <c r="H878" s="4">
        <f t="shared" si="335"/>
        <v>120.6</v>
      </c>
      <c r="I878" s="10">
        <v>46064</v>
      </c>
      <c r="J878" s="80">
        <v>2</v>
      </c>
      <c r="M878">
        <v>10</v>
      </c>
    </row>
    <row r="879" spans="2:14" x14ac:dyDescent="0.2">
      <c r="B879" s="5" t="s">
        <v>8</v>
      </c>
      <c r="C879" s="6">
        <v>550</v>
      </c>
      <c r="D879" s="6">
        <v>505</v>
      </c>
      <c r="E879" s="2">
        <f t="shared" si="336"/>
        <v>45</v>
      </c>
      <c r="F879" s="3">
        <f t="shared" si="337"/>
        <v>0.91818181818181821</v>
      </c>
      <c r="G879" s="2">
        <v>9</v>
      </c>
      <c r="H879" s="4">
        <f t="shared" si="335"/>
        <v>56.111111111111114</v>
      </c>
      <c r="I879" s="10">
        <v>46064</v>
      </c>
      <c r="J879" s="80">
        <v>3</v>
      </c>
      <c r="N879">
        <v>177</v>
      </c>
    </row>
    <row r="880" spans="2:14" x14ac:dyDescent="0.2">
      <c r="B880" s="1" t="s">
        <v>9</v>
      </c>
      <c r="C880" s="2">
        <v>36</v>
      </c>
      <c r="D880" s="2">
        <v>35</v>
      </c>
      <c r="E880" s="2">
        <f t="shared" si="336"/>
        <v>1</v>
      </c>
      <c r="F880" s="3">
        <f t="shared" si="337"/>
        <v>0.97222222222222221</v>
      </c>
      <c r="G880" s="2">
        <v>9</v>
      </c>
      <c r="H880" s="4">
        <f t="shared" si="335"/>
        <v>3.8888888888888888</v>
      </c>
      <c r="I880" s="10">
        <v>46064</v>
      </c>
      <c r="J880" s="79"/>
    </row>
    <row r="881" spans="2:14" x14ac:dyDescent="0.2">
      <c r="B881" s="5" t="s">
        <v>10</v>
      </c>
      <c r="C881" s="6">
        <f>4+347+378</f>
        <v>729</v>
      </c>
      <c r="D881" s="59">
        <f>217+364+4</f>
        <v>585</v>
      </c>
      <c r="E881" s="2">
        <f t="shared" si="336"/>
        <v>144</v>
      </c>
      <c r="F881" s="3">
        <f t="shared" si="337"/>
        <v>0.80246913580246915</v>
      </c>
      <c r="G881" s="6">
        <v>11</v>
      </c>
      <c r="H881" s="4">
        <f t="shared" si="335"/>
        <v>53.18181818181818</v>
      </c>
      <c r="I881" s="10">
        <v>46064</v>
      </c>
      <c r="J881" s="79">
        <v>6</v>
      </c>
    </row>
    <row r="882" spans="2:14" x14ac:dyDescent="0.2">
      <c r="B882" s="1" t="s">
        <v>11</v>
      </c>
      <c r="C882" s="20">
        <v>963</v>
      </c>
      <c r="D882" s="20">
        <v>854</v>
      </c>
      <c r="E882" s="2">
        <f t="shared" si="336"/>
        <v>109</v>
      </c>
      <c r="F882" s="3">
        <f t="shared" si="337"/>
        <v>0.88681204569055039</v>
      </c>
      <c r="G882" s="6">
        <v>9</v>
      </c>
      <c r="H882" s="4">
        <f t="shared" si="335"/>
        <v>94.888888888888886</v>
      </c>
      <c r="I882" s="10">
        <v>46064</v>
      </c>
      <c r="J882" s="79"/>
      <c r="K882">
        <v>9</v>
      </c>
    </row>
    <row r="883" spans="2:14" x14ac:dyDescent="0.2">
      <c r="B883" s="5" t="s">
        <v>12</v>
      </c>
      <c r="C883" s="20">
        <v>285</v>
      </c>
      <c r="D883" s="20">
        <v>238</v>
      </c>
      <c r="E883" s="2">
        <f t="shared" si="336"/>
        <v>47</v>
      </c>
      <c r="F883" s="3">
        <f t="shared" si="337"/>
        <v>0.83508771929824566</v>
      </c>
      <c r="G883" s="6">
        <v>20</v>
      </c>
      <c r="H883" s="4">
        <f t="shared" si="335"/>
        <v>11.9</v>
      </c>
      <c r="I883" s="10">
        <v>46064</v>
      </c>
      <c r="J883" s="79">
        <v>1</v>
      </c>
    </row>
    <row r="884" spans="2:14" x14ac:dyDescent="0.2">
      <c r="B884" s="5" t="s">
        <v>17</v>
      </c>
      <c r="C884" s="2">
        <v>1154</v>
      </c>
      <c r="D884" s="6">
        <v>920</v>
      </c>
      <c r="E884" s="2">
        <f t="shared" si="336"/>
        <v>234</v>
      </c>
      <c r="F884" s="3">
        <f t="shared" si="337"/>
        <v>0.79722703639514736</v>
      </c>
      <c r="G884" s="6">
        <v>5</v>
      </c>
      <c r="H884" s="4">
        <f t="shared" ref="H884:H891" si="338">D884/G884</f>
        <v>184</v>
      </c>
      <c r="I884" s="10">
        <v>46064</v>
      </c>
      <c r="J884" s="79"/>
      <c r="L884">
        <v>18</v>
      </c>
      <c r="N884">
        <v>104</v>
      </c>
    </row>
    <row r="885" spans="2:14" x14ac:dyDescent="0.2">
      <c r="B885" s="5" t="s">
        <v>50</v>
      </c>
      <c r="C885" s="2">
        <v>195</v>
      </c>
      <c r="D885" s="6">
        <v>176</v>
      </c>
      <c r="E885" s="2">
        <f t="shared" si="336"/>
        <v>19</v>
      </c>
      <c r="F885" s="3">
        <f t="shared" si="337"/>
        <v>0.90256410256410258</v>
      </c>
      <c r="G885" s="6">
        <v>2</v>
      </c>
      <c r="H885" s="4">
        <f t="shared" si="338"/>
        <v>88</v>
      </c>
      <c r="I885" s="10">
        <v>46064</v>
      </c>
      <c r="J885" s="78"/>
    </row>
    <row r="886" spans="2:14" x14ac:dyDescent="0.2">
      <c r="B886" s="1" t="s">
        <v>7</v>
      </c>
      <c r="C886" s="20">
        <v>716</v>
      </c>
      <c r="D886" s="20">
        <v>696</v>
      </c>
      <c r="E886" s="20">
        <f t="shared" ref="E886:E893" si="339">C886-D886</f>
        <v>20</v>
      </c>
      <c r="F886" s="3">
        <f t="shared" ref="F886:F893" si="340">D886/C886</f>
        <v>0.97206703910614523</v>
      </c>
      <c r="G886" s="2">
        <v>3</v>
      </c>
      <c r="H886" s="4">
        <f t="shared" si="338"/>
        <v>232</v>
      </c>
      <c r="I886" s="10">
        <v>46065</v>
      </c>
      <c r="J886" s="80">
        <v>1</v>
      </c>
      <c r="M886">
        <v>13</v>
      </c>
    </row>
    <row r="887" spans="2:14" x14ac:dyDescent="0.2">
      <c r="B887" s="5" t="s">
        <v>8</v>
      </c>
      <c r="C887" s="6">
        <v>623</v>
      </c>
      <c r="D887" s="6">
        <v>569</v>
      </c>
      <c r="E887" s="2">
        <f t="shared" si="339"/>
        <v>54</v>
      </c>
      <c r="F887" s="3">
        <f t="shared" si="340"/>
        <v>0.913322632423756</v>
      </c>
      <c r="G887" s="2">
        <v>9</v>
      </c>
      <c r="H887" s="4">
        <f t="shared" si="338"/>
        <v>63.222222222222221</v>
      </c>
      <c r="I887" s="10">
        <v>46065</v>
      </c>
      <c r="J887" s="80">
        <v>7</v>
      </c>
      <c r="N887">
        <v>60</v>
      </c>
    </row>
    <row r="888" spans="2:14" x14ac:dyDescent="0.2">
      <c r="B888" s="1" t="s">
        <v>9</v>
      </c>
      <c r="C888" s="2">
        <v>47</v>
      </c>
      <c r="D888" s="2">
        <v>44</v>
      </c>
      <c r="E888" s="2">
        <f t="shared" si="339"/>
        <v>3</v>
      </c>
      <c r="F888" s="3">
        <f t="shared" si="340"/>
        <v>0.93617021276595747</v>
      </c>
      <c r="G888" s="2">
        <v>9</v>
      </c>
      <c r="H888" s="4">
        <f t="shared" si="338"/>
        <v>4.8888888888888893</v>
      </c>
      <c r="I888" s="10">
        <v>46065</v>
      </c>
      <c r="J888" s="79"/>
    </row>
    <row r="889" spans="2:14" x14ac:dyDescent="0.2">
      <c r="B889" s="5" t="s">
        <v>10</v>
      </c>
      <c r="C889" s="6">
        <f>382+45+282</f>
        <v>709</v>
      </c>
      <c r="D889" s="59">
        <f>376+12+230</f>
        <v>618</v>
      </c>
      <c r="E889" s="2">
        <f t="shared" si="339"/>
        <v>91</v>
      </c>
      <c r="F889" s="3">
        <f t="shared" si="340"/>
        <v>0.87165021156558531</v>
      </c>
      <c r="G889" s="6">
        <v>10</v>
      </c>
      <c r="H889" s="4">
        <f t="shared" si="338"/>
        <v>61.8</v>
      </c>
      <c r="I889" s="10">
        <v>46065</v>
      </c>
      <c r="J889" s="79"/>
    </row>
    <row r="890" spans="2:14" x14ac:dyDescent="0.2">
      <c r="B890" s="1" t="s">
        <v>11</v>
      </c>
      <c r="C890" s="20">
        <v>645</v>
      </c>
      <c r="D890" s="20">
        <v>638</v>
      </c>
      <c r="E890" s="2">
        <f t="shared" si="339"/>
        <v>7</v>
      </c>
      <c r="F890" s="3">
        <f t="shared" si="340"/>
        <v>0.98914728682170538</v>
      </c>
      <c r="G890" s="6">
        <v>9</v>
      </c>
      <c r="H890" s="4">
        <f t="shared" si="338"/>
        <v>70.888888888888886</v>
      </c>
      <c r="I890" s="10">
        <v>46065</v>
      </c>
      <c r="J890" s="79">
        <v>2</v>
      </c>
      <c r="K890">
        <v>12</v>
      </c>
    </row>
    <row r="891" spans="2:14" x14ac:dyDescent="0.2">
      <c r="B891" s="5" t="s">
        <v>12</v>
      </c>
      <c r="C891" s="20">
        <v>224</v>
      </c>
      <c r="D891" s="20">
        <v>208</v>
      </c>
      <c r="E891" s="2">
        <f t="shared" si="339"/>
        <v>16</v>
      </c>
      <c r="F891" s="3">
        <f t="shared" si="340"/>
        <v>0.9285714285714286</v>
      </c>
      <c r="G891" s="6">
        <v>20</v>
      </c>
      <c r="H891" s="4">
        <f t="shared" si="338"/>
        <v>10.4</v>
      </c>
      <c r="I891" s="10">
        <v>46065</v>
      </c>
      <c r="J891" s="79"/>
    </row>
    <row r="892" spans="2:14" x14ac:dyDescent="0.2">
      <c r="B892" s="5" t="s">
        <v>17</v>
      </c>
      <c r="C892" s="2">
        <v>1158</v>
      </c>
      <c r="D892" s="6">
        <v>1088</v>
      </c>
      <c r="E892" s="2">
        <f t="shared" si="339"/>
        <v>70</v>
      </c>
      <c r="F892" s="3">
        <f t="shared" si="340"/>
        <v>0.93955094991364418</v>
      </c>
      <c r="G892" s="6">
        <v>5</v>
      </c>
      <c r="H892" s="4">
        <f t="shared" ref="H892:H899" si="341">D892/G892</f>
        <v>217.6</v>
      </c>
      <c r="I892" s="10">
        <v>46065</v>
      </c>
      <c r="J892" s="79"/>
      <c r="L892">
        <v>11</v>
      </c>
      <c r="N892">
        <v>1</v>
      </c>
    </row>
    <row r="893" spans="2:14" x14ac:dyDescent="0.2">
      <c r="B893" s="5" t="s">
        <v>50</v>
      </c>
      <c r="C893" s="2">
        <v>535</v>
      </c>
      <c r="D893" s="6">
        <v>426</v>
      </c>
      <c r="E893" s="2">
        <f t="shared" si="339"/>
        <v>109</v>
      </c>
      <c r="F893" s="3">
        <f t="shared" si="340"/>
        <v>0.79626168224299065</v>
      </c>
      <c r="G893" s="6">
        <v>2</v>
      </c>
      <c r="H893" s="4">
        <f t="shared" si="341"/>
        <v>213</v>
      </c>
      <c r="I893" s="10">
        <v>46065</v>
      </c>
      <c r="J893" s="78"/>
    </row>
    <row r="894" spans="2:14" x14ac:dyDescent="0.2">
      <c r="B894" s="1" t="s">
        <v>7</v>
      </c>
      <c r="C894" s="20">
        <v>300</v>
      </c>
      <c r="D894" s="20">
        <v>299</v>
      </c>
      <c r="E894" s="20">
        <f t="shared" ref="E894:E901" si="342">C894-D894</f>
        <v>1</v>
      </c>
      <c r="F894" s="3">
        <f t="shared" ref="F894:F901" si="343">D894/C894</f>
        <v>0.9966666666666667</v>
      </c>
      <c r="G894" s="2">
        <v>3</v>
      </c>
      <c r="H894" s="4">
        <f t="shared" si="341"/>
        <v>99.666666666666671</v>
      </c>
      <c r="I894" s="10">
        <v>46066</v>
      </c>
      <c r="J894" s="80"/>
      <c r="M894">
        <v>10</v>
      </c>
    </row>
    <row r="895" spans="2:14" x14ac:dyDescent="0.2">
      <c r="B895" s="5" t="s">
        <v>8</v>
      </c>
      <c r="C895" s="6">
        <v>592</v>
      </c>
      <c r="D895" s="6">
        <v>479</v>
      </c>
      <c r="E895" s="2">
        <f t="shared" si="342"/>
        <v>113</v>
      </c>
      <c r="F895" s="3">
        <f t="shared" si="343"/>
        <v>0.8091216216216216</v>
      </c>
      <c r="G895" s="2">
        <v>9</v>
      </c>
      <c r="H895" s="4">
        <f t="shared" si="341"/>
        <v>53.222222222222221</v>
      </c>
      <c r="I895" s="10">
        <v>46066</v>
      </c>
      <c r="J895" s="80">
        <v>4</v>
      </c>
      <c r="N895">
        <v>193</v>
      </c>
    </row>
    <row r="896" spans="2:14" x14ac:dyDescent="0.2">
      <c r="B896" s="1" t="s">
        <v>9</v>
      </c>
      <c r="C896" s="2">
        <v>204</v>
      </c>
      <c r="D896" s="2">
        <v>200</v>
      </c>
      <c r="E896" s="2">
        <f t="shared" si="342"/>
        <v>4</v>
      </c>
      <c r="F896" s="3">
        <f t="shared" si="343"/>
        <v>0.98039215686274506</v>
      </c>
      <c r="G896" s="2">
        <v>9</v>
      </c>
      <c r="H896" s="4">
        <f t="shared" si="341"/>
        <v>22.222222222222221</v>
      </c>
      <c r="I896" s="10">
        <v>46066</v>
      </c>
      <c r="J896" s="79"/>
    </row>
    <row r="897" spans="2:14" x14ac:dyDescent="0.2">
      <c r="B897" s="5" t="s">
        <v>10</v>
      </c>
      <c r="C897" s="6">
        <f>735+6+184</f>
        <v>925</v>
      </c>
      <c r="D897" s="59">
        <f>706+6+70</f>
        <v>782</v>
      </c>
      <c r="E897" s="2">
        <f t="shared" si="342"/>
        <v>143</v>
      </c>
      <c r="F897" s="3">
        <f t="shared" si="343"/>
        <v>0.84540540540540543</v>
      </c>
      <c r="G897" s="6">
        <v>10</v>
      </c>
      <c r="H897" s="4">
        <f t="shared" si="341"/>
        <v>78.2</v>
      </c>
      <c r="I897" s="10">
        <v>46066</v>
      </c>
      <c r="J897" s="79"/>
    </row>
    <row r="898" spans="2:14" x14ac:dyDescent="0.2">
      <c r="B898" s="1" t="s">
        <v>11</v>
      </c>
      <c r="C898" s="20">
        <v>271</v>
      </c>
      <c r="D898" s="20">
        <v>270</v>
      </c>
      <c r="E898" s="2">
        <f t="shared" si="342"/>
        <v>1</v>
      </c>
      <c r="F898" s="3">
        <f t="shared" si="343"/>
        <v>0.99630996309963105</v>
      </c>
      <c r="G898" s="6">
        <v>8</v>
      </c>
      <c r="H898" s="4">
        <f t="shared" si="341"/>
        <v>33.75</v>
      </c>
      <c r="I898" s="10">
        <v>46066</v>
      </c>
      <c r="J898" s="79">
        <v>16</v>
      </c>
      <c r="K898">
        <v>8</v>
      </c>
    </row>
    <row r="899" spans="2:14" x14ac:dyDescent="0.2">
      <c r="B899" s="5" t="s">
        <v>12</v>
      </c>
      <c r="C899" s="20">
        <v>121</v>
      </c>
      <c r="D899" s="20">
        <v>112</v>
      </c>
      <c r="E899" s="2">
        <f t="shared" si="342"/>
        <v>9</v>
      </c>
      <c r="F899" s="3">
        <f t="shared" si="343"/>
        <v>0.92561983471074383</v>
      </c>
      <c r="G899" s="6">
        <v>19</v>
      </c>
      <c r="H899" s="4">
        <f t="shared" si="341"/>
        <v>5.8947368421052628</v>
      </c>
      <c r="I899" s="10">
        <v>46066</v>
      </c>
      <c r="J899" s="79"/>
    </row>
    <row r="900" spans="2:14" x14ac:dyDescent="0.2">
      <c r="B900" s="5" t="s">
        <v>17</v>
      </c>
      <c r="C900" s="2">
        <v>891</v>
      </c>
      <c r="D900" s="6">
        <v>856</v>
      </c>
      <c r="E900" s="2">
        <f t="shared" si="342"/>
        <v>35</v>
      </c>
      <c r="F900" s="3">
        <f t="shared" si="343"/>
        <v>0.96071829405162734</v>
      </c>
      <c r="G900" s="6">
        <v>5</v>
      </c>
      <c r="H900" s="4">
        <f t="shared" ref="H900:H907" si="344">D900/G900</f>
        <v>171.2</v>
      </c>
      <c r="I900" s="10">
        <v>46066</v>
      </c>
      <c r="J900" s="79"/>
      <c r="L900">
        <v>9</v>
      </c>
      <c r="N900">
        <v>1</v>
      </c>
    </row>
    <row r="901" spans="2:14" x14ac:dyDescent="0.2">
      <c r="B901" s="5" t="s">
        <v>50</v>
      </c>
      <c r="C901" s="2">
        <v>324</v>
      </c>
      <c r="D901" s="6">
        <v>312</v>
      </c>
      <c r="E901" s="2">
        <f t="shared" si="342"/>
        <v>12</v>
      </c>
      <c r="F901" s="3">
        <f t="shared" si="343"/>
        <v>0.96296296296296291</v>
      </c>
      <c r="G901" s="6">
        <v>2</v>
      </c>
      <c r="H901" s="4">
        <f t="shared" si="344"/>
        <v>156</v>
      </c>
      <c r="I901" s="10">
        <v>46066</v>
      </c>
      <c r="J901" s="78"/>
    </row>
    <row r="902" spans="2:14" x14ac:dyDescent="0.2">
      <c r="B902" s="1" t="s">
        <v>7</v>
      </c>
      <c r="C902" s="20">
        <v>680</v>
      </c>
      <c r="D902" s="20">
        <v>664</v>
      </c>
      <c r="E902" s="20">
        <f t="shared" ref="E902:E909" si="345">C902-D902</f>
        <v>16</v>
      </c>
      <c r="F902" s="3">
        <f t="shared" ref="F902:F909" si="346">D902/C902</f>
        <v>0.97647058823529409</v>
      </c>
      <c r="G902" s="2">
        <v>3</v>
      </c>
      <c r="H902" s="4">
        <f t="shared" si="344"/>
        <v>221.33333333333334</v>
      </c>
      <c r="I902" s="10">
        <v>46069</v>
      </c>
      <c r="M902">
        <v>15</v>
      </c>
    </row>
    <row r="903" spans="2:14" x14ac:dyDescent="0.2">
      <c r="B903" s="5" t="s">
        <v>8</v>
      </c>
      <c r="C903" s="6">
        <v>273</v>
      </c>
      <c r="D903" s="6">
        <v>256</v>
      </c>
      <c r="E903" s="2">
        <f t="shared" si="345"/>
        <v>17</v>
      </c>
      <c r="F903" s="3">
        <f t="shared" si="346"/>
        <v>0.93772893772893773</v>
      </c>
      <c r="G903" s="2">
        <v>8</v>
      </c>
      <c r="H903" s="4">
        <f t="shared" si="344"/>
        <v>32</v>
      </c>
      <c r="I903" s="10">
        <v>46069</v>
      </c>
      <c r="J903" s="80">
        <v>3</v>
      </c>
      <c r="N903">
        <v>59</v>
      </c>
    </row>
    <row r="904" spans="2:14" x14ac:dyDescent="0.2">
      <c r="B904" s="1" t="s">
        <v>9</v>
      </c>
      <c r="C904" s="2">
        <v>104</v>
      </c>
      <c r="D904" s="2">
        <v>92</v>
      </c>
      <c r="E904" s="2">
        <f t="shared" si="345"/>
        <v>12</v>
      </c>
      <c r="F904" s="3">
        <f t="shared" si="346"/>
        <v>0.88461538461538458</v>
      </c>
      <c r="G904" s="2">
        <v>9</v>
      </c>
      <c r="H904" s="4">
        <f t="shared" si="344"/>
        <v>10.222222222222221</v>
      </c>
      <c r="I904" s="10">
        <v>46069</v>
      </c>
      <c r="J904" s="87"/>
    </row>
    <row r="905" spans="2:14" x14ac:dyDescent="0.2">
      <c r="B905" s="5" t="s">
        <v>10</v>
      </c>
      <c r="C905" s="6">
        <v>743</v>
      </c>
      <c r="D905" s="59">
        <v>719</v>
      </c>
      <c r="E905" s="2">
        <f t="shared" si="345"/>
        <v>24</v>
      </c>
      <c r="F905" s="3">
        <f t="shared" si="346"/>
        <v>0.96769851951547781</v>
      </c>
      <c r="G905" s="6">
        <v>10</v>
      </c>
      <c r="H905" s="4">
        <f t="shared" si="344"/>
        <v>71.900000000000006</v>
      </c>
      <c r="I905" s="10">
        <v>46069</v>
      </c>
      <c r="J905" s="87"/>
    </row>
    <row r="906" spans="2:14" x14ac:dyDescent="0.2">
      <c r="B906" s="1" t="s">
        <v>11</v>
      </c>
      <c r="C906" s="20">
        <v>666</v>
      </c>
      <c r="D906" s="20">
        <v>664</v>
      </c>
      <c r="E906" s="2">
        <f t="shared" si="345"/>
        <v>2</v>
      </c>
      <c r="F906" s="3">
        <f t="shared" si="346"/>
        <v>0.99699699699699695</v>
      </c>
      <c r="G906" s="6">
        <v>8</v>
      </c>
      <c r="H906" s="4">
        <f t="shared" si="344"/>
        <v>83</v>
      </c>
      <c r="I906" s="10">
        <v>46069</v>
      </c>
      <c r="J906" s="88">
        <v>3</v>
      </c>
      <c r="K906">
        <v>9</v>
      </c>
    </row>
    <row r="907" spans="2:14" x14ac:dyDescent="0.2">
      <c r="B907" s="5" t="s">
        <v>12</v>
      </c>
      <c r="C907" s="20">
        <v>218</v>
      </c>
      <c r="D907" s="20">
        <v>208</v>
      </c>
      <c r="E907" s="2">
        <f t="shared" si="345"/>
        <v>10</v>
      </c>
      <c r="F907" s="3">
        <f t="shared" si="346"/>
        <v>0.95412844036697253</v>
      </c>
      <c r="G907" s="6">
        <v>19</v>
      </c>
      <c r="H907" s="4">
        <f t="shared" si="344"/>
        <v>10.947368421052632</v>
      </c>
      <c r="I907" s="10">
        <v>46069</v>
      </c>
      <c r="J907" s="89"/>
    </row>
    <row r="908" spans="2:14" x14ac:dyDescent="0.2">
      <c r="B908" s="5" t="s">
        <v>17</v>
      </c>
      <c r="C908" s="2">
        <v>759</v>
      </c>
      <c r="D908" s="6">
        <v>735</v>
      </c>
      <c r="E908" s="2">
        <f t="shared" si="345"/>
        <v>24</v>
      </c>
      <c r="F908" s="3">
        <f t="shared" si="346"/>
        <v>0.96837944664031617</v>
      </c>
      <c r="G908" s="6">
        <v>5</v>
      </c>
      <c r="H908" s="4">
        <f t="shared" ref="H908:H915" si="347">D908/G908</f>
        <v>147</v>
      </c>
      <c r="I908" s="10">
        <v>46069</v>
      </c>
      <c r="J908" s="89"/>
      <c r="L908">
        <v>14</v>
      </c>
      <c r="N908">
        <v>28</v>
      </c>
    </row>
    <row r="909" spans="2:14" x14ac:dyDescent="0.2">
      <c r="B909" s="5" t="s">
        <v>50</v>
      </c>
      <c r="C909" s="2">
        <v>650</v>
      </c>
      <c r="D909" s="6">
        <v>510</v>
      </c>
      <c r="E909" s="2">
        <f t="shared" si="345"/>
        <v>140</v>
      </c>
      <c r="F909" s="3">
        <f t="shared" si="346"/>
        <v>0.7846153846153846</v>
      </c>
      <c r="G909" s="6">
        <v>2</v>
      </c>
      <c r="H909" s="4">
        <f t="shared" si="347"/>
        <v>255</v>
      </c>
      <c r="I909" s="10">
        <v>46069</v>
      </c>
      <c r="J909" s="89"/>
    </row>
    <row r="910" spans="2:14" x14ac:dyDescent="0.2">
      <c r="B910" s="1" t="s">
        <v>7</v>
      </c>
      <c r="C910" s="20">
        <v>654</v>
      </c>
      <c r="D910" s="20">
        <v>647</v>
      </c>
      <c r="E910" s="20">
        <f t="shared" ref="E910:E917" si="348">C910-D910</f>
        <v>7</v>
      </c>
      <c r="F910" s="3">
        <f t="shared" ref="F910:F917" si="349">D910/C910</f>
        <v>0.9892966360856269</v>
      </c>
      <c r="G910" s="2">
        <v>3</v>
      </c>
      <c r="H910" s="4">
        <f t="shared" si="347"/>
        <v>215.66666666666666</v>
      </c>
      <c r="I910" s="10">
        <v>46070</v>
      </c>
      <c r="J910" s="79">
        <v>3</v>
      </c>
      <c r="M910">
        <v>13</v>
      </c>
    </row>
    <row r="911" spans="2:14" x14ac:dyDescent="0.2">
      <c r="B911" s="5" t="s">
        <v>8</v>
      </c>
      <c r="C911" s="6">
        <v>804</v>
      </c>
      <c r="D911" s="6">
        <v>717</v>
      </c>
      <c r="E911" s="2">
        <f t="shared" si="348"/>
        <v>87</v>
      </c>
      <c r="F911" s="3">
        <f t="shared" si="349"/>
        <v>0.89179104477611937</v>
      </c>
      <c r="G911" s="2">
        <v>8</v>
      </c>
      <c r="H911" s="4">
        <f t="shared" si="347"/>
        <v>89.625</v>
      </c>
      <c r="I911" s="10">
        <v>46070</v>
      </c>
      <c r="J911" s="80">
        <v>6</v>
      </c>
      <c r="N911">
        <v>217</v>
      </c>
    </row>
    <row r="912" spans="2:14" x14ac:dyDescent="0.2">
      <c r="B912" s="1" t="s">
        <v>9</v>
      </c>
      <c r="C912" s="2">
        <v>156</v>
      </c>
      <c r="D912" s="2">
        <v>148</v>
      </c>
      <c r="E912" s="2">
        <f t="shared" si="348"/>
        <v>8</v>
      </c>
      <c r="F912" s="3">
        <f t="shared" si="349"/>
        <v>0.94871794871794868</v>
      </c>
      <c r="G912" s="2">
        <v>9</v>
      </c>
      <c r="H912" s="4">
        <f t="shared" si="347"/>
        <v>16.444444444444443</v>
      </c>
      <c r="I912" s="10">
        <v>46070</v>
      </c>
      <c r="J912" s="87"/>
    </row>
    <row r="913" spans="2:14" x14ac:dyDescent="0.2">
      <c r="B913" s="5" t="s">
        <v>10</v>
      </c>
      <c r="C913" s="6">
        <f>16+630+396</f>
        <v>1042</v>
      </c>
      <c r="D913" s="59">
        <f>630+16+313</f>
        <v>959</v>
      </c>
      <c r="E913" s="2">
        <f t="shared" si="348"/>
        <v>83</v>
      </c>
      <c r="F913" s="3">
        <f t="shared" si="349"/>
        <v>0.92034548944337813</v>
      </c>
      <c r="G913" s="6">
        <v>10</v>
      </c>
      <c r="H913" s="4">
        <f t="shared" si="347"/>
        <v>95.9</v>
      </c>
      <c r="I913" s="10">
        <v>46070</v>
      </c>
      <c r="J913" s="80">
        <v>29</v>
      </c>
    </row>
    <row r="914" spans="2:14" x14ac:dyDescent="0.2">
      <c r="B914" s="1" t="s">
        <v>11</v>
      </c>
      <c r="C914" s="20">
        <v>679</v>
      </c>
      <c r="D914" s="20">
        <v>657</v>
      </c>
      <c r="E914" s="2">
        <f t="shared" si="348"/>
        <v>22</v>
      </c>
      <c r="F914" s="3">
        <f t="shared" si="349"/>
        <v>0.96759941089837997</v>
      </c>
      <c r="G914" s="6">
        <v>10</v>
      </c>
      <c r="H914" s="4">
        <f t="shared" si="347"/>
        <v>65.7</v>
      </c>
      <c r="I914" s="10">
        <v>46070</v>
      </c>
      <c r="J914" s="88">
        <v>29</v>
      </c>
      <c r="K914">
        <v>8</v>
      </c>
    </row>
    <row r="915" spans="2:14" x14ac:dyDescent="0.2">
      <c r="B915" s="5" t="s">
        <v>12</v>
      </c>
      <c r="C915" s="20">
        <v>192</v>
      </c>
      <c r="D915" s="20">
        <v>186</v>
      </c>
      <c r="E915" s="2">
        <f t="shared" si="348"/>
        <v>6</v>
      </c>
      <c r="F915" s="3">
        <f t="shared" si="349"/>
        <v>0.96875</v>
      </c>
      <c r="G915" s="6">
        <v>18</v>
      </c>
      <c r="H915" s="4">
        <f t="shared" si="347"/>
        <v>10.333333333333334</v>
      </c>
      <c r="I915" s="10">
        <v>46070</v>
      </c>
      <c r="J915" s="89"/>
    </row>
    <row r="916" spans="2:14" x14ac:dyDescent="0.2">
      <c r="B916" s="5" t="s">
        <v>17</v>
      </c>
      <c r="C916" s="2">
        <v>429</v>
      </c>
      <c r="D916" s="6">
        <v>425</v>
      </c>
      <c r="E916" s="2">
        <f t="shared" si="348"/>
        <v>4</v>
      </c>
      <c r="F916" s="3">
        <f t="shared" si="349"/>
        <v>0.99067599067599066</v>
      </c>
      <c r="G916" s="6">
        <v>5</v>
      </c>
      <c r="H916" s="4">
        <f t="shared" ref="H916:H923" si="350">D916/G916</f>
        <v>85</v>
      </c>
      <c r="I916" s="10">
        <v>46070</v>
      </c>
      <c r="J916" s="89"/>
      <c r="L916">
        <v>11</v>
      </c>
      <c r="N916">
        <v>23</v>
      </c>
    </row>
    <row r="917" spans="2:14" x14ac:dyDescent="0.2">
      <c r="B917" s="5" t="s">
        <v>50</v>
      </c>
      <c r="C917" s="2">
        <v>763</v>
      </c>
      <c r="D917" s="6">
        <v>696</v>
      </c>
      <c r="E917" s="2">
        <f t="shared" si="348"/>
        <v>67</v>
      </c>
      <c r="F917" s="3">
        <f t="shared" si="349"/>
        <v>0.91218872870249013</v>
      </c>
      <c r="G917" s="6">
        <v>2</v>
      </c>
      <c r="H917" s="4">
        <f t="shared" si="350"/>
        <v>348</v>
      </c>
      <c r="I917" s="10">
        <v>46070</v>
      </c>
      <c r="J917" s="89"/>
    </row>
    <row r="918" spans="2:14" x14ac:dyDescent="0.2">
      <c r="B918" s="1" t="s">
        <v>7</v>
      </c>
      <c r="C918" s="20">
        <v>382</v>
      </c>
      <c r="D918" s="20">
        <v>307</v>
      </c>
      <c r="E918" s="20">
        <f t="shared" ref="E918:E925" si="351">C918-D918</f>
        <v>75</v>
      </c>
      <c r="F918" s="3">
        <f t="shared" ref="F918:F925" si="352">D918/C918</f>
        <v>0.80366492146596857</v>
      </c>
      <c r="G918" s="2">
        <v>5</v>
      </c>
      <c r="H918" s="4">
        <f t="shared" si="350"/>
        <v>61.4</v>
      </c>
      <c r="I918" s="10">
        <v>46071</v>
      </c>
      <c r="J918" s="79">
        <v>6</v>
      </c>
      <c r="M918">
        <v>5</v>
      </c>
    </row>
    <row r="919" spans="2:14" x14ac:dyDescent="0.2">
      <c r="B919" s="5" t="s">
        <v>8</v>
      </c>
      <c r="C919" s="6">
        <v>603</v>
      </c>
      <c r="D919" s="6">
        <v>589</v>
      </c>
      <c r="E919" s="2">
        <f t="shared" si="351"/>
        <v>14</v>
      </c>
      <c r="F919" s="3">
        <f t="shared" si="352"/>
        <v>0.97678275290215588</v>
      </c>
      <c r="G919" s="2">
        <v>9</v>
      </c>
      <c r="H919" s="4">
        <f t="shared" si="350"/>
        <v>65.444444444444443</v>
      </c>
      <c r="I919" s="10">
        <v>46071</v>
      </c>
      <c r="J919" s="80">
        <v>3</v>
      </c>
      <c r="N919">
        <v>239</v>
      </c>
    </row>
    <row r="920" spans="2:14" x14ac:dyDescent="0.2">
      <c r="B920" s="1" t="s">
        <v>9</v>
      </c>
      <c r="C920" s="2">
        <v>105</v>
      </c>
      <c r="D920" s="2">
        <v>94</v>
      </c>
      <c r="E920" s="2">
        <f t="shared" si="351"/>
        <v>11</v>
      </c>
      <c r="F920" s="3">
        <f t="shared" si="352"/>
        <v>0.89523809523809528</v>
      </c>
      <c r="G920" s="2">
        <v>8</v>
      </c>
      <c r="H920" s="4">
        <f t="shared" si="350"/>
        <v>11.75</v>
      </c>
      <c r="I920" s="10">
        <v>46071</v>
      </c>
      <c r="J920" s="87"/>
    </row>
    <row r="921" spans="2:14" x14ac:dyDescent="0.2">
      <c r="B921" s="5" t="s">
        <v>10</v>
      </c>
      <c r="C921" s="6">
        <f>421+10+654</f>
        <v>1085</v>
      </c>
      <c r="D921" s="59">
        <v>407</v>
      </c>
      <c r="E921" s="2">
        <f t="shared" si="351"/>
        <v>678</v>
      </c>
      <c r="F921" s="3">
        <f t="shared" si="352"/>
        <v>0.37511520737327186</v>
      </c>
      <c r="G921" s="6">
        <v>10</v>
      </c>
      <c r="H921" s="4">
        <f t="shared" si="350"/>
        <v>40.700000000000003</v>
      </c>
      <c r="I921" s="10">
        <v>46071</v>
      </c>
      <c r="J921" s="80"/>
    </row>
    <row r="922" spans="2:14" x14ac:dyDescent="0.2">
      <c r="B922" s="1" t="s">
        <v>11</v>
      </c>
      <c r="C922" s="20">
        <v>343</v>
      </c>
      <c r="D922" s="20">
        <v>280</v>
      </c>
      <c r="E922" s="2">
        <f t="shared" si="351"/>
        <v>63</v>
      </c>
      <c r="F922" s="3">
        <f t="shared" si="352"/>
        <v>0.81632653061224492</v>
      </c>
      <c r="G922" s="6">
        <v>10</v>
      </c>
      <c r="H922" s="4">
        <f t="shared" si="350"/>
        <v>28</v>
      </c>
      <c r="I922" s="10">
        <v>46071</v>
      </c>
      <c r="J922" s="88">
        <v>5</v>
      </c>
      <c r="K922">
        <v>11</v>
      </c>
    </row>
    <row r="923" spans="2:14" x14ac:dyDescent="0.2">
      <c r="B923" s="5" t="s">
        <v>12</v>
      </c>
      <c r="C923" s="20">
        <v>386</v>
      </c>
      <c r="D923" s="20">
        <v>374</v>
      </c>
      <c r="E923" s="2">
        <f t="shared" si="351"/>
        <v>12</v>
      </c>
      <c r="F923" s="3">
        <f t="shared" si="352"/>
        <v>0.9689119170984456</v>
      </c>
      <c r="G923" s="6">
        <v>18</v>
      </c>
      <c r="H923" s="4">
        <f t="shared" si="350"/>
        <v>20.777777777777779</v>
      </c>
      <c r="I923" s="10">
        <v>46071</v>
      </c>
      <c r="J923" s="89"/>
    </row>
    <row r="924" spans="2:14" x14ac:dyDescent="0.2">
      <c r="B924" s="5" t="s">
        <v>17</v>
      </c>
      <c r="C924" s="2">
        <v>1346</v>
      </c>
      <c r="D924" s="6">
        <v>1281</v>
      </c>
      <c r="E924" s="2">
        <f t="shared" si="351"/>
        <v>65</v>
      </c>
      <c r="F924" s="3">
        <f t="shared" si="352"/>
        <v>0.95170876671619609</v>
      </c>
      <c r="G924" s="6">
        <v>5</v>
      </c>
      <c r="H924" s="4">
        <f t="shared" ref="H924:H931" si="353">D924/G924</f>
        <v>256.2</v>
      </c>
      <c r="I924" s="10">
        <v>46071</v>
      </c>
      <c r="J924" s="89"/>
      <c r="L924">
        <v>2</v>
      </c>
      <c r="N924">
        <v>12</v>
      </c>
    </row>
    <row r="925" spans="2:14" x14ac:dyDescent="0.2">
      <c r="B925" s="5" t="s">
        <v>50</v>
      </c>
      <c r="C925" s="2">
        <v>317</v>
      </c>
      <c r="D925" s="6">
        <v>317</v>
      </c>
      <c r="E925" s="2">
        <f t="shared" si="351"/>
        <v>0</v>
      </c>
      <c r="F925" s="3">
        <f t="shared" si="352"/>
        <v>1</v>
      </c>
      <c r="G925" s="6">
        <v>2</v>
      </c>
      <c r="H925" s="4">
        <f t="shared" si="353"/>
        <v>158.5</v>
      </c>
      <c r="I925" s="10">
        <v>46071</v>
      </c>
      <c r="J925" s="89"/>
    </row>
    <row r="926" spans="2:14" x14ac:dyDescent="0.2">
      <c r="B926" s="1" t="s">
        <v>7</v>
      </c>
      <c r="C926" s="20">
        <v>1252</v>
      </c>
      <c r="D926" s="20">
        <v>1251</v>
      </c>
      <c r="E926" s="20">
        <f t="shared" ref="E926:E933" si="354">C926-D926</f>
        <v>1</v>
      </c>
      <c r="F926" s="3">
        <f t="shared" ref="F926:F933" si="355">D926/C926</f>
        <v>0.99920127795527158</v>
      </c>
      <c r="G926" s="2">
        <v>5</v>
      </c>
      <c r="H926" s="4">
        <f t="shared" si="353"/>
        <v>250.2</v>
      </c>
      <c r="I926" s="10">
        <v>46072</v>
      </c>
      <c r="J926" s="79">
        <v>2</v>
      </c>
      <c r="M926">
        <v>6</v>
      </c>
    </row>
    <row r="927" spans="2:14" x14ac:dyDescent="0.2">
      <c r="B927" s="5" t="s">
        <v>8</v>
      </c>
      <c r="C927" s="6">
        <v>106</v>
      </c>
      <c r="D927" s="6">
        <v>92</v>
      </c>
      <c r="E927" s="2">
        <f t="shared" si="354"/>
        <v>14</v>
      </c>
      <c r="F927" s="3">
        <f t="shared" si="355"/>
        <v>0.86792452830188682</v>
      </c>
      <c r="G927" s="2">
        <v>9</v>
      </c>
      <c r="H927" s="4">
        <f t="shared" si="353"/>
        <v>10.222222222222221</v>
      </c>
      <c r="I927" s="10">
        <v>46072</v>
      </c>
      <c r="J927" s="80">
        <v>3</v>
      </c>
      <c r="N927">
        <v>95</v>
      </c>
    </row>
    <row r="928" spans="2:14" x14ac:dyDescent="0.2">
      <c r="B928" s="1" t="s">
        <v>9</v>
      </c>
      <c r="C928" s="2">
        <v>100</v>
      </c>
      <c r="D928" s="2">
        <v>92</v>
      </c>
      <c r="E928" s="2">
        <f t="shared" si="354"/>
        <v>8</v>
      </c>
      <c r="F928" s="3">
        <f t="shared" si="355"/>
        <v>0.92</v>
      </c>
      <c r="G928" s="2">
        <v>9</v>
      </c>
      <c r="H928" s="4">
        <f t="shared" si="353"/>
        <v>10.222222222222221</v>
      </c>
      <c r="I928" s="10">
        <v>46072</v>
      </c>
      <c r="J928" s="87"/>
    </row>
    <row r="929" spans="2:14" x14ac:dyDescent="0.2">
      <c r="B929" s="5" t="s">
        <v>10</v>
      </c>
      <c r="C929" s="6">
        <f>460+150</f>
        <v>610</v>
      </c>
      <c r="D929" s="59">
        <f>410+150</f>
        <v>560</v>
      </c>
      <c r="E929" s="2">
        <f t="shared" si="354"/>
        <v>50</v>
      </c>
      <c r="F929" s="3">
        <f t="shared" si="355"/>
        <v>0.91803278688524592</v>
      </c>
      <c r="G929" s="6">
        <v>9</v>
      </c>
      <c r="H929" s="4">
        <f t="shared" si="353"/>
        <v>62.222222222222221</v>
      </c>
      <c r="I929" s="10">
        <v>46072</v>
      </c>
      <c r="J929" s="80"/>
    </row>
    <row r="930" spans="2:14" x14ac:dyDescent="0.2">
      <c r="B930" s="1" t="s">
        <v>11</v>
      </c>
      <c r="C930" s="20">
        <v>690</v>
      </c>
      <c r="D930" s="20">
        <v>640</v>
      </c>
      <c r="E930" s="2">
        <f t="shared" si="354"/>
        <v>50</v>
      </c>
      <c r="F930" s="3">
        <f t="shared" si="355"/>
        <v>0.92753623188405798</v>
      </c>
      <c r="G930" s="6">
        <v>9</v>
      </c>
      <c r="H930" s="4">
        <f t="shared" si="353"/>
        <v>71.111111111111114</v>
      </c>
      <c r="I930" s="10">
        <v>46072</v>
      </c>
      <c r="J930" s="88"/>
      <c r="K930">
        <v>8</v>
      </c>
    </row>
    <row r="931" spans="2:14" x14ac:dyDescent="0.2">
      <c r="B931" s="5" t="s">
        <v>12</v>
      </c>
      <c r="C931" s="20">
        <v>233</v>
      </c>
      <c r="D931" s="20">
        <v>152</v>
      </c>
      <c r="E931" s="2">
        <f t="shared" si="354"/>
        <v>81</v>
      </c>
      <c r="F931" s="3">
        <f t="shared" si="355"/>
        <v>0.6523605150214592</v>
      </c>
      <c r="G931" s="6">
        <v>17</v>
      </c>
      <c r="H931" s="4">
        <f t="shared" si="353"/>
        <v>8.9411764705882355</v>
      </c>
      <c r="I931" s="10">
        <v>46072</v>
      </c>
      <c r="J931" s="89"/>
    </row>
    <row r="932" spans="2:14" x14ac:dyDescent="0.2">
      <c r="B932" s="5" t="s">
        <v>17</v>
      </c>
      <c r="C932" s="2">
        <v>1212</v>
      </c>
      <c r="D932" s="6">
        <v>1135</v>
      </c>
      <c r="E932" s="2">
        <f t="shared" si="354"/>
        <v>77</v>
      </c>
      <c r="F932" s="3">
        <f t="shared" si="355"/>
        <v>0.93646864686468645</v>
      </c>
      <c r="G932" s="6">
        <v>5</v>
      </c>
      <c r="H932" s="4">
        <f t="shared" ref="H932:H939" si="356">D932/G932</f>
        <v>227</v>
      </c>
      <c r="I932" s="10">
        <v>46072</v>
      </c>
      <c r="J932" s="89"/>
      <c r="L932">
        <v>10</v>
      </c>
      <c r="N932">
        <v>18</v>
      </c>
    </row>
    <row r="933" spans="2:14" x14ac:dyDescent="0.2">
      <c r="B933" s="5" t="s">
        <v>50</v>
      </c>
      <c r="C933" s="2">
        <v>202</v>
      </c>
      <c r="D933" s="6">
        <v>190</v>
      </c>
      <c r="E933" s="2">
        <f t="shared" si="354"/>
        <v>12</v>
      </c>
      <c r="F933" s="3">
        <f t="shared" si="355"/>
        <v>0.94059405940594054</v>
      </c>
      <c r="G933" s="6">
        <v>2</v>
      </c>
      <c r="H933" s="4">
        <f t="shared" si="356"/>
        <v>95</v>
      </c>
      <c r="I933" s="10">
        <v>46072</v>
      </c>
      <c r="J933" s="89"/>
    </row>
    <row r="934" spans="2:14" x14ac:dyDescent="0.2">
      <c r="B934" s="1" t="s">
        <v>7</v>
      </c>
      <c r="C934" s="20">
        <v>1296</v>
      </c>
      <c r="D934" s="20">
        <v>559</v>
      </c>
      <c r="E934" s="20">
        <f t="shared" ref="E934:E941" si="357">C934-D934</f>
        <v>737</v>
      </c>
      <c r="F934" s="3">
        <f t="shared" ref="F934:F941" si="358">D934/C934</f>
        <v>0.43132716049382713</v>
      </c>
      <c r="G934" s="2">
        <v>5</v>
      </c>
      <c r="H934" s="4">
        <f t="shared" si="356"/>
        <v>111.8</v>
      </c>
      <c r="I934" s="10">
        <v>46073</v>
      </c>
      <c r="J934" s="17">
        <v>1</v>
      </c>
      <c r="M934">
        <v>5</v>
      </c>
    </row>
    <row r="935" spans="2:14" x14ac:dyDescent="0.2">
      <c r="B935" s="5" t="s">
        <v>8</v>
      </c>
      <c r="C935" s="6">
        <v>867</v>
      </c>
      <c r="D935" s="6">
        <v>724</v>
      </c>
      <c r="E935" s="2">
        <f t="shared" si="357"/>
        <v>143</v>
      </c>
      <c r="F935" s="3">
        <f t="shared" si="358"/>
        <v>0.83506343713956166</v>
      </c>
      <c r="G935" s="2">
        <v>9</v>
      </c>
      <c r="H935" s="4">
        <f t="shared" si="356"/>
        <v>80.444444444444443</v>
      </c>
      <c r="I935" s="10">
        <v>46073</v>
      </c>
      <c r="J935" s="17">
        <v>2</v>
      </c>
      <c r="N935">
        <v>75</v>
      </c>
    </row>
    <row r="936" spans="2:14" x14ac:dyDescent="0.2">
      <c r="B936" s="1" t="s">
        <v>9</v>
      </c>
      <c r="C936" s="2">
        <v>144</v>
      </c>
      <c r="D936" s="2">
        <v>128</v>
      </c>
      <c r="E936" s="2">
        <f t="shared" si="357"/>
        <v>16</v>
      </c>
      <c r="F936" s="3">
        <f t="shared" si="358"/>
        <v>0.88888888888888884</v>
      </c>
      <c r="G936" s="2">
        <v>9</v>
      </c>
      <c r="H936" s="4">
        <f t="shared" si="356"/>
        <v>14.222222222222221</v>
      </c>
      <c r="I936" s="10">
        <v>46073</v>
      </c>
    </row>
    <row r="937" spans="2:14" x14ac:dyDescent="0.2">
      <c r="B937" s="5" t="s">
        <v>10</v>
      </c>
      <c r="C937" s="6">
        <f>196+95+299</f>
        <v>590</v>
      </c>
      <c r="D937" s="59">
        <f>41+95+227</f>
        <v>363</v>
      </c>
      <c r="E937" s="2">
        <f t="shared" si="357"/>
        <v>227</v>
      </c>
      <c r="F937" s="3">
        <f t="shared" si="358"/>
        <v>0.61525423728813555</v>
      </c>
      <c r="G937" s="6">
        <v>10</v>
      </c>
      <c r="H937" s="4">
        <f t="shared" si="356"/>
        <v>36.299999999999997</v>
      </c>
      <c r="I937" s="10">
        <v>46073</v>
      </c>
    </row>
    <row r="938" spans="2:14" x14ac:dyDescent="0.2">
      <c r="B938" s="1" t="s">
        <v>11</v>
      </c>
      <c r="C938" s="20">
        <v>652</v>
      </c>
      <c r="D938" s="20">
        <v>547</v>
      </c>
      <c r="E938" s="2">
        <f t="shared" si="357"/>
        <v>105</v>
      </c>
      <c r="F938" s="3">
        <f t="shared" si="358"/>
        <v>0.83895705521472397</v>
      </c>
      <c r="G938" s="6">
        <v>9</v>
      </c>
      <c r="H938" s="4">
        <f t="shared" si="356"/>
        <v>60.777777777777779</v>
      </c>
      <c r="I938" s="10">
        <v>46073</v>
      </c>
      <c r="J938" s="17">
        <v>4</v>
      </c>
      <c r="K938">
        <v>9</v>
      </c>
    </row>
    <row r="939" spans="2:14" x14ac:dyDescent="0.2">
      <c r="B939" s="5" t="s">
        <v>12</v>
      </c>
      <c r="C939" s="20">
        <v>157</v>
      </c>
      <c r="D939" s="20">
        <v>146</v>
      </c>
      <c r="E939" s="2">
        <f t="shared" si="357"/>
        <v>11</v>
      </c>
      <c r="F939" s="3">
        <f t="shared" si="358"/>
        <v>0.92993630573248409</v>
      </c>
      <c r="G939" s="6">
        <v>18</v>
      </c>
      <c r="H939" s="4">
        <f t="shared" si="356"/>
        <v>8.1111111111111107</v>
      </c>
      <c r="I939" s="10">
        <v>46073</v>
      </c>
    </row>
    <row r="940" spans="2:14" x14ac:dyDescent="0.2">
      <c r="B940" s="5" t="s">
        <v>17</v>
      </c>
      <c r="C940" s="2">
        <v>840</v>
      </c>
      <c r="D940" s="6">
        <v>499</v>
      </c>
      <c r="E940" s="2">
        <f t="shared" si="357"/>
        <v>341</v>
      </c>
      <c r="F940" s="3">
        <f t="shared" si="358"/>
        <v>0.59404761904761905</v>
      </c>
      <c r="G940" s="6">
        <v>4</v>
      </c>
      <c r="H940" s="4">
        <f t="shared" ref="H940:H947" si="359">D940/G940</f>
        <v>124.75</v>
      </c>
      <c r="I940" s="10">
        <v>46073</v>
      </c>
      <c r="L940">
        <v>14</v>
      </c>
      <c r="N940">
        <v>23</v>
      </c>
    </row>
    <row r="941" spans="2:14" x14ac:dyDescent="0.2">
      <c r="B941" s="5" t="s">
        <v>50</v>
      </c>
      <c r="C941" s="2">
        <v>95</v>
      </c>
      <c r="D941" s="6">
        <v>95</v>
      </c>
      <c r="E941" s="2">
        <f t="shared" si="357"/>
        <v>0</v>
      </c>
      <c r="F941" s="3">
        <f t="shared" si="358"/>
        <v>1</v>
      </c>
      <c r="G941" s="6">
        <v>2</v>
      </c>
      <c r="H941" s="4">
        <f t="shared" si="359"/>
        <v>47.5</v>
      </c>
      <c r="I941" s="10">
        <v>46073</v>
      </c>
    </row>
    <row r="942" spans="2:14" x14ac:dyDescent="0.2">
      <c r="B942" s="1" t="s">
        <v>7</v>
      </c>
      <c r="C942" s="20">
        <v>989</v>
      </c>
      <c r="D942" s="20">
        <v>989</v>
      </c>
      <c r="E942" s="20">
        <f t="shared" ref="E942:E949" si="360">C942-D942</f>
        <v>0</v>
      </c>
      <c r="F942" s="3">
        <f t="shared" ref="F942:F949" si="361">D942/C942</f>
        <v>1</v>
      </c>
      <c r="G942" s="2">
        <v>5</v>
      </c>
      <c r="H942" s="4">
        <f t="shared" si="359"/>
        <v>197.8</v>
      </c>
      <c r="I942" s="10">
        <v>46076</v>
      </c>
      <c r="J942" s="17">
        <v>25</v>
      </c>
      <c r="M942">
        <v>6</v>
      </c>
    </row>
    <row r="943" spans="2:14" x14ac:dyDescent="0.2">
      <c r="B943" s="5" t="s">
        <v>8</v>
      </c>
      <c r="C943" s="6">
        <v>1264</v>
      </c>
      <c r="D943" s="6">
        <v>652</v>
      </c>
      <c r="E943" s="2">
        <f t="shared" si="360"/>
        <v>612</v>
      </c>
      <c r="F943" s="3">
        <f t="shared" si="361"/>
        <v>0.51582278481012656</v>
      </c>
      <c r="G943" s="2">
        <v>9</v>
      </c>
      <c r="H943" s="4">
        <f t="shared" si="359"/>
        <v>72.444444444444443</v>
      </c>
      <c r="I943" s="10">
        <v>46076</v>
      </c>
      <c r="J943" s="17">
        <v>12</v>
      </c>
      <c r="N943">
        <v>89</v>
      </c>
    </row>
    <row r="944" spans="2:14" x14ac:dyDescent="0.2">
      <c r="B944" s="1" t="s">
        <v>9</v>
      </c>
      <c r="C944" s="2">
        <v>240</v>
      </c>
      <c r="D944" s="2">
        <v>194</v>
      </c>
      <c r="E944" s="2">
        <f t="shared" si="360"/>
        <v>46</v>
      </c>
      <c r="F944" s="3">
        <f t="shared" si="361"/>
        <v>0.80833333333333335</v>
      </c>
      <c r="G944" s="2">
        <v>9</v>
      </c>
      <c r="H944" s="4">
        <f t="shared" si="359"/>
        <v>21.555555555555557</v>
      </c>
      <c r="I944" s="10">
        <v>46076</v>
      </c>
    </row>
    <row r="945" spans="2:14" x14ac:dyDescent="0.2">
      <c r="B945" s="5" t="s">
        <v>10</v>
      </c>
      <c r="C945" s="6">
        <f>503+14+140</f>
        <v>657</v>
      </c>
      <c r="D945" s="59">
        <f>438+14</f>
        <v>452</v>
      </c>
      <c r="E945" s="2">
        <f t="shared" si="360"/>
        <v>205</v>
      </c>
      <c r="F945" s="3">
        <f t="shared" si="361"/>
        <v>0.68797564687975643</v>
      </c>
      <c r="G945" s="6">
        <v>10</v>
      </c>
      <c r="H945" s="4">
        <f t="shared" si="359"/>
        <v>45.2</v>
      </c>
      <c r="I945" s="10">
        <v>46076</v>
      </c>
      <c r="J945" s="17">
        <v>44</v>
      </c>
    </row>
    <row r="946" spans="2:14" x14ac:dyDescent="0.2">
      <c r="B946" s="1" t="s">
        <v>11</v>
      </c>
      <c r="C946" s="20">
        <v>649</v>
      </c>
      <c r="D946" s="20">
        <v>283</v>
      </c>
      <c r="E946" s="2">
        <f t="shared" si="360"/>
        <v>366</v>
      </c>
      <c r="F946" s="3">
        <f t="shared" si="361"/>
        <v>0.43605546995377503</v>
      </c>
      <c r="G946" s="6">
        <v>9</v>
      </c>
      <c r="H946" s="4">
        <f t="shared" si="359"/>
        <v>31.444444444444443</v>
      </c>
      <c r="I946" s="10">
        <v>46076</v>
      </c>
      <c r="J946" s="17">
        <v>35</v>
      </c>
      <c r="K946">
        <v>10</v>
      </c>
    </row>
    <row r="947" spans="2:14" x14ac:dyDescent="0.2">
      <c r="B947" s="5" t="s">
        <v>12</v>
      </c>
      <c r="C947" s="20">
        <v>91</v>
      </c>
      <c r="D947" s="20">
        <v>91</v>
      </c>
      <c r="E947" s="2">
        <f t="shared" si="360"/>
        <v>0</v>
      </c>
      <c r="F947" s="3">
        <f t="shared" si="361"/>
        <v>1</v>
      </c>
      <c r="G947" s="6">
        <v>18</v>
      </c>
      <c r="H947" s="4">
        <f t="shared" si="359"/>
        <v>5.0555555555555554</v>
      </c>
      <c r="I947" s="10">
        <v>46076</v>
      </c>
      <c r="J947" s="17">
        <v>1</v>
      </c>
    </row>
    <row r="948" spans="2:14" x14ac:dyDescent="0.2">
      <c r="B948" s="5" t="s">
        <v>17</v>
      </c>
      <c r="C948" s="2">
        <v>1290</v>
      </c>
      <c r="D948" s="6">
        <v>1216</v>
      </c>
      <c r="E948" s="2">
        <f t="shared" si="360"/>
        <v>74</v>
      </c>
      <c r="F948" s="3">
        <f t="shared" si="361"/>
        <v>0.94263565891472867</v>
      </c>
      <c r="G948" s="6">
        <v>4</v>
      </c>
      <c r="H948" s="4">
        <f t="shared" ref="H948:H955" si="362">D948/G948</f>
        <v>304</v>
      </c>
      <c r="I948" s="10">
        <v>46076</v>
      </c>
      <c r="L948">
        <v>13</v>
      </c>
      <c r="N948">
        <v>23</v>
      </c>
    </row>
    <row r="949" spans="2:14" x14ac:dyDescent="0.2">
      <c r="B949" s="5" t="s">
        <v>50</v>
      </c>
      <c r="C949" s="2">
        <v>316</v>
      </c>
      <c r="D949" s="6">
        <v>10</v>
      </c>
      <c r="E949" s="2">
        <f t="shared" si="360"/>
        <v>306</v>
      </c>
      <c r="F949" s="3">
        <f t="shared" si="361"/>
        <v>3.1645569620253167E-2</v>
      </c>
      <c r="G949" s="6">
        <v>2</v>
      </c>
      <c r="H949" s="4">
        <f t="shared" si="362"/>
        <v>5</v>
      </c>
      <c r="I949" s="10">
        <v>46076</v>
      </c>
    </row>
    <row r="950" spans="2:14" x14ac:dyDescent="0.2">
      <c r="B950" s="1" t="s">
        <v>7</v>
      </c>
      <c r="C950" s="20">
        <v>602</v>
      </c>
      <c r="D950" s="20">
        <v>601</v>
      </c>
      <c r="E950" s="20">
        <f t="shared" ref="E950:E957" si="363">C950-D950</f>
        <v>1</v>
      </c>
      <c r="F950" s="3">
        <f t="shared" ref="F950:F957" si="364">D950/C950</f>
        <v>0.99833887043189373</v>
      </c>
      <c r="G950" s="2">
        <v>5</v>
      </c>
      <c r="H950" s="4">
        <f t="shared" si="362"/>
        <v>120.2</v>
      </c>
      <c r="I950" s="10">
        <v>46077</v>
      </c>
      <c r="J950" s="17">
        <v>7</v>
      </c>
      <c r="M950">
        <v>5</v>
      </c>
    </row>
    <row r="951" spans="2:14" x14ac:dyDescent="0.2">
      <c r="B951" s="5" t="s">
        <v>8</v>
      </c>
      <c r="C951" s="6">
        <v>619</v>
      </c>
      <c r="D951" s="6">
        <v>605</v>
      </c>
      <c r="E951" s="2">
        <f t="shared" si="363"/>
        <v>14</v>
      </c>
      <c r="F951" s="3">
        <f t="shared" si="364"/>
        <v>0.97738287560581583</v>
      </c>
      <c r="G951" s="2">
        <v>9</v>
      </c>
      <c r="H951" s="4">
        <f t="shared" si="362"/>
        <v>67.222222222222229</v>
      </c>
      <c r="I951" s="10">
        <v>46077</v>
      </c>
      <c r="J951" s="17">
        <v>8</v>
      </c>
      <c r="N951">
        <v>98</v>
      </c>
    </row>
    <row r="952" spans="2:14" x14ac:dyDescent="0.2">
      <c r="B952" s="1" t="s">
        <v>9</v>
      </c>
      <c r="C952" s="2">
        <v>100</v>
      </c>
      <c r="D952" s="2">
        <v>100</v>
      </c>
      <c r="E952" s="2">
        <f t="shared" si="363"/>
        <v>0</v>
      </c>
      <c r="F952" s="3">
        <f t="shared" si="364"/>
        <v>1</v>
      </c>
      <c r="G952" s="2">
        <v>9</v>
      </c>
      <c r="H952" s="4">
        <f t="shared" si="362"/>
        <v>11.111111111111111</v>
      </c>
      <c r="I952" s="10">
        <v>46077</v>
      </c>
    </row>
    <row r="953" spans="2:14" x14ac:dyDescent="0.2">
      <c r="B953" s="5" t="s">
        <v>10</v>
      </c>
      <c r="C953" s="6">
        <f>16+24+164</f>
        <v>204</v>
      </c>
      <c r="D953" s="59">
        <f>16+24+146</f>
        <v>186</v>
      </c>
      <c r="E953" s="2">
        <f t="shared" si="363"/>
        <v>18</v>
      </c>
      <c r="F953" s="3">
        <f t="shared" si="364"/>
        <v>0.91176470588235292</v>
      </c>
      <c r="G953" s="6">
        <v>10</v>
      </c>
      <c r="H953" s="4">
        <f t="shared" si="362"/>
        <v>18.600000000000001</v>
      </c>
      <c r="I953" s="10">
        <v>46077</v>
      </c>
      <c r="J953" s="17">
        <v>3</v>
      </c>
    </row>
    <row r="954" spans="2:14" x14ac:dyDescent="0.2">
      <c r="B954" s="1" t="s">
        <v>11</v>
      </c>
      <c r="C954" s="20">
        <v>821</v>
      </c>
      <c r="D954" s="20">
        <v>701</v>
      </c>
      <c r="E954" s="2">
        <f t="shared" si="363"/>
        <v>120</v>
      </c>
      <c r="F954" s="3">
        <f t="shared" si="364"/>
        <v>0.85383678440925703</v>
      </c>
      <c r="G954" s="6">
        <v>9</v>
      </c>
      <c r="H954" s="4">
        <f t="shared" si="362"/>
        <v>77.888888888888886</v>
      </c>
      <c r="I954" s="10">
        <v>46077</v>
      </c>
      <c r="J954" s="17">
        <v>29</v>
      </c>
      <c r="K954">
        <v>10</v>
      </c>
    </row>
    <row r="955" spans="2:14" x14ac:dyDescent="0.2">
      <c r="B955" s="5" t="s">
        <v>12</v>
      </c>
      <c r="C955" s="20">
        <v>370</v>
      </c>
      <c r="D955" s="20">
        <v>193</v>
      </c>
      <c r="E955" s="2">
        <f t="shared" si="363"/>
        <v>177</v>
      </c>
      <c r="F955" s="3">
        <f t="shared" si="364"/>
        <v>0.52162162162162162</v>
      </c>
      <c r="G955" s="6">
        <v>18</v>
      </c>
      <c r="H955" s="4">
        <f t="shared" si="362"/>
        <v>10.722222222222221</v>
      </c>
      <c r="I955" s="10">
        <v>46077</v>
      </c>
      <c r="J955" s="17">
        <v>2</v>
      </c>
    </row>
    <row r="956" spans="2:14" x14ac:dyDescent="0.2">
      <c r="B956" s="5" t="s">
        <v>17</v>
      </c>
      <c r="C956" s="2">
        <v>1126</v>
      </c>
      <c r="D956" s="6">
        <v>829</v>
      </c>
      <c r="E956" s="2">
        <f t="shared" si="363"/>
        <v>297</v>
      </c>
      <c r="F956" s="3">
        <f t="shared" si="364"/>
        <v>0.7362344582593251</v>
      </c>
      <c r="G956" s="6">
        <v>4</v>
      </c>
      <c r="H956" s="4">
        <f t="shared" ref="H956:H963" si="365">D956/G956</f>
        <v>207.25</v>
      </c>
      <c r="I956" s="10">
        <v>46077</v>
      </c>
      <c r="L956">
        <v>11</v>
      </c>
      <c r="N956">
        <v>58</v>
      </c>
    </row>
    <row r="957" spans="2:14" x14ac:dyDescent="0.2">
      <c r="B957" s="5" t="s">
        <v>50</v>
      </c>
      <c r="C957" s="2">
        <v>1127</v>
      </c>
      <c r="D957" s="6">
        <v>1023</v>
      </c>
      <c r="E957" s="2">
        <f t="shared" si="363"/>
        <v>104</v>
      </c>
      <c r="F957" s="3">
        <f t="shared" si="364"/>
        <v>0.9077196095829636</v>
      </c>
      <c r="G957" s="6">
        <v>2</v>
      </c>
      <c r="H957" s="4">
        <f t="shared" si="365"/>
        <v>511.5</v>
      </c>
      <c r="I957" s="10">
        <v>46077</v>
      </c>
    </row>
    <row r="958" spans="2:14" x14ac:dyDescent="0.2">
      <c r="B958" s="1" t="s">
        <v>7</v>
      </c>
      <c r="C958" s="20">
        <v>1509</v>
      </c>
      <c r="D958" s="20">
        <v>1282</v>
      </c>
      <c r="E958" s="20">
        <f t="shared" ref="E958:E965" si="366">C958-D958</f>
        <v>227</v>
      </c>
      <c r="F958" s="3">
        <f t="shared" ref="F958:F965" si="367">D958/C958</f>
        <v>0.84956925115970838</v>
      </c>
      <c r="G958" s="2">
        <v>5</v>
      </c>
      <c r="H958" s="4">
        <f t="shared" si="365"/>
        <v>256.39999999999998</v>
      </c>
      <c r="I958" s="10">
        <v>46078</v>
      </c>
      <c r="J958" s="17">
        <v>2</v>
      </c>
      <c r="M958">
        <v>19</v>
      </c>
    </row>
    <row r="959" spans="2:14" x14ac:dyDescent="0.2">
      <c r="B959" s="5" t="s">
        <v>8</v>
      </c>
      <c r="C959" s="6">
        <v>1053</v>
      </c>
      <c r="D959" s="6">
        <v>935</v>
      </c>
      <c r="E959" s="2">
        <f t="shared" si="366"/>
        <v>118</v>
      </c>
      <c r="F959" s="3">
        <f t="shared" si="367"/>
        <v>0.88793922127255465</v>
      </c>
      <c r="G959" s="2">
        <v>9</v>
      </c>
      <c r="H959" s="4">
        <f t="shared" si="365"/>
        <v>103.88888888888889</v>
      </c>
      <c r="I959" s="10">
        <v>46078</v>
      </c>
      <c r="J959" s="17">
        <v>2</v>
      </c>
      <c r="N959">
        <v>127</v>
      </c>
    </row>
    <row r="960" spans="2:14" x14ac:dyDescent="0.2">
      <c r="B960" s="1" t="s">
        <v>9</v>
      </c>
      <c r="C960" s="2">
        <v>65</v>
      </c>
      <c r="D960" s="2">
        <v>65</v>
      </c>
      <c r="E960" s="2">
        <f t="shared" si="366"/>
        <v>0</v>
      </c>
      <c r="F960" s="3">
        <f t="shared" si="367"/>
        <v>1</v>
      </c>
      <c r="G960" s="2">
        <v>9</v>
      </c>
      <c r="H960" s="4">
        <f t="shared" si="365"/>
        <v>7.2222222222222223</v>
      </c>
      <c r="I960" s="10">
        <v>46078</v>
      </c>
    </row>
    <row r="961" spans="2:14" x14ac:dyDescent="0.2">
      <c r="B961" s="5" t="s">
        <v>10</v>
      </c>
      <c r="C961" s="6">
        <f>1394+40+111</f>
        <v>1545</v>
      </c>
      <c r="D961" s="59">
        <f>1194+40+111</f>
        <v>1345</v>
      </c>
      <c r="E961" s="2">
        <f t="shared" si="366"/>
        <v>200</v>
      </c>
      <c r="F961" s="3">
        <f t="shared" si="367"/>
        <v>0.87055016181229772</v>
      </c>
      <c r="G961" s="6">
        <v>10</v>
      </c>
      <c r="H961" s="4">
        <f t="shared" si="365"/>
        <v>134.5</v>
      </c>
      <c r="I961" s="10">
        <v>46078</v>
      </c>
      <c r="J961" s="17">
        <v>4</v>
      </c>
    </row>
    <row r="962" spans="2:14" x14ac:dyDescent="0.2">
      <c r="B962" s="1" t="s">
        <v>11</v>
      </c>
      <c r="C962" s="20">
        <v>392</v>
      </c>
      <c r="D962" s="20">
        <v>230</v>
      </c>
      <c r="E962" s="2">
        <f t="shared" si="366"/>
        <v>162</v>
      </c>
      <c r="F962" s="3">
        <f t="shared" si="367"/>
        <v>0.58673469387755106</v>
      </c>
      <c r="G962" s="6">
        <v>9</v>
      </c>
      <c r="H962" s="4">
        <f t="shared" si="365"/>
        <v>25.555555555555557</v>
      </c>
      <c r="I962" s="10">
        <v>46078</v>
      </c>
      <c r="J962" s="17">
        <v>12</v>
      </c>
      <c r="K962">
        <v>7</v>
      </c>
    </row>
    <row r="963" spans="2:14" x14ac:dyDescent="0.2">
      <c r="B963" s="5" t="s">
        <v>12</v>
      </c>
      <c r="C963" s="20">
        <v>139</v>
      </c>
      <c r="D963" s="20">
        <v>84</v>
      </c>
      <c r="E963" s="2">
        <f t="shared" si="366"/>
        <v>55</v>
      </c>
      <c r="F963" s="3">
        <f t="shared" si="367"/>
        <v>0.60431654676258995</v>
      </c>
      <c r="G963" s="6">
        <v>18</v>
      </c>
      <c r="H963" s="4">
        <f t="shared" si="365"/>
        <v>4.666666666666667</v>
      </c>
      <c r="I963" s="10">
        <v>46078</v>
      </c>
      <c r="J963" s="17"/>
    </row>
    <row r="964" spans="2:14" x14ac:dyDescent="0.2">
      <c r="B964" s="5" t="s">
        <v>17</v>
      </c>
      <c r="C964" s="2">
        <v>363</v>
      </c>
      <c r="D964" s="6">
        <v>347</v>
      </c>
      <c r="E964" s="2">
        <f t="shared" si="366"/>
        <v>16</v>
      </c>
      <c r="F964" s="3">
        <f t="shared" si="367"/>
        <v>0.9559228650137741</v>
      </c>
      <c r="G964" s="6">
        <v>4</v>
      </c>
      <c r="H964" s="4">
        <f t="shared" ref="H964:H971" si="368">D964/G964</f>
        <v>86.75</v>
      </c>
      <c r="I964" s="10">
        <v>46078</v>
      </c>
      <c r="L964">
        <v>9</v>
      </c>
      <c r="N964">
        <v>39</v>
      </c>
    </row>
    <row r="965" spans="2:14" x14ac:dyDescent="0.2">
      <c r="B965" s="5" t="s">
        <v>50</v>
      </c>
      <c r="C965" s="2">
        <v>256</v>
      </c>
      <c r="D965" s="6">
        <v>254</v>
      </c>
      <c r="E965" s="2">
        <f t="shared" si="366"/>
        <v>2</v>
      </c>
      <c r="F965" s="3">
        <f t="shared" si="367"/>
        <v>0.9921875</v>
      </c>
      <c r="G965" s="6">
        <v>2</v>
      </c>
      <c r="H965" s="4">
        <f t="shared" si="368"/>
        <v>127</v>
      </c>
      <c r="I965" s="10">
        <v>46078</v>
      </c>
    </row>
    <row r="966" spans="2:14" x14ac:dyDescent="0.2">
      <c r="B966" s="1" t="s">
        <v>7</v>
      </c>
      <c r="C966" s="20">
        <v>661</v>
      </c>
      <c r="D966" s="20">
        <v>656</v>
      </c>
      <c r="E966" s="20">
        <f t="shared" ref="E966:E973" si="369">C966-D966</f>
        <v>5</v>
      </c>
      <c r="F966" s="3">
        <f t="shared" ref="F966:F973" si="370">D966/C966</f>
        <v>0.99243570347957644</v>
      </c>
      <c r="G966" s="2">
        <v>3</v>
      </c>
      <c r="H966" s="4">
        <f t="shared" si="368"/>
        <v>218.66666666666666</v>
      </c>
      <c r="I966" s="10">
        <v>46079</v>
      </c>
      <c r="J966" s="17">
        <v>5</v>
      </c>
      <c r="M966">
        <v>11</v>
      </c>
    </row>
    <row r="967" spans="2:14" x14ac:dyDescent="0.2">
      <c r="B967" s="5" t="s">
        <v>8</v>
      </c>
      <c r="C967" s="6">
        <v>1613</v>
      </c>
      <c r="D967" s="6">
        <v>1135</v>
      </c>
      <c r="E967" s="2">
        <f t="shared" si="369"/>
        <v>478</v>
      </c>
      <c r="F967" s="3">
        <f t="shared" si="370"/>
        <v>0.70365778053316796</v>
      </c>
      <c r="G967" s="2">
        <v>9</v>
      </c>
      <c r="H967" s="4">
        <f t="shared" si="368"/>
        <v>126.11111111111111</v>
      </c>
      <c r="I967" s="10">
        <v>46079</v>
      </c>
      <c r="J967" s="17">
        <v>18</v>
      </c>
      <c r="N967">
        <v>275</v>
      </c>
    </row>
    <row r="968" spans="2:14" x14ac:dyDescent="0.2">
      <c r="B968" s="1" t="s">
        <v>9</v>
      </c>
      <c r="C968" s="2">
        <v>198</v>
      </c>
      <c r="D968" s="2">
        <v>161</v>
      </c>
      <c r="E968" s="2">
        <f t="shared" si="369"/>
        <v>37</v>
      </c>
      <c r="F968" s="3">
        <f t="shared" si="370"/>
        <v>0.81313131313131315</v>
      </c>
      <c r="G968" s="2">
        <v>9</v>
      </c>
      <c r="H968" s="4">
        <f t="shared" si="368"/>
        <v>17.888888888888889</v>
      </c>
      <c r="I968" s="10">
        <v>46079</v>
      </c>
      <c r="J968" s="17"/>
    </row>
    <row r="969" spans="2:14" x14ac:dyDescent="0.2">
      <c r="B969" s="5" t="s">
        <v>10</v>
      </c>
      <c r="C969" s="6">
        <f>330+468</f>
        <v>798</v>
      </c>
      <c r="D969" s="59">
        <f>328+450</f>
        <v>778</v>
      </c>
      <c r="E969" s="2">
        <f t="shared" si="369"/>
        <v>20</v>
      </c>
      <c r="F969" s="3">
        <f t="shared" si="370"/>
        <v>0.97493734335839599</v>
      </c>
      <c r="G969" s="6">
        <v>10</v>
      </c>
      <c r="H969" s="4">
        <f t="shared" si="368"/>
        <v>77.8</v>
      </c>
      <c r="I969" s="10">
        <v>46079</v>
      </c>
      <c r="J969" s="17"/>
    </row>
    <row r="970" spans="2:14" x14ac:dyDescent="0.2">
      <c r="B970" s="1" t="s">
        <v>11</v>
      </c>
      <c r="C970" s="20">
        <v>588</v>
      </c>
      <c r="D970" s="20">
        <v>586</v>
      </c>
      <c r="E970" s="2">
        <f t="shared" si="369"/>
        <v>2</v>
      </c>
      <c r="F970" s="3">
        <f t="shared" si="370"/>
        <v>0.99659863945578231</v>
      </c>
      <c r="G970" s="6">
        <v>8</v>
      </c>
      <c r="H970" s="4">
        <f t="shared" si="368"/>
        <v>73.25</v>
      </c>
      <c r="I970" s="10">
        <v>46079</v>
      </c>
      <c r="J970" s="17">
        <v>3</v>
      </c>
      <c r="K970">
        <v>8</v>
      </c>
    </row>
    <row r="971" spans="2:14" x14ac:dyDescent="0.2">
      <c r="B971" s="5" t="s">
        <v>12</v>
      </c>
      <c r="C971" s="20">
        <v>374</v>
      </c>
      <c r="D971" s="20">
        <v>238</v>
      </c>
      <c r="E971" s="2">
        <f t="shared" si="369"/>
        <v>136</v>
      </c>
      <c r="F971" s="3">
        <f t="shared" si="370"/>
        <v>0.63636363636363635</v>
      </c>
      <c r="G971" s="6">
        <v>20</v>
      </c>
      <c r="H971" s="4">
        <f t="shared" si="368"/>
        <v>11.9</v>
      </c>
      <c r="I971" s="10">
        <v>46079</v>
      </c>
      <c r="J971" s="17">
        <v>1</v>
      </c>
    </row>
    <row r="972" spans="2:14" x14ac:dyDescent="0.2">
      <c r="B972" s="5" t="s">
        <v>17</v>
      </c>
      <c r="C972" s="2">
        <v>133</v>
      </c>
      <c r="D972" s="6">
        <v>130</v>
      </c>
      <c r="E972" s="2">
        <f t="shared" si="369"/>
        <v>3</v>
      </c>
      <c r="F972" s="3">
        <f t="shared" si="370"/>
        <v>0.97744360902255634</v>
      </c>
      <c r="G972" s="6">
        <v>5</v>
      </c>
      <c r="H972" s="4">
        <f t="shared" ref="H972:H979" si="371">D972/G972</f>
        <v>26</v>
      </c>
      <c r="I972" s="10">
        <v>46079</v>
      </c>
      <c r="J972" s="17"/>
      <c r="L972">
        <v>10</v>
      </c>
      <c r="N972">
        <v>17</v>
      </c>
    </row>
    <row r="973" spans="2:14" x14ac:dyDescent="0.2">
      <c r="B973" s="5" t="s">
        <v>50</v>
      </c>
      <c r="C973" s="2">
        <v>262</v>
      </c>
      <c r="D973" s="6">
        <v>262</v>
      </c>
      <c r="E973" s="2">
        <f t="shared" si="369"/>
        <v>0</v>
      </c>
      <c r="F973" s="3">
        <f t="shared" si="370"/>
        <v>1</v>
      </c>
      <c r="G973" s="6">
        <v>2</v>
      </c>
      <c r="H973" s="4">
        <f t="shared" si="371"/>
        <v>131</v>
      </c>
      <c r="I973" s="10">
        <v>46079</v>
      </c>
      <c r="J973" s="17"/>
    </row>
    <row r="974" spans="2:14" x14ac:dyDescent="0.2">
      <c r="B974" s="1" t="s">
        <v>7</v>
      </c>
      <c r="C974" s="20">
        <v>177</v>
      </c>
      <c r="D974" s="20">
        <v>173</v>
      </c>
      <c r="E974" s="20">
        <f t="shared" ref="E974:E981" si="372">C974-D974</f>
        <v>4</v>
      </c>
      <c r="F974" s="3">
        <f t="shared" ref="F974:F981" si="373">D974/C974</f>
        <v>0.97740112994350281</v>
      </c>
      <c r="G974" s="2">
        <v>3</v>
      </c>
      <c r="H974" s="4">
        <f t="shared" si="371"/>
        <v>57.666666666666664</v>
      </c>
      <c r="I974" s="10">
        <v>46080</v>
      </c>
      <c r="J974" s="17">
        <v>272</v>
      </c>
      <c r="M974">
        <v>7</v>
      </c>
    </row>
    <row r="975" spans="2:14" x14ac:dyDescent="0.2">
      <c r="B975" s="5" t="s">
        <v>8</v>
      </c>
      <c r="C975" s="6">
        <v>697</v>
      </c>
      <c r="D975" s="6">
        <v>634</v>
      </c>
      <c r="E975" s="2">
        <f t="shared" si="372"/>
        <v>63</v>
      </c>
      <c r="F975" s="3">
        <f t="shared" si="373"/>
        <v>0.90961262553802014</v>
      </c>
      <c r="G975" s="2">
        <v>9</v>
      </c>
      <c r="H975" s="4">
        <f t="shared" si="371"/>
        <v>70.444444444444443</v>
      </c>
      <c r="I975" s="10">
        <v>46080</v>
      </c>
      <c r="J975" s="17">
        <v>4</v>
      </c>
      <c r="N975">
        <v>168</v>
      </c>
    </row>
    <row r="976" spans="2:14" x14ac:dyDescent="0.2">
      <c r="B976" s="1" t="s">
        <v>9</v>
      </c>
      <c r="C976" s="2">
        <v>88</v>
      </c>
      <c r="D976" s="2">
        <v>39</v>
      </c>
      <c r="E976" s="2">
        <f t="shared" si="372"/>
        <v>49</v>
      </c>
      <c r="F976" s="3">
        <f t="shared" si="373"/>
        <v>0.44318181818181818</v>
      </c>
      <c r="G976" s="2">
        <v>9</v>
      </c>
      <c r="H976" s="4">
        <f t="shared" si="371"/>
        <v>4.333333333333333</v>
      </c>
      <c r="I976" s="10">
        <v>46080</v>
      </c>
      <c r="J976" s="17"/>
    </row>
    <row r="977" spans="2:14" x14ac:dyDescent="0.2">
      <c r="B977" s="5" t="s">
        <v>10</v>
      </c>
      <c r="C977" s="6">
        <f>154+541+304</f>
        <v>999</v>
      </c>
      <c r="D977" s="59">
        <f>154+495+298</f>
        <v>947</v>
      </c>
      <c r="E977" s="2">
        <f t="shared" si="372"/>
        <v>52</v>
      </c>
      <c r="F977" s="3">
        <f t="shared" si="373"/>
        <v>0.9479479479479479</v>
      </c>
      <c r="G977" s="6">
        <v>10</v>
      </c>
      <c r="H977" s="4">
        <f t="shared" si="371"/>
        <v>94.7</v>
      </c>
      <c r="I977" s="10">
        <v>46080</v>
      </c>
      <c r="J977" s="17">
        <v>4</v>
      </c>
    </row>
    <row r="978" spans="2:14" x14ac:dyDescent="0.2">
      <c r="B978" s="1" t="s">
        <v>11</v>
      </c>
      <c r="C978" s="20">
        <v>297</v>
      </c>
      <c r="D978" s="20">
        <v>264</v>
      </c>
      <c r="E978" s="2">
        <f t="shared" si="372"/>
        <v>33</v>
      </c>
      <c r="F978" s="3">
        <f t="shared" si="373"/>
        <v>0.88888888888888884</v>
      </c>
      <c r="G978" s="6">
        <v>8</v>
      </c>
      <c r="H978" s="4">
        <f t="shared" si="371"/>
        <v>33</v>
      </c>
      <c r="I978" s="10">
        <v>46080</v>
      </c>
      <c r="J978" s="17">
        <v>28</v>
      </c>
      <c r="K978">
        <v>8</v>
      </c>
    </row>
    <row r="979" spans="2:14" x14ac:dyDescent="0.2">
      <c r="B979" s="5" t="s">
        <v>12</v>
      </c>
      <c r="C979" s="20">
        <v>291</v>
      </c>
      <c r="D979" s="20">
        <v>267</v>
      </c>
      <c r="E979" s="2">
        <f t="shared" si="372"/>
        <v>24</v>
      </c>
      <c r="F979" s="3">
        <f t="shared" si="373"/>
        <v>0.91752577319587625</v>
      </c>
      <c r="G979" s="6">
        <v>20</v>
      </c>
      <c r="H979" s="4">
        <f t="shared" si="371"/>
        <v>13.35</v>
      </c>
      <c r="I979" s="10">
        <v>46080</v>
      </c>
      <c r="J979" s="17">
        <v>1</v>
      </c>
    </row>
    <row r="980" spans="2:14" x14ac:dyDescent="0.2">
      <c r="B980" s="5" t="s">
        <v>17</v>
      </c>
      <c r="C980" s="2">
        <v>514</v>
      </c>
      <c r="D980" s="6">
        <v>491</v>
      </c>
      <c r="E980" s="2">
        <f t="shared" si="372"/>
        <v>23</v>
      </c>
      <c r="F980" s="3">
        <f t="shared" si="373"/>
        <v>0.95525291828793779</v>
      </c>
      <c r="G980" s="6">
        <v>5</v>
      </c>
      <c r="H980" s="4">
        <f t="shared" ref="H980:H987" si="374">D980/G980</f>
        <v>98.2</v>
      </c>
      <c r="I980" s="10">
        <v>46080</v>
      </c>
      <c r="J980" s="17"/>
      <c r="L980">
        <v>12</v>
      </c>
      <c r="N980">
        <v>30</v>
      </c>
    </row>
    <row r="981" spans="2:14" x14ac:dyDescent="0.2">
      <c r="B981" s="5" t="s">
        <v>50</v>
      </c>
      <c r="C981" s="2">
        <v>512</v>
      </c>
      <c r="D981" s="6">
        <v>512</v>
      </c>
      <c r="E981" s="2">
        <f t="shared" si="372"/>
        <v>0</v>
      </c>
      <c r="F981" s="3">
        <f t="shared" si="373"/>
        <v>1</v>
      </c>
      <c r="G981" s="6">
        <v>2</v>
      </c>
      <c r="H981" s="4">
        <f t="shared" si="374"/>
        <v>256</v>
      </c>
      <c r="I981" s="10">
        <v>46080</v>
      </c>
      <c r="J981" s="17"/>
    </row>
    <row r="982" spans="2:14" x14ac:dyDescent="0.2">
      <c r="B982" s="1" t="s">
        <v>7</v>
      </c>
      <c r="C982" s="20">
        <v>461</v>
      </c>
      <c r="D982" s="20">
        <v>439</v>
      </c>
      <c r="E982" s="20">
        <f t="shared" ref="E982:E989" si="375">C982-D982</f>
        <v>22</v>
      </c>
      <c r="F982" s="3">
        <f t="shared" ref="F982:F989" si="376">D982/C982</f>
        <v>0.95227765726681124</v>
      </c>
      <c r="G982" s="2">
        <v>3</v>
      </c>
      <c r="H982" s="4">
        <f t="shared" si="374"/>
        <v>146.33333333333334</v>
      </c>
      <c r="I982" s="10">
        <v>46083</v>
      </c>
      <c r="J982" s="17"/>
      <c r="M982">
        <v>9</v>
      </c>
    </row>
    <row r="983" spans="2:14" x14ac:dyDescent="0.2">
      <c r="B983" s="5" t="s">
        <v>8</v>
      </c>
      <c r="C983" s="6">
        <v>197</v>
      </c>
      <c r="D983" s="6">
        <v>158</v>
      </c>
      <c r="E983" s="2">
        <f t="shared" si="375"/>
        <v>39</v>
      </c>
      <c r="F983" s="3">
        <f t="shared" si="376"/>
        <v>0.80203045685279184</v>
      </c>
      <c r="G983" s="2">
        <v>9</v>
      </c>
      <c r="H983" s="4">
        <f t="shared" si="374"/>
        <v>17.555555555555557</v>
      </c>
      <c r="I983" s="10">
        <v>46083</v>
      </c>
      <c r="J983" s="17">
        <v>12</v>
      </c>
      <c r="N983">
        <v>96</v>
      </c>
    </row>
    <row r="984" spans="2:14" x14ac:dyDescent="0.2">
      <c r="B984" s="1" t="s">
        <v>9</v>
      </c>
      <c r="C984" s="2">
        <v>151</v>
      </c>
      <c r="D984" s="2">
        <v>58</v>
      </c>
      <c r="E984" s="2">
        <f t="shared" si="375"/>
        <v>93</v>
      </c>
      <c r="F984" s="3">
        <f t="shared" si="376"/>
        <v>0.38410596026490068</v>
      </c>
      <c r="G984" s="2">
        <v>9</v>
      </c>
      <c r="H984" s="4">
        <f t="shared" si="374"/>
        <v>6.4444444444444446</v>
      </c>
      <c r="I984" s="10">
        <v>46083</v>
      </c>
      <c r="J984" s="17">
        <v>5</v>
      </c>
    </row>
    <row r="985" spans="2:14" x14ac:dyDescent="0.2">
      <c r="B985" s="5" t="s">
        <v>10</v>
      </c>
      <c r="C985" s="6">
        <f>538+390</f>
        <v>928</v>
      </c>
      <c r="D985" s="59">
        <f>521+107</f>
        <v>628</v>
      </c>
      <c r="E985" s="2">
        <f t="shared" si="375"/>
        <v>300</v>
      </c>
      <c r="F985" s="3">
        <f t="shared" si="376"/>
        <v>0.67672413793103448</v>
      </c>
      <c r="G985" s="6">
        <v>10</v>
      </c>
      <c r="H985" s="4">
        <f t="shared" si="374"/>
        <v>62.8</v>
      </c>
      <c r="I985" s="10">
        <v>46083</v>
      </c>
      <c r="J985" s="17">
        <v>3</v>
      </c>
    </row>
    <row r="986" spans="2:14" x14ac:dyDescent="0.2">
      <c r="B986" s="1" t="s">
        <v>11</v>
      </c>
      <c r="C986" s="20">
        <v>521</v>
      </c>
      <c r="D986" s="20">
        <v>521</v>
      </c>
      <c r="E986" s="2">
        <f t="shared" si="375"/>
        <v>0</v>
      </c>
      <c r="F986" s="3">
        <f t="shared" si="376"/>
        <v>1</v>
      </c>
      <c r="G986" s="6">
        <v>8</v>
      </c>
      <c r="H986" s="4">
        <f t="shared" si="374"/>
        <v>65.125</v>
      </c>
      <c r="I986" s="10">
        <v>46083</v>
      </c>
      <c r="J986" s="17">
        <v>3</v>
      </c>
      <c r="K986">
        <v>9</v>
      </c>
    </row>
    <row r="987" spans="2:14" x14ac:dyDescent="0.2">
      <c r="B987" s="5" t="s">
        <v>12</v>
      </c>
      <c r="C987" s="20">
        <v>500</v>
      </c>
      <c r="D987" s="20">
        <v>450</v>
      </c>
      <c r="E987" s="2">
        <f t="shared" si="375"/>
        <v>50</v>
      </c>
      <c r="F987" s="3">
        <f t="shared" si="376"/>
        <v>0.9</v>
      </c>
      <c r="G987" s="6">
        <v>20</v>
      </c>
      <c r="H987" s="4">
        <f t="shared" si="374"/>
        <v>22.5</v>
      </c>
      <c r="I987" s="10">
        <v>46083</v>
      </c>
      <c r="J987" s="17"/>
    </row>
    <row r="988" spans="2:14" x14ac:dyDescent="0.2">
      <c r="B988" s="5" t="s">
        <v>17</v>
      </c>
      <c r="C988" s="2">
        <v>76</v>
      </c>
      <c r="D988" s="6">
        <v>76</v>
      </c>
      <c r="E988" s="2">
        <f t="shared" si="375"/>
        <v>0</v>
      </c>
      <c r="F988" s="3">
        <f t="shared" si="376"/>
        <v>1</v>
      </c>
      <c r="G988" s="6">
        <v>5</v>
      </c>
      <c r="H988" s="4">
        <f t="shared" ref="H988:H995" si="377">D988/G988</f>
        <v>15.2</v>
      </c>
      <c r="I988" s="10">
        <v>46083</v>
      </c>
      <c r="J988" s="17"/>
      <c r="L988">
        <v>5</v>
      </c>
      <c r="N988">
        <v>10</v>
      </c>
    </row>
    <row r="989" spans="2:14" x14ac:dyDescent="0.2">
      <c r="B989" s="5" t="s">
        <v>50</v>
      </c>
      <c r="C989" s="2">
        <v>79</v>
      </c>
      <c r="D989" s="6">
        <v>79</v>
      </c>
      <c r="E989" s="2">
        <f t="shared" si="375"/>
        <v>0</v>
      </c>
      <c r="F989" s="3">
        <f t="shared" si="376"/>
        <v>1</v>
      </c>
      <c r="G989" s="6">
        <v>2</v>
      </c>
      <c r="H989" s="4">
        <f t="shared" si="377"/>
        <v>39.5</v>
      </c>
      <c r="I989" s="10">
        <v>46083</v>
      </c>
      <c r="J989" s="17"/>
    </row>
    <row r="990" spans="2:14" x14ac:dyDescent="0.2">
      <c r="B990" s="1" t="s">
        <v>7</v>
      </c>
      <c r="C990" s="20">
        <v>105</v>
      </c>
      <c r="D990" s="20">
        <v>103</v>
      </c>
      <c r="E990" s="20">
        <f t="shared" ref="E990:E997" si="378">C990-D990</f>
        <v>2</v>
      </c>
      <c r="F990" s="3">
        <f t="shared" ref="F990:F997" si="379">D990/C990</f>
        <v>0.98095238095238091</v>
      </c>
      <c r="G990" s="2">
        <v>3</v>
      </c>
      <c r="H990" s="4">
        <f t="shared" si="377"/>
        <v>34.333333333333336</v>
      </c>
      <c r="I990" s="10">
        <v>46084</v>
      </c>
      <c r="J990" s="17">
        <v>43</v>
      </c>
      <c r="M990">
        <v>4</v>
      </c>
    </row>
    <row r="991" spans="2:14" x14ac:dyDescent="0.2">
      <c r="B991" s="5" t="s">
        <v>8</v>
      </c>
      <c r="C991" s="6">
        <v>406</v>
      </c>
      <c r="D991" s="6">
        <v>363</v>
      </c>
      <c r="E991" s="2">
        <f t="shared" si="378"/>
        <v>43</v>
      </c>
      <c r="F991" s="3">
        <f t="shared" si="379"/>
        <v>0.89408866995073888</v>
      </c>
      <c r="G991" s="2">
        <v>9</v>
      </c>
      <c r="H991" s="4">
        <f t="shared" si="377"/>
        <v>40.333333333333336</v>
      </c>
      <c r="I991" s="10">
        <v>46084</v>
      </c>
      <c r="J991" s="17">
        <v>6</v>
      </c>
      <c r="N991">
        <v>101</v>
      </c>
    </row>
    <row r="992" spans="2:14" x14ac:dyDescent="0.2">
      <c r="B992" s="1" t="s">
        <v>9</v>
      </c>
      <c r="C992" s="2">
        <v>82</v>
      </c>
      <c r="D992" s="2">
        <v>50</v>
      </c>
      <c r="E992" s="2">
        <f t="shared" si="378"/>
        <v>32</v>
      </c>
      <c r="F992" s="3">
        <f t="shared" si="379"/>
        <v>0.6097560975609756</v>
      </c>
      <c r="G992" s="2">
        <v>9</v>
      </c>
      <c r="H992" s="4">
        <f t="shared" si="377"/>
        <v>5.5555555555555554</v>
      </c>
      <c r="I992" s="10">
        <v>46084</v>
      </c>
      <c r="J992" s="17"/>
    </row>
    <row r="993" spans="2:14" x14ac:dyDescent="0.2">
      <c r="B993" s="5" t="s">
        <v>10</v>
      </c>
      <c r="C993" s="6">
        <f>144+1+390</f>
        <v>535</v>
      </c>
      <c r="D993" s="99">
        <f>144+390</f>
        <v>534</v>
      </c>
      <c r="E993" s="2">
        <f t="shared" si="378"/>
        <v>1</v>
      </c>
      <c r="F993" s="3">
        <f t="shared" si="379"/>
        <v>0.9981308411214953</v>
      </c>
      <c r="G993" s="6">
        <v>10</v>
      </c>
      <c r="H993" s="4">
        <f t="shared" si="377"/>
        <v>53.4</v>
      </c>
      <c r="I993" s="10">
        <v>46084</v>
      </c>
      <c r="J993" s="17"/>
    </row>
    <row r="994" spans="2:14" x14ac:dyDescent="0.2">
      <c r="B994" s="1" t="s">
        <v>11</v>
      </c>
      <c r="C994" s="20">
        <v>1544</v>
      </c>
      <c r="D994" s="20">
        <v>1544</v>
      </c>
      <c r="E994" s="2">
        <f t="shared" si="378"/>
        <v>0</v>
      </c>
      <c r="F994" s="3">
        <f t="shared" si="379"/>
        <v>1</v>
      </c>
      <c r="G994" s="6">
        <v>10</v>
      </c>
      <c r="H994" s="4">
        <f t="shared" si="377"/>
        <v>154.4</v>
      </c>
      <c r="I994" s="10">
        <v>46084</v>
      </c>
      <c r="J994" s="17">
        <v>6</v>
      </c>
      <c r="K994">
        <v>13</v>
      </c>
    </row>
    <row r="995" spans="2:14" x14ac:dyDescent="0.2">
      <c r="B995" s="5" t="s">
        <v>12</v>
      </c>
      <c r="C995" s="20">
        <v>203</v>
      </c>
      <c r="D995" s="20">
        <v>185</v>
      </c>
      <c r="E995" s="2">
        <f t="shared" si="378"/>
        <v>18</v>
      </c>
      <c r="F995" s="3">
        <f t="shared" si="379"/>
        <v>0.91133004926108374</v>
      </c>
      <c r="G995" s="6">
        <v>21</v>
      </c>
      <c r="H995" s="4">
        <f t="shared" si="377"/>
        <v>8.8095238095238102</v>
      </c>
      <c r="I995" s="10">
        <v>46084</v>
      </c>
      <c r="J995" s="17"/>
    </row>
    <row r="996" spans="2:14" x14ac:dyDescent="0.2">
      <c r="B996" s="5" t="s">
        <v>17</v>
      </c>
      <c r="C996" s="2">
        <v>195</v>
      </c>
      <c r="D996" s="6">
        <v>195</v>
      </c>
      <c r="E996" s="2">
        <f t="shared" si="378"/>
        <v>0</v>
      </c>
      <c r="F996" s="3">
        <f t="shared" si="379"/>
        <v>1</v>
      </c>
      <c r="G996" s="6">
        <v>4</v>
      </c>
      <c r="H996" s="4">
        <f t="shared" ref="H996:H1003" si="380">D996/G996</f>
        <v>48.75</v>
      </c>
      <c r="I996" s="10">
        <v>46084</v>
      </c>
      <c r="J996" s="17"/>
      <c r="L996">
        <v>8</v>
      </c>
      <c r="N996">
        <v>16</v>
      </c>
    </row>
    <row r="997" spans="2:14" x14ac:dyDescent="0.2">
      <c r="B997" s="5" t="s">
        <v>50</v>
      </c>
      <c r="C997" s="2">
        <v>200</v>
      </c>
      <c r="D997" s="6">
        <v>145</v>
      </c>
      <c r="E997" s="2">
        <f t="shared" si="378"/>
        <v>55</v>
      </c>
      <c r="F997" s="3">
        <f t="shared" si="379"/>
        <v>0.72499999999999998</v>
      </c>
      <c r="G997" s="6">
        <v>2</v>
      </c>
      <c r="H997" s="4">
        <f t="shared" si="380"/>
        <v>72.5</v>
      </c>
      <c r="I997" s="10">
        <v>46084</v>
      </c>
      <c r="J997" s="17"/>
    </row>
    <row r="998" spans="2:14" x14ac:dyDescent="0.2">
      <c r="B998" s="1" t="s">
        <v>7</v>
      </c>
      <c r="C998" s="20">
        <v>152</v>
      </c>
      <c r="D998" s="20">
        <v>151</v>
      </c>
      <c r="E998" s="20">
        <f t="shared" ref="E998:E1005" si="381">C998-D998</f>
        <v>1</v>
      </c>
      <c r="F998" s="3">
        <f t="shared" ref="F998:F1005" si="382">D998/C998</f>
        <v>0.99342105263157898</v>
      </c>
      <c r="G998" s="2">
        <v>3</v>
      </c>
      <c r="H998" s="4">
        <f t="shared" si="380"/>
        <v>50.333333333333336</v>
      </c>
      <c r="I998" s="10">
        <v>46085</v>
      </c>
      <c r="J998" s="17">
        <v>45</v>
      </c>
      <c r="M998">
        <v>8</v>
      </c>
    </row>
    <row r="999" spans="2:14" x14ac:dyDescent="0.2">
      <c r="B999" s="5" t="s">
        <v>8</v>
      </c>
      <c r="C999" s="6">
        <v>109</v>
      </c>
      <c r="D999" s="6">
        <v>86</v>
      </c>
      <c r="E999" s="2">
        <f t="shared" si="381"/>
        <v>23</v>
      </c>
      <c r="F999" s="3">
        <f t="shared" si="382"/>
        <v>0.78899082568807344</v>
      </c>
      <c r="G999" s="2">
        <v>9</v>
      </c>
      <c r="H999" s="4">
        <f t="shared" si="380"/>
        <v>9.5555555555555554</v>
      </c>
      <c r="I999" s="10">
        <v>46085</v>
      </c>
      <c r="J999" s="17">
        <v>11</v>
      </c>
      <c r="N999">
        <v>53</v>
      </c>
    </row>
    <row r="1000" spans="2:14" x14ac:dyDescent="0.2">
      <c r="B1000" s="1" t="s">
        <v>9</v>
      </c>
      <c r="C1000" s="2">
        <v>13</v>
      </c>
      <c r="D1000" s="2">
        <v>3</v>
      </c>
      <c r="E1000" s="2">
        <f t="shared" si="381"/>
        <v>10</v>
      </c>
      <c r="F1000" s="3">
        <f t="shared" si="382"/>
        <v>0.23076923076923078</v>
      </c>
      <c r="G1000" s="2">
        <v>9</v>
      </c>
      <c r="H1000" s="4">
        <f t="shared" si="380"/>
        <v>0.33333333333333331</v>
      </c>
      <c r="I1000" s="10">
        <v>46085</v>
      </c>
      <c r="J1000" s="17">
        <v>2</v>
      </c>
    </row>
    <row r="1001" spans="2:14" x14ac:dyDescent="0.2">
      <c r="B1001" s="5" t="s">
        <v>10</v>
      </c>
      <c r="C1001" s="6">
        <f>344+3+110</f>
        <v>457</v>
      </c>
      <c r="D1001" s="99">
        <f>312+100</f>
        <v>412</v>
      </c>
      <c r="E1001" s="2">
        <f t="shared" si="381"/>
        <v>45</v>
      </c>
      <c r="F1001" s="3">
        <f t="shared" si="382"/>
        <v>0.90153172866520792</v>
      </c>
      <c r="G1001" s="6">
        <v>10</v>
      </c>
      <c r="H1001" s="4">
        <f t="shared" si="380"/>
        <v>41.2</v>
      </c>
      <c r="I1001" s="10">
        <v>46085</v>
      </c>
      <c r="J1001" s="17"/>
    </row>
    <row r="1002" spans="2:14" x14ac:dyDescent="0.2">
      <c r="B1002" s="1" t="s">
        <v>11</v>
      </c>
      <c r="C1002" s="20">
        <v>457</v>
      </c>
      <c r="D1002" s="20">
        <v>396</v>
      </c>
      <c r="E1002" s="2">
        <f t="shared" si="381"/>
        <v>61</v>
      </c>
      <c r="F1002" s="3">
        <f t="shared" si="382"/>
        <v>0.8665207877461707</v>
      </c>
      <c r="G1002" s="6">
        <v>10</v>
      </c>
      <c r="H1002" s="4">
        <f t="shared" si="380"/>
        <v>39.6</v>
      </c>
      <c r="I1002" s="10">
        <v>46085</v>
      </c>
      <c r="J1002" s="17">
        <v>3</v>
      </c>
      <c r="K1002">
        <v>10</v>
      </c>
    </row>
    <row r="1003" spans="2:14" x14ac:dyDescent="0.2">
      <c r="B1003" s="5" t="s">
        <v>12</v>
      </c>
      <c r="C1003" s="20">
        <v>255</v>
      </c>
      <c r="D1003" s="20">
        <v>231</v>
      </c>
      <c r="E1003" s="2">
        <f t="shared" si="381"/>
        <v>24</v>
      </c>
      <c r="F1003" s="3">
        <f t="shared" si="382"/>
        <v>0.90588235294117647</v>
      </c>
      <c r="G1003" s="6">
        <v>21</v>
      </c>
      <c r="H1003" s="4">
        <f t="shared" si="380"/>
        <v>11</v>
      </c>
      <c r="I1003" s="10">
        <v>46085</v>
      </c>
      <c r="J1003" s="17">
        <v>1</v>
      </c>
    </row>
    <row r="1004" spans="2:14" x14ac:dyDescent="0.2">
      <c r="B1004" s="5" t="s">
        <v>17</v>
      </c>
      <c r="C1004" s="2">
        <v>270</v>
      </c>
      <c r="D1004" s="6">
        <v>265</v>
      </c>
      <c r="E1004" s="2">
        <f t="shared" si="381"/>
        <v>5</v>
      </c>
      <c r="F1004" s="3">
        <f t="shared" si="382"/>
        <v>0.98148148148148151</v>
      </c>
      <c r="G1004" s="6">
        <v>4</v>
      </c>
      <c r="H1004" s="4">
        <f t="shared" ref="H1004:H1011" si="383">D1004/G1004</f>
        <v>66.25</v>
      </c>
      <c r="I1004" s="10">
        <v>46085</v>
      </c>
      <c r="J1004" s="17"/>
      <c r="L1004">
        <v>10</v>
      </c>
      <c r="N1004">
        <v>38</v>
      </c>
    </row>
    <row r="1005" spans="2:14" x14ac:dyDescent="0.2">
      <c r="B1005" s="5" t="s">
        <v>50</v>
      </c>
      <c r="C1005" s="2">
        <v>354</v>
      </c>
      <c r="D1005" s="6">
        <v>354</v>
      </c>
      <c r="E1005" s="2">
        <f t="shared" si="381"/>
        <v>0</v>
      </c>
      <c r="F1005" s="3">
        <f t="shared" si="382"/>
        <v>1</v>
      </c>
      <c r="G1005" s="6">
        <v>2</v>
      </c>
      <c r="H1005" s="4">
        <f t="shared" si="383"/>
        <v>177</v>
      </c>
      <c r="I1005" s="10">
        <v>46085</v>
      </c>
      <c r="J1005" s="17"/>
    </row>
    <row r="1006" spans="2:14" x14ac:dyDescent="0.2">
      <c r="B1006" s="1" t="s">
        <v>7</v>
      </c>
      <c r="C1006" s="20">
        <v>206</v>
      </c>
      <c r="D1006" s="20">
        <v>193</v>
      </c>
      <c r="E1006" s="20">
        <f t="shared" ref="E1006:E1013" si="384">C1006-D1006</f>
        <v>13</v>
      </c>
      <c r="F1006" s="3">
        <f t="shared" ref="F1006:F1013" si="385">D1006/C1006</f>
        <v>0.93689320388349517</v>
      </c>
      <c r="G1006" s="2">
        <v>3</v>
      </c>
      <c r="H1006" s="4">
        <f t="shared" si="383"/>
        <v>64.333333333333329</v>
      </c>
      <c r="I1006" s="10">
        <v>46086</v>
      </c>
      <c r="J1006" s="17">
        <v>14</v>
      </c>
      <c r="M1006">
        <v>10</v>
      </c>
    </row>
    <row r="1007" spans="2:14" x14ac:dyDescent="0.2">
      <c r="B1007" s="5" t="s">
        <v>8</v>
      </c>
      <c r="C1007" s="6">
        <v>161</v>
      </c>
      <c r="D1007" s="6">
        <v>134</v>
      </c>
      <c r="E1007" s="2">
        <f t="shared" si="384"/>
        <v>27</v>
      </c>
      <c r="F1007" s="3">
        <f t="shared" si="385"/>
        <v>0.83229813664596275</v>
      </c>
      <c r="G1007" s="2">
        <v>9</v>
      </c>
      <c r="H1007" s="4">
        <f t="shared" si="383"/>
        <v>14.888888888888889</v>
      </c>
      <c r="I1007" s="10">
        <v>46086</v>
      </c>
      <c r="J1007" s="17">
        <v>3</v>
      </c>
      <c r="N1007">
        <v>94</v>
      </c>
    </row>
    <row r="1008" spans="2:14" x14ac:dyDescent="0.2">
      <c r="B1008" s="1" t="s">
        <v>9</v>
      </c>
      <c r="C1008" s="2">
        <v>56</v>
      </c>
      <c r="D1008" s="2">
        <v>56</v>
      </c>
      <c r="E1008" s="2">
        <f t="shared" si="384"/>
        <v>0</v>
      </c>
      <c r="F1008" s="3">
        <f t="shared" si="385"/>
        <v>1</v>
      </c>
      <c r="G1008" s="2">
        <v>9</v>
      </c>
      <c r="H1008" s="4">
        <f t="shared" si="383"/>
        <v>6.2222222222222223</v>
      </c>
      <c r="I1008" s="10">
        <v>46086</v>
      </c>
      <c r="J1008" s="17"/>
    </row>
    <row r="1009" spans="2:14" x14ac:dyDescent="0.2">
      <c r="B1009" s="5" t="s">
        <v>10</v>
      </c>
      <c r="C1009" s="6">
        <f>364+1+277</f>
        <v>642</v>
      </c>
      <c r="D1009" s="99">
        <f>364+248</f>
        <v>612</v>
      </c>
      <c r="E1009" s="2">
        <f t="shared" si="384"/>
        <v>30</v>
      </c>
      <c r="F1009" s="3">
        <f t="shared" si="385"/>
        <v>0.95327102803738317</v>
      </c>
      <c r="G1009" s="6">
        <v>12</v>
      </c>
      <c r="H1009" s="4">
        <f t="shared" si="383"/>
        <v>51</v>
      </c>
      <c r="I1009" s="10">
        <v>46086</v>
      </c>
      <c r="J1009" s="17"/>
    </row>
    <row r="1010" spans="2:14" x14ac:dyDescent="0.2">
      <c r="B1010" s="1" t="s">
        <v>11</v>
      </c>
      <c r="C1010" s="20">
        <v>809</v>
      </c>
      <c r="D1010" s="20">
        <v>682</v>
      </c>
      <c r="E1010" s="2">
        <f t="shared" si="384"/>
        <v>127</v>
      </c>
      <c r="F1010" s="3">
        <f t="shared" si="385"/>
        <v>0.84301606922126082</v>
      </c>
      <c r="G1010" s="6">
        <v>10</v>
      </c>
      <c r="H1010" s="4">
        <f t="shared" si="383"/>
        <v>68.2</v>
      </c>
      <c r="I1010" s="10">
        <v>46086</v>
      </c>
      <c r="J1010" s="17"/>
      <c r="K1010">
        <v>10</v>
      </c>
    </row>
    <row r="1011" spans="2:14" x14ac:dyDescent="0.2">
      <c r="B1011" s="5" t="s">
        <v>12</v>
      </c>
      <c r="C1011" s="20">
        <v>350</v>
      </c>
      <c r="D1011" s="20">
        <f>287+25</f>
        <v>312</v>
      </c>
      <c r="E1011" s="2">
        <f t="shared" si="384"/>
        <v>38</v>
      </c>
      <c r="F1011" s="3">
        <f t="shared" si="385"/>
        <v>0.89142857142857146</v>
      </c>
      <c r="G1011" s="6">
        <v>21</v>
      </c>
      <c r="H1011" s="4">
        <f t="shared" si="383"/>
        <v>14.857142857142858</v>
      </c>
      <c r="I1011" s="10">
        <v>46086</v>
      </c>
      <c r="J1011" s="17"/>
    </row>
    <row r="1012" spans="2:14" x14ac:dyDescent="0.2">
      <c r="B1012" s="5" t="s">
        <v>17</v>
      </c>
      <c r="C1012" s="2">
        <v>229</v>
      </c>
      <c r="D1012" s="6">
        <v>229</v>
      </c>
      <c r="E1012" s="2">
        <f t="shared" si="384"/>
        <v>0</v>
      </c>
      <c r="F1012" s="3">
        <f t="shared" si="385"/>
        <v>1</v>
      </c>
      <c r="G1012" s="6">
        <v>4</v>
      </c>
      <c r="H1012" s="4">
        <f t="shared" ref="H1012:H1019" si="386">D1012/G1012</f>
        <v>57.25</v>
      </c>
      <c r="I1012" s="10">
        <v>46086</v>
      </c>
      <c r="J1012" s="17"/>
      <c r="L1012">
        <v>6</v>
      </c>
      <c r="N1012">
        <v>17</v>
      </c>
    </row>
    <row r="1013" spans="2:14" x14ac:dyDescent="0.2">
      <c r="B1013" s="5" t="s">
        <v>50</v>
      </c>
      <c r="C1013" s="2">
        <v>310</v>
      </c>
      <c r="D1013" s="6">
        <v>310</v>
      </c>
      <c r="E1013" s="2">
        <f t="shared" si="384"/>
        <v>0</v>
      </c>
      <c r="F1013" s="3">
        <f t="shared" si="385"/>
        <v>1</v>
      </c>
      <c r="G1013" s="6">
        <v>2</v>
      </c>
      <c r="H1013" s="4">
        <f t="shared" si="386"/>
        <v>155</v>
      </c>
      <c r="I1013" s="10">
        <v>46086</v>
      </c>
      <c r="J1013" s="17"/>
    </row>
    <row r="1014" spans="2:14" x14ac:dyDescent="0.2">
      <c r="B1014" s="1" t="s">
        <v>7</v>
      </c>
      <c r="C1014" s="20">
        <v>208</v>
      </c>
      <c r="D1014" s="20">
        <v>205</v>
      </c>
      <c r="E1014" s="20">
        <f t="shared" ref="E1014:E1021" si="387">C1014-D1014</f>
        <v>3</v>
      </c>
      <c r="F1014" s="3">
        <f t="shared" ref="F1014:F1021" si="388">D1014/C1014</f>
        <v>0.98557692307692313</v>
      </c>
      <c r="G1014" s="2">
        <v>3</v>
      </c>
      <c r="H1014" s="4">
        <f t="shared" si="386"/>
        <v>68.333333333333329</v>
      </c>
      <c r="I1014" s="10">
        <v>46087</v>
      </c>
      <c r="J1014" s="17">
        <v>1</v>
      </c>
      <c r="M1014">
        <v>5</v>
      </c>
    </row>
    <row r="1015" spans="2:14" x14ac:dyDescent="0.2">
      <c r="B1015" s="5" t="s">
        <v>8</v>
      </c>
      <c r="C1015" s="6">
        <v>220</v>
      </c>
      <c r="D1015" s="6">
        <v>180</v>
      </c>
      <c r="E1015" s="2">
        <f t="shared" si="387"/>
        <v>40</v>
      </c>
      <c r="F1015" s="3">
        <f t="shared" si="388"/>
        <v>0.81818181818181823</v>
      </c>
      <c r="G1015" s="2">
        <v>9</v>
      </c>
      <c r="H1015" s="4">
        <f t="shared" si="386"/>
        <v>20</v>
      </c>
      <c r="I1015" s="10">
        <v>46087</v>
      </c>
      <c r="J1015" s="17">
        <v>7</v>
      </c>
      <c r="N1015">
        <v>117</v>
      </c>
    </row>
    <row r="1016" spans="2:14" x14ac:dyDescent="0.2">
      <c r="B1016" s="1" t="s">
        <v>9</v>
      </c>
      <c r="C1016" s="2">
        <v>71</v>
      </c>
      <c r="D1016" s="2">
        <v>68</v>
      </c>
      <c r="E1016" s="2">
        <f t="shared" si="387"/>
        <v>3</v>
      </c>
      <c r="F1016" s="3">
        <f t="shared" si="388"/>
        <v>0.95774647887323938</v>
      </c>
      <c r="G1016" s="2">
        <v>9</v>
      </c>
      <c r="H1016" s="4">
        <f t="shared" si="386"/>
        <v>7.5555555555555554</v>
      </c>
      <c r="I1016" s="10">
        <v>46087</v>
      </c>
      <c r="J1016" s="17"/>
    </row>
    <row r="1017" spans="2:14" x14ac:dyDescent="0.2">
      <c r="B1017" s="5" t="s">
        <v>10</v>
      </c>
      <c r="C1017" s="6">
        <f>265+16+147</f>
        <v>428</v>
      </c>
      <c r="D1017" s="99">
        <f>191+16+147</f>
        <v>354</v>
      </c>
      <c r="E1017" s="2">
        <f t="shared" si="387"/>
        <v>74</v>
      </c>
      <c r="F1017" s="3">
        <f t="shared" si="388"/>
        <v>0.82710280373831779</v>
      </c>
      <c r="G1017" s="6">
        <v>12</v>
      </c>
      <c r="H1017" s="4">
        <f t="shared" si="386"/>
        <v>29.5</v>
      </c>
      <c r="I1017" s="10">
        <v>46087</v>
      </c>
      <c r="J1017" s="17"/>
    </row>
    <row r="1018" spans="2:14" x14ac:dyDescent="0.2">
      <c r="B1018" s="1" t="s">
        <v>11</v>
      </c>
      <c r="C1018" s="20">
        <v>876</v>
      </c>
      <c r="D1018" s="20">
        <v>749</v>
      </c>
      <c r="E1018" s="2">
        <f t="shared" si="387"/>
        <v>127</v>
      </c>
      <c r="F1018" s="3">
        <f t="shared" si="388"/>
        <v>0.85502283105022836</v>
      </c>
      <c r="G1018" s="6">
        <v>8</v>
      </c>
      <c r="H1018" s="4">
        <f t="shared" si="386"/>
        <v>93.625</v>
      </c>
      <c r="I1018" s="10">
        <v>46087</v>
      </c>
      <c r="J1018" s="17">
        <v>80</v>
      </c>
      <c r="K1018">
        <v>11</v>
      </c>
    </row>
    <row r="1019" spans="2:14" x14ac:dyDescent="0.2">
      <c r="B1019" s="5" t="s">
        <v>12</v>
      </c>
      <c r="C1019" s="20">
        <v>309</v>
      </c>
      <c r="D1019" s="20">
        <v>248</v>
      </c>
      <c r="E1019" s="2">
        <f t="shared" si="387"/>
        <v>61</v>
      </c>
      <c r="F1019" s="3">
        <f t="shared" si="388"/>
        <v>0.80258899676375406</v>
      </c>
      <c r="G1019" s="6">
        <v>21</v>
      </c>
      <c r="H1019" s="4">
        <f t="shared" si="386"/>
        <v>11.80952380952381</v>
      </c>
      <c r="I1019" s="10">
        <v>46087</v>
      </c>
      <c r="J1019" s="17"/>
    </row>
    <row r="1020" spans="2:14" x14ac:dyDescent="0.2">
      <c r="B1020" s="5" t="s">
        <v>17</v>
      </c>
      <c r="C1020" s="2">
        <v>283</v>
      </c>
      <c r="D1020" s="6">
        <v>279</v>
      </c>
      <c r="E1020" s="2">
        <f t="shared" si="387"/>
        <v>4</v>
      </c>
      <c r="F1020" s="3">
        <f t="shared" si="388"/>
        <v>0.98586572438162545</v>
      </c>
      <c r="G1020" s="6">
        <v>4</v>
      </c>
      <c r="H1020" s="4">
        <f t="shared" ref="H1020:H1027" si="389">D1020/G1020</f>
        <v>69.75</v>
      </c>
      <c r="I1020" s="10">
        <v>46087</v>
      </c>
      <c r="J1020" s="17"/>
      <c r="L1020">
        <v>8</v>
      </c>
      <c r="N1020">
        <v>26</v>
      </c>
    </row>
    <row r="1021" spans="2:14" x14ac:dyDescent="0.2">
      <c r="B1021" s="5" t="s">
        <v>50</v>
      </c>
      <c r="C1021" s="2">
        <v>297</v>
      </c>
      <c r="D1021" s="6">
        <v>271</v>
      </c>
      <c r="E1021" s="2">
        <f t="shared" si="387"/>
        <v>26</v>
      </c>
      <c r="F1021" s="3">
        <f t="shared" si="388"/>
        <v>0.91245791245791241</v>
      </c>
      <c r="G1021" s="6">
        <v>2</v>
      </c>
      <c r="H1021" s="4">
        <f t="shared" si="389"/>
        <v>135.5</v>
      </c>
      <c r="I1021" s="10">
        <v>46087</v>
      </c>
      <c r="J1021" s="17"/>
    </row>
    <row r="1022" spans="2:14" x14ac:dyDescent="0.2">
      <c r="B1022" s="1" t="s">
        <v>7</v>
      </c>
      <c r="C1022" s="20">
        <v>279</v>
      </c>
      <c r="D1022" s="20">
        <v>273</v>
      </c>
      <c r="E1022" s="20">
        <f t="shared" ref="E1022:E1029" si="390">C1022-D1022</f>
        <v>6</v>
      </c>
      <c r="F1022" s="3">
        <f t="shared" ref="F1022:F1029" si="391">D1022/C1022</f>
        <v>0.978494623655914</v>
      </c>
      <c r="G1022" s="2">
        <v>3</v>
      </c>
      <c r="H1022" s="4">
        <f t="shared" si="389"/>
        <v>91</v>
      </c>
      <c r="I1022" s="10">
        <v>46090</v>
      </c>
      <c r="J1022" s="17">
        <v>8</v>
      </c>
      <c r="M1022">
        <v>8</v>
      </c>
    </row>
    <row r="1023" spans="2:14" x14ac:dyDescent="0.2">
      <c r="B1023" s="5" t="s">
        <v>8</v>
      </c>
      <c r="C1023" s="6">
        <v>191</v>
      </c>
      <c r="D1023" s="6">
        <v>169</v>
      </c>
      <c r="E1023" s="2">
        <f t="shared" si="390"/>
        <v>22</v>
      </c>
      <c r="F1023" s="3">
        <f t="shared" si="391"/>
        <v>0.88481675392670156</v>
      </c>
      <c r="G1023" s="2">
        <v>9</v>
      </c>
      <c r="H1023" s="4">
        <f t="shared" si="389"/>
        <v>18.777777777777779</v>
      </c>
      <c r="I1023" s="10">
        <v>46090</v>
      </c>
      <c r="J1023" s="17">
        <v>1</v>
      </c>
      <c r="N1023">
        <v>50</v>
      </c>
    </row>
    <row r="1024" spans="2:14" x14ac:dyDescent="0.2">
      <c r="B1024" s="1" t="s">
        <v>9</v>
      </c>
      <c r="C1024" s="2">
        <v>58</v>
      </c>
      <c r="D1024" s="2">
        <v>56</v>
      </c>
      <c r="E1024" s="2">
        <f t="shared" si="390"/>
        <v>2</v>
      </c>
      <c r="F1024" s="3">
        <f t="shared" si="391"/>
        <v>0.96551724137931039</v>
      </c>
      <c r="G1024" s="2">
        <v>9</v>
      </c>
      <c r="H1024" s="4">
        <f t="shared" si="389"/>
        <v>6.2222222222222223</v>
      </c>
      <c r="I1024" s="10">
        <v>46090</v>
      </c>
      <c r="J1024" s="17"/>
    </row>
    <row r="1025" spans="2:14" x14ac:dyDescent="0.2">
      <c r="B1025" s="5" t="s">
        <v>10</v>
      </c>
      <c r="C1025" s="6">
        <f>582+37+129</f>
        <v>748</v>
      </c>
      <c r="D1025" s="99">
        <f>18+218</f>
        <v>236</v>
      </c>
      <c r="E1025" s="2">
        <f t="shared" si="390"/>
        <v>512</v>
      </c>
      <c r="F1025" s="3">
        <f t="shared" si="391"/>
        <v>0.31550802139037432</v>
      </c>
      <c r="G1025" s="6">
        <v>11</v>
      </c>
      <c r="H1025" s="4">
        <f t="shared" si="389"/>
        <v>21.454545454545453</v>
      </c>
      <c r="I1025" s="10">
        <v>46090</v>
      </c>
      <c r="J1025" s="17">
        <v>1</v>
      </c>
    </row>
    <row r="1026" spans="2:14" x14ac:dyDescent="0.2">
      <c r="B1026" s="1" t="s">
        <v>11</v>
      </c>
      <c r="C1026" s="20">
        <v>975</v>
      </c>
      <c r="D1026" s="20">
        <v>823</v>
      </c>
      <c r="E1026" s="2">
        <f t="shared" si="390"/>
        <v>152</v>
      </c>
      <c r="F1026" s="3">
        <f t="shared" si="391"/>
        <v>0.84410256410256412</v>
      </c>
      <c r="G1026" s="6">
        <v>10</v>
      </c>
      <c r="H1026" s="4">
        <f t="shared" si="389"/>
        <v>82.3</v>
      </c>
      <c r="I1026" s="10">
        <v>46090</v>
      </c>
      <c r="J1026" s="17">
        <v>6</v>
      </c>
      <c r="K1026">
        <v>11</v>
      </c>
    </row>
    <row r="1027" spans="2:14" x14ac:dyDescent="0.2">
      <c r="B1027" s="5" t="s">
        <v>12</v>
      </c>
      <c r="C1027" s="20">
        <v>274</v>
      </c>
      <c r="D1027" s="20">
        <v>238</v>
      </c>
      <c r="E1027" s="2">
        <f t="shared" si="390"/>
        <v>36</v>
      </c>
      <c r="F1027" s="3">
        <f t="shared" si="391"/>
        <v>0.86861313868613144</v>
      </c>
      <c r="G1027" s="6">
        <v>22</v>
      </c>
      <c r="H1027" s="4">
        <f t="shared" si="389"/>
        <v>10.818181818181818</v>
      </c>
      <c r="I1027" s="10">
        <v>46090</v>
      </c>
      <c r="J1027" s="17"/>
    </row>
    <row r="1028" spans="2:14" x14ac:dyDescent="0.2">
      <c r="B1028" s="5" t="s">
        <v>17</v>
      </c>
      <c r="C1028" s="2">
        <v>1902</v>
      </c>
      <c r="D1028" s="6">
        <v>1681</v>
      </c>
      <c r="E1028" s="2">
        <f t="shared" si="390"/>
        <v>221</v>
      </c>
      <c r="F1028" s="3">
        <f t="shared" si="391"/>
        <v>0.8838065194532071</v>
      </c>
      <c r="G1028" s="6">
        <v>5</v>
      </c>
      <c r="H1028" s="4">
        <f t="shared" ref="H1028:H1035" si="392">D1028/G1028</f>
        <v>336.2</v>
      </c>
      <c r="I1028" s="10">
        <v>46090</v>
      </c>
      <c r="J1028" s="17"/>
      <c r="L1028">
        <v>4</v>
      </c>
      <c r="N1028">
        <v>12</v>
      </c>
    </row>
    <row r="1029" spans="2:14" x14ac:dyDescent="0.2">
      <c r="B1029" s="5" t="s">
        <v>50</v>
      </c>
      <c r="C1029" s="2">
        <v>304</v>
      </c>
      <c r="D1029" s="6">
        <v>303</v>
      </c>
      <c r="E1029" s="2">
        <f t="shared" si="390"/>
        <v>1</v>
      </c>
      <c r="F1029" s="3">
        <f t="shared" si="391"/>
        <v>0.99671052631578949</v>
      </c>
      <c r="G1029" s="6">
        <v>2</v>
      </c>
      <c r="H1029" s="4">
        <f t="shared" si="392"/>
        <v>151.5</v>
      </c>
      <c r="I1029" s="10">
        <v>46090</v>
      </c>
      <c r="J1029" s="17"/>
    </row>
    <row r="1030" spans="2:14" x14ac:dyDescent="0.2">
      <c r="B1030" s="1" t="s">
        <v>7</v>
      </c>
      <c r="C1030" s="20">
        <v>1732</v>
      </c>
      <c r="D1030" s="20">
        <v>1730</v>
      </c>
      <c r="E1030" s="20">
        <f t="shared" ref="E1030:E1037" si="393">C1030-D1030</f>
        <v>2</v>
      </c>
      <c r="F1030" s="3">
        <f t="shared" ref="F1030:F1037" si="394">D1030/C1030</f>
        <v>0.99884526558891451</v>
      </c>
      <c r="G1030" s="2">
        <v>5</v>
      </c>
      <c r="H1030" s="4">
        <f t="shared" si="392"/>
        <v>346</v>
      </c>
      <c r="I1030" s="10">
        <v>46091</v>
      </c>
      <c r="J1030" s="17"/>
      <c r="M1030">
        <v>3</v>
      </c>
    </row>
    <row r="1031" spans="2:14" x14ac:dyDescent="0.2">
      <c r="B1031" s="5" t="s">
        <v>8</v>
      </c>
      <c r="C1031" s="6">
        <v>265</v>
      </c>
      <c r="D1031" s="6">
        <v>173</v>
      </c>
      <c r="E1031" s="2">
        <f t="shared" si="393"/>
        <v>92</v>
      </c>
      <c r="F1031" s="3">
        <f t="shared" si="394"/>
        <v>0.65283018867924525</v>
      </c>
      <c r="G1031" s="2">
        <v>9</v>
      </c>
      <c r="H1031" s="4">
        <f t="shared" si="392"/>
        <v>19.222222222222221</v>
      </c>
      <c r="I1031" s="10">
        <v>46091</v>
      </c>
      <c r="J1031" s="17">
        <v>2</v>
      </c>
      <c r="N1031">
        <v>51</v>
      </c>
    </row>
    <row r="1032" spans="2:14" x14ac:dyDescent="0.2">
      <c r="B1032" s="1" t="s">
        <v>9</v>
      </c>
      <c r="C1032" s="2">
        <v>58</v>
      </c>
      <c r="D1032" s="2">
        <v>50</v>
      </c>
      <c r="E1032" s="2">
        <f t="shared" si="393"/>
        <v>8</v>
      </c>
      <c r="F1032" s="3">
        <f t="shared" si="394"/>
        <v>0.86206896551724133</v>
      </c>
      <c r="G1032" s="2">
        <v>9</v>
      </c>
      <c r="H1032" s="4">
        <f t="shared" si="392"/>
        <v>5.5555555555555554</v>
      </c>
      <c r="I1032" s="10">
        <v>46091</v>
      </c>
      <c r="J1032" s="17"/>
    </row>
    <row r="1033" spans="2:14" x14ac:dyDescent="0.2">
      <c r="B1033" s="5" t="s">
        <v>10</v>
      </c>
      <c r="C1033" s="6">
        <f>397+282</f>
        <v>679</v>
      </c>
      <c r="D1033" s="99">
        <f>232+240</f>
        <v>472</v>
      </c>
      <c r="E1033" s="2">
        <f t="shared" si="393"/>
        <v>207</v>
      </c>
      <c r="F1033" s="3">
        <f t="shared" si="394"/>
        <v>0.69513991163475697</v>
      </c>
      <c r="G1033" s="6">
        <v>11</v>
      </c>
      <c r="H1033" s="4">
        <f t="shared" si="392"/>
        <v>42.909090909090907</v>
      </c>
      <c r="I1033" s="10">
        <v>46091</v>
      </c>
      <c r="J1033" s="17">
        <v>8</v>
      </c>
    </row>
    <row r="1034" spans="2:14" x14ac:dyDescent="0.2">
      <c r="B1034" s="1" t="s">
        <v>11</v>
      </c>
      <c r="C1034" s="20">
        <v>697</v>
      </c>
      <c r="D1034" s="20">
        <v>535</v>
      </c>
      <c r="E1034" s="2">
        <f t="shared" si="393"/>
        <v>162</v>
      </c>
      <c r="F1034" s="3">
        <f t="shared" si="394"/>
        <v>0.76757532281205165</v>
      </c>
      <c r="G1034" s="6">
        <v>9</v>
      </c>
      <c r="H1034" s="4">
        <f t="shared" si="392"/>
        <v>59.444444444444443</v>
      </c>
      <c r="I1034" s="10">
        <v>46091</v>
      </c>
      <c r="J1034" s="17">
        <v>6</v>
      </c>
      <c r="K1034">
        <v>13</v>
      </c>
    </row>
    <row r="1035" spans="2:14" x14ac:dyDescent="0.2">
      <c r="B1035" s="5" t="s">
        <v>12</v>
      </c>
      <c r="C1035" s="20">
        <v>242</v>
      </c>
      <c r="D1035" s="20">
        <f>197+14</f>
        <v>211</v>
      </c>
      <c r="E1035" s="2">
        <f t="shared" si="393"/>
        <v>31</v>
      </c>
      <c r="F1035" s="3">
        <f t="shared" si="394"/>
        <v>0.87190082644628097</v>
      </c>
      <c r="G1035" s="6">
        <v>20</v>
      </c>
      <c r="H1035" s="4">
        <f t="shared" si="392"/>
        <v>10.55</v>
      </c>
      <c r="I1035" s="10">
        <v>46091</v>
      </c>
      <c r="J1035" s="17"/>
    </row>
    <row r="1036" spans="2:14" x14ac:dyDescent="0.2">
      <c r="B1036" s="5" t="s">
        <v>17</v>
      </c>
      <c r="C1036" s="2">
        <v>323</v>
      </c>
      <c r="D1036" s="6">
        <v>319</v>
      </c>
      <c r="E1036" s="2">
        <f t="shared" si="393"/>
        <v>4</v>
      </c>
      <c r="F1036" s="3">
        <f t="shared" si="394"/>
        <v>0.9876160990712074</v>
      </c>
      <c r="G1036" s="6">
        <v>5</v>
      </c>
      <c r="H1036" s="4">
        <f t="shared" ref="H1036:H1043" si="395">D1036/G1036</f>
        <v>63.8</v>
      </c>
      <c r="I1036" s="10">
        <v>46091</v>
      </c>
      <c r="J1036" s="17"/>
      <c r="L1036">
        <v>13</v>
      </c>
      <c r="N1036">
        <v>12</v>
      </c>
    </row>
    <row r="1037" spans="2:14" x14ac:dyDescent="0.2">
      <c r="B1037" s="5" t="s">
        <v>50</v>
      </c>
      <c r="C1037" s="2">
        <v>824</v>
      </c>
      <c r="D1037" s="6">
        <v>433</v>
      </c>
      <c r="E1037" s="2">
        <f t="shared" si="393"/>
        <v>391</v>
      </c>
      <c r="F1037" s="3">
        <f t="shared" si="394"/>
        <v>0.52548543689320393</v>
      </c>
      <c r="G1037" s="6">
        <v>2</v>
      </c>
      <c r="H1037" s="4">
        <f t="shared" si="395"/>
        <v>216.5</v>
      </c>
      <c r="I1037" s="10">
        <v>46091</v>
      </c>
      <c r="J1037" s="17"/>
    </row>
    <row r="1038" spans="2:14" x14ac:dyDescent="0.2">
      <c r="B1038" s="1" t="s">
        <v>7</v>
      </c>
      <c r="C1038" s="20">
        <v>290</v>
      </c>
      <c r="D1038" s="20">
        <v>290</v>
      </c>
      <c r="E1038" s="20">
        <f t="shared" ref="E1038:E1045" si="396">C1038-D1038</f>
        <v>0</v>
      </c>
      <c r="F1038" s="3">
        <f t="shared" ref="F1038:F1045" si="397">D1038/C1038</f>
        <v>1</v>
      </c>
      <c r="G1038" s="2">
        <v>3</v>
      </c>
      <c r="H1038" s="4">
        <f t="shared" si="395"/>
        <v>96.666666666666671</v>
      </c>
      <c r="I1038" s="10">
        <v>46092</v>
      </c>
      <c r="J1038" s="17">
        <v>2</v>
      </c>
      <c r="M1038">
        <v>11</v>
      </c>
    </row>
    <row r="1039" spans="2:14" x14ac:dyDescent="0.2">
      <c r="B1039" s="5" t="s">
        <v>8</v>
      </c>
      <c r="C1039" s="6">
        <v>834</v>
      </c>
      <c r="D1039" s="6">
        <v>805</v>
      </c>
      <c r="E1039" s="2">
        <f t="shared" si="396"/>
        <v>29</v>
      </c>
      <c r="F1039" s="3">
        <f t="shared" si="397"/>
        <v>0.96522781774580335</v>
      </c>
      <c r="G1039" s="2">
        <v>9</v>
      </c>
      <c r="H1039" s="4">
        <f t="shared" si="395"/>
        <v>89.444444444444443</v>
      </c>
      <c r="I1039" s="10">
        <v>46092</v>
      </c>
      <c r="J1039" s="17"/>
      <c r="N1039">
        <v>67</v>
      </c>
    </row>
    <row r="1040" spans="2:14" x14ac:dyDescent="0.2">
      <c r="B1040" s="1" t="s">
        <v>9</v>
      </c>
      <c r="C1040" s="2">
        <v>90</v>
      </c>
      <c r="D1040" s="2">
        <v>44</v>
      </c>
      <c r="E1040" s="2">
        <f t="shared" si="396"/>
        <v>46</v>
      </c>
      <c r="F1040" s="3">
        <f t="shared" si="397"/>
        <v>0.48888888888888887</v>
      </c>
      <c r="G1040" s="2">
        <v>9</v>
      </c>
      <c r="H1040" s="4">
        <f t="shared" si="395"/>
        <v>4.8888888888888893</v>
      </c>
      <c r="I1040" s="10">
        <v>46092</v>
      </c>
      <c r="J1040" s="17"/>
    </row>
    <row r="1041" spans="2:14" x14ac:dyDescent="0.2">
      <c r="B1041" s="5" t="s">
        <v>10</v>
      </c>
      <c r="C1041" s="6">
        <f>1206+123</f>
        <v>1329</v>
      </c>
      <c r="D1041" s="99">
        <v>394</v>
      </c>
      <c r="E1041" s="2">
        <f t="shared" si="396"/>
        <v>935</v>
      </c>
      <c r="F1041" s="3">
        <f t="shared" si="397"/>
        <v>0.29646350639578628</v>
      </c>
      <c r="G1041" s="6">
        <v>10</v>
      </c>
      <c r="H1041" s="4">
        <f t="shared" si="395"/>
        <v>39.4</v>
      </c>
      <c r="I1041" s="10">
        <v>46092</v>
      </c>
      <c r="J1041" s="17">
        <v>1</v>
      </c>
    </row>
    <row r="1042" spans="2:14" x14ac:dyDescent="0.2">
      <c r="B1042" s="1" t="s">
        <v>11</v>
      </c>
      <c r="C1042" s="20">
        <v>576</v>
      </c>
      <c r="D1042" s="20">
        <v>572</v>
      </c>
      <c r="E1042" s="2">
        <f t="shared" si="396"/>
        <v>4</v>
      </c>
      <c r="F1042" s="3">
        <f t="shared" si="397"/>
        <v>0.99305555555555558</v>
      </c>
      <c r="G1042" s="6">
        <v>10</v>
      </c>
      <c r="H1042" s="4">
        <f t="shared" si="395"/>
        <v>57.2</v>
      </c>
      <c r="I1042" s="10">
        <v>46092</v>
      </c>
      <c r="J1042" s="17">
        <v>16</v>
      </c>
      <c r="K1042">
        <v>8</v>
      </c>
    </row>
    <row r="1043" spans="2:14" x14ac:dyDescent="0.2">
      <c r="B1043" s="5" t="s">
        <v>12</v>
      </c>
      <c r="C1043" s="20">
        <v>101</v>
      </c>
      <c r="D1043" s="20">
        <v>90</v>
      </c>
      <c r="E1043" s="2">
        <f t="shared" si="396"/>
        <v>11</v>
      </c>
      <c r="F1043" s="3">
        <f t="shared" si="397"/>
        <v>0.8910891089108911</v>
      </c>
      <c r="G1043" s="6">
        <v>20</v>
      </c>
      <c r="H1043" s="4">
        <f t="shared" si="395"/>
        <v>4.5</v>
      </c>
      <c r="I1043" s="10">
        <v>46092</v>
      </c>
      <c r="J1043" s="17">
        <v>1</v>
      </c>
    </row>
    <row r="1044" spans="2:14" x14ac:dyDescent="0.2">
      <c r="B1044" s="5" t="s">
        <v>17</v>
      </c>
      <c r="C1044" s="2">
        <v>744</v>
      </c>
      <c r="D1044" s="6">
        <v>723</v>
      </c>
      <c r="E1044" s="2">
        <f t="shared" si="396"/>
        <v>21</v>
      </c>
      <c r="F1044" s="3">
        <f t="shared" si="397"/>
        <v>0.97177419354838712</v>
      </c>
      <c r="G1044" s="6">
        <v>5</v>
      </c>
      <c r="H1044" s="4">
        <f t="shared" ref="H1044:H1051" si="398">D1044/G1044</f>
        <v>144.6</v>
      </c>
      <c r="I1044" s="10">
        <v>46092</v>
      </c>
      <c r="J1044" s="17"/>
      <c r="L1044">
        <v>14</v>
      </c>
      <c r="N1044">
        <v>49</v>
      </c>
    </row>
    <row r="1045" spans="2:14" x14ac:dyDescent="0.2">
      <c r="B1045" s="5" t="s">
        <v>50</v>
      </c>
      <c r="C1045" s="2">
        <v>190</v>
      </c>
      <c r="D1045" s="6">
        <v>118</v>
      </c>
      <c r="E1045" s="2">
        <f t="shared" si="396"/>
        <v>72</v>
      </c>
      <c r="F1045" s="3">
        <f t="shared" si="397"/>
        <v>0.62105263157894741</v>
      </c>
      <c r="G1045" s="6">
        <v>2</v>
      </c>
      <c r="H1045" s="4">
        <f t="shared" si="398"/>
        <v>59</v>
      </c>
      <c r="I1045" s="10">
        <v>46092</v>
      </c>
      <c r="J1045" s="17"/>
    </row>
    <row r="1046" spans="2:14" x14ac:dyDescent="0.2">
      <c r="B1046" s="1" t="s">
        <v>7</v>
      </c>
      <c r="C1046" s="20">
        <v>654</v>
      </c>
      <c r="D1046" s="20">
        <v>645</v>
      </c>
      <c r="E1046" s="20">
        <f t="shared" ref="E1046:E1053" si="399">C1046-D1046</f>
        <v>9</v>
      </c>
      <c r="F1046" s="3">
        <f t="shared" ref="F1046:F1053" si="400">D1046/C1046</f>
        <v>0.98623853211009171</v>
      </c>
      <c r="G1046" s="2">
        <v>5</v>
      </c>
      <c r="H1046" s="4">
        <f t="shared" si="398"/>
        <v>129</v>
      </c>
      <c r="I1046" s="10">
        <v>46093</v>
      </c>
      <c r="J1046" s="17"/>
      <c r="M1046">
        <v>11</v>
      </c>
    </row>
    <row r="1047" spans="2:14" x14ac:dyDescent="0.2">
      <c r="B1047" s="5" t="s">
        <v>8</v>
      </c>
      <c r="C1047" s="6">
        <v>914</v>
      </c>
      <c r="D1047" s="6">
        <v>883</v>
      </c>
      <c r="E1047" s="2">
        <f t="shared" si="399"/>
        <v>31</v>
      </c>
      <c r="F1047" s="3">
        <f t="shared" si="400"/>
        <v>0.96608315098468267</v>
      </c>
      <c r="G1047" s="2">
        <v>8</v>
      </c>
      <c r="H1047" s="4">
        <f t="shared" si="398"/>
        <v>110.375</v>
      </c>
      <c r="I1047" s="10">
        <v>46093</v>
      </c>
      <c r="J1047" s="17">
        <v>2</v>
      </c>
      <c r="N1047">
        <v>112</v>
      </c>
    </row>
    <row r="1048" spans="2:14" x14ac:dyDescent="0.2">
      <c r="B1048" s="1" t="s">
        <v>9</v>
      </c>
      <c r="C1048" s="2">
        <v>245</v>
      </c>
      <c r="D1048" s="2">
        <v>23</v>
      </c>
      <c r="E1048" s="2">
        <f t="shared" si="399"/>
        <v>222</v>
      </c>
      <c r="F1048" s="3">
        <f t="shared" si="400"/>
        <v>9.3877551020408165E-2</v>
      </c>
      <c r="G1048" s="2">
        <v>9</v>
      </c>
      <c r="H1048" s="4">
        <f t="shared" si="398"/>
        <v>2.5555555555555554</v>
      </c>
      <c r="I1048" s="10">
        <v>46093</v>
      </c>
      <c r="J1048" s="17"/>
    </row>
    <row r="1049" spans="2:14" x14ac:dyDescent="0.2">
      <c r="B1049" s="5" t="s">
        <v>10</v>
      </c>
      <c r="C1049" s="6">
        <f>282+414</f>
        <v>696</v>
      </c>
      <c r="D1049" s="99">
        <f>212+133</f>
        <v>345</v>
      </c>
      <c r="E1049" s="2">
        <f t="shared" si="399"/>
        <v>351</v>
      </c>
      <c r="F1049" s="3">
        <f t="shared" si="400"/>
        <v>0.49568965517241381</v>
      </c>
      <c r="G1049" s="6">
        <v>11</v>
      </c>
      <c r="H1049" s="4">
        <f t="shared" si="398"/>
        <v>31.363636363636363</v>
      </c>
      <c r="I1049" s="10">
        <v>46093</v>
      </c>
      <c r="J1049" s="17">
        <v>6</v>
      </c>
    </row>
    <row r="1050" spans="2:14" x14ac:dyDescent="0.2">
      <c r="B1050" s="1" t="s">
        <v>11</v>
      </c>
      <c r="C1050" s="20">
        <v>379</v>
      </c>
      <c r="D1050" s="20">
        <v>288</v>
      </c>
      <c r="E1050" s="2">
        <f t="shared" si="399"/>
        <v>91</v>
      </c>
      <c r="F1050" s="3">
        <f t="shared" si="400"/>
        <v>0.75989445910290232</v>
      </c>
      <c r="G1050" s="6">
        <v>10</v>
      </c>
      <c r="H1050" s="4">
        <f t="shared" si="398"/>
        <v>28.8</v>
      </c>
      <c r="I1050" s="10">
        <v>46093</v>
      </c>
      <c r="J1050" s="17">
        <v>135</v>
      </c>
      <c r="K1050">
        <v>12</v>
      </c>
    </row>
    <row r="1051" spans="2:14" x14ac:dyDescent="0.2">
      <c r="B1051" s="5" t="s">
        <v>12</v>
      </c>
      <c r="C1051" s="20">
        <v>240</v>
      </c>
      <c r="D1051" s="20">
        <v>188</v>
      </c>
      <c r="E1051" s="2">
        <f t="shared" si="399"/>
        <v>52</v>
      </c>
      <c r="F1051" s="3">
        <f t="shared" si="400"/>
        <v>0.78333333333333333</v>
      </c>
      <c r="G1051" s="6">
        <v>20</v>
      </c>
      <c r="H1051" s="4">
        <f t="shared" si="398"/>
        <v>9.4</v>
      </c>
      <c r="I1051" s="10">
        <v>46093</v>
      </c>
      <c r="J1051" s="17"/>
    </row>
    <row r="1052" spans="2:14" x14ac:dyDescent="0.2">
      <c r="B1052" s="5" t="s">
        <v>17</v>
      </c>
      <c r="C1052" s="2">
        <v>341</v>
      </c>
      <c r="D1052" s="6">
        <v>341</v>
      </c>
      <c r="E1052" s="2">
        <f t="shared" si="399"/>
        <v>0</v>
      </c>
      <c r="F1052" s="3">
        <f t="shared" si="400"/>
        <v>1</v>
      </c>
      <c r="G1052" s="6">
        <v>5</v>
      </c>
      <c r="H1052" s="4">
        <f t="shared" ref="H1052:H1059" si="401">D1052/G1052</f>
        <v>68.2</v>
      </c>
      <c r="I1052" s="10">
        <v>46093</v>
      </c>
      <c r="J1052" s="17"/>
      <c r="L1052">
        <v>15</v>
      </c>
      <c r="N1052">
        <v>44</v>
      </c>
    </row>
    <row r="1053" spans="2:14" x14ac:dyDescent="0.2">
      <c r="B1053" s="5" t="s">
        <v>50</v>
      </c>
      <c r="C1053" s="2">
        <v>456</v>
      </c>
      <c r="D1053" s="6">
        <v>444</v>
      </c>
      <c r="E1053" s="2">
        <f t="shared" si="399"/>
        <v>12</v>
      </c>
      <c r="F1053" s="3">
        <f t="shared" si="400"/>
        <v>0.97368421052631582</v>
      </c>
      <c r="G1053" s="6">
        <v>2</v>
      </c>
      <c r="H1053" s="4">
        <f t="shared" si="401"/>
        <v>222</v>
      </c>
      <c r="I1053" s="10">
        <v>46093</v>
      </c>
      <c r="J1053" s="17"/>
    </row>
    <row r="1054" spans="2:14" x14ac:dyDescent="0.2">
      <c r="B1054" s="1" t="s">
        <v>7</v>
      </c>
      <c r="C1054" s="20">
        <v>234</v>
      </c>
      <c r="D1054" s="20">
        <v>175</v>
      </c>
      <c r="E1054" s="20">
        <f t="shared" ref="E1054:E1061" si="402">C1054-D1054</f>
        <v>59</v>
      </c>
      <c r="F1054" s="3">
        <f t="shared" ref="F1054:F1061" si="403">D1054/C1054</f>
        <v>0.74786324786324787</v>
      </c>
      <c r="G1054" s="2">
        <v>5</v>
      </c>
      <c r="H1054" s="4">
        <f t="shared" si="401"/>
        <v>35</v>
      </c>
      <c r="I1054" s="10">
        <v>46094</v>
      </c>
      <c r="J1054" s="17">
        <v>1</v>
      </c>
      <c r="M1054">
        <v>12</v>
      </c>
    </row>
    <row r="1055" spans="2:14" x14ac:dyDescent="0.2">
      <c r="B1055" s="5" t="s">
        <v>8</v>
      </c>
      <c r="C1055" s="6">
        <v>699</v>
      </c>
      <c r="D1055" s="6">
        <v>303</v>
      </c>
      <c r="E1055" s="2">
        <f t="shared" si="402"/>
        <v>396</v>
      </c>
      <c r="F1055" s="3">
        <f t="shared" si="403"/>
        <v>0.4334763948497854</v>
      </c>
      <c r="G1055" s="2">
        <v>8</v>
      </c>
      <c r="H1055" s="4">
        <f t="shared" si="401"/>
        <v>37.875</v>
      </c>
      <c r="I1055" s="10">
        <v>46094</v>
      </c>
      <c r="J1055" s="17">
        <v>2</v>
      </c>
      <c r="N1055">
        <v>199</v>
      </c>
    </row>
    <row r="1056" spans="2:14" x14ac:dyDescent="0.2">
      <c r="B1056" s="1" t="s">
        <v>9</v>
      </c>
      <c r="C1056" s="2">
        <v>202</v>
      </c>
      <c r="D1056" s="2">
        <v>94</v>
      </c>
      <c r="E1056" s="2">
        <f t="shared" si="402"/>
        <v>108</v>
      </c>
      <c r="F1056" s="3">
        <f t="shared" si="403"/>
        <v>0.46534653465346537</v>
      </c>
      <c r="G1056" s="2">
        <v>9</v>
      </c>
      <c r="H1056" s="4">
        <f t="shared" si="401"/>
        <v>10.444444444444445</v>
      </c>
      <c r="I1056" s="10">
        <v>46094</v>
      </c>
      <c r="J1056" s="17"/>
    </row>
    <row r="1057" spans="2:14" x14ac:dyDescent="0.2">
      <c r="B1057" s="5" t="s">
        <v>10</v>
      </c>
      <c r="C1057" s="6">
        <f>548+184</f>
        <v>732</v>
      </c>
      <c r="D1057" s="99">
        <f>373+164</f>
        <v>537</v>
      </c>
      <c r="E1057" s="2">
        <f t="shared" si="402"/>
        <v>195</v>
      </c>
      <c r="F1057" s="3">
        <f t="shared" si="403"/>
        <v>0.73360655737704916</v>
      </c>
      <c r="G1057" s="6">
        <v>11</v>
      </c>
      <c r="H1057" s="4">
        <f t="shared" si="401"/>
        <v>48.81818181818182</v>
      </c>
      <c r="I1057" s="10">
        <v>46094</v>
      </c>
      <c r="J1057" s="17">
        <v>2</v>
      </c>
    </row>
    <row r="1058" spans="2:14" x14ac:dyDescent="0.2">
      <c r="B1058" s="1" t="s">
        <v>11</v>
      </c>
      <c r="C1058" s="20">
        <v>818</v>
      </c>
      <c r="D1058" s="20">
        <v>639</v>
      </c>
      <c r="E1058" s="2">
        <f t="shared" si="402"/>
        <v>179</v>
      </c>
      <c r="F1058" s="3">
        <f t="shared" si="403"/>
        <v>0.78117359413202936</v>
      </c>
      <c r="G1058" s="6">
        <v>10</v>
      </c>
      <c r="H1058" s="4">
        <f t="shared" si="401"/>
        <v>63.9</v>
      </c>
      <c r="I1058" s="10">
        <v>46094</v>
      </c>
      <c r="J1058" s="17">
        <v>12</v>
      </c>
      <c r="K1058">
        <v>10</v>
      </c>
    </row>
    <row r="1059" spans="2:14" x14ac:dyDescent="0.2">
      <c r="B1059" s="5" t="s">
        <v>12</v>
      </c>
      <c r="C1059" s="20">
        <v>81</v>
      </c>
      <c r="D1059" s="20">
        <v>81</v>
      </c>
      <c r="E1059" s="2">
        <f t="shared" si="402"/>
        <v>0</v>
      </c>
      <c r="F1059" s="3">
        <f t="shared" si="403"/>
        <v>1</v>
      </c>
      <c r="G1059" s="6">
        <v>20</v>
      </c>
      <c r="H1059" s="4">
        <f t="shared" si="401"/>
        <v>4.05</v>
      </c>
      <c r="I1059" s="10">
        <v>46094</v>
      </c>
      <c r="J1059" s="17">
        <v>1</v>
      </c>
    </row>
    <row r="1060" spans="2:14" x14ac:dyDescent="0.2">
      <c r="B1060" s="5" t="s">
        <v>17</v>
      </c>
      <c r="C1060" s="2">
        <v>1</v>
      </c>
      <c r="D1060" s="6">
        <v>1</v>
      </c>
      <c r="E1060" s="2">
        <f t="shared" si="402"/>
        <v>0</v>
      </c>
      <c r="F1060" s="3">
        <f t="shared" si="403"/>
        <v>1</v>
      </c>
      <c r="G1060" s="6">
        <v>5</v>
      </c>
      <c r="H1060" s="4">
        <f t="shared" ref="H1060:H1067" si="404">D1060/G1060</f>
        <v>0.2</v>
      </c>
      <c r="I1060" s="10">
        <v>46094</v>
      </c>
      <c r="J1060" s="17"/>
      <c r="L1060">
        <v>1</v>
      </c>
      <c r="N1060">
        <v>1</v>
      </c>
    </row>
    <row r="1061" spans="2:14" x14ac:dyDescent="0.2">
      <c r="B1061" s="5" t="s">
        <v>50</v>
      </c>
      <c r="C1061" s="2">
        <v>807</v>
      </c>
      <c r="D1061" s="6">
        <v>757</v>
      </c>
      <c r="E1061" s="2">
        <f t="shared" si="402"/>
        <v>50</v>
      </c>
      <c r="F1061" s="3">
        <f t="shared" si="403"/>
        <v>0.93804213135068149</v>
      </c>
      <c r="G1061" s="6">
        <v>2</v>
      </c>
      <c r="H1061" s="4">
        <f t="shared" si="404"/>
        <v>378.5</v>
      </c>
      <c r="I1061" s="10">
        <v>46094</v>
      </c>
      <c r="J1061" s="17"/>
    </row>
    <row r="1062" spans="2:14" x14ac:dyDescent="0.2">
      <c r="B1062" s="1" t="s">
        <v>7</v>
      </c>
      <c r="C1062" s="20">
        <v>552</v>
      </c>
      <c r="D1062" s="20">
        <v>0</v>
      </c>
      <c r="E1062" s="20">
        <f t="shared" ref="E1062:E1069" si="405">C1062-D1062</f>
        <v>552</v>
      </c>
      <c r="F1062" s="3">
        <f t="shared" ref="F1062:F1069" si="406">D1062/C1062</f>
        <v>0</v>
      </c>
      <c r="G1062" s="2">
        <v>4</v>
      </c>
      <c r="H1062" s="4">
        <f t="shared" si="404"/>
        <v>0</v>
      </c>
      <c r="I1062" s="10">
        <v>46097</v>
      </c>
      <c r="J1062" s="17"/>
      <c r="M1062">
        <v>1</v>
      </c>
    </row>
    <row r="1063" spans="2:14" x14ac:dyDescent="0.2">
      <c r="B1063" s="5" t="s">
        <v>8</v>
      </c>
      <c r="C1063" s="6">
        <v>333</v>
      </c>
      <c r="D1063" s="6">
        <v>137</v>
      </c>
      <c r="E1063" s="2">
        <f t="shared" si="405"/>
        <v>196</v>
      </c>
      <c r="F1063" s="3">
        <f t="shared" si="406"/>
        <v>0.41141141141141141</v>
      </c>
      <c r="G1063" s="2">
        <v>7</v>
      </c>
      <c r="H1063" s="4">
        <f t="shared" si="404"/>
        <v>19.571428571428573</v>
      </c>
      <c r="I1063" s="10">
        <v>46097</v>
      </c>
      <c r="J1063" s="17">
        <v>3</v>
      </c>
      <c r="N1063">
        <v>79</v>
      </c>
    </row>
    <row r="1064" spans="2:14" x14ac:dyDescent="0.2">
      <c r="B1064" s="1" t="s">
        <v>9</v>
      </c>
      <c r="C1064" s="2">
        <v>41</v>
      </c>
      <c r="D1064" s="2">
        <v>41</v>
      </c>
      <c r="E1064" s="2">
        <f t="shared" si="405"/>
        <v>0</v>
      </c>
      <c r="F1064" s="3">
        <f t="shared" si="406"/>
        <v>1</v>
      </c>
      <c r="G1064" s="2">
        <v>9</v>
      </c>
      <c r="H1064" s="4">
        <f t="shared" si="404"/>
        <v>4.5555555555555554</v>
      </c>
      <c r="I1064" s="10">
        <v>46097</v>
      </c>
      <c r="J1064" s="17"/>
    </row>
    <row r="1065" spans="2:14" x14ac:dyDescent="0.2">
      <c r="B1065" s="5" t="s">
        <v>10</v>
      </c>
      <c r="C1065" s="6">
        <f>953+393</f>
        <v>1346</v>
      </c>
      <c r="D1065" s="99">
        <f>363+134</f>
        <v>497</v>
      </c>
      <c r="E1065" s="2">
        <f t="shared" si="405"/>
        <v>849</v>
      </c>
      <c r="F1065" s="3">
        <f t="shared" si="406"/>
        <v>0.36924219910846956</v>
      </c>
      <c r="G1065" s="6">
        <v>10</v>
      </c>
      <c r="H1065" s="4">
        <f t="shared" si="404"/>
        <v>49.7</v>
      </c>
      <c r="I1065" s="10">
        <v>46097</v>
      </c>
      <c r="J1065" s="17">
        <v>10</v>
      </c>
    </row>
    <row r="1066" spans="2:14" x14ac:dyDescent="0.2">
      <c r="B1066" s="1" t="s">
        <v>11</v>
      </c>
      <c r="C1066" s="20">
        <v>277</v>
      </c>
      <c r="D1066" s="20">
        <v>243</v>
      </c>
      <c r="E1066" s="2">
        <f t="shared" si="405"/>
        <v>34</v>
      </c>
      <c r="F1066" s="3">
        <f t="shared" si="406"/>
        <v>0.87725631768953072</v>
      </c>
      <c r="G1066" s="6">
        <v>9</v>
      </c>
      <c r="H1066" s="4">
        <f t="shared" si="404"/>
        <v>27</v>
      </c>
      <c r="I1066" s="10">
        <v>46097</v>
      </c>
      <c r="J1066" s="17"/>
      <c r="K1066">
        <v>11</v>
      </c>
    </row>
    <row r="1067" spans="2:14" x14ac:dyDescent="0.2">
      <c r="B1067" s="5" t="s">
        <v>12</v>
      </c>
      <c r="C1067" s="20">
        <v>132</v>
      </c>
      <c r="D1067" s="20">
        <v>129</v>
      </c>
      <c r="E1067" s="2">
        <f t="shared" si="405"/>
        <v>3</v>
      </c>
      <c r="F1067" s="3">
        <f t="shared" si="406"/>
        <v>0.97727272727272729</v>
      </c>
      <c r="G1067" s="6">
        <v>17</v>
      </c>
      <c r="H1067" s="4">
        <f t="shared" si="404"/>
        <v>7.5882352941176467</v>
      </c>
      <c r="I1067" s="10">
        <v>46097</v>
      </c>
      <c r="J1067" s="17">
        <v>2</v>
      </c>
    </row>
    <row r="1068" spans="2:14" x14ac:dyDescent="0.2">
      <c r="B1068" s="5" t="s">
        <v>17</v>
      </c>
      <c r="C1068" s="2">
        <v>2387</v>
      </c>
      <c r="D1068" s="6">
        <v>2387</v>
      </c>
      <c r="E1068" s="2">
        <f t="shared" si="405"/>
        <v>0</v>
      </c>
      <c r="F1068" s="3">
        <f t="shared" si="406"/>
        <v>1</v>
      </c>
      <c r="G1068" s="6">
        <v>4</v>
      </c>
      <c r="H1068" s="4">
        <f t="shared" ref="H1068:H1075" si="407">D1068/G1068</f>
        <v>596.75</v>
      </c>
      <c r="I1068" s="10">
        <v>46097</v>
      </c>
      <c r="J1068" s="17"/>
      <c r="L1068">
        <v>4</v>
      </c>
      <c r="N1068">
        <v>13</v>
      </c>
    </row>
    <row r="1069" spans="2:14" x14ac:dyDescent="0.2">
      <c r="B1069" s="5" t="s">
        <v>50</v>
      </c>
      <c r="C1069" s="2">
        <v>1066</v>
      </c>
      <c r="D1069" s="6">
        <v>1060</v>
      </c>
      <c r="E1069" s="2">
        <f t="shared" si="405"/>
        <v>6</v>
      </c>
      <c r="F1069" s="3">
        <f t="shared" si="406"/>
        <v>0.99437148217636018</v>
      </c>
      <c r="G1069" s="6">
        <v>2</v>
      </c>
      <c r="H1069" s="4">
        <f t="shared" si="407"/>
        <v>530</v>
      </c>
      <c r="I1069" s="10">
        <v>46097</v>
      </c>
      <c r="J1069" s="17"/>
    </row>
    <row r="1070" spans="2:14" x14ac:dyDescent="0.2">
      <c r="B1070" s="1" t="s">
        <v>7</v>
      </c>
      <c r="C1070" s="20">
        <v>1774</v>
      </c>
      <c r="D1070" s="20">
        <v>1750</v>
      </c>
      <c r="E1070" s="20">
        <f t="shared" ref="E1070:E1077" si="408">C1070-D1070</f>
        <v>24</v>
      </c>
      <c r="F1070" s="3">
        <f t="shared" ref="F1070:F1077" si="409">D1070/C1070</f>
        <v>0.98647125140924463</v>
      </c>
      <c r="G1070" s="2">
        <v>4</v>
      </c>
      <c r="H1070" s="4">
        <f t="shared" si="407"/>
        <v>437.5</v>
      </c>
      <c r="I1070" s="10">
        <v>46098</v>
      </c>
      <c r="J1070" s="17"/>
      <c r="M1070">
        <v>1</v>
      </c>
    </row>
    <row r="1071" spans="2:14" x14ac:dyDescent="0.2">
      <c r="B1071" s="5" t="s">
        <v>8</v>
      </c>
      <c r="C1071" s="6">
        <v>456</v>
      </c>
      <c r="D1071" s="6">
        <v>200</v>
      </c>
      <c r="E1071" s="2">
        <f t="shared" si="408"/>
        <v>256</v>
      </c>
      <c r="F1071" s="3">
        <f t="shared" si="409"/>
        <v>0.43859649122807015</v>
      </c>
      <c r="G1071" s="2">
        <v>7</v>
      </c>
      <c r="H1071" s="4">
        <f t="shared" si="407"/>
        <v>28.571428571428573</v>
      </c>
      <c r="I1071" s="10">
        <v>46098</v>
      </c>
      <c r="J1071" s="17">
        <v>3</v>
      </c>
      <c r="N1071">
        <v>16</v>
      </c>
    </row>
    <row r="1072" spans="2:14" x14ac:dyDescent="0.2">
      <c r="B1072" s="1" t="s">
        <v>9</v>
      </c>
      <c r="C1072" s="2">
        <v>32</v>
      </c>
      <c r="D1072" s="2">
        <v>26</v>
      </c>
      <c r="E1072" s="2">
        <f t="shared" si="408"/>
        <v>6</v>
      </c>
      <c r="F1072" s="3">
        <f t="shared" si="409"/>
        <v>0.8125</v>
      </c>
      <c r="G1072" s="2">
        <v>9</v>
      </c>
      <c r="H1072" s="4">
        <f t="shared" si="407"/>
        <v>2.8888888888888888</v>
      </c>
      <c r="I1072" s="10">
        <v>46098</v>
      </c>
      <c r="J1072" s="17"/>
    </row>
    <row r="1073" spans="2:14" x14ac:dyDescent="0.2">
      <c r="B1073" s="5" t="s">
        <v>10</v>
      </c>
      <c r="C1073" s="6">
        <f>1486+589</f>
        <v>2075</v>
      </c>
      <c r="D1073" s="99">
        <f>152+389</f>
        <v>541</v>
      </c>
      <c r="E1073" s="2">
        <f t="shared" si="408"/>
        <v>1534</v>
      </c>
      <c r="F1073" s="3">
        <f t="shared" si="409"/>
        <v>0.26072289156626505</v>
      </c>
      <c r="G1073" s="6">
        <v>10</v>
      </c>
      <c r="H1073" s="4">
        <f t="shared" si="407"/>
        <v>54.1</v>
      </c>
      <c r="I1073" s="10">
        <v>46098</v>
      </c>
      <c r="J1073" s="17"/>
    </row>
    <row r="1074" spans="2:14" x14ac:dyDescent="0.2">
      <c r="B1074" s="1" t="s">
        <v>11</v>
      </c>
      <c r="C1074" s="20">
        <v>451</v>
      </c>
      <c r="D1074" s="20">
        <v>245</v>
      </c>
      <c r="E1074" s="2">
        <f t="shared" si="408"/>
        <v>206</v>
      </c>
      <c r="F1074" s="3">
        <f t="shared" si="409"/>
        <v>0.5432372505543237</v>
      </c>
      <c r="G1074" s="6">
        <v>9</v>
      </c>
      <c r="H1074" s="4">
        <f t="shared" si="407"/>
        <v>27.222222222222221</v>
      </c>
      <c r="I1074" s="10">
        <v>46098</v>
      </c>
      <c r="J1074" s="17">
        <v>24</v>
      </c>
      <c r="K1074">
        <v>9</v>
      </c>
    </row>
    <row r="1075" spans="2:14" x14ac:dyDescent="0.2">
      <c r="B1075" s="5" t="s">
        <v>12</v>
      </c>
      <c r="C1075" s="20">
        <v>113</v>
      </c>
      <c r="D1075" s="20">
        <v>111</v>
      </c>
      <c r="E1075" s="2">
        <f t="shared" si="408"/>
        <v>2</v>
      </c>
      <c r="F1075" s="3">
        <f t="shared" si="409"/>
        <v>0.98230088495575218</v>
      </c>
      <c r="G1075" s="6">
        <v>17</v>
      </c>
      <c r="H1075" s="4">
        <f t="shared" si="407"/>
        <v>6.5294117647058822</v>
      </c>
      <c r="I1075" s="10">
        <v>46098</v>
      </c>
      <c r="J1075" s="17"/>
    </row>
    <row r="1076" spans="2:14" x14ac:dyDescent="0.2">
      <c r="B1076" s="5" t="s">
        <v>17</v>
      </c>
      <c r="C1076" s="2">
        <v>1</v>
      </c>
      <c r="D1076" s="6">
        <v>1</v>
      </c>
      <c r="E1076" s="2">
        <f t="shared" si="408"/>
        <v>0</v>
      </c>
      <c r="F1076" s="3">
        <f t="shared" si="409"/>
        <v>1</v>
      </c>
      <c r="G1076" s="6">
        <v>4</v>
      </c>
      <c r="H1076" s="4">
        <f t="shared" ref="H1076:H1083" si="410">D1076/G1076</f>
        <v>0.25</v>
      </c>
      <c r="I1076" s="10">
        <v>46098</v>
      </c>
      <c r="J1076" s="17"/>
      <c r="L1076">
        <v>1</v>
      </c>
      <c r="N1076">
        <v>1</v>
      </c>
    </row>
    <row r="1077" spans="2:14" x14ac:dyDescent="0.2">
      <c r="B1077" s="5" t="s">
        <v>50</v>
      </c>
      <c r="C1077" s="2">
        <v>245</v>
      </c>
      <c r="D1077" s="6">
        <v>117</v>
      </c>
      <c r="E1077" s="2">
        <f t="shared" si="408"/>
        <v>128</v>
      </c>
      <c r="F1077" s="3">
        <f t="shared" si="409"/>
        <v>0.47755102040816327</v>
      </c>
      <c r="G1077" s="6">
        <v>2</v>
      </c>
      <c r="H1077" s="4">
        <f t="shared" si="410"/>
        <v>58.5</v>
      </c>
      <c r="I1077" s="10">
        <v>46098</v>
      </c>
      <c r="J1077" s="17"/>
    </row>
    <row r="1078" spans="2:14" x14ac:dyDescent="0.2">
      <c r="B1078" s="1" t="s">
        <v>7</v>
      </c>
      <c r="C1078" s="20">
        <v>1</v>
      </c>
      <c r="D1078" s="20">
        <v>1</v>
      </c>
      <c r="E1078" s="20">
        <f t="shared" ref="E1078:E1085" si="411">C1078-D1078</f>
        <v>0</v>
      </c>
      <c r="F1078" s="3">
        <f t="shared" ref="F1078:F1085" si="412">D1078/C1078</f>
        <v>1</v>
      </c>
      <c r="G1078" s="2">
        <v>4</v>
      </c>
      <c r="H1078" s="4">
        <f t="shared" si="410"/>
        <v>0.25</v>
      </c>
      <c r="I1078" s="10">
        <v>46099</v>
      </c>
      <c r="J1078" s="17">
        <v>7</v>
      </c>
      <c r="M1078">
        <v>1</v>
      </c>
    </row>
    <row r="1079" spans="2:14" x14ac:dyDescent="0.2">
      <c r="B1079" s="5" t="s">
        <v>8</v>
      </c>
      <c r="C1079" s="6">
        <v>1645</v>
      </c>
      <c r="D1079" s="6">
        <v>651</v>
      </c>
      <c r="E1079" s="2">
        <f t="shared" si="411"/>
        <v>994</v>
      </c>
      <c r="F1079" s="3">
        <f t="shared" si="412"/>
        <v>0.39574468085106385</v>
      </c>
      <c r="G1079" s="2">
        <v>7</v>
      </c>
      <c r="H1079" s="4">
        <f t="shared" si="410"/>
        <v>93</v>
      </c>
      <c r="I1079" s="10">
        <v>46099</v>
      </c>
      <c r="J1079" s="17">
        <v>2</v>
      </c>
      <c r="N1079">
        <v>19</v>
      </c>
    </row>
    <row r="1080" spans="2:14" x14ac:dyDescent="0.2">
      <c r="B1080" s="1" t="s">
        <v>9</v>
      </c>
      <c r="C1080" s="2">
        <v>17</v>
      </c>
      <c r="D1080" s="2">
        <v>8</v>
      </c>
      <c r="E1080" s="2">
        <f t="shared" si="411"/>
        <v>9</v>
      </c>
      <c r="F1080" s="3">
        <f t="shared" si="412"/>
        <v>0.47058823529411764</v>
      </c>
      <c r="G1080" s="2">
        <v>9</v>
      </c>
      <c r="H1080" s="4">
        <f t="shared" si="410"/>
        <v>0.88888888888888884</v>
      </c>
      <c r="I1080" s="10">
        <v>46099</v>
      </c>
      <c r="J1080" s="17"/>
    </row>
    <row r="1081" spans="2:14" x14ac:dyDescent="0.2">
      <c r="B1081" s="5" t="s">
        <v>10</v>
      </c>
      <c r="C1081" s="6">
        <f>546+736</f>
        <v>1282</v>
      </c>
      <c r="D1081" s="99">
        <f>482+210</f>
        <v>692</v>
      </c>
      <c r="E1081" s="2">
        <f t="shared" si="411"/>
        <v>590</v>
      </c>
      <c r="F1081" s="3">
        <f t="shared" si="412"/>
        <v>0.53978159126365055</v>
      </c>
      <c r="G1081" s="6">
        <v>10</v>
      </c>
      <c r="H1081" s="4">
        <f t="shared" si="410"/>
        <v>69.2</v>
      </c>
      <c r="I1081" s="10">
        <v>46099</v>
      </c>
      <c r="J1081" s="17"/>
    </row>
    <row r="1082" spans="2:14" x14ac:dyDescent="0.2">
      <c r="B1082" s="1" t="s">
        <v>11</v>
      </c>
      <c r="C1082" s="20">
        <v>294</v>
      </c>
      <c r="D1082" s="20">
        <v>185</v>
      </c>
      <c r="E1082" s="2">
        <f t="shared" si="411"/>
        <v>109</v>
      </c>
      <c r="F1082" s="3">
        <f t="shared" si="412"/>
        <v>0.62925170068027214</v>
      </c>
      <c r="G1082" s="6">
        <v>9</v>
      </c>
      <c r="H1082" s="4">
        <f t="shared" si="410"/>
        <v>20.555555555555557</v>
      </c>
      <c r="I1082" s="10">
        <v>46099</v>
      </c>
      <c r="J1082" s="17"/>
      <c r="K1082">
        <v>8</v>
      </c>
    </row>
    <row r="1083" spans="2:14" x14ac:dyDescent="0.2">
      <c r="B1083" s="5" t="s">
        <v>12</v>
      </c>
      <c r="C1083" s="20">
        <v>196</v>
      </c>
      <c r="D1083" s="20">
        <v>173</v>
      </c>
      <c r="E1083" s="2">
        <f t="shared" si="411"/>
        <v>23</v>
      </c>
      <c r="F1083" s="3">
        <f t="shared" si="412"/>
        <v>0.88265306122448983</v>
      </c>
      <c r="G1083" s="6">
        <v>17</v>
      </c>
      <c r="H1083" s="4">
        <f t="shared" si="410"/>
        <v>10.176470588235293</v>
      </c>
      <c r="I1083" s="10">
        <v>46099</v>
      </c>
      <c r="J1083" s="17"/>
    </row>
    <row r="1084" spans="2:14" x14ac:dyDescent="0.2">
      <c r="B1084" s="5" t="s">
        <v>17</v>
      </c>
      <c r="C1084" s="2">
        <v>826</v>
      </c>
      <c r="D1084" s="6">
        <v>826</v>
      </c>
      <c r="E1084" s="2">
        <f t="shared" si="411"/>
        <v>0</v>
      </c>
      <c r="F1084" s="3">
        <f t="shared" si="412"/>
        <v>1</v>
      </c>
      <c r="G1084" s="6">
        <v>4</v>
      </c>
      <c r="H1084" s="4">
        <f t="shared" ref="H1084:H1091" si="413">D1084/G1084</f>
        <v>206.5</v>
      </c>
      <c r="I1084" s="10">
        <v>46099</v>
      </c>
      <c r="J1084" s="17"/>
      <c r="L1084">
        <v>3</v>
      </c>
      <c r="N1084">
        <v>4</v>
      </c>
    </row>
    <row r="1085" spans="2:14" x14ac:dyDescent="0.2">
      <c r="B1085" s="5" t="s">
        <v>50</v>
      </c>
      <c r="C1085" s="2">
        <v>901</v>
      </c>
      <c r="D1085" s="6">
        <v>901</v>
      </c>
      <c r="E1085" s="2">
        <f t="shared" si="411"/>
        <v>0</v>
      </c>
      <c r="F1085" s="3">
        <f t="shared" si="412"/>
        <v>1</v>
      </c>
      <c r="G1085" s="6">
        <v>2</v>
      </c>
      <c r="H1085" s="4">
        <f t="shared" si="413"/>
        <v>450.5</v>
      </c>
      <c r="I1085" s="10">
        <v>46099</v>
      </c>
      <c r="J1085" s="17"/>
    </row>
    <row r="1086" spans="2:14" x14ac:dyDescent="0.2">
      <c r="B1086" s="1" t="s">
        <v>7</v>
      </c>
      <c r="C1086" s="20">
        <v>818</v>
      </c>
      <c r="D1086" s="20">
        <v>818</v>
      </c>
      <c r="E1086" s="20">
        <f t="shared" ref="E1086:E1093" si="414">C1086-D1086</f>
        <v>0</v>
      </c>
      <c r="F1086" s="3">
        <f t="shared" ref="F1086:F1093" si="415">D1086/C1086</f>
        <v>1</v>
      </c>
      <c r="G1086" s="2">
        <v>4</v>
      </c>
      <c r="H1086" s="4">
        <f t="shared" si="413"/>
        <v>204.5</v>
      </c>
      <c r="I1086" s="10">
        <v>46104</v>
      </c>
      <c r="J1086" s="17"/>
      <c r="M1086">
        <v>3</v>
      </c>
    </row>
    <row r="1087" spans="2:14" x14ac:dyDescent="0.2">
      <c r="B1087" s="5" t="s">
        <v>8</v>
      </c>
      <c r="C1087" s="6">
        <v>8</v>
      </c>
      <c r="D1087" s="6">
        <v>8</v>
      </c>
      <c r="E1087" s="2">
        <f t="shared" si="414"/>
        <v>0</v>
      </c>
      <c r="F1087" s="3">
        <f t="shared" si="415"/>
        <v>1</v>
      </c>
      <c r="G1087" s="2">
        <v>7</v>
      </c>
      <c r="H1087" s="4">
        <f t="shared" si="413"/>
        <v>1.1428571428571428</v>
      </c>
      <c r="I1087" s="10">
        <v>46104</v>
      </c>
      <c r="J1087" s="17"/>
      <c r="N1087">
        <v>1</v>
      </c>
    </row>
    <row r="1088" spans="2:14" x14ac:dyDescent="0.2">
      <c r="B1088" s="1" t="s">
        <v>9</v>
      </c>
      <c r="C1088" s="2">
        <v>302</v>
      </c>
      <c r="D1088" s="2">
        <v>29</v>
      </c>
      <c r="E1088" s="2">
        <f t="shared" si="414"/>
        <v>273</v>
      </c>
      <c r="F1088" s="3">
        <f t="shared" si="415"/>
        <v>9.602649006622517E-2</v>
      </c>
      <c r="G1088" s="2">
        <v>9</v>
      </c>
      <c r="H1088" s="4">
        <f t="shared" si="413"/>
        <v>3.2222222222222223</v>
      </c>
      <c r="I1088" s="10">
        <v>46104</v>
      </c>
      <c r="J1088" s="17"/>
    </row>
    <row r="1089" spans="2:14" x14ac:dyDescent="0.2">
      <c r="B1089" s="5" t="s">
        <v>10</v>
      </c>
      <c r="C1089" s="6">
        <v>717</v>
      </c>
      <c r="D1089" s="99">
        <v>565</v>
      </c>
      <c r="E1089" s="2">
        <f t="shared" si="414"/>
        <v>152</v>
      </c>
      <c r="F1089" s="3">
        <f t="shared" si="415"/>
        <v>0.78800557880055788</v>
      </c>
      <c r="G1089" s="6">
        <v>10</v>
      </c>
      <c r="H1089" s="4">
        <f t="shared" si="413"/>
        <v>56.5</v>
      </c>
      <c r="I1089" s="10">
        <v>46104</v>
      </c>
      <c r="J1089" s="17">
        <v>12</v>
      </c>
    </row>
    <row r="1090" spans="2:14" x14ac:dyDescent="0.2">
      <c r="B1090" s="1" t="s">
        <v>11</v>
      </c>
      <c r="C1090" s="20">
        <v>646</v>
      </c>
      <c r="D1090" s="20">
        <v>624</v>
      </c>
      <c r="E1090" s="2">
        <f t="shared" si="414"/>
        <v>22</v>
      </c>
      <c r="F1090" s="3">
        <f t="shared" si="415"/>
        <v>0.96594427244582048</v>
      </c>
      <c r="G1090" s="6">
        <v>9</v>
      </c>
      <c r="H1090" s="4">
        <f t="shared" si="413"/>
        <v>69.333333333333329</v>
      </c>
      <c r="I1090" s="10">
        <v>46104</v>
      </c>
      <c r="J1090" s="17">
        <v>1</v>
      </c>
      <c r="K1090">
        <v>6</v>
      </c>
    </row>
    <row r="1091" spans="2:14" x14ac:dyDescent="0.2">
      <c r="B1091" s="5" t="s">
        <v>12</v>
      </c>
      <c r="C1091" s="20">
        <v>183</v>
      </c>
      <c r="D1091" s="20">
        <v>137</v>
      </c>
      <c r="E1091" s="2">
        <f t="shared" si="414"/>
        <v>46</v>
      </c>
      <c r="F1091" s="3">
        <f t="shared" si="415"/>
        <v>0.74863387978142082</v>
      </c>
      <c r="G1091" s="6">
        <v>17</v>
      </c>
      <c r="H1091" s="4">
        <f t="shared" si="413"/>
        <v>8.0588235294117645</v>
      </c>
      <c r="I1091" s="10">
        <v>46104</v>
      </c>
      <c r="J1091" s="17"/>
    </row>
    <row r="1092" spans="2:14" x14ac:dyDescent="0.2">
      <c r="B1092" s="5" t="s">
        <v>17</v>
      </c>
      <c r="C1092" s="2">
        <v>1331</v>
      </c>
      <c r="D1092" s="6">
        <v>1328</v>
      </c>
      <c r="E1092" s="2">
        <f t="shared" si="414"/>
        <v>3</v>
      </c>
      <c r="F1092" s="3">
        <f t="shared" si="415"/>
        <v>0.99774605559729523</v>
      </c>
      <c r="G1092" s="6">
        <v>4</v>
      </c>
      <c r="H1092" s="4">
        <f t="shared" ref="H1092:H1099" si="416">D1092/G1092</f>
        <v>332</v>
      </c>
      <c r="I1092" s="10">
        <v>46104</v>
      </c>
      <c r="J1092" s="17"/>
      <c r="L1092">
        <v>7</v>
      </c>
      <c r="N1092">
        <v>1</v>
      </c>
    </row>
    <row r="1093" spans="2:14" x14ac:dyDescent="0.2">
      <c r="B1093" s="5" t="s">
        <v>50</v>
      </c>
      <c r="C1093" s="2">
        <v>432</v>
      </c>
      <c r="D1093" s="6">
        <v>432</v>
      </c>
      <c r="E1093" s="2">
        <f t="shared" si="414"/>
        <v>0</v>
      </c>
      <c r="F1093" s="3">
        <f t="shared" si="415"/>
        <v>1</v>
      </c>
      <c r="G1093" s="6">
        <v>2</v>
      </c>
      <c r="H1093" s="4">
        <f t="shared" si="416"/>
        <v>216</v>
      </c>
      <c r="I1093" s="10">
        <v>46104</v>
      </c>
      <c r="J1093" s="17"/>
    </row>
    <row r="1094" spans="2:14" x14ac:dyDescent="0.2">
      <c r="B1094" s="1" t="s">
        <v>7</v>
      </c>
      <c r="C1094" s="20">
        <v>1169</v>
      </c>
      <c r="D1094" s="20">
        <v>1169</v>
      </c>
      <c r="E1094" s="20">
        <f t="shared" ref="E1094:E1101" si="417">C1094-D1094</f>
        <v>0</v>
      </c>
      <c r="F1094" s="3">
        <f t="shared" ref="F1094:F1101" si="418">D1094/C1094</f>
        <v>1</v>
      </c>
      <c r="G1094" s="2">
        <v>5</v>
      </c>
      <c r="H1094" s="4">
        <f t="shared" si="416"/>
        <v>233.8</v>
      </c>
      <c r="I1094" s="10">
        <v>46105</v>
      </c>
      <c r="J1094" s="17">
        <v>10</v>
      </c>
      <c r="M1094">
        <v>7</v>
      </c>
    </row>
    <row r="1095" spans="2:14" x14ac:dyDescent="0.2">
      <c r="B1095" s="5" t="s">
        <v>8</v>
      </c>
      <c r="C1095" s="6">
        <v>648</v>
      </c>
      <c r="D1095" s="6">
        <v>648</v>
      </c>
      <c r="E1095" s="2">
        <f t="shared" si="417"/>
        <v>0</v>
      </c>
      <c r="F1095" s="3">
        <f t="shared" si="418"/>
        <v>1</v>
      </c>
      <c r="G1095" s="2">
        <v>7</v>
      </c>
      <c r="H1095" s="4">
        <f t="shared" si="416"/>
        <v>92.571428571428569</v>
      </c>
      <c r="I1095" s="10">
        <v>46105</v>
      </c>
      <c r="J1095" s="17">
        <v>1</v>
      </c>
      <c r="N1095">
        <v>12</v>
      </c>
    </row>
    <row r="1096" spans="2:14" x14ac:dyDescent="0.2">
      <c r="B1096" s="1" t="s">
        <v>9</v>
      </c>
      <c r="C1096" s="2">
        <v>130</v>
      </c>
      <c r="D1096" s="2">
        <v>130</v>
      </c>
      <c r="E1096" s="2">
        <f t="shared" si="417"/>
        <v>0</v>
      </c>
      <c r="F1096" s="3">
        <f t="shared" si="418"/>
        <v>1</v>
      </c>
      <c r="G1096" s="2">
        <v>9</v>
      </c>
      <c r="H1096" s="4">
        <f t="shared" si="416"/>
        <v>14.444444444444445</v>
      </c>
      <c r="I1096" s="10">
        <v>46105</v>
      </c>
      <c r="J1096" s="17"/>
    </row>
    <row r="1097" spans="2:14" x14ac:dyDescent="0.2">
      <c r="B1097" s="5" t="s">
        <v>10</v>
      </c>
      <c r="C1097" s="6">
        <f>1222+260+587</f>
        <v>2069</v>
      </c>
      <c r="D1097" s="99">
        <f>35+931</f>
        <v>966</v>
      </c>
      <c r="E1097" s="2">
        <f t="shared" si="417"/>
        <v>1103</v>
      </c>
      <c r="F1097" s="3">
        <f t="shared" si="418"/>
        <v>0.46689221846302564</v>
      </c>
      <c r="G1097" s="6">
        <v>10</v>
      </c>
      <c r="H1097" s="4">
        <f t="shared" si="416"/>
        <v>96.6</v>
      </c>
      <c r="I1097" s="10">
        <v>46105</v>
      </c>
      <c r="J1097" s="17">
        <v>7</v>
      </c>
    </row>
    <row r="1098" spans="2:14" x14ac:dyDescent="0.2">
      <c r="B1098" s="1" t="s">
        <v>11</v>
      </c>
      <c r="C1098" s="20">
        <v>1345</v>
      </c>
      <c r="D1098" s="20">
        <v>1040</v>
      </c>
      <c r="E1098" s="2">
        <f t="shared" si="417"/>
        <v>305</v>
      </c>
      <c r="F1098" s="3">
        <f t="shared" si="418"/>
        <v>0.77323420074349447</v>
      </c>
      <c r="G1098" s="6">
        <v>10</v>
      </c>
      <c r="H1098" s="4">
        <f t="shared" si="416"/>
        <v>104</v>
      </c>
      <c r="I1098" s="10">
        <v>46105</v>
      </c>
      <c r="J1098" s="17"/>
      <c r="K1098">
        <v>8</v>
      </c>
    </row>
    <row r="1099" spans="2:14" x14ac:dyDescent="0.2">
      <c r="B1099" s="5" t="s">
        <v>12</v>
      </c>
      <c r="C1099" s="20">
        <v>270</v>
      </c>
      <c r="D1099" s="20">
        <v>186</v>
      </c>
      <c r="E1099" s="2">
        <f t="shared" si="417"/>
        <v>84</v>
      </c>
      <c r="F1099" s="3">
        <f t="shared" si="418"/>
        <v>0.68888888888888888</v>
      </c>
      <c r="G1099" s="6">
        <v>19</v>
      </c>
      <c r="H1099" s="4">
        <f t="shared" si="416"/>
        <v>9.7894736842105257</v>
      </c>
      <c r="I1099" s="10">
        <v>46105</v>
      </c>
      <c r="J1099" s="17"/>
    </row>
    <row r="1100" spans="2:14" x14ac:dyDescent="0.2">
      <c r="B1100" s="5" t="s">
        <v>17</v>
      </c>
      <c r="C1100" s="2">
        <v>476</v>
      </c>
      <c r="D1100" s="6">
        <v>476</v>
      </c>
      <c r="E1100" s="2">
        <f t="shared" si="417"/>
        <v>0</v>
      </c>
      <c r="F1100" s="3">
        <f t="shared" si="418"/>
        <v>1</v>
      </c>
      <c r="G1100" s="6">
        <v>4</v>
      </c>
      <c r="H1100" s="4">
        <f t="shared" ref="H1100:H1107" si="419">D1100/G1100</f>
        <v>119</v>
      </c>
      <c r="I1100" s="10">
        <v>46105</v>
      </c>
      <c r="J1100" s="17"/>
      <c r="L1100">
        <v>5</v>
      </c>
      <c r="N1100">
        <v>7</v>
      </c>
    </row>
    <row r="1101" spans="2:14" x14ac:dyDescent="0.2">
      <c r="B1101" s="5" t="s">
        <v>50</v>
      </c>
      <c r="C1101" s="2">
        <v>284</v>
      </c>
      <c r="D1101" s="6">
        <v>284</v>
      </c>
      <c r="E1101" s="2">
        <f t="shared" si="417"/>
        <v>0</v>
      </c>
      <c r="F1101" s="3">
        <f t="shared" si="418"/>
        <v>1</v>
      </c>
      <c r="G1101" s="6">
        <v>2</v>
      </c>
      <c r="H1101" s="4">
        <f t="shared" si="419"/>
        <v>142</v>
      </c>
      <c r="I1101" s="10">
        <v>46105</v>
      </c>
      <c r="J1101" s="17"/>
    </row>
    <row r="1102" spans="2:14" x14ac:dyDescent="0.2">
      <c r="B1102" s="1" t="s">
        <v>7</v>
      </c>
      <c r="C1102" s="20">
        <v>402</v>
      </c>
      <c r="D1102" s="20">
        <v>402</v>
      </c>
      <c r="E1102" s="20">
        <f t="shared" ref="E1102:E1109" si="420">C1102-D1102</f>
        <v>0</v>
      </c>
      <c r="F1102" s="3">
        <f t="shared" ref="F1102:F1109" si="421">D1102/C1102</f>
        <v>1</v>
      </c>
      <c r="G1102" s="2">
        <v>3</v>
      </c>
      <c r="H1102" s="4">
        <f t="shared" si="419"/>
        <v>134</v>
      </c>
      <c r="I1102" s="10">
        <v>46106</v>
      </c>
      <c r="J1102" s="17"/>
      <c r="M1102">
        <v>2</v>
      </c>
    </row>
    <row r="1103" spans="2:14" x14ac:dyDescent="0.2">
      <c r="B1103" s="5" t="s">
        <v>8</v>
      </c>
      <c r="C1103" s="6">
        <v>1042</v>
      </c>
      <c r="D1103" s="6">
        <v>1001</v>
      </c>
      <c r="E1103" s="2">
        <f t="shared" si="420"/>
        <v>41</v>
      </c>
      <c r="F1103" s="3">
        <f t="shared" si="421"/>
        <v>0.96065259117082535</v>
      </c>
      <c r="G1103" s="2">
        <v>9</v>
      </c>
      <c r="H1103" s="4">
        <f t="shared" si="419"/>
        <v>111.22222222222223</v>
      </c>
      <c r="I1103" s="10">
        <v>46106</v>
      </c>
      <c r="J1103" s="17">
        <v>206</v>
      </c>
      <c r="N1103">
        <v>70</v>
      </c>
    </row>
    <row r="1104" spans="2:14" x14ac:dyDescent="0.2">
      <c r="B1104" s="1" t="s">
        <v>9</v>
      </c>
      <c r="C1104" s="2">
        <v>1</v>
      </c>
      <c r="D1104" s="2">
        <v>1</v>
      </c>
      <c r="E1104" s="2">
        <f t="shared" si="420"/>
        <v>0</v>
      </c>
      <c r="F1104" s="3">
        <f t="shared" si="421"/>
        <v>1</v>
      </c>
      <c r="G1104" s="2">
        <v>9</v>
      </c>
      <c r="H1104" s="4">
        <f t="shared" si="419"/>
        <v>0.1111111111111111</v>
      </c>
      <c r="I1104" s="10">
        <v>46106</v>
      </c>
      <c r="J1104" s="17"/>
    </row>
    <row r="1105" spans="2:14" x14ac:dyDescent="0.2">
      <c r="B1105" s="5" t="s">
        <v>10</v>
      </c>
      <c r="C1105" s="6">
        <f>416+1146</f>
        <v>1562</v>
      </c>
      <c r="D1105" s="99">
        <f>352+1146</f>
        <v>1498</v>
      </c>
      <c r="E1105" s="2">
        <f t="shared" si="420"/>
        <v>64</v>
      </c>
      <c r="F1105" s="3">
        <f t="shared" si="421"/>
        <v>0.95902688860435337</v>
      </c>
      <c r="G1105" s="6">
        <v>9</v>
      </c>
      <c r="H1105" s="4">
        <f t="shared" si="419"/>
        <v>166.44444444444446</v>
      </c>
      <c r="I1105" s="10">
        <v>46106</v>
      </c>
      <c r="J1105" s="17"/>
    </row>
    <row r="1106" spans="2:14" x14ac:dyDescent="0.2">
      <c r="B1106" s="1" t="s">
        <v>11</v>
      </c>
      <c r="C1106" s="20">
        <v>966</v>
      </c>
      <c r="D1106" s="20">
        <v>922</v>
      </c>
      <c r="E1106" s="2">
        <f t="shared" si="420"/>
        <v>44</v>
      </c>
      <c r="F1106" s="3">
        <f t="shared" si="421"/>
        <v>0.95445134575569357</v>
      </c>
      <c r="G1106" s="6">
        <v>11</v>
      </c>
      <c r="H1106" s="4">
        <f t="shared" si="419"/>
        <v>83.818181818181813</v>
      </c>
      <c r="I1106" s="10">
        <v>46106</v>
      </c>
      <c r="J1106" s="17">
        <v>5</v>
      </c>
      <c r="K1106">
        <v>7</v>
      </c>
    </row>
    <row r="1107" spans="2:14" x14ac:dyDescent="0.2">
      <c r="B1107" s="5" t="s">
        <v>12</v>
      </c>
      <c r="C1107" s="20">
        <v>306</v>
      </c>
      <c r="D1107" s="20">
        <v>42</v>
      </c>
      <c r="E1107" s="2">
        <f t="shared" si="420"/>
        <v>264</v>
      </c>
      <c r="F1107" s="3">
        <f t="shared" si="421"/>
        <v>0.13725490196078433</v>
      </c>
      <c r="G1107" s="6">
        <v>16</v>
      </c>
      <c r="H1107" s="4">
        <f t="shared" si="419"/>
        <v>2.625</v>
      </c>
      <c r="I1107" s="10">
        <v>46106</v>
      </c>
      <c r="J1107" s="17"/>
    </row>
    <row r="1108" spans="2:14" x14ac:dyDescent="0.2">
      <c r="B1108" s="5" t="s">
        <v>17</v>
      </c>
      <c r="C1108" s="2">
        <v>686</v>
      </c>
      <c r="D1108" s="6">
        <v>684</v>
      </c>
      <c r="E1108" s="2">
        <f t="shared" si="420"/>
        <v>2</v>
      </c>
      <c r="F1108" s="3">
        <f t="shared" si="421"/>
        <v>0.99708454810495628</v>
      </c>
      <c r="G1108" s="6">
        <v>4</v>
      </c>
      <c r="H1108" s="4">
        <f t="shared" ref="H1108:H1115" si="422">D1108/G1108</f>
        <v>171</v>
      </c>
      <c r="I1108" s="10">
        <v>46106</v>
      </c>
      <c r="J1108" s="17"/>
      <c r="L1108">
        <v>10</v>
      </c>
      <c r="N1108">
        <v>48</v>
      </c>
    </row>
    <row r="1109" spans="2:14" x14ac:dyDescent="0.2">
      <c r="B1109" s="5" t="s">
        <v>50</v>
      </c>
      <c r="C1109" s="2">
        <v>461</v>
      </c>
      <c r="D1109" s="6">
        <v>461</v>
      </c>
      <c r="E1109" s="2">
        <f t="shared" si="420"/>
        <v>0</v>
      </c>
      <c r="F1109" s="3">
        <f t="shared" si="421"/>
        <v>1</v>
      </c>
      <c r="G1109" s="6">
        <v>2</v>
      </c>
      <c r="H1109" s="4">
        <f t="shared" si="422"/>
        <v>230.5</v>
      </c>
      <c r="I1109" s="10">
        <v>46106</v>
      </c>
      <c r="J1109" s="17"/>
    </row>
    <row r="1110" spans="2:14" x14ac:dyDescent="0.2">
      <c r="B1110" s="1" t="s">
        <v>7</v>
      </c>
      <c r="C1110" s="20">
        <v>534</v>
      </c>
      <c r="D1110" s="20">
        <v>534</v>
      </c>
      <c r="E1110" s="20">
        <f t="shared" ref="E1110:E1117" si="423">C1110-D1110</f>
        <v>0</v>
      </c>
      <c r="F1110" s="3">
        <f t="shared" ref="F1110:F1117" si="424">D1110/C1110</f>
        <v>1</v>
      </c>
      <c r="G1110" s="2">
        <v>3</v>
      </c>
      <c r="H1110" s="4">
        <f t="shared" si="422"/>
        <v>178</v>
      </c>
      <c r="I1110" s="10">
        <v>46107</v>
      </c>
      <c r="J1110" s="17"/>
      <c r="M1110">
        <v>8</v>
      </c>
    </row>
    <row r="1111" spans="2:14" x14ac:dyDescent="0.2">
      <c r="B1111" s="5" t="s">
        <v>8</v>
      </c>
      <c r="C1111" s="6">
        <v>235</v>
      </c>
      <c r="D1111" s="6">
        <v>235</v>
      </c>
      <c r="E1111" s="2">
        <f t="shared" si="423"/>
        <v>0</v>
      </c>
      <c r="F1111" s="3">
        <f t="shared" si="424"/>
        <v>1</v>
      </c>
      <c r="G1111" s="2">
        <v>9</v>
      </c>
      <c r="H1111" s="4">
        <f t="shared" si="422"/>
        <v>26.111111111111111</v>
      </c>
      <c r="I1111" s="10">
        <v>46107</v>
      </c>
      <c r="J1111" s="17">
        <v>1</v>
      </c>
      <c r="N1111">
        <v>5</v>
      </c>
    </row>
    <row r="1112" spans="2:14" x14ac:dyDescent="0.2">
      <c r="B1112" s="1" t="s">
        <v>9</v>
      </c>
      <c r="C1112" s="2">
        <v>141</v>
      </c>
      <c r="D1112" s="2">
        <v>141</v>
      </c>
      <c r="E1112" s="2">
        <f t="shared" si="423"/>
        <v>0</v>
      </c>
      <c r="F1112" s="3">
        <f t="shared" si="424"/>
        <v>1</v>
      </c>
      <c r="G1112" s="2">
        <v>9</v>
      </c>
      <c r="H1112" s="4">
        <f t="shared" si="422"/>
        <v>15.666666666666666</v>
      </c>
      <c r="I1112" s="10">
        <v>46107</v>
      </c>
      <c r="J1112" s="17"/>
    </row>
    <row r="1113" spans="2:14" x14ac:dyDescent="0.2">
      <c r="B1113" s="5" t="s">
        <v>10</v>
      </c>
      <c r="C1113" s="6">
        <f>1024+8+255</f>
        <v>1287</v>
      </c>
      <c r="D1113" s="99">
        <f>1012+255</f>
        <v>1267</v>
      </c>
      <c r="E1113" s="2">
        <f t="shared" si="423"/>
        <v>20</v>
      </c>
      <c r="F1113" s="3">
        <f t="shared" si="424"/>
        <v>0.98445998445998451</v>
      </c>
      <c r="G1113" s="6">
        <v>9</v>
      </c>
      <c r="H1113" s="4">
        <f t="shared" si="422"/>
        <v>140.77777777777777</v>
      </c>
      <c r="I1113" s="10">
        <v>46107</v>
      </c>
      <c r="J1113" s="17">
        <v>250</v>
      </c>
    </row>
    <row r="1114" spans="2:14" ht="15.75" customHeight="1" x14ac:dyDescent="0.2">
      <c r="B1114" s="1" t="s">
        <v>11</v>
      </c>
      <c r="C1114" s="20">
        <v>1300</v>
      </c>
      <c r="D1114" s="20">
        <v>1300</v>
      </c>
      <c r="E1114" s="2">
        <f t="shared" si="423"/>
        <v>0</v>
      </c>
      <c r="F1114" s="3">
        <f t="shared" si="424"/>
        <v>1</v>
      </c>
      <c r="G1114" s="6">
        <v>11</v>
      </c>
      <c r="H1114" s="4">
        <f t="shared" si="422"/>
        <v>118.18181818181819</v>
      </c>
      <c r="I1114" s="10">
        <v>46107</v>
      </c>
      <c r="J1114" s="17">
        <v>59</v>
      </c>
      <c r="K1114">
        <v>1</v>
      </c>
    </row>
    <row r="1115" spans="2:14" x14ac:dyDescent="0.2">
      <c r="B1115" s="5" t="s">
        <v>12</v>
      </c>
      <c r="C1115" s="20">
        <v>120</v>
      </c>
      <c r="D1115" s="20">
        <v>120</v>
      </c>
      <c r="E1115" s="2">
        <f t="shared" si="423"/>
        <v>0</v>
      </c>
      <c r="F1115" s="3">
        <f t="shared" si="424"/>
        <v>1</v>
      </c>
      <c r="G1115" s="6">
        <v>16</v>
      </c>
      <c r="H1115" s="4">
        <f t="shared" si="422"/>
        <v>7.5</v>
      </c>
      <c r="I1115" s="10">
        <v>46107</v>
      </c>
      <c r="J1115" s="17"/>
    </row>
    <row r="1116" spans="2:14" x14ac:dyDescent="0.2">
      <c r="B1116" s="5" t="s">
        <v>17</v>
      </c>
      <c r="C1116" s="2">
        <v>372</v>
      </c>
      <c r="D1116" s="6">
        <v>368</v>
      </c>
      <c r="E1116" s="2">
        <f t="shared" si="423"/>
        <v>4</v>
      </c>
      <c r="F1116" s="3">
        <f t="shared" si="424"/>
        <v>0.989247311827957</v>
      </c>
      <c r="G1116" s="6">
        <v>4</v>
      </c>
      <c r="H1116" s="4">
        <f t="shared" ref="H1116:H1123" si="425">D1116/G1116</f>
        <v>92</v>
      </c>
      <c r="I1116" s="10">
        <v>46107</v>
      </c>
      <c r="J1116" s="17"/>
      <c r="L1116">
        <v>11</v>
      </c>
      <c r="N1116">
        <v>36</v>
      </c>
    </row>
    <row r="1117" spans="2:14" x14ac:dyDescent="0.2">
      <c r="B1117" s="5" t="s">
        <v>50</v>
      </c>
      <c r="C1117" s="2">
        <v>199</v>
      </c>
      <c r="D1117" s="6">
        <v>197</v>
      </c>
      <c r="E1117" s="2">
        <f t="shared" si="423"/>
        <v>2</v>
      </c>
      <c r="F1117" s="3">
        <f t="shared" si="424"/>
        <v>0.98994974874371855</v>
      </c>
      <c r="G1117" s="6">
        <v>2</v>
      </c>
      <c r="H1117" s="4">
        <f t="shared" si="425"/>
        <v>98.5</v>
      </c>
      <c r="I1117" s="10">
        <v>46107</v>
      </c>
      <c r="J1117" s="17"/>
    </row>
    <row r="1118" spans="2:14" x14ac:dyDescent="0.2">
      <c r="B1118" s="1" t="s">
        <v>7</v>
      </c>
      <c r="C1118" s="20">
        <v>345</v>
      </c>
      <c r="D1118" s="20">
        <v>328</v>
      </c>
      <c r="E1118" s="20">
        <f t="shared" ref="E1118:E1125" si="426">C1118-D1118</f>
        <v>17</v>
      </c>
      <c r="F1118" s="3">
        <f t="shared" ref="F1118:F1125" si="427">D1118/C1118</f>
        <v>0.95072463768115945</v>
      </c>
      <c r="G1118" s="2">
        <v>3</v>
      </c>
      <c r="H1118" s="4">
        <f t="shared" si="425"/>
        <v>109.33333333333333</v>
      </c>
      <c r="I1118" s="10">
        <v>46108</v>
      </c>
      <c r="J1118" s="17">
        <v>2</v>
      </c>
      <c r="M1118">
        <v>10</v>
      </c>
    </row>
    <row r="1119" spans="2:14" x14ac:dyDescent="0.2">
      <c r="B1119" s="5" t="s">
        <v>8</v>
      </c>
      <c r="C1119" s="6">
        <v>402</v>
      </c>
      <c r="D1119" s="6">
        <v>390</v>
      </c>
      <c r="E1119" s="2">
        <f t="shared" si="426"/>
        <v>12</v>
      </c>
      <c r="F1119" s="3">
        <f t="shared" si="427"/>
        <v>0.97014925373134331</v>
      </c>
      <c r="G1119" s="2">
        <v>8</v>
      </c>
      <c r="H1119" s="4">
        <f t="shared" si="425"/>
        <v>48.75</v>
      </c>
      <c r="I1119" s="10">
        <v>46108</v>
      </c>
      <c r="J1119" s="17">
        <v>6</v>
      </c>
      <c r="N1119">
        <v>92</v>
      </c>
    </row>
    <row r="1120" spans="2:14" x14ac:dyDescent="0.2">
      <c r="B1120" s="1" t="s">
        <v>9</v>
      </c>
      <c r="C1120" s="2">
        <v>87</v>
      </c>
      <c r="D1120" s="2">
        <v>87</v>
      </c>
      <c r="E1120" s="2">
        <f t="shared" si="426"/>
        <v>0</v>
      </c>
      <c r="F1120" s="3">
        <f t="shared" si="427"/>
        <v>1</v>
      </c>
      <c r="G1120" s="2">
        <v>9</v>
      </c>
      <c r="H1120" s="4">
        <f t="shared" si="425"/>
        <v>9.6666666666666661</v>
      </c>
      <c r="I1120" s="10">
        <v>46108</v>
      </c>
      <c r="J1120" s="17"/>
    </row>
    <row r="1121" spans="2:14" x14ac:dyDescent="0.2">
      <c r="B1121" s="5" t="s">
        <v>10</v>
      </c>
      <c r="C1121" s="6">
        <f>595+12+153</f>
        <v>760</v>
      </c>
      <c r="D1121" s="99">
        <f>595+12+145</f>
        <v>752</v>
      </c>
      <c r="E1121" s="2">
        <f t="shared" si="426"/>
        <v>8</v>
      </c>
      <c r="F1121" s="3">
        <f t="shared" si="427"/>
        <v>0.98947368421052628</v>
      </c>
      <c r="G1121" s="6">
        <v>9</v>
      </c>
      <c r="H1121" s="4">
        <f t="shared" si="425"/>
        <v>83.555555555555557</v>
      </c>
      <c r="I1121" s="10">
        <v>46108</v>
      </c>
      <c r="J1121" s="17"/>
    </row>
    <row r="1122" spans="2:14" x14ac:dyDescent="0.2">
      <c r="B1122" s="1" t="s">
        <v>11</v>
      </c>
      <c r="C1122" s="20">
        <v>836</v>
      </c>
      <c r="D1122" s="20">
        <v>836</v>
      </c>
      <c r="E1122" s="2">
        <f t="shared" si="426"/>
        <v>0</v>
      </c>
      <c r="F1122" s="3">
        <f t="shared" si="427"/>
        <v>1</v>
      </c>
      <c r="G1122" s="6">
        <v>10</v>
      </c>
      <c r="H1122" s="4">
        <f t="shared" si="425"/>
        <v>83.6</v>
      </c>
      <c r="I1122" s="10">
        <v>46108</v>
      </c>
      <c r="J1122" s="17"/>
      <c r="K1122">
        <v>3</v>
      </c>
    </row>
    <row r="1123" spans="2:14" x14ac:dyDescent="0.2">
      <c r="B1123" s="5" t="s">
        <v>12</v>
      </c>
      <c r="C1123" s="20">
        <v>413</v>
      </c>
      <c r="D1123" s="20">
        <v>413</v>
      </c>
      <c r="E1123" s="2">
        <f t="shared" si="426"/>
        <v>0</v>
      </c>
      <c r="F1123" s="3">
        <f t="shared" si="427"/>
        <v>1</v>
      </c>
      <c r="G1123" s="6">
        <v>16</v>
      </c>
      <c r="H1123" s="4">
        <f t="shared" si="425"/>
        <v>25.8125</v>
      </c>
      <c r="I1123" s="10">
        <v>46108</v>
      </c>
      <c r="J1123" s="17"/>
    </row>
    <row r="1124" spans="2:14" x14ac:dyDescent="0.2">
      <c r="B1124" s="5" t="s">
        <v>17</v>
      </c>
      <c r="C1124" s="2">
        <v>640</v>
      </c>
      <c r="D1124" s="6">
        <v>638</v>
      </c>
      <c r="E1124" s="2">
        <f t="shared" si="426"/>
        <v>2</v>
      </c>
      <c r="F1124" s="3">
        <f t="shared" si="427"/>
        <v>0.99687499999999996</v>
      </c>
      <c r="G1124" s="6">
        <v>4</v>
      </c>
      <c r="H1124" s="4">
        <f t="shared" ref="H1124:H1131" si="428">D1124/G1124</f>
        <v>159.5</v>
      </c>
      <c r="I1124" s="10">
        <v>46108</v>
      </c>
      <c r="J1124" s="17"/>
      <c r="L1124">
        <v>15</v>
      </c>
      <c r="N1124">
        <v>83</v>
      </c>
    </row>
    <row r="1125" spans="2:14" x14ac:dyDescent="0.2">
      <c r="B1125" s="5" t="s">
        <v>50</v>
      </c>
      <c r="C1125" s="2">
        <v>438</v>
      </c>
      <c r="D1125" s="6">
        <v>438</v>
      </c>
      <c r="E1125" s="2">
        <f t="shared" si="426"/>
        <v>0</v>
      </c>
      <c r="F1125" s="3">
        <f t="shared" si="427"/>
        <v>1</v>
      </c>
      <c r="G1125" s="6">
        <v>2</v>
      </c>
      <c r="H1125" s="4">
        <f t="shared" si="428"/>
        <v>219</v>
      </c>
      <c r="I1125" s="10">
        <v>46108</v>
      </c>
      <c r="J1125" s="17"/>
    </row>
    <row r="1126" spans="2:14" ht="13.5" customHeight="1" x14ac:dyDescent="0.2">
      <c r="B1126" s="1" t="s">
        <v>7</v>
      </c>
      <c r="C1126" s="20">
        <v>539</v>
      </c>
      <c r="D1126" s="20">
        <v>538</v>
      </c>
      <c r="E1126" s="20">
        <f t="shared" ref="E1126:E1133" si="429">C1126-D1126</f>
        <v>1</v>
      </c>
      <c r="F1126" s="3">
        <f t="shared" ref="F1126:F1133" si="430">D1126/C1126</f>
        <v>0.99814471243042668</v>
      </c>
      <c r="G1126" s="2">
        <v>2</v>
      </c>
      <c r="H1126" s="4">
        <f t="shared" si="428"/>
        <v>269</v>
      </c>
      <c r="I1126" s="10">
        <v>46111</v>
      </c>
      <c r="J1126" s="17">
        <v>8</v>
      </c>
    </row>
    <row r="1127" spans="2:14" x14ac:dyDescent="0.2">
      <c r="B1127" s="5" t="s">
        <v>8</v>
      </c>
      <c r="C1127" s="6">
        <v>759</v>
      </c>
      <c r="D1127" s="6">
        <v>738</v>
      </c>
      <c r="E1127" s="2">
        <f t="shared" si="429"/>
        <v>21</v>
      </c>
      <c r="F1127" s="3">
        <f t="shared" si="430"/>
        <v>0.97233201581027673</v>
      </c>
      <c r="G1127" s="2">
        <v>9</v>
      </c>
      <c r="H1127" s="4">
        <f t="shared" si="428"/>
        <v>82</v>
      </c>
      <c r="I1127" s="10">
        <v>46111</v>
      </c>
      <c r="J1127" s="17">
        <v>5</v>
      </c>
      <c r="N1127">
        <v>221</v>
      </c>
    </row>
    <row r="1128" spans="2:14" x14ac:dyDescent="0.2">
      <c r="B1128" s="1" t="s">
        <v>9</v>
      </c>
      <c r="C1128" s="2">
        <v>4</v>
      </c>
      <c r="D1128" s="2">
        <v>4</v>
      </c>
      <c r="E1128" s="2">
        <f t="shared" si="429"/>
        <v>0</v>
      </c>
      <c r="F1128" s="3">
        <f t="shared" si="430"/>
        <v>1</v>
      </c>
      <c r="G1128" s="2">
        <v>9</v>
      </c>
      <c r="H1128" s="4">
        <f t="shared" si="428"/>
        <v>0.44444444444444442</v>
      </c>
      <c r="I1128" s="10">
        <v>46111</v>
      </c>
      <c r="J1128" s="17"/>
    </row>
    <row r="1129" spans="2:14" x14ac:dyDescent="0.2">
      <c r="B1129" s="5" t="s">
        <v>10</v>
      </c>
      <c r="C1129" s="6">
        <f>701+359</f>
        <v>1060</v>
      </c>
      <c r="D1129" s="99">
        <v>915</v>
      </c>
      <c r="E1129" s="2">
        <f t="shared" si="429"/>
        <v>145</v>
      </c>
      <c r="F1129" s="3">
        <f t="shared" si="430"/>
        <v>0.8632075471698113</v>
      </c>
      <c r="G1129" s="6">
        <v>10</v>
      </c>
      <c r="H1129" s="4">
        <f t="shared" si="428"/>
        <v>91.5</v>
      </c>
      <c r="I1129" s="10">
        <v>46111</v>
      </c>
      <c r="J1129" s="17"/>
    </row>
    <row r="1130" spans="2:14" x14ac:dyDescent="0.2">
      <c r="B1130" s="1" t="s">
        <v>11</v>
      </c>
      <c r="C1130" s="20">
        <v>1400</v>
      </c>
      <c r="D1130" s="20">
        <v>1390</v>
      </c>
      <c r="E1130" s="2">
        <f t="shared" si="429"/>
        <v>10</v>
      </c>
      <c r="F1130" s="3">
        <f t="shared" si="430"/>
        <v>0.99285714285714288</v>
      </c>
      <c r="G1130" s="6">
        <v>11</v>
      </c>
      <c r="H1130" s="4">
        <f t="shared" si="428"/>
        <v>126.36363636363636</v>
      </c>
      <c r="I1130" s="10">
        <v>46111</v>
      </c>
      <c r="J1130" s="17">
        <v>7</v>
      </c>
      <c r="K1130">
        <v>9</v>
      </c>
    </row>
    <row r="1131" spans="2:14" x14ac:dyDescent="0.2">
      <c r="B1131" s="5" t="s">
        <v>12</v>
      </c>
      <c r="C1131" s="20">
        <v>195</v>
      </c>
      <c r="D1131" s="20">
        <v>193</v>
      </c>
      <c r="E1131" s="2">
        <f t="shared" si="429"/>
        <v>2</v>
      </c>
      <c r="F1131" s="3">
        <f t="shared" si="430"/>
        <v>0.98974358974358978</v>
      </c>
      <c r="G1131" s="6">
        <v>19</v>
      </c>
      <c r="H1131" s="4">
        <f t="shared" si="428"/>
        <v>10.157894736842104</v>
      </c>
      <c r="I1131" s="10">
        <v>46111</v>
      </c>
    </row>
    <row r="1132" spans="2:14" x14ac:dyDescent="0.2">
      <c r="B1132" s="5" t="s">
        <v>17</v>
      </c>
      <c r="C1132" s="2">
        <v>536</v>
      </c>
      <c r="D1132" s="6">
        <v>536</v>
      </c>
      <c r="E1132" s="2">
        <f t="shared" si="429"/>
        <v>0</v>
      </c>
      <c r="F1132" s="3">
        <f t="shared" si="430"/>
        <v>1</v>
      </c>
      <c r="G1132" s="6">
        <v>2</v>
      </c>
      <c r="H1132" s="4">
        <f t="shared" ref="H1132:H1139" si="431">D1132/G1132</f>
        <v>268</v>
      </c>
      <c r="I1132" s="10">
        <v>46111</v>
      </c>
      <c r="L1132">
        <v>1</v>
      </c>
      <c r="M1132">
        <v>9</v>
      </c>
      <c r="N1132">
        <v>5</v>
      </c>
    </row>
    <row r="1133" spans="2:14" x14ac:dyDescent="0.2">
      <c r="B1133" s="5" t="s">
        <v>50</v>
      </c>
      <c r="C1133" s="2">
        <v>320</v>
      </c>
      <c r="D1133" s="6">
        <v>320</v>
      </c>
      <c r="E1133" s="2">
        <f t="shared" si="429"/>
        <v>0</v>
      </c>
      <c r="F1133" s="3">
        <f t="shared" si="430"/>
        <v>1</v>
      </c>
      <c r="G1133" s="6">
        <v>2</v>
      </c>
      <c r="H1133" s="4">
        <f t="shared" si="431"/>
        <v>160</v>
      </c>
      <c r="I1133" s="10">
        <v>46111</v>
      </c>
    </row>
    <row r="1134" spans="2:14" x14ac:dyDescent="0.2">
      <c r="B1134" s="1" t="s">
        <v>7</v>
      </c>
      <c r="C1134" s="20">
        <v>486</v>
      </c>
      <c r="D1134" s="20">
        <v>478</v>
      </c>
      <c r="E1134" s="20">
        <f t="shared" ref="E1134:E1141" si="432">C1134-D1134</f>
        <v>8</v>
      </c>
      <c r="F1134" s="3">
        <f t="shared" ref="F1134:F1141" si="433">D1134/C1134</f>
        <v>0.98353909465020573</v>
      </c>
      <c r="G1134" s="2">
        <v>2</v>
      </c>
      <c r="H1134" s="4">
        <f t="shared" si="431"/>
        <v>239</v>
      </c>
      <c r="I1134" s="10">
        <v>46112</v>
      </c>
      <c r="J1134" s="17">
        <v>8</v>
      </c>
      <c r="K1134" s="17"/>
      <c r="L1134" s="17"/>
      <c r="M1134" s="17">
        <v>1</v>
      </c>
      <c r="N1134" s="17"/>
    </row>
    <row r="1135" spans="2:14" x14ac:dyDescent="0.2">
      <c r="B1135" s="5" t="s">
        <v>8</v>
      </c>
      <c r="C1135" s="6">
        <v>345</v>
      </c>
      <c r="D1135" s="6">
        <v>339</v>
      </c>
      <c r="E1135" s="2">
        <f t="shared" si="432"/>
        <v>6</v>
      </c>
      <c r="F1135" s="3">
        <f t="shared" si="433"/>
        <v>0.9826086956521739</v>
      </c>
      <c r="G1135" s="2">
        <v>9</v>
      </c>
      <c r="H1135" s="4">
        <f t="shared" si="431"/>
        <v>37.666666666666664</v>
      </c>
      <c r="I1135" s="10">
        <v>46112</v>
      </c>
      <c r="J1135" s="17">
        <v>5</v>
      </c>
      <c r="K1135" s="17"/>
      <c r="L1135" s="17"/>
      <c r="M1135" s="17"/>
      <c r="N1135" s="17">
        <v>175</v>
      </c>
    </row>
    <row r="1136" spans="2:14" x14ac:dyDescent="0.2">
      <c r="B1136" s="1" t="s">
        <v>9</v>
      </c>
      <c r="C1136" s="2">
        <v>89</v>
      </c>
      <c r="D1136" s="2">
        <v>89</v>
      </c>
      <c r="E1136" s="2">
        <f t="shared" si="432"/>
        <v>0</v>
      </c>
      <c r="F1136" s="3">
        <f t="shared" si="433"/>
        <v>1</v>
      </c>
      <c r="G1136" s="2">
        <v>9</v>
      </c>
      <c r="H1136" s="4">
        <f t="shared" si="431"/>
        <v>9.8888888888888893</v>
      </c>
      <c r="I1136" s="10">
        <v>46112</v>
      </c>
      <c r="J1136" s="17"/>
      <c r="K1136" s="17"/>
      <c r="L1136" s="17"/>
      <c r="M1136" s="17"/>
      <c r="N1136" s="17"/>
    </row>
    <row r="1137" spans="2:15" x14ac:dyDescent="0.2">
      <c r="B1137" s="5" t="s">
        <v>10</v>
      </c>
      <c r="C1137" s="6">
        <f>429+6+330</f>
        <v>765</v>
      </c>
      <c r="D1137" s="99">
        <f>386+287</f>
        <v>673</v>
      </c>
      <c r="E1137" s="2">
        <f t="shared" si="432"/>
        <v>92</v>
      </c>
      <c r="F1137" s="3">
        <f t="shared" si="433"/>
        <v>0.87973856209150325</v>
      </c>
      <c r="G1137" s="6">
        <v>10</v>
      </c>
      <c r="H1137" s="4">
        <f t="shared" si="431"/>
        <v>67.3</v>
      </c>
      <c r="I1137" s="10">
        <v>46112</v>
      </c>
      <c r="J1137" s="17"/>
      <c r="K1137" s="17"/>
      <c r="L1137" s="17"/>
      <c r="M1137" s="17"/>
      <c r="N1137" s="17"/>
    </row>
    <row r="1138" spans="2:15" x14ac:dyDescent="0.2">
      <c r="B1138" s="1" t="s">
        <v>11</v>
      </c>
      <c r="C1138" s="20">
        <v>629</v>
      </c>
      <c r="D1138" s="20">
        <v>472</v>
      </c>
      <c r="E1138" s="2">
        <f t="shared" si="432"/>
        <v>157</v>
      </c>
      <c r="F1138" s="3">
        <f t="shared" si="433"/>
        <v>0.75039745627980925</v>
      </c>
      <c r="G1138" s="6">
        <v>11</v>
      </c>
      <c r="H1138" s="4">
        <f t="shared" si="431"/>
        <v>42.909090909090907</v>
      </c>
      <c r="I1138" s="10">
        <v>46112</v>
      </c>
      <c r="J1138" s="17">
        <v>21</v>
      </c>
      <c r="K1138" s="17">
        <v>12</v>
      </c>
      <c r="L1138" s="17"/>
      <c r="M1138" s="17"/>
      <c r="N1138" s="17"/>
    </row>
    <row r="1139" spans="2:15" x14ac:dyDescent="0.2">
      <c r="B1139" s="5" t="s">
        <v>12</v>
      </c>
      <c r="C1139" s="20">
        <v>116</v>
      </c>
      <c r="D1139" s="20">
        <v>116</v>
      </c>
      <c r="E1139" s="2">
        <f t="shared" si="432"/>
        <v>0</v>
      </c>
      <c r="F1139" s="3">
        <f t="shared" si="433"/>
        <v>1</v>
      </c>
      <c r="G1139" s="6">
        <v>19</v>
      </c>
      <c r="H1139" s="4">
        <f t="shared" si="431"/>
        <v>6.1052631578947372</v>
      </c>
      <c r="I1139" s="10">
        <v>46112</v>
      </c>
      <c r="J1139" s="17"/>
      <c r="K1139" s="17"/>
      <c r="L1139" s="17"/>
      <c r="M1139" s="17"/>
      <c r="N1139" s="17"/>
      <c r="O1139">
        <v>255</v>
      </c>
    </row>
    <row r="1140" spans="2:15" x14ac:dyDescent="0.2">
      <c r="B1140" s="5" t="s">
        <v>17</v>
      </c>
      <c r="C1140" s="2">
        <v>140</v>
      </c>
      <c r="D1140" s="6">
        <v>140</v>
      </c>
      <c r="E1140" s="2">
        <f t="shared" si="432"/>
        <v>0</v>
      </c>
      <c r="F1140" s="3">
        <f t="shared" si="433"/>
        <v>1</v>
      </c>
      <c r="G1140" s="6">
        <v>2</v>
      </c>
      <c r="H1140" s="4">
        <f t="shared" ref="H1140:H1147" si="434">D1140/G1140</f>
        <v>70</v>
      </c>
      <c r="I1140" s="10">
        <v>46112</v>
      </c>
      <c r="J1140" s="17"/>
      <c r="K1140" s="17"/>
      <c r="L1140" s="17">
        <v>1</v>
      </c>
      <c r="M1140" s="17"/>
      <c r="N1140" s="17">
        <v>1</v>
      </c>
    </row>
    <row r="1141" spans="2:15" x14ac:dyDescent="0.2">
      <c r="B1141" s="5" t="s">
        <v>50</v>
      </c>
      <c r="C1141" s="2">
        <v>521</v>
      </c>
      <c r="D1141" s="6">
        <v>521</v>
      </c>
      <c r="E1141" s="2">
        <f t="shared" si="432"/>
        <v>0</v>
      </c>
      <c r="F1141" s="3">
        <f t="shared" si="433"/>
        <v>1</v>
      </c>
      <c r="G1141" s="6">
        <v>2</v>
      </c>
      <c r="H1141" s="4">
        <f t="shared" si="434"/>
        <v>260.5</v>
      </c>
      <c r="I1141" s="10">
        <v>46112</v>
      </c>
      <c r="J1141" s="17"/>
      <c r="K1141" s="17"/>
      <c r="L1141" s="17"/>
      <c r="M1141" s="17"/>
      <c r="N1141" s="17"/>
    </row>
    <row r="1142" spans="2:15" x14ac:dyDescent="0.2">
      <c r="B1142" s="1" t="s">
        <v>7</v>
      </c>
      <c r="C1142" s="20">
        <v>120</v>
      </c>
      <c r="D1142" s="20">
        <v>120</v>
      </c>
      <c r="E1142" s="20">
        <f t="shared" ref="E1142:E1149" si="435">C1142-D1142</f>
        <v>0</v>
      </c>
      <c r="F1142" s="3">
        <f t="shared" ref="F1142:F1149" si="436">D1142/C1142</f>
        <v>1</v>
      </c>
      <c r="G1142" s="2">
        <v>2</v>
      </c>
      <c r="H1142" s="4">
        <f t="shared" si="434"/>
        <v>60</v>
      </c>
      <c r="I1142" s="10">
        <v>46113</v>
      </c>
      <c r="J1142" s="17">
        <v>1</v>
      </c>
      <c r="K1142" s="17"/>
      <c r="L1142" s="17"/>
      <c r="M1142" s="17">
        <v>1</v>
      </c>
      <c r="N1142" s="17"/>
    </row>
    <row r="1143" spans="2:15" x14ac:dyDescent="0.2">
      <c r="B1143" s="5" t="s">
        <v>8</v>
      </c>
      <c r="C1143" s="6">
        <v>206</v>
      </c>
      <c r="D1143" s="6">
        <v>205</v>
      </c>
      <c r="E1143" s="2">
        <f t="shared" si="435"/>
        <v>1</v>
      </c>
      <c r="F1143" s="3">
        <f t="shared" si="436"/>
        <v>0.99514563106796117</v>
      </c>
      <c r="G1143" s="2">
        <v>9</v>
      </c>
      <c r="H1143" s="4">
        <f t="shared" si="434"/>
        <v>22.777777777777779</v>
      </c>
      <c r="I1143" s="10">
        <v>46113</v>
      </c>
      <c r="J1143" s="17"/>
      <c r="K1143" s="17"/>
      <c r="L1143" s="17"/>
      <c r="M1143" s="17"/>
      <c r="N1143" s="17">
        <v>37</v>
      </c>
    </row>
    <row r="1144" spans="2:15" x14ac:dyDescent="0.2">
      <c r="B1144" s="1" t="s">
        <v>9</v>
      </c>
      <c r="C1144" s="2">
        <v>259</v>
      </c>
      <c r="D1144" s="2">
        <v>239</v>
      </c>
      <c r="E1144" s="2">
        <f t="shared" si="435"/>
        <v>20</v>
      </c>
      <c r="F1144" s="3">
        <f t="shared" si="436"/>
        <v>0.92277992277992282</v>
      </c>
      <c r="G1144" s="2">
        <v>9</v>
      </c>
      <c r="H1144" s="4">
        <f t="shared" si="434"/>
        <v>26.555555555555557</v>
      </c>
      <c r="I1144" s="10">
        <v>46113</v>
      </c>
      <c r="J1144" s="17"/>
      <c r="K1144" s="17"/>
      <c r="L1144" s="17"/>
      <c r="M1144" s="17"/>
      <c r="N1144" s="17"/>
    </row>
    <row r="1145" spans="2:15" x14ac:dyDescent="0.2">
      <c r="B1145" s="5" t="s">
        <v>10</v>
      </c>
      <c r="C1145" s="6">
        <f>544+16+220</f>
        <v>780</v>
      </c>
      <c r="D1145" s="99">
        <f>543+14+220</f>
        <v>777</v>
      </c>
      <c r="E1145" s="2">
        <f t="shared" si="435"/>
        <v>3</v>
      </c>
      <c r="F1145" s="3">
        <f t="shared" si="436"/>
        <v>0.99615384615384617</v>
      </c>
      <c r="G1145" s="6">
        <v>10</v>
      </c>
      <c r="H1145" s="4">
        <f t="shared" si="434"/>
        <v>77.7</v>
      </c>
      <c r="I1145" s="10">
        <v>46113</v>
      </c>
      <c r="J1145" s="17"/>
      <c r="K1145" s="17"/>
      <c r="L1145" s="17"/>
      <c r="M1145" s="17"/>
      <c r="N1145" s="17"/>
    </row>
    <row r="1146" spans="2:15" x14ac:dyDescent="0.2">
      <c r="B1146" s="1" t="s">
        <v>11</v>
      </c>
      <c r="C1146" s="20">
        <v>623</v>
      </c>
      <c r="D1146" s="20">
        <v>521</v>
      </c>
      <c r="E1146" s="2">
        <f t="shared" si="435"/>
        <v>102</v>
      </c>
      <c r="F1146" s="3">
        <f t="shared" si="436"/>
        <v>0.8362760834670947</v>
      </c>
      <c r="G1146" s="6">
        <v>11</v>
      </c>
      <c r="H1146" s="4">
        <f t="shared" si="434"/>
        <v>47.363636363636367</v>
      </c>
      <c r="I1146" s="10">
        <v>46113</v>
      </c>
      <c r="J1146" s="17">
        <v>20</v>
      </c>
      <c r="K1146" s="17">
        <v>12</v>
      </c>
      <c r="L1146" s="17"/>
      <c r="M1146" s="17"/>
      <c r="N1146" s="17"/>
    </row>
    <row r="1147" spans="2:15" x14ac:dyDescent="0.2">
      <c r="B1147" s="5" t="s">
        <v>12</v>
      </c>
      <c r="C1147" s="20">
        <v>236</v>
      </c>
      <c r="D1147" s="20">
        <v>236</v>
      </c>
      <c r="E1147" s="2">
        <f t="shared" si="435"/>
        <v>0</v>
      </c>
      <c r="F1147" s="3">
        <f t="shared" si="436"/>
        <v>1</v>
      </c>
      <c r="G1147" s="6">
        <v>19</v>
      </c>
      <c r="H1147" s="4">
        <f t="shared" si="434"/>
        <v>12.421052631578947</v>
      </c>
      <c r="I1147" s="10">
        <v>46113</v>
      </c>
      <c r="J1147" s="17"/>
      <c r="K1147" s="17"/>
      <c r="L1147" s="17"/>
      <c r="M1147" s="17"/>
      <c r="N1147" s="17"/>
      <c r="O1147">
        <v>255</v>
      </c>
    </row>
    <row r="1148" spans="2:15" x14ac:dyDescent="0.2">
      <c r="B1148" s="5" t="s">
        <v>17</v>
      </c>
      <c r="C1148" s="2">
        <v>342</v>
      </c>
      <c r="D1148" s="6">
        <v>341</v>
      </c>
      <c r="E1148" s="2">
        <f t="shared" si="435"/>
        <v>1</v>
      </c>
      <c r="F1148" s="3">
        <f t="shared" si="436"/>
        <v>0.99707602339181289</v>
      </c>
      <c r="G1148" s="6">
        <v>2</v>
      </c>
      <c r="H1148" s="4">
        <f t="shared" ref="H1148:H1155" si="437">D1148/G1148</f>
        <v>170.5</v>
      </c>
      <c r="I1148" s="10">
        <v>46113</v>
      </c>
      <c r="J1148" s="17"/>
      <c r="K1148" s="17"/>
      <c r="L1148" s="17">
        <v>7</v>
      </c>
      <c r="M1148" s="17"/>
      <c r="N1148" s="17">
        <v>24</v>
      </c>
    </row>
    <row r="1149" spans="2:15" x14ac:dyDescent="0.2">
      <c r="B1149" s="5" t="s">
        <v>50</v>
      </c>
      <c r="C1149" s="2">
        <v>381</v>
      </c>
      <c r="D1149" s="6">
        <v>381</v>
      </c>
      <c r="E1149" s="2">
        <f t="shared" si="435"/>
        <v>0</v>
      </c>
      <c r="F1149" s="3">
        <f t="shared" si="436"/>
        <v>1</v>
      </c>
      <c r="G1149" s="6">
        <v>2</v>
      </c>
      <c r="H1149" s="4">
        <f t="shared" si="437"/>
        <v>190.5</v>
      </c>
      <c r="I1149" s="10">
        <v>46113</v>
      </c>
      <c r="J1149" s="17"/>
      <c r="K1149" s="17"/>
      <c r="L1149" s="17"/>
      <c r="M1149" s="17"/>
      <c r="N1149" s="17"/>
    </row>
    <row r="1150" spans="2:15" x14ac:dyDescent="0.2">
      <c r="B1150" s="1" t="s">
        <v>7</v>
      </c>
      <c r="C1150" s="20">
        <v>3</v>
      </c>
      <c r="D1150" s="20">
        <v>3</v>
      </c>
      <c r="E1150" s="20">
        <f t="shared" ref="E1150:E1157" si="438">C1150-D1150</f>
        <v>0</v>
      </c>
      <c r="F1150" s="3">
        <f t="shared" ref="F1150:F1157" si="439">D1150/C1150</f>
        <v>1</v>
      </c>
      <c r="G1150" s="2">
        <v>3</v>
      </c>
      <c r="H1150" s="4">
        <f t="shared" si="437"/>
        <v>1</v>
      </c>
      <c r="I1150" s="10">
        <v>46114</v>
      </c>
      <c r="J1150" s="17">
        <v>2</v>
      </c>
      <c r="K1150" s="17"/>
      <c r="L1150" s="17"/>
      <c r="M1150" s="17">
        <v>1</v>
      </c>
      <c r="N1150" s="17"/>
    </row>
    <row r="1151" spans="2:15" x14ac:dyDescent="0.2">
      <c r="B1151" s="5" t="s">
        <v>8</v>
      </c>
      <c r="C1151" s="6">
        <v>179</v>
      </c>
      <c r="D1151" s="6">
        <v>178</v>
      </c>
      <c r="E1151" s="2">
        <f t="shared" si="438"/>
        <v>1</v>
      </c>
      <c r="F1151" s="3">
        <f t="shared" si="439"/>
        <v>0.994413407821229</v>
      </c>
      <c r="G1151" s="2">
        <v>9</v>
      </c>
      <c r="H1151" s="4">
        <f t="shared" si="437"/>
        <v>19.777777777777779</v>
      </c>
      <c r="I1151" s="10">
        <v>46114</v>
      </c>
      <c r="J1151" s="17">
        <v>1</v>
      </c>
      <c r="K1151" s="17"/>
      <c r="L1151" s="17"/>
      <c r="M1151" s="17"/>
      <c r="N1151" s="17">
        <v>15</v>
      </c>
    </row>
    <row r="1152" spans="2:15" x14ac:dyDescent="0.2">
      <c r="B1152" s="1" t="s">
        <v>9</v>
      </c>
      <c r="C1152" s="2">
        <v>79</v>
      </c>
      <c r="D1152" s="2">
        <v>79</v>
      </c>
      <c r="E1152" s="2">
        <f t="shared" si="438"/>
        <v>0</v>
      </c>
      <c r="F1152" s="3">
        <f t="shared" si="439"/>
        <v>1</v>
      </c>
      <c r="G1152" s="2">
        <v>9</v>
      </c>
      <c r="H1152" s="4">
        <f t="shared" si="437"/>
        <v>8.7777777777777786</v>
      </c>
      <c r="I1152" s="10">
        <v>46114</v>
      </c>
      <c r="J1152" s="17"/>
      <c r="K1152" s="17"/>
      <c r="L1152" s="17"/>
      <c r="M1152" s="17"/>
      <c r="N1152" s="17"/>
    </row>
    <row r="1153" spans="2:15" x14ac:dyDescent="0.2">
      <c r="B1153" s="5" t="s">
        <v>10</v>
      </c>
      <c r="C1153" s="6">
        <f>738+2+289</f>
        <v>1029</v>
      </c>
      <c r="D1153" s="99">
        <f>666+2+287</f>
        <v>955</v>
      </c>
      <c r="E1153" s="2">
        <f t="shared" si="438"/>
        <v>74</v>
      </c>
      <c r="F1153" s="3">
        <f t="shared" si="439"/>
        <v>0.92808551992225463</v>
      </c>
      <c r="G1153" s="6">
        <v>10</v>
      </c>
      <c r="H1153" s="4">
        <f t="shared" si="437"/>
        <v>95.5</v>
      </c>
      <c r="I1153" s="10">
        <v>46114</v>
      </c>
      <c r="J1153" s="17"/>
      <c r="K1153" s="17"/>
      <c r="L1153" s="17"/>
      <c r="M1153" s="17"/>
      <c r="N1153" s="17"/>
    </row>
    <row r="1154" spans="2:15" x14ac:dyDescent="0.2">
      <c r="B1154" s="1" t="s">
        <v>11</v>
      </c>
      <c r="C1154" s="20">
        <v>687</v>
      </c>
      <c r="D1154" s="20">
        <v>639</v>
      </c>
      <c r="E1154" s="2">
        <f t="shared" si="438"/>
        <v>48</v>
      </c>
      <c r="F1154" s="3">
        <f t="shared" si="439"/>
        <v>0.93013100436681218</v>
      </c>
      <c r="G1154" s="6">
        <v>9</v>
      </c>
      <c r="H1154" s="4">
        <f t="shared" si="437"/>
        <v>71</v>
      </c>
      <c r="I1154" s="10">
        <v>46114</v>
      </c>
      <c r="J1154" s="17">
        <v>250</v>
      </c>
      <c r="K1154" s="17">
        <v>13</v>
      </c>
      <c r="L1154" s="17"/>
      <c r="M1154" s="17"/>
      <c r="N1154" s="17"/>
    </row>
    <row r="1155" spans="2:15" x14ac:dyDescent="0.2">
      <c r="B1155" s="5" t="s">
        <v>12</v>
      </c>
      <c r="C1155" s="20">
        <v>264</v>
      </c>
      <c r="D1155" s="20">
        <v>257</v>
      </c>
      <c r="E1155" s="2">
        <f t="shared" si="438"/>
        <v>7</v>
      </c>
      <c r="F1155" s="3">
        <f t="shared" si="439"/>
        <v>0.97348484848484851</v>
      </c>
      <c r="G1155" s="6">
        <v>19</v>
      </c>
      <c r="H1155" s="4">
        <f t="shared" si="437"/>
        <v>13.526315789473685</v>
      </c>
      <c r="I1155" s="10">
        <v>46114</v>
      </c>
      <c r="J1155" s="17">
        <v>1</v>
      </c>
      <c r="K1155" s="17"/>
      <c r="L1155" s="17"/>
      <c r="M1155" s="17"/>
      <c r="N1155" s="17"/>
      <c r="O1155">
        <v>99</v>
      </c>
    </row>
    <row r="1156" spans="2:15" x14ac:dyDescent="0.2">
      <c r="B1156" s="5" t="s">
        <v>17</v>
      </c>
      <c r="C1156" s="2">
        <v>1096</v>
      </c>
      <c r="D1156" s="6">
        <v>1029</v>
      </c>
      <c r="E1156" s="2">
        <f t="shared" si="438"/>
        <v>67</v>
      </c>
      <c r="F1156" s="3">
        <f t="shared" si="439"/>
        <v>0.93886861313868608</v>
      </c>
      <c r="G1156" s="6">
        <v>4</v>
      </c>
      <c r="H1156" s="4">
        <f t="shared" ref="H1156:H1163" si="440">D1156/G1156</f>
        <v>257.25</v>
      </c>
      <c r="I1156" s="10">
        <v>46114</v>
      </c>
      <c r="J1156" s="17"/>
      <c r="K1156" s="17"/>
      <c r="L1156" s="17">
        <v>5</v>
      </c>
      <c r="M1156" s="17"/>
      <c r="N1156" s="17">
        <v>26</v>
      </c>
    </row>
    <row r="1157" spans="2:15" x14ac:dyDescent="0.2">
      <c r="B1157" s="5" t="s">
        <v>50</v>
      </c>
      <c r="C1157" s="2">
        <v>251</v>
      </c>
      <c r="D1157" s="6">
        <v>251</v>
      </c>
      <c r="E1157" s="2">
        <f t="shared" si="438"/>
        <v>0</v>
      </c>
      <c r="F1157" s="3">
        <f t="shared" si="439"/>
        <v>1</v>
      </c>
      <c r="G1157" s="6">
        <v>2</v>
      </c>
      <c r="H1157" s="4">
        <f t="shared" si="440"/>
        <v>125.5</v>
      </c>
      <c r="I1157" s="10">
        <v>46114</v>
      </c>
      <c r="J1157" s="17"/>
      <c r="K1157" s="17"/>
      <c r="L1157" s="17"/>
      <c r="M1157" s="17"/>
      <c r="N1157" s="17"/>
    </row>
    <row r="1158" spans="2:15" x14ac:dyDescent="0.2">
      <c r="B1158" s="1" t="s">
        <v>7</v>
      </c>
      <c r="C1158" s="20">
        <v>283</v>
      </c>
      <c r="D1158" s="20">
        <v>266</v>
      </c>
      <c r="E1158" s="20">
        <f t="shared" ref="E1158:E1165" si="441">C1158-D1158</f>
        <v>17</v>
      </c>
      <c r="F1158" s="3">
        <f t="shared" ref="F1158:F1165" si="442">D1158/C1158</f>
        <v>0.93992932862190814</v>
      </c>
      <c r="G1158" s="2">
        <v>3</v>
      </c>
      <c r="H1158" s="4">
        <f t="shared" si="440"/>
        <v>88.666666666666671</v>
      </c>
      <c r="I1158" s="10">
        <v>46115</v>
      </c>
      <c r="J1158" s="17">
        <v>4</v>
      </c>
      <c r="M1158">
        <v>4</v>
      </c>
    </row>
    <row r="1159" spans="2:15" x14ac:dyDescent="0.2">
      <c r="B1159" s="5" t="s">
        <v>8</v>
      </c>
      <c r="C1159" s="6">
        <v>449</v>
      </c>
      <c r="D1159" s="6">
        <v>436</v>
      </c>
      <c r="E1159" s="2">
        <f t="shared" si="441"/>
        <v>13</v>
      </c>
      <c r="F1159" s="3">
        <f t="shared" si="442"/>
        <v>0.97104677060133626</v>
      </c>
      <c r="G1159" s="2">
        <v>9</v>
      </c>
      <c r="H1159" s="4">
        <f t="shared" si="440"/>
        <v>48.444444444444443</v>
      </c>
      <c r="I1159" s="10">
        <v>46115</v>
      </c>
      <c r="N1159">
        <v>29</v>
      </c>
    </row>
    <row r="1160" spans="2:15" x14ac:dyDescent="0.2">
      <c r="B1160" s="1" t="s">
        <v>9</v>
      </c>
      <c r="C1160" s="2">
        <v>65</v>
      </c>
      <c r="D1160" s="2">
        <v>55</v>
      </c>
      <c r="E1160" s="2">
        <f t="shared" si="441"/>
        <v>10</v>
      </c>
      <c r="F1160" s="3">
        <f t="shared" si="442"/>
        <v>0.84615384615384615</v>
      </c>
      <c r="G1160" s="2">
        <v>9</v>
      </c>
      <c r="H1160" s="4">
        <f t="shared" si="440"/>
        <v>6.1111111111111107</v>
      </c>
      <c r="I1160" s="10">
        <v>46115</v>
      </c>
    </row>
    <row r="1161" spans="2:15" x14ac:dyDescent="0.2">
      <c r="B1161" s="5" t="s">
        <v>10</v>
      </c>
      <c r="C1161" s="6">
        <f>640+270</f>
        <v>910</v>
      </c>
      <c r="D1161" s="99">
        <f>637+245</f>
        <v>882</v>
      </c>
      <c r="E1161" s="2">
        <f t="shared" si="441"/>
        <v>28</v>
      </c>
      <c r="F1161" s="3">
        <f t="shared" si="442"/>
        <v>0.96923076923076923</v>
      </c>
      <c r="G1161" s="6">
        <v>9</v>
      </c>
      <c r="H1161" s="4">
        <f t="shared" si="440"/>
        <v>98</v>
      </c>
      <c r="I1161" s="10">
        <v>46115</v>
      </c>
      <c r="J1161" s="17">
        <v>3</v>
      </c>
    </row>
    <row r="1162" spans="2:15" x14ac:dyDescent="0.2">
      <c r="B1162" s="1" t="s">
        <v>11</v>
      </c>
      <c r="C1162" s="20">
        <v>821</v>
      </c>
      <c r="D1162" s="20">
        <v>583</v>
      </c>
      <c r="E1162" s="2">
        <f t="shared" si="441"/>
        <v>238</v>
      </c>
      <c r="F1162" s="3">
        <f t="shared" si="442"/>
        <v>0.71010962241169306</v>
      </c>
      <c r="G1162" s="6">
        <v>9</v>
      </c>
      <c r="H1162" s="4">
        <f t="shared" si="440"/>
        <v>64.777777777777771</v>
      </c>
      <c r="I1162" s="10">
        <v>46115</v>
      </c>
      <c r="J1162" s="17">
        <v>168</v>
      </c>
      <c r="K1162">
        <v>11</v>
      </c>
    </row>
    <row r="1163" spans="2:15" x14ac:dyDescent="0.2">
      <c r="B1163" s="5" t="s">
        <v>12</v>
      </c>
      <c r="C1163" s="20">
        <v>213</v>
      </c>
      <c r="D1163" s="20">
        <v>210</v>
      </c>
      <c r="E1163" s="2">
        <f t="shared" si="441"/>
        <v>3</v>
      </c>
      <c r="F1163" s="3">
        <f t="shared" si="442"/>
        <v>0.9859154929577465</v>
      </c>
      <c r="G1163" s="6">
        <v>19</v>
      </c>
      <c r="H1163" s="4">
        <f t="shared" si="440"/>
        <v>11.052631578947368</v>
      </c>
      <c r="I1163" s="10">
        <v>46115</v>
      </c>
      <c r="O1163">
        <v>245</v>
      </c>
    </row>
    <row r="1164" spans="2:15" x14ac:dyDescent="0.2">
      <c r="B1164" s="5" t="s">
        <v>17</v>
      </c>
      <c r="C1164" s="2">
        <v>267</v>
      </c>
      <c r="D1164" s="6">
        <v>260</v>
      </c>
      <c r="E1164" s="2">
        <f t="shared" si="441"/>
        <v>7</v>
      </c>
      <c r="F1164" s="3">
        <f t="shared" si="442"/>
        <v>0.97378277153558057</v>
      </c>
      <c r="G1164" s="6">
        <v>4</v>
      </c>
      <c r="H1164" s="4">
        <f t="shared" ref="H1164:H1171" si="443">D1164/G1164</f>
        <v>65</v>
      </c>
      <c r="I1164" s="10">
        <v>46115</v>
      </c>
      <c r="L1164">
        <v>9</v>
      </c>
      <c r="N1164">
        <v>9</v>
      </c>
    </row>
    <row r="1165" spans="2:15" x14ac:dyDescent="0.2">
      <c r="B1165" s="5" t="s">
        <v>50</v>
      </c>
      <c r="C1165" s="2">
        <v>334</v>
      </c>
      <c r="D1165" s="6">
        <v>334</v>
      </c>
      <c r="E1165" s="2">
        <f t="shared" si="441"/>
        <v>0</v>
      </c>
      <c r="F1165" s="3">
        <f t="shared" si="442"/>
        <v>1</v>
      </c>
      <c r="G1165" s="6">
        <v>2</v>
      </c>
      <c r="H1165" s="4">
        <f t="shared" si="443"/>
        <v>167</v>
      </c>
      <c r="I1165" s="10">
        <v>46115</v>
      </c>
    </row>
    <row r="1166" spans="2:15" x14ac:dyDescent="0.2">
      <c r="B1166" s="1" t="s">
        <v>7</v>
      </c>
      <c r="C1166" s="20">
        <v>336</v>
      </c>
      <c r="D1166" s="20">
        <v>336</v>
      </c>
      <c r="E1166" s="20">
        <f t="shared" ref="E1166:E1173" si="444">C1166-D1166</f>
        <v>0</v>
      </c>
      <c r="F1166" s="3">
        <f t="shared" ref="F1166:F1173" si="445">D1166/C1166</f>
        <v>1</v>
      </c>
      <c r="G1166" s="2">
        <v>3</v>
      </c>
      <c r="H1166" s="4">
        <f t="shared" si="443"/>
        <v>112</v>
      </c>
      <c r="I1166" s="10">
        <v>46118</v>
      </c>
      <c r="J1166" s="17">
        <v>1</v>
      </c>
      <c r="M1166">
        <v>9</v>
      </c>
    </row>
    <row r="1167" spans="2:15" x14ac:dyDescent="0.2">
      <c r="B1167" s="5" t="s">
        <v>8</v>
      </c>
      <c r="C1167" s="6">
        <v>267</v>
      </c>
      <c r="D1167" s="6">
        <v>234</v>
      </c>
      <c r="E1167" s="2">
        <f t="shared" si="444"/>
        <v>33</v>
      </c>
      <c r="F1167" s="3">
        <f t="shared" si="445"/>
        <v>0.8764044943820225</v>
      </c>
      <c r="G1167" s="2">
        <v>9</v>
      </c>
      <c r="H1167" s="4">
        <f t="shared" si="443"/>
        <v>26</v>
      </c>
      <c r="I1167" s="10">
        <v>46118</v>
      </c>
      <c r="J1167" s="17">
        <f>7+4</f>
        <v>11</v>
      </c>
      <c r="N1167">
        <v>57</v>
      </c>
    </row>
    <row r="1168" spans="2:15" x14ac:dyDescent="0.2">
      <c r="B1168" s="1" t="s">
        <v>9</v>
      </c>
      <c r="C1168" s="2">
        <v>131</v>
      </c>
      <c r="D1168" s="2">
        <v>126</v>
      </c>
      <c r="E1168" s="2">
        <f t="shared" si="444"/>
        <v>5</v>
      </c>
      <c r="F1168" s="3">
        <f t="shared" si="445"/>
        <v>0.96183206106870234</v>
      </c>
      <c r="G1168" s="2">
        <v>9</v>
      </c>
      <c r="H1168" s="4">
        <f t="shared" si="443"/>
        <v>14</v>
      </c>
      <c r="I1168" s="10">
        <v>46118</v>
      </c>
    </row>
    <row r="1169" spans="2:15" x14ac:dyDescent="0.2">
      <c r="B1169" s="5" t="s">
        <v>10</v>
      </c>
      <c r="C1169" s="6">
        <f>45+399</f>
        <v>444</v>
      </c>
      <c r="D1169" s="99">
        <v>399</v>
      </c>
      <c r="E1169" s="2">
        <f t="shared" si="444"/>
        <v>45</v>
      </c>
      <c r="F1169" s="3">
        <f t="shared" si="445"/>
        <v>0.89864864864864868</v>
      </c>
      <c r="G1169" s="6">
        <v>9</v>
      </c>
      <c r="H1169" s="4">
        <f t="shared" si="443"/>
        <v>44.333333333333336</v>
      </c>
      <c r="I1169" s="10">
        <v>46118</v>
      </c>
      <c r="J1169" s="17"/>
    </row>
    <row r="1170" spans="2:15" x14ac:dyDescent="0.2">
      <c r="B1170" s="1" t="s">
        <v>11</v>
      </c>
      <c r="C1170" s="20">
        <v>492</v>
      </c>
      <c r="D1170" s="20">
        <v>430</v>
      </c>
      <c r="E1170" s="2">
        <f t="shared" si="444"/>
        <v>62</v>
      </c>
      <c r="F1170" s="3">
        <f t="shared" si="445"/>
        <v>0.87398373983739841</v>
      </c>
      <c r="G1170" s="6">
        <v>9</v>
      </c>
      <c r="H1170" s="4">
        <f t="shared" si="443"/>
        <v>47.777777777777779</v>
      </c>
      <c r="I1170" s="10">
        <v>46118</v>
      </c>
      <c r="J1170" s="17">
        <v>3</v>
      </c>
      <c r="K1170">
        <v>12</v>
      </c>
    </row>
    <row r="1171" spans="2:15" x14ac:dyDescent="0.2">
      <c r="B1171" s="5" t="s">
        <v>12</v>
      </c>
      <c r="C1171" s="20">
        <v>171</v>
      </c>
      <c r="D1171" s="20">
        <v>165</v>
      </c>
      <c r="E1171" s="2">
        <f t="shared" si="444"/>
        <v>6</v>
      </c>
      <c r="F1171" s="3">
        <f t="shared" si="445"/>
        <v>0.96491228070175439</v>
      </c>
      <c r="G1171" s="6">
        <v>19</v>
      </c>
      <c r="H1171" s="4">
        <f t="shared" si="443"/>
        <v>8.6842105263157894</v>
      </c>
      <c r="I1171" s="10">
        <v>46118</v>
      </c>
      <c r="O1171">
        <v>67</v>
      </c>
    </row>
    <row r="1172" spans="2:15" x14ac:dyDescent="0.2">
      <c r="B1172" s="5" t="s">
        <v>17</v>
      </c>
      <c r="C1172" s="2">
        <v>924</v>
      </c>
      <c r="D1172" s="6">
        <v>858</v>
      </c>
      <c r="E1172" s="2">
        <f t="shared" si="444"/>
        <v>66</v>
      </c>
      <c r="F1172" s="3">
        <f t="shared" si="445"/>
        <v>0.9285714285714286</v>
      </c>
      <c r="G1172" s="6">
        <v>4</v>
      </c>
      <c r="H1172" s="4">
        <f t="shared" ref="H1172:H1179" si="446">D1172/G1172</f>
        <v>214.5</v>
      </c>
      <c r="I1172" s="10">
        <v>46118</v>
      </c>
      <c r="L1172">
        <v>9</v>
      </c>
      <c r="N1172">
        <v>56</v>
      </c>
    </row>
    <row r="1173" spans="2:15" x14ac:dyDescent="0.2">
      <c r="B1173" s="5" t="s">
        <v>50</v>
      </c>
      <c r="C1173" s="2">
        <v>908</v>
      </c>
      <c r="D1173" s="6">
        <v>908</v>
      </c>
      <c r="E1173" s="2">
        <f t="shared" si="444"/>
        <v>0</v>
      </c>
      <c r="F1173" s="3">
        <f t="shared" si="445"/>
        <v>1</v>
      </c>
      <c r="G1173" s="6">
        <v>2</v>
      </c>
      <c r="H1173" s="4">
        <f t="shared" si="446"/>
        <v>454</v>
      </c>
      <c r="I1173" s="10">
        <v>46118</v>
      </c>
    </row>
    <row r="1174" spans="2:15" x14ac:dyDescent="0.2">
      <c r="B1174" s="1" t="s">
        <v>7</v>
      </c>
      <c r="C1174" s="20">
        <v>1013</v>
      </c>
      <c r="D1174" s="20">
        <v>998</v>
      </c>
      <c r="E1174" s="20">
        <f t="shared" ref="E1174:E1181" si="447">C1174-D1174</f>
        <v>15</v>
      </c>
      <c r="F1174" s="3">
        <f t="shared" ref="F1174:F1181" si="448">D1174/C1174</f>
        <v>0.98519249753208293</v>
      </c>
      <c r="G1174" s="2">
        <v>5</v>
      </c>
      <c r="H1174" s="4">
        <f t="shared" si="446"/>
        <v>199.6</v>
      </c>
      <c r="I1174" s="10">
        <v>46119</v>
      </c>
      <c r="J1174" s="16">
        <v>1</v>
      </c>
      <c r="M1174">
        <v>6</v>
      </c>
    </row>
    <row r="1175" spans="2:15" x14ac:dyDescent="0.2">
      <c r="B1175" s="5" t="s">
        <v>8</v>
      </c>
      <c r="C1175" s="6">
        <v>262</v>
      </c>
      <c r="D1175" s="6">
        <v>252</v>
      </c>
      <c r="E1175" s="2">
        <f t="shared" si="447"/>
        <v>10</v>
      </c>
      <c r="F1175" s="3">
        <f t="shared" si="448"/>
        <v>0.96183206106870234</v>
      </c>
      <c r="G1175" s="2">
        <v>9</v>
      </c>
      <c r="H1175" s="4">
        <f t="shared" si="446"/>
        <v>28</v>
      </c>
      <c r="I1175" s="10">
        <v>46119</v>
      </c>
      <c r="J1175" s="16">
        <v>1</v>
      </c>
      <c r="N1175">
        <v>105</v>
      </c>
    </row>
    <row r="1176" spans="2:15" x14ac:dyDescent="0.2">
      <c r="B1176" s="1" t="s">
        <v>9</v>
      </c>
      <c r="C1176" s="2">
        <v>31</v>
      </c>
      <c r="D1176" s="2">
        <v>30</v>
      </c>
      <c r="E1176" s="2">
        <f t="shared" si="447"/>
        <v>1</v>
      </c>
      <c r="F1176" s="3">
        <f t="shared" si="448"/>
        <v>0.967741935483871</v>
      </c>
      <c r="G1176" s="2">
        <v>9</v>
      </c>
      <c r="H1176" s="4">
        <f t="shared" si="446"/>
        <v>3.3333333333333335</v>
      </c>
      <c r="I1176" s="10">
        <v>46119</v>
      </c>
    </row>
    <row r="1177" spans="2:15" x14ac:dyDescent="0.2">
      <c r="B1177" s="5" t="s">
        <v>10</v>
      </c>
      <c r="C1177" s="6">
        <f>337+680</f>
        <v>1017</v>
      </c>
      <c r="D1177" s="99">
        <v>715</v>
      </c>
      <c r="E1177" s="2">
        <f t="shared" si="447"/>
        <v>302</v>
      </c>
      <c r="F1177" s="3">
        <f t="shared" si="448"/>
        <v>0.70304818092428711</v>
      </c>
      <c r="G1177" s="6">
        <v>10</v>
      </c>
      <c r="H1177" s="4">
        <f t="shared" si="446"/>
        <v>71.5</v>
      </c>
      <c r="I1177" s="10">
        <v>46119</v>
      </c>
    </row>
    <row r="1178" spans="2:15" x14ac:dyDescent="0.2">
      <c r="B1178" s="1" t="s">
        <v>11</v>
      </c>
      <c r="C1178" s="20">
        <v>1056</v>
      </c>
      <c r="D1178" s="20">
        <v>863</v>
      </c>
      <c r="E1178" s="2">
        <f t="shared" si="447"/>
        <v>193</v>
      </c>
      <c r="F1178" s="3">
        <f t="shared" si="448"/>
        <v>0.81723484848484851</v>
      </c>
      <c r="G1178" s="6">
        <v>9</v>
      </c>
      <c r="H1178" s="4">
        <f t="shared" si="446"/>
        <v>95.888888888888886</v>
      </c>
      <c r="I1178" s="10">
        <v>46119</v>
      </c>
      <c r="J1178" s="16">
        <v>3</v>
      </c>
      <c r="K1178">
        <v>5</v>
      </c>
    </row>
    <row r="1179" spans="2:15" x14ac:dyDescent="0.2">
      <c r="B1179" s="5" t="s">
        <v>12</v>
      </c>
      <c r="C1179" s="20">
        <v>237</v>
      </c>
      <c r="D1179" s="20">
        <v>237</v>
      </c>
      <c r="E1179" s="2">
        <f t="shared" si="447"/>
        <v>0</v>
      </c>
      <c r="F1179" s="3">
        <f t="shared" si="448"/>
        <v>1</v>
      </c>
      <c r="G1179" s="6">
        <v>15</v>
      </c>
      <c r="H1179" s="4">
        <f t="shared" si="446"/>
        <v>15.8</v>
      </c>
      <c r="I1179" s="10">
        <v>46119</v>
      </c>
      <c r="O1179">
        <v>114</v>
      </c>
    </row>
    <row r="1180" spans="2:15" x14ac:dyDescent="0.2">
      <c r="B1180" s="5" t="s">
        <v>17</v>
      </c>
      <c r="C1180" s="2">
        <v>1552</v>
      </c>
      <c r="D1180" s="6">
        <v>1541</v>
      </c>
      <c r="E1180" s="2">
        <f t="shared" si="447"/>
        <v>11</v>
      </c>
      <c r="F1180" s="3">
        <f t="shared" si="448"/>
        <v>0.99291237113402064</v>
      </c>
      <c r="G1180" s="6">
        <v>4</v>
      </c>
      <c r="H1180" s="4">
        <f t="shared" ref="H1180:H1181" si="449">D1180/G1180</f>
        <v>385.25</v>
      </c>
      <c r="I1180" s="10">
        <v>46119</v>
      </c>
      <c r="L1180">
        <v>9</v>
      </c>
      <c r="N1180">
        <v>15</v>
      </c>
    </row>
    <row r="1181" spans="2:15" x14ac:dyDescent="0.2">
      <c r="B1181" s="5" t="s">
        <v>50</v>
      </c>
      <c r="C1181" s="2">
        <v>175</v>
      </c>
      <c r="D1181" s="6">
        <v>170</v>
      </c>
      <c r="E1181" s="2">
        <f t="shared" si="447"/>
        <v>5</v>
      </c>
      <c r="F1181" s="3">
        <f t="shared" si="448"/>
        <v>0.97142857142857142</v>
      </c>
      <c r="G1181" s="6">
        <v>2</v>
      </c>
      <c r="H1181" s="4">
        <f t="shared" si="449"/>
        <v>85</v>
      </c>
      <c r="I1181" s="10">
        <v>46119</v>
      </c>
    </row>
  </sheetData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B14F-1817-4DEB-B8E4-6703848319FA}">
  <sheetPr codeName="Sayfa2"/>
  <dimension ref="A1:D146"/>
  <sheetViews>
    <sheetView topLeftCell="A98" workbookViewId="0">
      <selection activeCell="C146" sqref="C146"/>
    </sheetView>
  </sheetViews>
  <sheetFormatPr baseColWidth="10" defaultColWidth="8.83203125" defaultRowHeight="15" x14ac:dyDescent="0.2"/>
  <cols>
    <col min="1" max="1" width="10.1640625" bestFit="1" customWidth="1"/>
    <col min="2" max="2" width="112.33203125" bestFit="1" customWidth="1"/>
    <col min="3" max="3" width="8" customWidth="1"/>
  </cols>
  <sheetData>
    <row r="1" spans="1:4" x14ac:dyDescent="0.2">
      <c r="A1" t="s">
        <v>6</v>
      </c>
      <c r="B1" t="s">
        <v>19</v>
      </c>
      <c r="C1" t="s">
        <v>21</v>
      </c>
      <c r="D1" t="s">
        <v>20</v>
      </c>
    </row>
    <row r="2" spans="1:4" x14ac:dyDescent="0.2">
      <c r="A2" s="18">
        <v>45940</v>
      </c>
      <c r="B2" s="31" t="s">
        <v>22</v>
      </c>
      <c r="C2">
        <v>17</v>
      </c>
      <c r="D2" s="19">
        <f>17/19</f>
        <v>0.89473684210526316</v>
      </c>
    </row>
    <row r="3" spans="1:4" x14ac:dyDescent="0.2">
      <c r="A3" s="18">
        <v>45940</v>
      </c>
      <c r="B3" t="s">
        <v>23</v>
      </c>
      <c r="C3">
        <v>2</v>
      </c>
      <c r="D3" s="19">
        <f>2/19</f>
        <v>0.10526315789473684</v>
      </c>
    </row>
    <row r="4" spans="1:4" x14ac:dyDescent="0.2">
      <c r="A4" s="18">
        <v>45943</v>
      </c>
      <c r="B4" s="21" t="s">
        <v>24</v>
      </c>
      <c r="C4">
        <v>40</v>
      </c>
      <c r="D4" s="19">
        <f>C4/76</f>
        <v>0.52631578947368418</v>
      </c>
    </row>
    <row r="5" spans="1:4" x14ac:dyDescent="0.2">
      <c r="A5" s="18">
        <v>45943</v>
      </c>
      <c r="B5" s="21" t="s">
        <v>25</v>
      </c>
      <c r="C5">
        <v>1</v>
      </c>
      <c r="D5" s="19">
        <f>C5/76</f>
        <v>1.3157894736842105E-2</v>
      </c>
    </row>
    <row r="6" spans="1:4" x14ac:dyDescent="0.2">
      <c r="A6" s="18">
        <v>45943</v>
      </c>
      <c r="B6" s="21" t="s">
        <v>26</v>
      </c>
      <c r="C6">
        <v>35</v>
      </c>
      <c r="D6" s="19">
        <f>C6/76</f>
        <v>0.46052631578947367</v>
      </c>
    </row>
    <row r="7" spans="1:4" x14ac:dyDescent="0.2">
      <c r="A7" s="18">
        <v>45944</v>
      </c>
      <c r="B7" s="22" t="s">
        <v>27</v>
      </c>
    </row>
    <row r="8" spans="1:4" x14ac:dyDescent="0.2">
      <c r="A8" s="18">
        <v>45945</v>
      </c>
      <c r="B8" s="23" t="s">
        <v>28</v>
      </c>
      <c r="C8">
        <v>2</v>
      </c>
      <c r="D8" s="19">
        <f>C8/32</f>
        <v>6.25E-2</v>
      </c>
    </row>
    <row r="9" spans="1:4" x14ac:dyDescent="0.2">
      <c r="A9" s="18">
        <v>45945</v>
      </c>
      <c r="B9" s="23" t="s">
        <v>30</v>
      </c>
      <c r="C9">
        <v>10</v>
      </c>
      <c r="D9" s="19">
        <f>C9/32</f>
        <v>0.3125</v>
      </c>
    </row>
    <row r="10" spans="1:4" x14ac:dyDescent="0.2">
      <c r="A10" s="18">
        <v>45945</v>
      </c>
      <c r="B10" s="23" t="s">
        <v>29</v>
      </c>
      <c r="C10">
        <v>20</v>
      </c>
      <c r="D10" s="19">
        <f>C10/32</f>
        <v>0.625</v>
      </c>
    </row>
    <row r="11" spans="1:4" x14ac:dyDescent="0.2">
      <c r="A11" s="18">
        <v>45946</v>
      </c>
      <c r="B11" s="24" t="s">
        <v>31</v>
      </c>
      <c r="C11">
        <v>1</v>
      </c>
      <c r="D11" s="19">
        <f>1/10</f>
        <v>0.1</v>
      </c>
    </row>
    <row r="12" spans="1:4" x14ac:dyDescent="0.2">
      <c r="A12" s="18">
        <v>45946</v>
      </c>
      <c r="B12" s="24" t="s">
        <v>32</v>
      </c>
      <c r="C12">
        <v>9</v>
      </c>
      <c r="D12" s="19">
        <f>9/10</f>
        <v>0.9</v>
      </c>
    </row>
    <row r="13" spans="1:4" x14ac:dyDescent="0.2">
      <c r="A13" s="18">
        <v>45947</v>
      </c>
      <c r="B13" s="24" t="s">
        <v>32</v>
      </c>
      <c r="C13">
        <v>8</v>
      </c>
      <c r="D13" s="19">
        <f>C13/9</f>
        <v>0.88888888888888884</v>
      </c>
    </row>
    <row r="14" spans="1:4" x14ac:dyDescent="0.2">
      <c r="A14" s="18">
        <v>45947</v>
      </c>
      <c r="B14" s="25" t="s">
        <v>33</v>
      </c>
      <c r="C14">
        <v>1</v>
      </c>
      <c r="D14" s="19">
        <f>C14/9</f>
        <v>0.1111111111111111</v>
      </c>
    </row>
    <row r="15" spans="1:4" x14ac:dyDescent="0.2">
      <c r="A15" s="18">
        <v>45950</v>
      </c>
      <c r="B15" s="24" t="s">
        <v>32</v>
      </c>
      <c r="C15">
        <v>6</v>
      </c>
      <c r="D15" s="19">
        <f>C15/11</f>
        <v>0.54545454545454541</v>
      </c>
    </row>
    <row r="16" spans="1:4" x14ac:dyDescent="0.2">
      <c r="A16" s="18">
        <v>45950</v>
      </c>
      <c r="B16" s="29" t="s">
        <v>34</v>
      </c>
      <c r="C16">
        <v>5</v>
      </c>
      <c r="D16" s="19">
        <f>C16/11</f>
        <v>0.45454545454545453</v>
      </c>
    </row>
    <row r="17" spans="1:4" x14ac:dyDescent="0.2">
      <c r="A17" s="18">
        <v>45951</v>
      </c>
      <c r="B17" s="26" t="s">
        <v>35</v>
      </c>
      <c r="C17">
        <v>6</v>
      </c>
      <c r="D17" s="19">
        <f>C17/11</f>
        <v>0.54545454545454541</v>
      </c>
    </row>
    <row r="18" spans="1:4" x14ac:dyDescent="0.2">
      <c r="A18" s="18">
        <v>45951</v>
      </c>
      <c r="B18" s="24" t="s">
        <v>32</v>
      </c>
      <c r="C18">
        <v>5</v>
      </c>
      <c r="D18" s="19">
        <f>C18/11</f>
        <v>0.45454545454545453</v>
      </c>
    </row>
    <row r="19" spans="1:4" x14ac:dyDescent="0.2">
      <c r="A19" s="18">
        <v>45952</v>
      </c>
      <c r="B19" s="22" t="s">
        <v>27</v>
      </c>
    </row>
    <row r="20" spans="1:4" x14ac:dyDescent="0.2">
      <c r="A20" s="18">
        <v>45953</v>
      </c>
      <c r="B20" s="31" t="s">
        <v>36</v>
      </c>
      <c r="C20">
        <v>4</v>
      </c>
      <c r="D20" s="19">
        <f>C20/11</f>
        <v>0.36363636363636365</v>
      </c>
    </row>
    <row r="21" spans="1:4" x14ac:dyDescent="0.2">
      <c r="A21" s="18">
        <v>45953</v>
      </c>
      <c r="B21" s="27" t="s">
        <v>37</v>
      </c>
      <c r="C21">
        <v>5</v>
      </c>
      <c r="D21" s="19">
        <f t="shared" ref="D21:D22" si="0">C21/11</f>
        <v>0.45454545454545453</v>
      </c>
    </row>
    <row r="22" spans="1:4" x14ac:dyDescent="0.2">
      <c r="A22" s="18">
        <v>45953</v>
      </c>
      <c r="B22" s="27" t="s">
        <v>38</v>
      </c>
      <c r="C22">
        <v>2</v>
      </c>
      <c r="D22" s="19">
        <f t="shared" si="0"/>
        <v>0.18181818181818182</v>
      </c>
    </row>
    <row r="23" spans="1:4" x14ac:dyDescent="0.2">
      <c r="A23" s="18">
        <v>45954</v>
      </c>
      <c r="B23" s="28" t="s">
        <v>39</v>
      </c>
      <c r="C23">
        <v>23</v>
      </c>
      <c r="D23" s="19">
        <f>C23/23</f>
        <v>1</v>
      </c>
    </row>
    <row r="24" spans="1:4" x14ac:dyDescent="0.2">
      <c r="A24" s="18">
        <v>45957</v>
      </c>
      <c r="B24" s="29" t="s">
        <v>40</v>
      </c>
      <c r="C24">
        <v>2</v>
      </c>
      <c r="D24" s="19">
        <f>C24/2</f>
        <v>1</v>
      </c>
    </row>
    <row r="25" spans="1:4" x14ac:dyDescent="0.2">
      <c r="A25" s="18">
        <v>45960</v>
      </c>
      <c r="B25" s="30" t="s">
        <v>32</v>
      </c>
      <c r="C25">
        <v>15</v>
      </c>
      <c r="D25" s="19">
        <f>C25/63</f>
        <v>0.23809523809523808</v>
      </c>
    </row>
    <row r="26" spans="1:4" x14ac:dyDescent="0.2">
      <c r="A26" s="18">
        <v>45960</v>
      </c>
      <c r="B26" s="30" t="s">
        <v>41</v>
      </c>
      <c r="C26">
        <v>48</v>
      </c>
      <c r="D26" s="19">
        <f>C26/63</f>
        <v>0.76190476190476186</v>
      </c>
    </row>
    <row r="27" spans="1:4" x14ac:dyDescent="0.2">
      <c r="A27" s="18">
        <v>45961</v>
      </c>
      <c r="B27" s="30" t="s">
        <v>41</v>
      </c>
      <c r="C27">
        <v>73</v>
      </c>
      <c r="D27" s="19">
        <f>C27/73</f>
        <v>1</v>
      </c>
    </row>
    <row r="28" spans="1:4" x14ac:dyDescent="0.2">
      <c r="A28" s="18">
        <v>45964</v>
      </c>
      <c r="B28" s="30" t="s">
        <v>41</v>
      </c>
      <c r="C28">
        <v>14</v>
      </c>
      <c r="D28" s="19">
        <f>C28/14</f>
        <v>1</v>
      </c>
    </row>
    <row r="29" spans="1:4" x14ac:dyDescent="0.2">
      <c r="A29" s="18">
        <v>45965</v>
      </c>
      <c r="B29" s="32" t="s">
        <v>42</v>
      </c>
      <c r="C29">
        <v>1</v>
      </c>
      <c r="D29" s="19">
        <f>C29/1</f>
        <v>1</v>
      </c>
    </row>
    <row r="30" spans="1:4" x14ac:dyDescent="0.2">
      <c r="A30" s="18">
        <v>45966</v>
      </c>
      <c r="B30" s="32" t="s">
        <v>42</v>
      </c>
      <c r="C30">
        <v>2</v>
      </c>
      <c r="D30" s="19">
        <f>C30/5</f>
        <v>0.4</v>
      </c>
    </row>
    <row r="31" spans="1:4" x14ac:dyDescent="0.2">
      <c r="A31" s="18">
        <v>45966</v>
      </c>
      <c r="B31" s="39" t="s">
        <v>43</v>
      </c>
      <c r="C31">
        <v>2</v>
      </c>
      <c r="D31" s="19">
        <f>C31/5</f>
        <v>0.4</v>
      </c>
    </row>
    <row r="32" spans="1:4" x14ac:dyDescent="0.2">
      <c r="A32" s="18">
        <v>45966</v>
      </c>
      <c r="B32" s="33" t="s">
        <v>44</v>
      </c>
      <c r="C32">
        <v>1</v>
      </c>
      <c r="D32" s="19">
        <f>C32/5</f>
        <v>0.2</v>
      </c>
    </row>
    <row r="33" spans="1:4" x14ac:dyDescent="0.2">
      <c r="A33" s="18">
        <v>45967</v>
      </c>
      <c r="B33" s="34" t="s">
        <v>41</v>
      </c>
      <c r="C33">
        <v>30</v>
      </c>
      <c r="D33" s="19">
        <f>C33/45</f>
        <v>0.66666666666666663</v>
      </c>
    </row>
    <row r="34" spans="1:4" x14ac:dyDescent="0.2">
      <c r="A34" s="18">
        <v>45967</v>
      </c>
      <c r="B34" s="34" t="s">
        <v>45</v>
      </c>
      <c r="C34">
        <v>15</v>
      </c>
      <c r="D34" s="19">
        <f>C34/45</f>
        <v>0.33333333333333331</v>
      </c>
    </row>
    <row r="35" spans="1:4" x14ac:dyDescent="0.2">
      <c r="A35" s="18">
        <v>45968</v>
      </c>
      <c r="B35" s="35" t="s">
        <v>46</v>
      </c>
      <c r="C35">
        <v>5</v>
      </c>
      <c r="D35" s="19">
        <f>C35/12</f>
        <v>0.41666666666666669</v>
      </c>
    </row>
    <row r="36" spans="1:4" x14ac:dyDescent="0.2">
      <c r="A36" s="18">
        <v>45968</v>
      </c>
      <c r="B36" s="35" t="s">
        <v>47</v>
      </c>
      <c r="C36">
        <v>1</v>
      </c>
      <c r="D36" s="19">
        <f t="shared" ref="D36:D38" si="1">C36/12</f>
        <v>8.3333333333333329E-2</v>
      </c>
    </row>
    <row r="37" spans="1:4" x14ac:dyDescent="0.2">
      <c r="A37" s="18">
        <v>45968</v>
      </c>
      <c r="B37" s="35" t="s">
        <v>48</v>
      </c>
      <c r="C37">
        <v>5</v>
      </c>
      <c r="D37" s="19">
        <f t="shared" si="1"/>
        <v>0.41666666666666669</v>
      </c>
    </row>
    <row r="38" spans="1:4" x14ac:dyDescent="0.2">
      <c r="A38" s="18">
        <v>45968</v>
      </c>
      <c r="B38" s="35" t="s">
        <v>49</v>
      </c>
      <c r="C38">
        <v>1</v>
      </c>
      <c r="D38" s="19">
        <f t="shared" si="1"/>
        <v>8.3333333333333329E-2</v>
      </c>
    </row>
    <row r="39" spans="1:4" x14ac:dyDescent="0.2">
      <c r="A39" s="18">
        <v>45971</v>
      </c>
      <c r="B39" s="36" t="s">
        <v>51</v>
      </c>
      <c r="C39">
        <v>2</v>
      </c>
      <c r="D39" s="19">
        <f>C39/6</f>
        <v>0.33333333333333331</v>
      </c>
    </row>
    <row r="40" spans="1:4" x14ac:dyDescent="0.2">
      <c r="A40" s="18">
        <v>45971</v>
      </c>
      <c r="B40" s="36" t="s">
        <v>52</v>
      </c>
      <c r="C40">
        <v>2</v>
      </c>
      <c r="D40" s="19">
        <f t="shared" ref="D40:D42" si="2">C40/6</f>
        <v>0.33333333333333331</v>
      </c>
    </row>
    <row r="41" spans="1:4" x14ac:dyDescent="0.2">
      <c r="A41" s="18">
        <v>45971</v>
      </c>
      <c r="B41" s="36" t="s">
        <v>53</v>
      </c>
      <c r="C41">
        <v>1</v>
      </c>
      <c r="D41" s="19">
        <f t="shared" si="2"/>
        <v>0.16666666666666666</v>
      </c>
    </row>
    <row r="42" spans="1:4" x14ac:dyDescent="0.2">
      <c r="A42" s="18">
        <v>45971</v>
      </c>
      <c r="B42" s="37" t="s">
        <v>54</v>
      </c>
      <c r="C42">
        <v>1</v>
      </c>
      <c r="D42" s="19">
        <f t="shared" si="2"/>
        <v>0.16666666666666666</v>
      </c>
    </row>
    <row r="43" spans="1:4" x14ac:dyDescent="0.2">
      <c r="A43" s="18">
        <v>45972</v>
      </c>
      <c r="B43" t="s">
        <v>55</v>
      </c>
      <c r="C43">
        <v>7</v>
      </c>
      <c r="D43" s="19">
        <f>C43/8</f>
        <v>0.875</v>
      </c>
    </row>
    <row r="44" spans="1:4" x14ac:dyDescent="0.2">
      <c r="A44" s="18">
        <v>45972</v>
      </c>
      <c r="B44" s="37" t="s">
        <v>56</v>
      </c>
      <c r="C44">
        <v>1</v>
      </c>
      <c r="D44" s="19">
        <f>C44/8</f>
        <v>0.125</v>
      </c>
    </row>
    <row r="45" spans="1:4" x14ac:dyDescent="0.2">
      <c r="A45" s="18">
        <v>45973</v>
      </c>
      <c r="B45" s="38" t="s">
        <v>57</v>
      </c>
      <c r="C45">
        <v>6</v>
      </c>
      <c r="D45" s="19">
        <f>C45/6</f>
        <v>1</v>
      </c>
    </row>
    <row r="46" spans="1:4" x14ac:dyDescent="0.2">
      <c r="A46" s="18">
        <v>45974</v>
      </c>
      <c r="B46" s="39" t="s">
        <v>58</v>
      </c>
      <c r="C46">
        <v>5</v>
      </c>
      <c r="D46" s="19">
        <f>C46/7</f>
        <v>0.7142857142857143</v>
      </c>
    </row>
    <row r="47" spans="1:4" x14ac:dyDescent="0.2">
      <c r="A47" s="18">
        <v>45974</v>
      </c>
      <c r="B47" t="s">
        <v>59</v>
      </c>
      <c r="C47">
        <v>1</v>
      </c>
      <c r="D47" s="19">
        <f t="shared" ref="D47:D48" si="3">C47/7</f>
        <v>0.14285714285714285</v>
      </c>
    </row>
    <row r="48" spans="1:4" x14ac:dyDescent="0.2">
      <c r="A48" s="18">
        <v>45974</v>
      </c>
      <c r="B48" t="s">
        <v>60</v>
      </c>
      <c r="C48">
        <v>1</v>
      </c>
      <c r="D48" s="19">
        <f t="shared" si="3"/>
        <v>0.14285714285714285</v>
      </c>
    </row>
    <row r="49" spans="1:4" x14ac:dyDescent="0.2">
      <c r="A49" s="18">
        <v>45975</v>
      </c>
      <c r="B49" s="40" t="s">
        <v>61</v>
      </c>
      <c r="C49">
        <v>33</v>
      </c>
      <c r="D49" s="19">
        <f>C49/33</f>
        <v>1</v>
      </c>
    </row>
    <row r="50" spans="1:4" x14ac:dyDescent="0.2">
      <c r="A50" s="18">
        <v>45978</v>
      </c>
      <c r="B50" s="41" t="s">
        <v>62</v>
      </c>
      <c r="C50">
        <v>13</v>
      </c>
      <c r="D50" s="19">
        <f>C50/13</f>
        <v>1</v>
      </c>
    </row>
    <row r="51" spans="1:4" x14ac:dyDescent="0.2">
      <c r="A51" s="18">
        <v>45979</v>
      </c>
      <c r="B51" s="40" t="s">
        <v>61</v>
      </c>
      <c r="C51">
        <v>3</v>
      </c>
      <c r="D51" s="19">
        <f>C51/3</f>
        <v>1</v>
      </c>
    </row>
    <row r="52" spans="1:4" x14ac:dyDescent="0.2">
      <c r="A52" s="18">
        <v>45980</v>
      </c>
      <c r="B52" s="42" t="s">
        <v>63</v>
      </c>
      <c r="C52">
        <v>36</v>
      </c>
      <c r="D52" s="19">
        <f>C52/36</f>
        <v>1</v>
      </c>
    </row>
    <row r="53" spans="1:4" x14ac:dyDescent="0.2">
      <c r="A53" s="18">
        <v>45981</v>
      </c>
      <c r="B53" s="43" t="s">
        <v>64</v>
      </c>
      <c r="C53">
        <v>29</v>
      </c>
      <c r="D53" s="19">
        <f>C53/29</f>
        <v>1</v>
      </c>
    </row>
    <row r="54" spans="1:4" x14ac:dyDescent="0.2">
      <c r="A54" s="18">
        <v>45982</v>
      </c>
      <c r="B54" s="44" t="s">
        <v>65</v>
      </c>
      <c r="C54">
        <v>12</v>
      </c>
      <c r="D54" s="19">
        <f>C54/12</f>
        <v>1</v>
      </c>
    </row>
    <row r="55" spans="1:4" x14ac:dyDescent="0.2">
      <c r="A55" s="18">
        <v>45985</v>
      </c>
      <c r="B55" s="46" t="s">
        <v>64</v>
      </c>
      <c r="C55">
        <v>21</v>
      </c>
      <c r="D55" s="19">
        <f>C55/22</f>
        <v>0.95454545454545459</v>
      </c>
    </row>
    <row r="56" spans="1:4" x14ac:dyDescent="0.2">
      <c r="A56" s="18">
        <v>45985</v>
      </c>
      <c r="B56" t="s">
        <v>67</v>
      </c>
      <c r="C56">
        <v>1</v>
      </c>
      <c r="D56" s="19">
        <f>C56/22</f>
        <v>4.5454545454545456E-2</v>
      </c>
    </row>
    <row r="57" spans="1:4" x14ac:dyDescent="0.2">
      <c r="A57" s="18">
        <v>45986</v>
      </c>
      <c r="B57" s="43" t="s">
        <v>64</v>
      </c>
      <c r="C57">
        <v>6</v>
      </c>
      <c r="D57" s="19">
        <f>C57/9</f>
        <v>0.66666666666666663</v>
      </c>
    </row>
    <row r="58" spans="1:4" x14ac:dyDescent="0.2">
      <c r="A58" s="18">
        <v>45986</v>
      </c>
      <c r="B58" s="45" t="s">
        <v>66</v>
      </c>
      <c r="C58">
        <v>3</v>
      </c>
      <c r="D58" s="19">
        <f>C58/9</f>
        <v>0.33333333333333331</v>
      </c>
    </row>
    <row r="59" spans="1:4" x14ac:dyDescent="0.2">
      <c r="A59" s="18">
        <v>45987</v>
      </c>
      <c r="B59" s="47" t="s">
        <v>68</v>
      </c>
      <c r="C59">
        <v>22</v>
      </c>
      <c r="D59" s="19">
        <f>C59/22</f>
        <v>1</v>
      </c>
    </row>
    <row r="60" spans="1:4" x14ac:dyDescent="0.2">
      <c r="A60" s="18">
        <v>45988</v>
      </c>
      <c r="B60" s="49" t="s">
        <v>69</v>
      </c>
      <c r="C60">
        <v>3</v>
      </c>
      <c r="D60" s="19">
        <f>C60/7</f>
        <v>0.42857142857142855</v>
      </c>
    </row>
    <row r="61" spans="1:4" x14ac:dyDescent="0.2">
      <c r="A61" s="18">
        <v>45988</v>
      </c>
      <c r="B61" s="48" t="s">
        <v>70</v>
      </c>
      <c r="C61">
        <v>1</v>
      </c>
      <c r="D61" s="19">
        <f t="shared" ref="D61:D62" si="4">C61/7</f>
        <v>0.14285714285714285</v>
      </c>
    </row>
    <row r="62" spans="1:4" x14ac:dyDescent="0.2">
      <c r="A62" s="18">
        <v>45988</v>
      </c>
      <c r="B62" t="s">
        <v>71</v>
      </c>
      <c r="C62">
        <v>3</v>
      </c>
      <c r="D62" s="19">
        <f t="shared" si="4"/>
        <v>0.42857142857142855</v>
      </c>
    </row>
    <row r="63" spans="1:4" x14ac:dyDescent="0.2">
      <c r="A63" s="18">
        <v>45989</v>
      </c>
      <c r="B63" s="49" t="s">
        <v>72</v>
      </c>
      <c r="C63">
        <v>7</v>
      </c>
      <c r="D63" s="19">
        <f>C63/8</f>
        <v>0.875</v>
      </c>
    </row>
    <row r="64" spans="1:4" x14ac:dyDescent="0.2">
      <c r="A64" s="18">
        <v>45989</v>
      </c>
      <c r="B64" s="56" t="s">
        <v>73</v>
      </c>
      <c r="C64">
        <v>1</v>
      </c>
      <c r="D64" s="19">
        <f>C64/8</f>
        <v>0.125</v>
      </c>
    </row>
    <row r="65" spans="1:4" x14ac:dyDescent="0.2">
      <c r="A65" s="18">
        <v>45992</v>
      </c>
      <c r="B65" s="50" t="s">
        <v>74</v>
      </c>
      <c r="C65">
        <v>1</v>
      </c>
      <c r="D65" s="19">
        <f>C65/1</f>
        <v>1</v>
      </c>
    </row>
    <row r="66" spans="1:4" ht="16" x14ac:dyDescent="0.2">
      <c r="A66" s="18">
        <v>45993</v>
      </c>
      <c r="B66" s="51" t="s">
        <v>75</v>
      </c>
      <c r="C66">
        <v>23</v>
      </c>
      <c r="D66" s="19">
        <f>C66/23</f>
        <v>1</v>
      </c>
    </row>
    <row r="67" spans="1:4" ht="16" x14ac:dyDescent="0.2">
      <c r="A67" s="18">
        <v>45994</v>
      </c>
      <c r="B67" s="52" t="s">
        <v>76</v>
      </c>
      <c r="C67">
        <v>2</v>
      </c>
      <c r="D67" s="19">
        <f>C67/3</f>
        <v>0.66666666666666663</v>
      </c>
    </row>
    <row r="68" spans="1:4" ht="16" x14ac:dyDescent="0.2">
      <c r="A68" s="18">
        <v>45994</v>
      </c>
      <c r="B68" s="52" t="s">
        <v>77</v>
      </c>
      <c r="C68">
        <v>1</v>
      </c>
      <c r="D68" s="19">
        <f>C68/3</f>
        <v>0.33333333333333331</v>
      </c>
    </row>
    <row r="69" spans="1:4" ht="16" x14ac:dyDescent="0.2">
      <c r="A69" s="18">
        <v>45995</v>
      </c>
      <c r="B69" s="53" t="s">
        <v>78</v>
      </c>
      <c r="C69">
        <v>7</v>
      </c>
      <c r="D69" s="19">
        <f>C69/7</f>
        <v>1</v>
      </c>
    </row>
    <row r="70" spans="1:4" ht="16" x14ac:dyDescent="0.2">
      <c r="A70" s="18">
        <v>45996</v>
      </c>
      <c r="B70" s="54" t="s">
        <v>79</v>
      </c>
      <c r="C70">
        <v>4</v>
      </c>
      <c r="D70" s="19">
        <f>C70/8</f>
        <v>0.5</v>
      </c>
    </row>
    <row r="71" spans="1:4" ht="16" x14ac:dyDescent="0.2">
      <c r="A71" s="18">
        <v>45996</v>
      </c>
      <c r="B71" s="54" t="s">
        <v>80</v>
      </c>
      <c r="C71">
        <v>1</v>
      </c>
      <c r="D71" s="19">
        <f>C71/8</f>
        <v>0.125</v>
      </c>
    </row>
    <row r="72" spans="1:4" ht="16" x14ac:dyDescent="0.2">
      <c r="A72" s="18">
        <v>45996</v>
      </c>
      <c r="B72" s="54" t="s">
        <v>81</v>
      </c>
      <c r="C72">
        <v>3</v>
      </c>
      <c r="D72" s="19">
        <f>C72/8</f>
        <v>0.375</v>
      </c>
    </row>
    <row r="73" spans="1:4" ht="16" x14ac:dyDescent="0.2">
      <c r="A73" s="18">
        <v>46000</v>
      </c>
      <c r="B73" s="55" t="s">
        <v>82</v>
      </c>
      <c r="C73">
        <v>1</v>
      </c>
      <c r="D73" s="19">
        <f>C73/1</f>
        <v>1</v>
      </c>
    </row>
    <row r="74" spans="1:4" ht="16" x14ac:dyDescent="0.2">
      <c r="A74" s="18">
        <v>46006</v>
      </c>
      <c r="B74" s="57" t="s">
        <v>83</v>
      </c>
      <c r="C74">
        <v>3</v>
      </c>
      <c r="D74" s="19">
        <f>C74/5</f>
        <v>0.6</v>
      </c>
    </row>
    <row r="75" spans="1:4" ht="16" x14ac:dyDescent="0.2">
      <c r="A75" s="18">
        <v>46006</v>
      </c>
      <c r="B75" s="57" t="s">
        <v>84</v>
      </c>
      <c r="C75">
        <v>1</v>
      </c>
      <c r="D75" s="19">
        <f t="shared" ref="D75:D76" si="5">C75/5</f>
        <v>0.2</v>
      </c>
    </row>
    <row r="76" spans="1:4" ht="16" x14ac:dyDescent="0.2">
      <c r="A76" s="18">
        <v>46006</v>
      </c>
      <c r="B76" s="57" t="s">
        <v>85</v>
      </c>
      <c r="C76">
        <v>1</v>
      </c>
      <c r="D76" s="19">
        <f t="shared" si="5"/>
        <v>0.2</v>
      </c>
    </row>
    <row r="77" spans="1:4" ht="16" x14ac:dyDescent="0.2">
      <c r="A77" s="18">
        <v>46007</v>
      </c>
      <c r="B77" s="58" t="s">
        <v>86</v>
      </c>
      <c r="C77">
        <v>8</v>
      </c>
      <c r="D77" s="19">
        <f>C77/8</f>
        <v>1</v>
      </c>
    </row>
    <row r="78" spans="1:4" ht="16" x14ac:dyDescent="0.2">
      <c r="A78" s="18">
        <v>46008</v>
      </c>
      <c r="B78" s="60" t="s">
        <v>87</v>
      </c>
      <c r="C78">
        <v>25</v>
      </c>
      <c r="D78" s="19">
        <f>C78/25</f>
        <v>1</v>
      </c>
    </row>
    <row r="79" spans="1:4" ht="16" x14ac:dyDescent="0.2">
      <c r="A79" s="18">
        <v>46010</v>
      </c>
      <c r="B79" s="61" t="s">
        <v>88</v>
      </c>
      <c r="C79">
        <v>14</v>
      </c>
      <c r="D79" s="19">
        <f>C79/14</f>
        <v>1</v>
      </c>
    </row>
    <row r="80" spans="1:4" ht="16" x14ac:dyDescent="0.2">
      <c r="A80" s="18">
        <v>46013</v>
      </c>
      <c r="B80" s="62" t="s">
        <v>89</v>
      </c>
      <c r="C80">
        <v>22</v>
      </c>
      <c r="D80" s="19">
        <f>C80/22</f>
        <v>1</v>
      </c>
    </row>
    <row r="81" spans="1:4" ht="16" x14ac:dyDescent="0.2">
      <c r="A81" s="18">
        <v>46014</v>
      </c>
      <c r="B81" s="62" t="s">
        <v>89</v>
      </c>
      <c r="C81">
        <v>2</v>
      </c>
      <c r="D81" s="19">
        <f>C81/10</f>
        <v>0.2</v>
      </c>
    </row>
    <row r="82" spans="1:4" ht="16" x14ac:dyDescent="0.2">
      <c r="A82" s="18">
        <v>46014</v>
      </c>
      <c r="B82" s="63" t="s">
        <v>90</v>
      </c>
      <c r="C82">
        <v>4</v>
      </c>
      <c r="D82" s="19">
        <f>C82/10</f>
        <v>0.4</v>
      </c>
    </row>
    <row r="83" spans="1:4" ht="16" x14ac:dyDescent="0.2">
      <c r="A83" s="18">
        <v>46014</v>
      </c>
      <c r="B83" s="63" t="s">
        <v>91</v>
      </c>
      <c r="C83">
        <v>4</v>
      </c>
      <c r="D83" s="19">
        <f>C83/10</f>
        <v>0.4</v>
      </c>
    </row>
    <row r="84" spans="1:4" ht="16" x14ac:dyDescent="0.2">
      <c r="A84" s="18">
        <v>46015</v>
      </c>
      <c r="B84" s="64" t="s">
        <v>92</v>
      </c>
      <c r="C84">
        <v>80</v>
      </c>
      <c r="D84" s="19">
        <f>C84/80</f>
        <v>1</v>
      </c>
    </row>
    <row r="85" spans="1:4" ht="16" x14ac:dyDescent="0.2">
      <c r="A85" s="18">
        <v>46020</v>
      </c>
      <c r="B85" s="65" t="s">
        <v>93</v>
      </c>
      <c r="C85">
        <v>15</v>
      </c>
      <c r="D85" s="19">
        <f>C85/15</f>
        <v>1</v>
      </c>
    </row>
    <row r="86" spans="1:4" x14ac:dyDescent="0.2">
      <c r="A86" s="18">
        <v>46029</v>
      </c>
      <c r="B86" t="s">
        <v>94</v>
      </c>
      <c r="C86">
        <v>1</v>
      </c>
      <c r="D86" s="19">
        <f>C86/1</f>
        <v>1</v>
      </c>
    </row>
    <row r="87" spans="1:4" ht="16" x14ac:dyDescent="0.2">
      <c r="A87" s="18">
        <v>46034</v>
      </c>
      <c r="B87" s="82" t="s">
        <v>95</v>
      </c>
      <c r="C87">
        <v>66</v>
      </c>
      <c r="D87" s="19">
        <f>C87/66</f>
        <v>1</v>
      </c>
    </row>
    <row r="88" spans="1:4" ht="16" x14ac:dyDescent="0.2">
      <c r="A88" s="18">
        <v>46035</v>
      </c>
      <c r="B88" s="82" t="s">
        <v>96</v>
      </c>
      <c r="C88">
        <v>74</v>
      </c>
      <c r="D88" s="19">
        <f>C88/74</f>
        <v>1</v>
      </c>
    </row>
    <row r="89" spans="1:4" ht="16" x14ac:dyDescent="0.2">
      <c r="A89" s="18">
        <v>46038</v>
      </c>
      <c r="B89" s="66" t="s">
        <v>97</v>
      </c>
      <c r="C89">
        <v>1</v>
      </c>
      <c r="D89" s="19">
        <f>C89/10</f>
        <v>0.1</v>
      </c>
    </row>
    <row r="90" spans="1:4" ht="16" x14ac:dyDescent="0.2">
      <c r="A90" s="18">
        <v>46038</v>
      </c>
      <c r="B90" s="66" t="s">
        <v>98</v>
      </c>
      <c r="C90">
        <v>9</v>
      </c>
      <c r="D90" s="19">
        <f>C90/10</f>
        <v>0.9</v>
      </c>
    </row>
    <row r="91" spans="1:4" ht="16" x14ac:dyDescent="0.2">
      <c r="A91" s="18">
        <v>46041</v>
      </c>
      <c r="B91" s="67" t="s">
        <v>99</v>
      </c>
      <c r="C91">
        <v>29</v>
      </c>
      <c r="D91" s="19">
        <f>C91/29</f>
        <v>1</v>
      </c>
    </row>
    <row r="92" spans="1:4" ht="16" x14ac:dyDescent="0.2">
      <c r="A92" s="18">
        <v>46042</v>
      </c>
      <c r="B92" s="68" t="s">
        <v>101</v>
      </c>
      <c r="C92">
        <v>4</v>
      </c>
      <c r="D92" s="19">
        <f>C92/11</f>
        <v>0.36363636363636365</v>
      </c>
    </row>
    <row r="93" spans="1:4" ht="16" x14ac:dyDescent="0.2">
      <c r="A93" s="18">
        <v>46042</v>
      </c>
      <c r="B93" s="68" t="s">
        <v>100</v>
      </c>
      <c r="C93">
        <v>2</v>
      </c>
      <c r="D93" s="19">
        <f t="shared" ref="D93:D96" si="6">C93/11</f>
        <v>0.18181818181818182</v>
      </c>
    </row>
    <row r="94" spans="1:4" x14ac:dyDescent="0.2">
      <c r="A94" s="18">
        <v>46042</v>
      </c>
      <c r="B94" s="69" t="s">
        <v>104</v>
      </c>
      <c r="C94">
        <v>1</v>
      </c>
      <c r="D94" s="19">
        <f t="shared" si="6"/>
        <v>9.0909090909090912E-2</v>
      </c>
    </row>
    <row r="95" spans="1:4" ht="16" x14ac:dyDescent="0.2">
      <c r="A95" s="18">
        <v>46042</v>
      </c>
      <c r="B95" s="68" t="s">
        <v>102</v>
      </c>
      <c r="C95">
        <v>2</v>
      </c>
      <c r="D95" s="19">
        <f t="shared" si="6"/>
        <v>0.18181818181818182</v>
      </c>
    </row>
    <row r="96" spans="1:4" ht="16" x14ac:dyDescent="0.2">
      <c r="A96" s="18">
        <v>46042</v>
      </c>
      <c r="B96" s="68" t="s">
        <v>103</v>
      </c>
      <c r="C96">
        <v>2</v>
      </c>
      <c r="D96" s="19">
        <f t="shared" si="6"/>
        <v>0.18181818181818182</v>
      </c>
    </row>
    <row r="97" spans="1:4" ht="16" x14ac:dyDescent="0.2">
      <c r="A97" s="18">
        <v>46043</v>
      </c>
      <c r="B97" s="70" t="s">
        <v>105</v>
      </c>
      <c r="C97">
        <v>2</v>
      </c>
      <c r="D97" s="19">
        <f>C97/26</f>
        <v>7.6923076923076927E-2</v>
      </c>
    </row>
    <row r="98" spans="1:4" ht="16" x14ac:dyDescent="0.2">
      <c r="A98" s="18">
        <v>46043</v>
      </c>
      <c r="B98" s="70" t="s">
        <v>106</v>
      </c>
      <c r="C98">
        <v>24</v>
      </c>
      <c r="D98" s="19">
        <f>C98/26</f>
        <v>0.92307692307692313</v>
      </c>
    </row>
    <row r="99" spans="1:4" x14ac:dyDescent="0.2">
      <c r="A99" s="18">
        <v>46044</v>
      </c>
      <c r="B99" s="72" t="s">
        <v>107</v>
      </c>
      <c r="C99">
        <v>43</v>
      </c>
      <c r="D99" s="19">
        <f>C99/79</f>
        <v>0.54430379746835444</v>
      </c>
    </row>
    <row r="100" spans="1:4" x14ac:dyDescent="0.2">
      <c r="A100" s="18">
        <v>46044</v>
      </c>
      <c r="B100" s="73" t="s">
        <v>108</v>
      </c>
      <c r="C100">
        <v>30</v>
      </c>
      <c r="D100" s="19">
        <f>C100/79</f>
        <v>0.379746835443038</v>
      </c>
    </row>
    <row r="101" spans="1:4" x14ac:dyDescent="0.2">
      <c r="A101" s="18">
        <v>46044</v>
      </c>
      <c r="B101" s="73" t="s">
        <v>109</v>
      </c>
      <c r="C101">
        <v>6</v>
      </c>
      <c r="D101" s="19">
        <f>C101/79</f>
        <v>7.5949367088607597E-2</v>
      </c>
    </row>
    <row r="102" spans="1:4" ht="16" x14ac:dyDescent="0.2">
      <c r="A102" s="18">
        <v>46048</v>
      </c>
      <c r="B102" s="75" t="s">
        <v>110</v>
      </c>
      <c r="C102">
        <v>214</v>
      </c>
      <c r="D102" s="19">
        <f>C102/214</f>
        <v>1</v>
      </c>
    </row>
    <row r="103" spans="1:4" ht="16" x14ac:dyDescent="0.2">
      <c r="A103" s="18">
        <v>46063</v>
      </c>
      <c r="B103" s="81" t="s">
        <v>111</v>
      </c>
      <c r="C103">
        <v>22</v>
      </c>
      <c r="D103" s="19">
        <f>C103/22</f>
        <v>1</v>
      </c>
    </row>
    <row r="104" spans="1:4" x14ac:dyDescent="0.2">
      <c r="A104" s="18">
        <v>46065</v>
      </c>
      <c r="B104" s="83" t="s">
        <v>112</v>
      </c>
      <c r="C104">
        <v>9</v>
      </c>
      <c r="D104" s="19">
        <f>C104/15</f>
        <v>0.6</v>
      </c>
    </row>
    <row r="105" spans="1:4" ht="16" x14ac:dyDescent="0.2">
      <c r="A105" s="18">
        <v>46065</v>
      </c>
      <c r="B105" s="85" t="s">
        <v>98</v>
      </c>
      <c r="C105">
        <v>6</v>
      </c>
      <c r="D105" s="19">
        <f>C105/15</f>
        <v>0.4</v>
      </c>
    </row>
    <row r="106" spans="1:4" x14ac:dyDescent="0.2">
      <c r="A106" s="18">
        <v>46066</v>
      </c>
      <c r="B106" s="84" t="s">
        <v>113</v>
      </c>
      <c r="C106">
        <v>6</v>
      </c>
      <c r="D106" s="19">
        <f>C106/9</f>
        <v>0.66666666666666663</v>
      </c>
    </row>
    <row r="107" spans="1:4" x14ac:dyDescent="0.2">
      <c r="A107" s="18">
        <v>46066</v>
      </c>
      <c r="B107" s="86" t="s">
        <v>114</v>
      </c>
      <c r="C107">
        <v>3</v>
      </c>
      <c r="D107" s="19">
        <f>C107/9</f>
        <v>0.33333333333333331</v>
      </c>
    </row>
    <row r="108" spans="1:4" x14ac:dyDescent="0.2">
      <c r="A108" s="18">
        <v>46069</v>
      </c>
      <c r="B108" t="s">
        <v>115</v>
      </c>
      <c r="C108">
        <v>10</v>
      </c>
      <c r="D108" s="19">
        <f>C108/10</f>
        <v>1</v>
      </c>
    </row>
    <row r="109" spans="1:4" x14ac:dyDescent="0.2">
      <c r="A109" s="18">
        <v>46070</v>
      </c>
      <c r="B109" s="90" t="s">
        <v>116</v>
      </c>
      <c r="C109">
        <v>4</v>
      </c>
      <c r="D109" s="19">
        <f>C109/6</f>
        <v>0.66666666666666663</v>
      </c>
    </row>
    <row r="110" spans="1:4" x14ac:dyDescent="0.2">
      <c r="A110" s="18">
        <v>46070</v>
      </c>
      <c r="B110" s="91" t="s">
        <v>117</v>
      </c>
      <c r="C110">
        <v>2</v>
      </c>
      <c r="D110" s="19">
        <f>C110/6</f>
        <v>0.33333333333333331</v>
      </c>
    </row>
    <row r="111" spans="1:4" x14ac:dyDescent="0.2">
      <c r="A111" s="18">
        <v>46073</v>
      </c>
      <c r="B111" s="104" t="s">
        <v>116</v>
      </c>
      <c r="C111">
        <v>5</v>
      </c>
      <c r="D111" s="19">
        <f>C111/11</f>
        <v>0.45454545454545453</v>
      </c>
    </row>
    <row r="112" spans="1:4" ht="16" x14ac:dyDescent="0.2">
      <c r="A112" s="18">
        <v>46073</v>
      </c>
      <c r="B112" s="92" t="s">
        <v>118</v>
      </c>
      <c r="C112">
        <v>6</v>
      </c>
      <c r="D112" s="19">
        <f>C112/11</f>
        <v>0.54545454545454541</v>
      </c>
    </row>
    <row r="113" spans="1:4" x14ac:dyDescent="0.2">
      <c r="A113" s="18">
        <v>46077</v>
      </c>
      <c r="B113" s="102" t="s">
        <v>119</v>
      </c>
      <c r="C113">
        <v>134</v>
      </c>
      <c r="D113" s="19">
        <f>C113/145</f>
        <v>0.92413793103448272</v>
      </c>
    </row>
    <row r="114" spans="1:4" x14ac:dyDescent="0.2">
      <c r="A114" s="18">
        <v>46077</v>
      </c>
      <c r="B114" s="93" t="s">
        <v>120</v>
      </c>
      <c r="C114">
        <v>11</v>
      </c>
      <c r="D114" s="19">
        <f>C114/145</f>
        <v>7.586206896551724E-2</v>
      </c>
    </row>
    <row r="115" spans="1:4" x14ac:dyDescent="0.2">
      <c r="A115" s="18">
        <v>46078</v>
      </c>
      <c r="B115" s="93" t="s">
        <v>121</v>
      </c>
      <c r="C115">
        <v>6</v>
      </c>
      <c r="D115" s="19">
        <f>C115/55</f>
        <v>0.10909090909090909</v>
      </c>
    </row>
    <row r="116" spans="1:4" x14ac:dyDescent="0.2">
      <c r="A116" s="18">
        <v>46078</v>
      </c>
      <c r="B116" s="95" t="s">
        <v>123</v>
      </c>
      <c r="C116">
        <v>46</v>
      </c>
      <c r="D116" s="19">
        <f>C116/55</f>
        <v>0.83636363636363631</v>
      </c>
    </row>
    <row r="117" spans="1:4" x14ac:dyDescent="0.2">
      <c r="A117" s="18">
        <v>46078</v>
      </c>
      <c r="B117" s="94" t="s">
        <v>122</v>
      </c>
      <c r="C117">
        <v>3</v>
      </c>
      <c r="D117" s="19">
        <f>C117/55</f>
        <v>5.4545454545454543E-2</v>
      </c>
    </row>
    <row r="118" spans="1:4" x14ac:dyDescent="0.2">
      <c r="A118" s="18">
        <v>46079</v>
      </c>
      <c r="B118" s="96" t="s">
        <v>124</v>
      </c>
      <c r="C118">
        <v>136</v>
      </c>
      <c r="D118" s="19">
        <f>C118/136</f>
        <v>1</v>
      </c>
    </row>
    <row r="119" spans="1:4" ht="16" x14ac:dyDescent="0.2">
      <c r="A119" s="18">
        <v>46080</v>
      </c>
      <c r="B119" s="97" t="s">
        <v>125</v>
      </c>
      <c r="C119">
        <v>23</v>
      </c>
      <c r="D119" s="19">
        <f>C119/23</f>
        <v>1</v>
      </c>
    </row>
    <row r="120" spans="1:4" ht="16" x14ac:dyDescent="0.2">
      <c r="A120" s="18">
        <v>46083</v>
      </c>
      <c r="B120" s="98" t="s">
        <v>99</v>
      </c>
      <c r="C120">
        <v>55</v>
      </c>
      <c r="D120" s="19">
        <f>C120/55</f>
        <v>1</v>
      </c>
    </row>
    <row r="121" spans="1:4" ht="16" x14ac:dyDescent="0.2">
      <c r="A121" s="18">
        <v>46084</v>
      </c>
      <c r="B121" s="100" t="s">
        <v>127</v>
      </c>
      <c r="C121">
        <v>10</v>
      </c>
      <c r="D121" s="19">
        <f>C121/19</f>
        <v>0.52631578947368418</v>
      </c>
    </row>
    <row r="122" spans="1:4" ht="16" x14ac:dyDescent="0.2">
      <c r="A122" s="18">
        <v>46084</v>
      </c>
      <c r="B122" s="100" t="s">
        <v>128</v>
      </c>
      <c r="C122">
        <v>2</v>
      </c>
      <c r="D122" s="19">
        <f>C122/19</f>
        <v>0.10526315789473684</v>
      </c>
    </row>
    <row r="123" spans="1:4" ht="16" x14ac:dyDescent="0.2">
      <c r="A123" s="18">
        <v>46084</v>
      </c>
      <c r="B123" s="100" t="s">
        <v>126</v>
      </c>
      <c r="C123">
        <v>7</v>
      </c>
      <c r="D123" s="19">
        <f>C123/19</f>
        <v>0.36842105263157893</v>
      </c>
    </row>
    <row r="124" spans="1:4" x14ac:dyDescent="0.2">
      <c r="A124" s="18">
        <v>46085</v>
      </c>
      <c r="B124" s="101" t="s">
        <v>129</v>
      </c>
      <c r="C124">
        <v>24</v>
      </c>
      <c r="D124" s="19">
        <f>C124/24</f>
        <v>1</v>
      </c>
    </row>
    <row r="125" spans="1:4" ht="16" x14ac:dyDescent="0.2">
      <c r="A125" s="18">
        <v>46086</v>
      </c>
      <c r="B125" s="103" t="s">
        <v>130</v>
      </c>
      <c r="C125">
        <v>55</v>
      </c>
      <c r="D125" s="19">
        <f>C125/59</f>
        <v>0.93220338983050843</v>
      </c>
    </row>
    <row r="126" spans="1:4" x14ac:dyDescent="0.2">
      <c r="A126" s="18">
        <v>46086</v>
      </c>
      <c r="B126" t="s">
        <v>116</v>
      </c>
      <c r="C126">
        <v>4</v>
      </c>
      <c r="D126" s="19">
        <f>C126/59</f>
        <v>6.7796610169491525E-2</v>
      </c>
    </row>
    <row r="127" spans="1:4" ht="16" x14ac:dyDescent="0.2">
      <c r="A127" s="18">
        <v>46087</v>
      </c>
      <c r="B127" s="105" t="s">
        <v>131</v>
      </c>
      <c r="C127">
        <v>10</v>
      </c>
      <c r="D127" s="19">
        <f>C127/61</f>
        <v>0.16393442622950818</v>
      </c>
    </row>
    <row r="128" spans="1:4" ht="16" x14ac:dyDescent="0.2">
      <c r="A128" s="18">
        <v>46087</v>
      </c>
      <c r="B128" s="105" t="s">
        <v>132</v>
      </c>
      <c r="C128">
        <v>36</v>
      </c>
      <c r="D128" s="19">
        <f>C128/61</f>
        <v>0.5901639344262295</v>
      </c>
    </row>
    <row r="129" spans="1:4" ht="16" x14ac:dyDescent="0.2">
      <c r="A129" s="18">
        <v>46087</v>
      </c>
      <c r="B129" s="98" t="s">
        <v>99</v>
      </c>
      <c r="C129">
        <v>15</v>
      </c>
      <c r="D129" s="19">
        <f>C129/61</f>
        <v>0.24590163934426229</v>
      </c>
    </row>
    <row r="130" spans="1:4" ht="16" x14ac:dyDescent="0.2">
      <c r="A130" s="18">
        <v>46090</v>
      </c>
      <c r="B130" s="98" t="s">
        <v>99</v>
      </c>
      <c r="C130">
        <v>36</v>
      </c>
      <c r="D130" s="19">
        <f>C130/36</f>
        <v>1</v>
      </c>
    </row>
    <row r="131" spans="1:4" ht="16" x14ac:dyDescent="0.2">
      <c r="A131" s="18">
        <v>46091</v>
      </c>
      <c r="B131" s="98" t="s">
        <v>99</v>
      </c>
      <c r="C131">
        <v>31</v>
      </c>
      <c r="D131" s="19">
        <f>C131/31</f>
        <v>1</v>
      </c>
    </row>
    <row r="132" spans="1:4" ht="16" x14ac:dyDescent="0.2">
      <c r="A132" s="18">
        <v>46092</v>
      </c>
      <c r="B132" s="98" t="s">
        <v>99</v>
      </c>
      <c r="C132">
        <v>11</v>
      </c>
      <c r="D132" s="19">
        <f>C132/11</f>
        <v>1</v>
      </c>
    </row>
    <row r="133" spans="1:4" ht="16" x14ac:dyDescent="0.2">
      <c r="A133" s="18">
        <v>46093</v>
      </c>
      <c r="B133" s="106" t="s">
        <v>133</v>
      </c>
      <c r="C133">
        <v>10</v>
      </c>
      <c r="D133" s="19">
        <f>C133/52</f>
        <v>0.19230769230769232</v>
      </c>
    </row>
    <row r="134" spans="1:4" ht="16" x14ac:dyDescent="0.2">
      <c r="A134" s="18">
        <v>46093</v>
      </c>
      <c r="B134" s="106" t="s">
        <v>97</v>
      </c>
      <c r="C134">
        <v>42</v>
      </c>
      <c r="D134" s="19">
        <f>C134/52</f>
        <v>0.80769230769230771</v>
      </c>
    </row>
    <row r="135" spans="1:4" ht="16" x14ac:dyDescent="0.2">
      <c r="A135" s="18">
        <v>46097</v>
      </c>
      <c r="B135" s="107" t="s">
        <v>134</v>
      </c>
      <c r="C135">
        <v>3</v>
      </c>
      <c r="D135" s="19">
        <f>C135/3</f>
        <v>1</v>
      </c>
    </row>
    <row r="136" spans="1:4" ht="16" x14ac:dyDescent="0.2">
      <c r="A136" s="18">
        <v>46098</v>
      </c>
      <c r="B136" s="106" t="s">
        <v>97</v>
      </c>
      <c r="C136">
        <v>2</v>
      </c>
      <c r="D136" s="19">
        <f>C136/2</f>
        <v>1</v>
      </c>
    </row>
    <row r="137" spans="1:4" ht="16" x14ac:dyDescent="0.2">
      <c r="A137" s="18">
        <v>46099</v>
      </c>
      <c r="B137" s="108" t="s">
        <v>120</v>
      </c>
      <c r="C137">
        <v>23</v>
      </c>
      <c r="D137" s="19">
        <f>C137/23</f>
        <v>1</v>
      </c>
    </row>
    <row r="138" spans="1:4" ht="16" x14ac:dyDescent="0.2">
      <c r="A138" s="18">
        <v>46104</v>
      </c>
      <c r="B138" s="106" t="s">
        <v>97</v>
      </c>
      <c r="C138">
        <v>46</v>
      </c>
      <c r="D138" s="19">
        <f>C138/46</f>
        <v>1</v>
      </c>
    </row>
    <row r="139" spans="1:4" ht="16" x14ac:dyDescent="0.2">
      <c r="A139" s="18">
        <v>46105</v>
      </c>
      <c r="B139" s="109" t="s">
        <v>135</v>
      </c>
      <c r="C139">
        <v>84</v>
      </c>
      <c r="D139" s="19">
        <f>C139/84</f>
        <v>1</v>
      </c>
    </row>
    <row r="140" spans="1:4" ht="16" x14ac:dyDescent="0.2">
      <c r="A140" s="18">
        <v>46106</v>
      </c>
      <c r="B140" s="106" t="s">
        <v>97</v>
      </c>
      <c r="C140">
        <v>264</v>
      </c>
      <c r="D140" s="19">
        <f>C140/264</f>
        <v>1</v>
      </c>
    </row>
    <row r="141" spans="1:4" ht="16" x14ac:dyDescent="0.2">
      <c r="A141" s="18">
        <v>46111</v>
      </c>
      <c r="B141" s="110" t="s">
        <v>136</v>
      </c>
      <c r="C141">
        <v>2</v>
      </c>
      <c r="D141" s="19">
        <f>C141/2</f>
        <v>1</v>
      </c>
    </row>
    <row r="142" spans="1:4" ht="16" x14ac:dyDescent="0.2">
      <c r="A142" s="18">
        <v>46114</v>
      </c>
      <c r="B142" s="106" t="s">
        <v>97</v>
      </c>
      <c r="C142">
        <v>6</v>
      </c>
      <c r="D142" s="19">
        <f>C142/7</f>
        <v>0.8571428571428571</v>
      </c>
    </row>
    <row r="143" spans="1:4" ht="16" x14ac:dyDescent="0.2">
      <c r="A143" s="18">
        <v>46114</v>
      </c>
      <c r="B143" s="111" t="s">
        <v>137</v>
      </c>
      <c r="C143">
        <v>1</v>
      </c>
      <c r="D143" s="19">
        <f>C143/7</f>
        <v>0.14285714285714285</v>
      </c>
    </row>
    <row r="144" spans="1:4" ht="16" x14ac:dyDescent="0.2">
      <c r="A144" s="18">
        <v>46115</v>
      </c>
      <c r="B144" s="113" t="s">
        <v>120</v>
      </c>
      <c r="C144">
        <v>3</v>
      </c>
      <c r="D144" s="19">
        <f>C144/3</f>
        <v>1</v>
      </c>
    </row>
    <row r="145" spans="1:4" x14ac:dyDescent="0.2">
      <c r="A145" s="18">
        <v>46118</v>
      </c>
      <c r="B145" s="112" t="s">
        <v>138</v>
      </c>
      <c r="C145">
        <v>5</v>
      </c>
      <c r="D145" s="19">
        <f>C145/6</f>
        <v>0.83333333333333337</v>
      </c>
    </row>
    <row r="146" spans="1:4" x14ac:dyDescent="0.2">
      <c r="A146" s="18">
        <v>46118</v>
      </c>
      <c r="B146" s="112" t="s">
        <v>139</v>
      </c>
      <c r="C146">
        <v>1</v>
      </c>
      <c r="D146" s="19">
        <f>C146/6</f>
        <v>0.16666666666666666</v>
      </c>
    </row>
  </sheetData>
  <autoFilter ref="A1:D124" xr:uid="{E86DB14F-1817-4DEB-B8E4-6703848319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Veriler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Kavi. Yurdakul</dc:creator>
  <cp:lastModifiedBy>Tuncay Özalıcı</cp:lastModifiedBy>
  <cp:lastPrinted>2026-03-18T05:54:12Z</cp:lastPrinted>
  <dcterms:created xsi:type="dcterms:W3CDTF">2015-06-05T18:19:00Z</dcterms:created>
  <dcterms:modified xsi:type="dcterms:W3CDTF">2026-04-09T06:10:36Z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04C334B1620D4010BC9C3A2E5334D086_12</vt:lpwstr>
  </property>
  <property fmtid="{D5CDD505-2E9C-101B-9397-08002B2CF9AE}" pid="3" name="KSOProductBuildVer">
    <vt:lpwstr>1033-12.2.0.21931</vt:lpwstr>
  </property>
</Properties>
</file>