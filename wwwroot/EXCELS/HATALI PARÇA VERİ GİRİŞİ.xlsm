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\\MarwoodNas\Üretim\ÜRETİM VERİLERİ\"/>
    </mc:Choice>
  </mc:AlternateContent>
  <xr:revisionPtr revIDLastSave="0" documentId="13_ncr:1_{4F472E29-38C0-4886-B204-7DBABFF80CBF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VERİ GİRİŞİ" sheetId="1" r:id="rId1"/>
    <sheet name="VERİ KAYIT" sheetId="3" r:id="rId2"/>
    <sheet name="2 ocak-24 ekim" sheetId="6" state="hidden" r:id="rId3"/>
    <sheet name="Veri doğrulama" sheetId="4" state="hidden" r:id="rId4"/>
  </sheets>
  <definedNames>
    <definedName name="_xlnm._FilterDatabase" localSheetId="2" hidden="1">'2 ocak-24 ekim'!$A$1:$P$1067</definedName>
    <definedName name="_xlnm._FilterDatabase" localSheetId="1" hidden="1">'VERİ KAYIT'!$A$1:$R$1515</definedName>
    <definedName name="Bölüm_Adı" localSheetId="2">Tablo6[Bölüm Adı]</definedName>
    <definedName name="Bölüm_Adı">Tablo6[Bölüm Adı]</definedName>
    <definedName name="Hata_Nedeni" localSheetId="2">Tablo1[Hata Nedeni]</definedName>
    <definedName name="Hata_Nedeni">Tablo1[Hata Nedeni]</definedName>
    <definedName name="Kalınlık" localSheetId="2">Tablo9[Kalınlık]</definedName>
    <definedName name="Kalınlık">Tablo9[Kalınlık]</definedName>
    <definedName name="Renkler" localSheetId="2">Tablo8[Renkler]</definedName>
    <definedName name="Renkler">Tablo8[Renkler]</definedName>
    <definedName name="Talep_Acan" localSheetId="2">Tablo7[Talep Açan Kullanıcı]</definedName>
    <definedName name="Talep_Acan">Tablo7[Talep Açan Kullanıcı]</definedName>
    <definedName name="_xlnm.Print_Area" localSheetId="2">'2 ocak-24 ekim'!$A:$S</definedName>
    <definedName name="_xlnm.Print_Area" localSheetId="1">'VERİ KAYIT'!$A:$R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3" l="1"/>
  <c r="D2" i="3"/>
  <c r="L3" i="3"/>
  <c r="D3" i="3"/>
  <c r="L4" i="3" l="1"/>
  <c r="D4" i="3"/>
  <c r="L5" i="3" l="1"/>
  <c r="D5" i="3"/>
  <c r="L6" i="3" l="1"/>
  <c r="D6" i="3"/>
  <c r="L7" i="3" l="1"/>
  <c r="D7" i="3"/>
  <c r="L8" i="3" l="1"/>
  <c r="D8" i="3"/>
  <c r="L9" i="3" l="1"/>
  <c r="D9" i="3"/>
  <c r="L10" i="3" l="1"/>
  <c r="D10" i="3"/>
  <c r="L11" i="3" l="1"/>
  <c r="D11" i="3"/>
  <c r="L12" i="3" l="1"/>
  <c r="D12" i="3"/>
  <c r="L13" i="3" l="1"/>
  <c r="D13" i="3"/>
  <c r="L14" i="3"/>
  <c r="D14" i="3"/>
  <c r="L15" i="3" l="1"/>
  <c r="D15" i="3"/>
  <c r="L16" i="3" l="1"/>
  <c r="D16" i="3"/>
  <c r="L17" i="3" l="1"/>
  <c r="D17" i="3"/>
  <c r="L18" i="3"/>
  <c r="D18" i="3"/>
  <c r="L19" i="3" l="1"/>
  <c r="D19" i="3"/>
  <c r="L20" i="3"/>
  <c r="D20" i="3"/>
  <c r="L21" i="3" l="1"/>
  <c r="D21" i="3"/>
  <c r="L22" i="3"/>
  <c r="D22" i="3"/>
  <c r="L23" i="3" l="1"/>
  <c r="D23" i="3"/>
  <c r="L24" i="3"/>
  <c r="D24" i="3"/>
  <c r="L25" i="3" l="1"/>
  <c r="D25" i="3"/>
  <c r="L26" i="3"/>
  <c r="D26" i="3"/>
  <c r="L27" i="3" l="1"/>
  <c r="D27" i="3"/>
  <c r="L28" i="3" l="1"/>
  <c r="D28" i="3"/>
  <c r="L29" i="3" l="1"/>
  <c r="D29" i="3"/>
  <c r="L30" i="3" l="1"/>
  <c r="D30" i="3"/>
  <c r="L31" i="3"/>
  <c r="D31" i="3"/>
  <c r="L32" i="3" l="1"/>
  <c r="D32" i="3"/>
  <c r="L33" i="3"/>
  <c r="D33" i="3"/>
  <c r="L34" i="3" l="1"/>
  <c r="D34" i="3"/>
  <c r="L35" i="3" l="1"/>
  <c r="D35" i="3"/>
  <c r="L36" i="3" l="1"/>
  <c r="D36" i="3"/>
  <c r="L37" i="3" l="1"/>
  <c r="D37" i="3"/>
  <c r="L38" i="3" l="1"/>
  <c r="D38" i="3"/>
  <c r="L39" i="3" l="1"/>
  <c r="D39" i="3"/>
  <c r="L40" i="3" l="1"/>
  <c r="D40" i="3"/>
  <c r="L41" i="3" l="1"/>
  <c r="D41" i="3"/>
  <c r="L42" i="3" l="1"/>
  <c r="D42" i="3"/>
  <c r="L43" i="3" l="1"/>
  <c r="D43" i="3"/>
  <c r="L44" i="3" l="1"/>
  <c r="D44" i="3"/>
  <c r="L45" i="3" l="1"/>
  <c r="D45" i="3"/>
  <c r="L46" i="3" l="1"/>
  <c r="D46" i="3"/>
  <c r="L47" i="3"/>
  <c r="D47" i="3"/>
  <c r="L48" i="3"/>
  <c r="D48" i="3"/>
  <c r="L49" i="3" l="1"/>
  <c r="D49" i="3"/>
  <c r="L50" i="3"/>
  <c r="D50" i="3"/>
  <c r="L51" i="3" l="1"/>
  <c r="D51" i="3"/>
  <c r="L52" i="3"/>
  <c r="D52" i="3"/>
  <c r="L53" i="3"/>
  <c r="D53" i="3"/>
  <c r="L54" i="3" l="1"/>
  <c r="D54" i="3"/>
  <c r="L55" i="3" l="1"/>
  <c r="D55" i="3"/>
  <c r="L56" i="3" l="1"/>
  <c r="D56" i="3"/>
  <c r="L57" i="3" l="1"/>
  <c r="D57" i="3"/>
  <c r="L58" i="3" l="1"/>
  <c r="D58" i="3"/>
  <c r="L59" i="3" l="1"/>
  <c r="D59" i="3"/>
  <c r="L60" i="3"/>
  <c r="D60" i="3"/>
  <c r="L61" i="3" l="1"/>
  <c r="D61" i="3"/>
  <c r="L62" i="3"/>
  <c r="D62" i="3"/>
  <c r="L63" i="3"/>
  <c r="D63" i="3"/>
  <c r="L64" i="3" l="1"/>
  <c r="D64" i="3"/>
  <c r="L65" i="3" l="1"/>
  <c r="D65" i="3"/>
  <c r="L66" i="3" l="1"/>
  <c r="D66" i="3"/>
  <c r="L67" i="3"/>
  <c r="D67" i="3"/>
  <c r="L68" i="3" l="1"/>
  <c r="D68" i="3"/>
  <c r="L69" i="3" l="1"/>
  <c r="D69" i="3"/>
  <c r="L70" i="3" l="1"/>
  <c r="D70" i="3"/>
  <c r="L71" i="3" l="1"/>
  <c r="D71" i="3"/>
  <c r="L72" i="3" l="1"/>
  <c r="D72" i="3"/>
  <c r="L73" i="3"/>
  <c r="D73" i="3"/>
  <c r="L74" i="3"/>
  <c r="D74" i="3"/>
  <c r="L75" i="3" l="1"/>
  <c r="D75" i="3"/>
  <c r="L76" i="3" l="1"/>
  <c r="D76" i="3"/>
  <c r="L77" i="3" l="1"/>
  <c r="D77" i="3"/>
  <c r="L78" i="3" l="1"/>
  <c r="D78" i="3"/>
  <c r="L79" i="3" l="1"/>
  <c r="D79" i="3"/>
  <c r="L80" i="3" l="1"/>
  <c r="D80" i="3"/>
  <c r="L81" i="3"/>
  <c r="D81" i="3"/>
  <c r="L82" i="3"/>
  <c r="D82" i="3"/>
  <c r="L83" i="3"/>
  <c r="D83" i="3"/>
  <c r="L84" i="3" l="1"/>
  <c r="D84" i="3"/>
  <c r="L85" i="3" l="1"/>
  <c r="D85" i="3"/>
  <c r="L86" i="3"/>
  <c r="D86" i="3"/>
  <c r="L87" i="3"/>
  <c r="D87" i="3"/>
  <c r="L88" i="3" l="1"/>
  <c r="D88" i="3"/>
  <c r="L89" i="3"/>
  <c r="D89" i="3"/>
  <c r="L90" i="3" l="1"/>
  <c r="D90" i="3"/>
  <c r="L91" i="3" l="1"/>
  <c r="D91" i="3"/>
  <c r="L92" i="3" l="1"/>
  <c r="D92" i="3"/>
  <c r="L93" i="3" l="1"/>
  <c r="D93" i="3"/>
  <c r="L94" i="3"/>
  <c r="D94" i="3"/>
  <c r="L95" i="3" l="1"/>
  <c r="D95" i="3"/>
  <c r="L96" i="3" l="1"/>
  <c r="D96" i="3"/>
  <c r="L97" i="3" l="1"/>
  <c r="D97" i="3"/>
  <c r="L98" i="3" l="1"/>
  <c r="D98" i="3"/>
  <c r="L99" i="3" l="1"/>
  <c r="D99" i="3"/>
  <c r="L100" i="3" l="1"/>
  <c r="D100" i="3"/>
  <c r="L101" i="3" l="1"/>
  <c r="D101" i="3"/>
  <c r="L102" i="3" l="1"/>
  <c r="D102" i="3"/>
  <c r="L103" i="3" l="1"/>
  <c r="D103" i="3"/>
  <c r="L104" i="3" l="1"/>
  <c r="D104" i="3"/>
  <c r="L105" i="3"/>
  <c r="D105" i="3"/>
  <c r="L106" i="3" l="1"/>
  <c r="D106" i="3"/>
  <c r="L107" i="3" l="1"/>
  <c r="D107" i="3"/>
  <c r="L108" i="3" l="1"/>
  <c r="D108" i="3"/>
  <c r="L109" i="3" l="1"/>
  <c r="D109" i="3"/>
  <c r="L110" i="3"/>
  <c r="D110" i="3"/>
  <c r="L111" i="3" l="1"/>
  <c r="D111" i="3"/>
  <c r="L112" i="3" l="1"/>
  <c r="D112" i="3"/>
  <c r="L113" i="3"/>
  <c r="D113" i="3"/>
  <c r="L114" i="3" l="1"/>
  <c r="D114" i="3"/>
  <c r="L115" i="3" l="1"/>
  <c r="D115" i="3"/>
  <c r="L116" i="3" l="1"/>
  <c r="D116" i="3"/>
  <c r="L117" i="3" l="1"/>
  <c r="D117" i="3"/>
  <c r="L118" i="3" l="1"/>
  <c r="D118" i="3"/>
  <c r="L119" i="3" l="1"/>
  <c r="D119" i="3"/>
  <c r="L120" i="3" l="1"/>
  <c r="D120" i="3"/>
  <c r="L121" i="3" l="1"/>
  <c r="D121" i="3"/>
  <c r="L122" i="3" l="1"/>
  <c r="D122" i="3"/>
  <c r="L123" i="3" l="1"/>
  <c r="D123" i="3"/>
  <c r="L124" i="3" l="1"/>
  <c r="D124" i="3"/>
  <c r="L125" i="3" l="1"/>
  <c r="D125" i="3"/>
  <c r="L126" i="3" l="1"/>
  <c r="D126" i="3"/>
  <c r="L127" i="3" l="1"/>
  <c r="D127" i="3"/>
  <c r="L128" i="3" l="1"/>
  <c r="D128" i="3"/>
  <c r="L129" i="3" l="1"/>
  <c r="D129" i="3"/>
  <c r="L130" i="3" l="1"/>
  <c r="D130" i="3"/>
  <c r="L131" i="3" l="1"/>
  <c r="D131" i="3"/>
  <c r="L132" i="3"/>
  <c r="D132" i="3"/>
  <c r="L133" i="3" l="1"/>
  <c r="D133" i="3"/>
  <c r="L134" i="3" l="1"/>
  <c r="D134" i="3"/>
  <c r="L135" i="3" l="1"/>
  <c r="D135" i="3"/>
  <c r="L136" i="3" l="1"/>
  <c r="D136" i="3"/>
  <c r="L137" i="3" l="1"/>
  <c r="D137" i="3"/>
  <c r="L138" i="3" l="1"/>
  <c r="D138" i="3"/>
  <c r="L139" i="3" l="1"/>
  <c r="D139" i="3"/>
  <c r="L140" i="3" l="1"/>
  <c r="D140" i="3"/>
  <c r="L141" i="3" l="1"/>
  <c r="D141" i="3"/>
  <c r="L142" i="3" l="1"/>
  <c r="D142" i="3"/>
  <c r="L143" i="3" l="1"/>
  <c r="D143" i="3"/>
  <c r="L144" i="3" l="1"/>
  <c r="D144" i="3"/>
  <c r="L145" i="3"/>
  <c r="D145" i="3"/>
  <c r="L146" i="3" l="1"/>
  <c r="D146" i="3"/>
  <c r="L147" i="3" l="1"/>
  <c r="D147" i="3"/>
  <c r="L148" i="3" l="1"/>
  <c r="D148" i="3"/>
  <c r="L149" i="3" l="1"/>
  <c r="D149" i="3"/>
  <c r="L150" i="3" l="1"/>
  <c r="D150" i="3"/>
  <c r="L151" i="3" l="1"/>
  <c r="D151" i="3"/>
  <c r="L152" i="3" l="1"/>
  <c r="D152" i="3"/>
  <c r="L153" i="3" l="1"/>
  <c r="D153" i="3"/>
  <c r="L154" i="3" l="1"/>
  <c r="D154" i="3"/>
  <c r="L155" i="3" l="1"/>
  <c r="D155" i="3"/>
  <c r="L156" i="3"/>
  <c r="D156" i="3"/>
  <c r="L157" i="3" l="1"/>
  <c r="D157" i="3"/>
  <c r="L158" i="3" l="1"/>
  <c r="D158" i="3"/>
  <c r="L159" i="3" l="1"/>
  <c r="D159" i="3"/>
  <c r="L160" i="3" l="1"/>
  <c r="D160" i="3"/>
  <c r="L161" i="3" l="1"/>
  <c r="D161" i="3"/>
  <c r="L162" i="3" l="1"/>
  <c r="D162" i="3"/>
  <c r="L163" i="3" l="1"/>
  <c r="D163" i="3"/>
  <c r="L164" i="3" l="1"/>
  <c r="D164" i="3"/>
  <c r="L165" i="3" l="1"/>
  <c r="L166" i="3" l="1"/>
  <c r="D166" i="3"/>
  <c r="L167" i="3" l="1"/>
  <c r="D167" i="3"/>
  <c r="L168" i="3" l="1"/>
  <c r="D168" i="3"/>
  <c r="L169" i="3" l="1"/>
  <c r="D169" i="3"/>
  <c r="L170" i="3" l="1"/>
  <c r="D170" i="3"/>
  <c r="L171" i="3" l="1"/>
  <c r="D171" i="3"/>
  <c r="L172" i="3" l="1"/>
  <c r="D172" i="3"/>
  <c r="L173" i="3" l="1"/>
  <c r="D173" i="3"/>
  <c r="L174" i="3" l="1"/>
  <c r="D174" i="3"/>
  <c r="L175" i="3"/>
  <c r="D175" i="3"/>
  <c r="L176" i="3" l="1"/>
  <c r="D176" i="3"/>
  <c r="L177" i="3" l="1"/>
  <c r="D177" i="3"/>
  <c r="L178" i="3" l="1"/>
  <c r="D178" i="3"/>
  <c r="L179" i="3" l="1"/>
  <c r="D179" i="3"/>
  <c r="L180" i="3" l="1"/>
  <c r="D180" i="3"/>
  <c r="L181" i="3" l="1"/>
  <c r="D181" i="3"/>
  <c r="L182" i="3" l="1"/>
  <c r="D182" i="3"/>
  <c r="L183" i="3" l="1"/>
  <c r="D183" i="3"/>
  <c r="L184" i="3" l="1"/>
  <c r="D184" i="3"/>
  <c r="L185" i="3" l="1"/>
  <c r="D185" i="3"/>
  <c r="L186" i="3" l="1"/>
  <c r="D186" i="3"/>
  <c r="L187" i="3" l="1"/>
  <c r="D187" i="3"/>
  <c r="L188" i="3" l="1"/>
  <c r="D188" i="3"/>
  <c r="L189" i="3" l="1"/>
  <c r="D189" i="3"/>
  <c r="L190" i="3" l="1"/>
  <c r="D190" i="3"/>
  <c r="L191" i="3" l="1"/>
  <c r="D191" i="3"/>
  <c r="L192" i="3" l="1"/>
  <c r="D192" i="3"/>
  <c r="L193" i="3" l="1"/>
  <c r="D193" i="3"/>
  <c r="L194" i="3" l="1"/>
  <c r="D194" i="3"/>
  <c r="L195" i="3" l="1"/>
  <c r="D195" i="3"/>
  <c r="L196" i="3" l="1"/>
  <c r="D196" i="3"/>
  <c r="L197" i="3" l="1"/>
  <c r="D197" i="3"/>
  <c r="L198" i="3" l="1"/>
  <c r="D198" i="3"/>
  <c r="L199" i="3" l="1"/>
  <c r="D199" i="3"/>
  <c r="L200" i="3"/>
  <c r="D200" i="3"/>
  <c r="L201" i="3" l="1"/>
  <c r="D201" i="3"/>
  <c r="L202" i="3" l="1"/>
  <c r="D202" i="3"/>
  <c r="L203" i="3" l="1"/>
  <c r="D203" i="3"/>
  <c r="L204" i="3"/>
  <c r="D204" i="3"/>
  <c r="L205" i="3" l="1"/>
  <c r="D205" i="3"/>
  <c r="L206" i="3" l="1"/>
  <c r="D206" i="3"/>
  <c r="L207" i="3" l="1"/>
  <c r="D207" i="3"/>
  <c r="L208" i="3" l="1"/>
  <c r="D208" i="3"/>
  <c r="L209" i="3" l="1"/>
  <c r="D209" i="3"/>
  <c r="L210" i="3"/>
  <c r="D210" i="3"/>
  <c r="L211" i="3" l="1"/>
  <c r="D211" i="3"/>
  <c r="L212" i="3" l="1"/>
  <c r="D212" i="3"/>
  <c r="L213" i="3" l="1"/>
  <c r="D213" i="3"/>
  <c r="L214" i="3" l="1"/>
  <c r="D214" i="3"/>
  <c r="L215" i="3" l="1"/>
  <c r="D215" i="3"/>
  <c r="L216" i="3" l="1"/>
  <c r="D216" i="3"/>
  <c r="L217" i="3"/>
  <c r="D217" i="3"/>
  <c r="L218" i="3" l="1"/>
  <c r="D218" i="3"/>
  <c r="L219" i="3" l="1"/>
  <c r="D219" i="3"/>
  <c r="L220" i="3" l="1"/>
  <c r="D220" i="3"/>
  <c r="L221" i="3" l="1"/>
  <c r="D221" i="3"/>
  <c r="L222" i="3" l="1"/>
  <c r="D222" i="3"/>
  <c r="L223" i="3" l="1"/>
  <c r="D223" i="3"/>
  <c r="L224" i="3" l="1"/>
  <c r="D224" i="3"/>
  <c r="L225" i="3" l="1"/>
  <c r="D225" i="3"/>
  <c r="L226" i="3" l="1"/>
  <c r="D226" i="3"/>
  <c r="L227" i="3" l="1"/>
  <c r="D227" i="3"/>
  <c r="L228" i="3" l="1"/>
  <c r="D228" i="3"/>
  <c r="L229" i="3" l="1"/>
  <c r="D229" i="3"/>
  <c r="L230" i="3" l="1"/>
  <c r="D230" i="3"/>
  <c r="L231" i="3" l="1"/>
  <c r="D231" i="3"/>
  <c r="L232" i="3" l="1"/>
  <c r="D232" i="3"/>
  <c r="L233" i="3" l="1"/>
  <c r="D233" i="3"/>
  <c r="L234" i="3" l="1"/>
  <c r="D234" i="3"/>
  <c r="L235" i="3" l="1"/>
  <c r="D235" i="3"/>
  <c r="L236" i="3" l="1"/>
  <c r="D236" i="3"/>
  <c r="L237" i="3" l="1"/>
  <c r="D237" i="3"/>
  <c r="L238" i="3" l="1"/>
  <c r="D238" i="3"/>
  <c r="L239" i="3" l="1"/>
  <c r="D239" i="3"/>
  <c r="L240" i="3" l="1"/>
  <c r="D240" i="3"/>
  <c r="L241" i="3" l="1"/>
  <c r="D241" i="3"/>
  <c r="L242" i="3"/>
  <c r="D242" i="3"/>
  <c r="L243" i="3" l="1"/>
  <c r="D243" i="3"/>
  <c r="L244" i="3" l="1"/>
  <c r="D244" i="3"/>
  <c r="L245" i="3" l="1"/>
  <c r="D245" i="3"/>
  <c r="L246" i="3" l="1"/>
  <c r="D246" i="3"/>
  <c r="L247" i="3" l="1"/>
  <c r="D247" i="3"/>
  <c r="L248" i="3" l="1"/>
  <c r="D248" i="3"/>
  <c r="L249" i="3" l="1"/>
  <c r="D249" i="3"/>
  <c r="L250" i="3" l="1"/>
  <c r="D250" i="3"/>
  <c r="L251" i="3" l="1"/>
  <c r="D251" i="3"/>
  <c r="L252" i="3" l="1"/>
  <c r="D252" i="3"/>
  <c r="L253" i="3" l="1"/>
  <c r="D253" i="3"/>
  <c r="L254" i="3" l="1"/>
  <c r="D254" i="3"/>
  <c r="L255" i="3" l="1"/>
  <c r="D255" i="3"/>
  <c r="L256" i="3" l="1"/>
  <c r="D256" i="3"/>
  <c r="L257" i="3" l="1"/>
  <c r="D257" i="3"/>
  <c r="L258" i="3" l="1"/>
  <c r="D258" i="3"/>
  <c r="L259" i="3" l="1"/>
  <c r="D259" i="3"/>
  <c r="L260" i="3" l="1"/>
  <c r="D260" i="3"/>
  <c r="L261" i="3" l="1"/>
  <c r="D261" i="3"/>
  <c r="L262" i="3" l="1"/>
  <c r="D262" i="3"/>
  <c r="L263" i="3"/>
  <c r="D263" i="3"/>
  <c r="L264" i="3" l="1"/>
  <c r="D264" i="3"/>
  <c r="L265" i="3" l="1"/>
  <c r="D265" i="3"/>
  <c r="L266" i="3" l="1"/>
  <c r="D266" i="3"/>
  <c r="L267" i="3" l="1"/>
  <c r="D267" i="3"/>
  <c r="L268" i="3" l="1"/>
  <c r="D268" i="3"/>
  <c r="L269" i="3" l="1"/>
  <c r="D269" i="3"/>
  <c r="L270" i="3" l="1"/>
  <c r="D270" i="3"/>
  <c r="L271" i="3" l="1"/>
  <c r="D271" i="3"/>
  <c r="L272" i="3" l="1"/>
  <c r="D272" i="3"/>
  <c r="L273" i="3" l="1"/>
  <c r="D273" i="3"/>
  <c r="L274" i="3" l="1"/>
  <c r="D274" i="3"/>
  <c r="L275" i="3" l="1"/>
  <c r="D275" i="3"/>
  <c r="L276" i="3" l="1"/>
  <c r="D276" i="3"/>
  <c r="L277" i="3" l="1"/>
  <c r="D277" i="3"/>
  <c r="L278" i="3" l="1"/>
  <c r="D278" i="3"/>
  <c r="L279" i="3" l="1"/>
  <c r="D279" i="3"/>
  <c r="L280" i="3" l="1"/>
  <c r="D280" i="3"/>
  <c r="L281" i="3" l="1"/>
  <c r="D281" i="3"/>
  <c r="D450" i="3" l="1"/>
  <c r="L450" i="3"/>
  <c r="D451" i="3"/>
  <c r="L451" i="3"/>
  <c r="D452" i="3"/>
  <c r="L452" i="3"/>
  <c r="D453" i="3"/>
  <c r="L453" i="3"/>
  <c r="D454" i="3"/>
  <c r="L454" i="3"/>
  <c r="D455" i="3"/>
  <c r="L455" i="3"/>
  <c r="D456" i="3"/>
  <c r="L456" i="3"/>
  <c r="D457" i="3"/>
  <c r="L457" i="3"/>
  <c r="D458" i="3"/>
  <c r="L458" i="3"/>
  <c r="D459" i="3"/>
  <c r="L459" i="3"/>
  <c r="D460" i="3"/>
  <c r="L460" i="3"/>
  <c r="D461" i="3"/>
  <c r="L461" i="3"/>
  <c r="D462" i="3"/>
  <c r="L462" i="3"/>
  <c r="D463" i="3"/>
  <c r="L463" i="3"/>
  <c r="D464" i="3"/>
  <c r="L464" i="3"/>
  <c r="D465" i="3"/>
  <c r="L465" i="3"/>
  <c r="D466" i="3"/>
  <c r="L466" i="3"/>
  <c r="D467" i="3"/>
  <c r="L467" i="3"/>
  <c r="D468" i="3"/>
  <c r="L468" i="3"/>
  <c r="D469" i="3"/>
  <c r="L469" i="3"/>
  <c r="D470" i="3"/>
  <c r="L470" i="3"/>
  <c r="D471" i="3"/>
  <c r="L471" i="3"/>
  <c r="D472" i="3"/>
  <c r="L472" i="3"/>
  <c r="D473" i="3"/>
  <c r="L473" i="3"/>
  <c r="D474" i="3"/>
  <c r="L474" i="3"/>
  <c r="D475" i="3"/>
  <c r="L475" i="3"/>
  <c r="D476" i="3"/>
  <c r="L476" i="3"/>
  <c r="D477" i="3"/>
  <c r="L477" i="3"/>
  <c r="D478" i="3"/>
  <c r="L478" i="3"/>
  <c r="D479" i="3"/>
  <c r="L479" i="3"/>
  <c r="D480" i="3"/>
  <c r="L480" i="3"/>
  <c r="D481" i="3"/>
  <c r="L481" i="3"/>
  <c r="D482" i="3"/>
  <c r="L482" i="3"/>
  <c r="D483" i="3"/>
  <c r="L483" i="3"/>
  <c r="D484" i="3"/>
  <c r="L484" i="3"/>
  <c r="D485" i="3"/>
  <c r="L485" i="3"/>
  <c r="D486" i="3"/>
  <c r="L486" i="3"/>
  <c r="D487" i="3"/>
  <c r="L487" i="3"/>
  <c r="D488" i="3"/>
  <c r="L488" i="3"/>
  <c r="D489" i="3"/>
  <c r="L489" i="3"/>
  <c r="D490" i="3"/>
  <c r="L490" i="3"/>
  <c r="D491" i="3"/>
  <c r="L491" i="3"/>
  <c r="D492" i="3"/>
  <c r="L492" i="3"/>
  <c r="D493" i="3"/>
  <c r="L493" i="3"/>
  <c r="D494" i="3"/>
  <c r="L494" i="3"/>
  <c r="D495" i="3"/>
  <c r="L495" i="3"/>
  <c r="D496" i="3"/>
  <c r="L496" i="3"/>
  <c r="D497" i="3"/>
  <c r="L497" i="3"/>
  <c r="D498" i="3"/>
  <c r="L498" i="3"/>
  <c r="D499" i="3"/>
  <c r="L499" i="3"/>
  <c r="D500" i="3"/>
  <c r="L500" i="3"/>
  <c r="D501" i="3"/>
  <c r="L501" i="3"/>
  <c r="D502" i="3"/>
  <c r="L502" i="3"/>
  <c r="D503" i="3"/>
  <c r="L503" i="3"/>
  <c r="D504" i="3"/>
  <c r="L504" i="3"/>
  <c r="D505" i="3"/>
  <c r="L505" i="3"/>
  <c r="D506" i="3"/>
  <c r="L506" i="3"/>
  <c r="D507" i="3"/>
  <c r="L507" i="3"/>
  <c r="D508" i="3"/>
  <c r="L508" i="3"/>
  <c r="D509" i="3"/>
  <c r="L509" i="3"/>
  <c r="D510" i="3"/>
  <c r="L510" i="3"/>
  <c r="D511" i="3"/>
  <c r="L511" i="3"/>
  <c r="D512" i="3"/>
  <c r="L512" i="3"/>
  <c r="D513" i="3"/>
  <c r="L513" i="3"/>
  <c r="D514" i="3"/>
  <c r="L514" i="3"/>
  <c r="D515" i="3"/>
  <c r="L515" i="3"/>
  <c r="D516" i="3"/>
  <c r="L516" i="3"/>
  <c r="D517" i="3"/>
  <c r="L517" i="3"/>
  <c r="D518" i="3"/>
  <c r="L518" i="3"/>
  <c r="D519" i="3"/>
  <c r="L519" i="3"/>
  <c r="D520" i="3"/>
  <c r="L520" i="3"/>
  <c r="D521" i="3"/>
  <c r="L521" i="3"/>
  <c r="D522" i="3"/>
  <c r="L522" i="3"/>
  <c r="D523" i="3"/>
  <c r="L523" i="3"/>
  <c r="D524" i="3"/>
  <c r="L524" i="3"/>
  <c r="D525" i="3"/>
  <c r="L525" i="3"/>
  <c r="D526" i="3"/>
  <c r="L526" i="3"/>
  <c r="D527" i="3"/>
  <c r="L527" i="3"/>
  <c r="D528" i="3"/>
  <c r="L528" i="3"/>
  <c r="D529" i="3"/>
  <c r="L529" i="3"/>
  <c r="D530" i="3"/>
  <c r="L530" i="3"/>
  <c r="D531" i="3"/>
  <c r="L531" i="3"/>
  <c r="D532" i="3"/>
  <c r="L532" i="3"/>
  <c r="D533" i="3"/>
  <c r="L533" i="3"/>
  <c r="D534" i="3"/>
  <c r="D535" i="3"/>
  <c r="D536" i="3"/>
  <c r="D537" i="3"/>
  <c r="D538" i="3"/>
  <c r="D539" i="3"/>
  <c r="D540" i="3"/>
  <c r="D541" i="3"/>
  <c r="D542" i="3"/>
  <c r="D543" i="3"/>
  <c r="D544" i="3"/>
  <c r="L544" i="3"/>
  <c r="D545" i="3"/>
  <c r="L545" i="3"/>
  <c r="D546" i="3"/>
  <c r="L546" i="3"/>
  <c r="D547" i="3"/>
  <c r="L547" i="3"/>
  <c r="D548" i="3"/>
  <c r="L548" i="3"/>
  <c r="D549" i="3"/>
  <c r="L549" i="3"/>
  <c r="D550" i="3"/>
  <c r="L550" i="3"/>
  <c r="D551" i="3"/>
  <c r="L551" i="3"/>
  <c r="D552" i="3"/>
  <c r="L552" i="3"/>
  <c r="D553" i="3"/>
  <c r="L553" i="3"/>
  <c r="D554" i="3"/>
  <c r="L554" i="3"/>
  <c r="D555" i="3"/>
  <c r="L555" i="3"/>
  <c r="D556" i="3"/>
  <c r="L556" i="3"/>
  <c r="D557" i="3"/>
  <c r="L557" i="3"/>
  <c r="D558" i="3"/>
  <c r="L558" i="3"/>
  <c r="D559" i="3"/>
  <c r="L559" i="3"/>
  <c r="D560" i="3"/>
  <c r="L560" i="3"/>
  <c r="D561" i="3"/>
  <c r="L561" i="3"/>
  <c r="D562" i="3"/>
  <c r="L562" i="3"/>
  <c r="D563" i="3"/>
  <c r="L563" i="3"/>
  <c r="D564" i="3"/>
  <c r="L564" i="3"/>
  <c r="D565" i="3"/>
  <c r="L565" i="3"/>
  <c r="D566" i="3"/>
  <c r="L566" i="3"/>
  <c r="D567" i="3"/>
  <c r="L567" i="3"/>
  <c r="D568" i="3"/>
  <c r="L568" i="3"/>
  <c r="D569" i="3"/>
  <c r="L569" i="3"/>
  <c r="D570" i="3"/>
  <c r="L570" i="3"/>
  <c r="D571" i="3"/>
  <c r="L571" i="3"/>
  <c r="D572" i="3"/>
  <c r="L572" i="3"/>
  <c r="D573" i="3"/>
  <c r="L573" i="3"/>
  <c r="D574" i="3"/>
  <c r="L574" i="3"/>
  <c r="D575" i="3"/>
  <c r="L575" i="3"/>
  <c r="D576" i="3"/>
  <c r="L576" i="3"/>
  <c r="D577" i="3"/>
  <c r="L577" i="3"/>
  <c r="D578" i="3"/>
  <c r="L578" i="3"/>
  <c r="D579" i="3"/>
  <c r="L579" i="3"/>
  <c r="D580" i="3"/>
  <c r="L580" i="3"/>
  <c r="D581" i="3"/>
  <c r="L581" i="3"/>
  <c r="D582" i="3"/>
  <c r="L582" i="3"/>
  <c r="D583" i="3"/>
  <c r="L583" i="3"/>
  <c r="D584" i="3"/>
  <c r="L584" i="3"/>
  <c r="D585" i="3"/>
  <c r="L585" i="3"/>
  <c r="D586" i="3"/>
  <c r="L586" i="3"/>
  <c r="D587" i="3"/>
  <c r="L587" i="3"/>
  <c r="D588" i="3"/>
  <c r="L588" i="3"/>
  <c r="D589" i="3"/>
  <c r="L589" i="3"/>
  <c r="D590" i="3"/>
  <c r="L590" i="3"/>
  <c r="D591" i="3"/>
  <c r="L591" i="3"/>
  <c r="D592" i="3"/>
  <c r="L592" i="3"/>
  <c r="D593" i="3"/>
  <c r="L593" i="3"/>
  <c r="D594" i="3"/>
  <c r="L594" i="3"/>
  <c r="D595" i="3"/>
  <c r="L595" i="3"/>
  <c r="D596" i="3"/>
  <c r="L596" i="3"/>
  <c r="D597" i="3"/>
  <c r="L597" i="3"/>
  <c r="D598" i="3"/>
  <c r="L598" i="3"/>
  <c r="D599" i="3"/>
  <c r="L599" i="3"/>
  <c r="D600" i="3"/>
  <c r="L600" i="3"/>
  <c r="D601" i="3"/>
  <c r="L601" i="3"/>
  <c r="D602" i="3"/>
  <c r="L602" i="3"/>
  <c r="D603" i="3"/>
  <c r="L603" i="3"/>
  <c r="D604" i="3"/>
  <c r="L604" i="3"/>
  <c r="D605" i="3"/>
  <c r="L605" i="3"/>
  <c r="D606" i="3"/>
  <c r="L606" i="3"/>
  <c r="D607" i="3"/>
  <c r="L607" i="3"/>
  <c r="D608" i="3"/>
  <c r="L608" i="3"/>
  <c r="D609" i="3"/>
  <c r="L609" i="3"/>
  <c r="D610" i="3"/>
  <c r="L610" i="3"/>
  <c r="D611" i="3"/>
  <c r="L611" i="3"/>
  <c r="D612" i="3"/>
  <c r="L612" i="3"/>
  <c r="D613" i="3"/>
  <c r="L613" i="3"/>
  <c r="D614" i="3"/>
  <c r="L614" i="3"/>
  <c r="D615" i="3"/>
  <c r="L615" i="3"/>
  <c r="D616" i="3"/>
  <c r="L616" i="3"/>
  <c r="D617" i="3"/>
  <c r="L617" i="3"/>
  <c r="D618" i="3"/>
  <c r="L618" i="3"/>
  <c r="D619" i="3"/>
  <c r="L619" i="3"/>
  <c r="D620" i="3"/>
  <c r="L620" i="3"/>
  <c r="D621" i="3"/>
  <c r="L621" i="3"/>
  <c r="D622" i="3"/>
  <c r="L622" i="3"/>
  <c r="D623" i="3"/>
  <c r="L623" i="3"/>
  <c r="D624" i="3"/>
  <c r="L624" i="3"/>
  <c r="D625" i="3"/>
  <c r="L625" i="3"/>
  <c r="D626" i="3"/>
  <c r="L626" i="3"/>
  <c r="D627" i="3"/>
  <c r="L627" i="3"/>
  <c r="D628" i="3"/>
  <c r="L628" i="3"/>
  <c r="D629" i="3"/>
  <c r="L629" i="3"/>
  <c r="D630" i="3"/>
  <c r="L630" i="3"/>
  <c r="D631" i="3"/>
  <c r="L631" i="3"/>
  <c r="D632" i="3"/>
  <c r="L632" i="3"/>
  <c r="D633" i="3"/>
  <c r="L633" i="3"/>
  <c r="D634" i="3"/>
  <c r="L634" i="3"/>
  <c r="D635" i="3"/>
  <c r="L635" i="3"/>
  <c r="D636" i="3"/>
  <c r="L636" i="3"/>
  <c r="D637" i="3"/>
  <c r="L637" i="3"/>
  <c r="D638" i="3"/>
  <c r="L638" i="3"/>
  <c r="D639" i="3"/>
  <c r="L639" i="3"/>
  <c r="D640" i="3"/>
  <c r="L640" i="3"/>
  <c r="D641" i="3"/>
  <c r="L641" i="3"/>
  <c r="D642" i="3"/>
  <c r="L642" i="3"/>
  <c r="D643" i="3"/>
  <c r="L643" i="3"/>
  <c r="D644" i="3"/>
  <c r="L644" i="3"/>
  <c r="D645" i="3"/>
  <c r="L645" i="3"/>
  <c r="D646" i="3"/>
  <c r="L646" i="3"/>
  <c r="D647" i="3"/>
  <c r="L647" i="3"/>
  <c r="D648" i="3"/>
  <c r="L648" i="3"/>
  <c r="D649" i="3"/>
  <c r="L649" i="3"/>
  <c r="D650" i="3"/>
  <c r="L650" i="3"/>
  <c r="D651" i="3"/>
  <c r="L651" i="3"/>
  <c r="D652" i="3"/>
  <c r="L652" i="3"/>
  <c r="D653" i="3"/>
  <c r="L653" i="3"/>
  <c r="D654" i="3"/>
  <c r="L654" i="3"/>
  <c r="D655" i="3"/>
  <c r="L655" i="3"/>
  <c r="D656" i="3"/>
  <c r="L656" i="3"/>
  <c r="D657" i="3"/>
  <c r="L657" i="3"/>
  <c r="D658" i="3"/>
  <c r="L658" i="3"/>
  <c r="D659" i="3"/>
  <c r="L659" i="3"/>
  <c r="D660" i="3"/>
  <c r="L660" i="3"/>
  <c r="D661" i="3"/>
  <c r="L661" i="3"/>
  <c r="D662" i="3"/>
  <c r="L662" i="3"/>
  <c r="D663" i="3"/>
  <c r="L663" i="3"/>
  <c r="D664" i="3"/>
  <c r="L664" i="3"/>
  <c r="D665" i="3"/>
  <c r="L665" i="3"/>
  <c r="D666" i="3"/>
  <c r="L666" i="3"/>
  <c r="D667" i="3"/>
  <c r="L667" i="3"/>
  <c r="D668" i="3"/>
  <c r="L668" i="3"/>
  <c r="D669" i="3"/>
  <c r="L669" i="3"/>
  <c r="D670" i="3"/>
  <c r="L670" i="3"/>
  <c r="D671" i="3"/>
  <c r="L671" i="3"/>
  <c r="D672" i="3"/>
  <c r="L672" i="3"/>
  <c r="D673" i="3"/>
  <c r="L673" i="3"/>
  <c r="D674" i="3"/>
  <c r="L674" i="3"/>
  <c r="D675" i="3"/>
  <c r="L675" i="3"/>
  <c r="D676" i="3"/>
  <c r="L676" i="3"/>
  <c r="D677" i="3"/>
  <c r="L677" i="3"/>
  <c r="D678" i="3"/>
  <c r="L678" i="3"/>
  <c r="D679" i="3"/>
  <c r="L679" i="3"/>
  <c r="D680" i="3"/>
  <c r="L680" i="3"/>
  <c r="D681" i="3"/>
  <c r="L681" i="3"/>
  <c r="D682" i="3"/>
  <c r="L682" i="3"/>
  <c r="D683" i="3"/>
  <c r="L683" i="3"/>
  <c r="D684" i="3"/>
  <c r="L684" i="3"/>
  <c r="D685" i="3"/>
  <c r="L685" i="3"/>
  <c r="D686" i="3"/>
  <c r="L686" i="3"/>
  <c r="D687" i="3"/>
  <c r="L687" i="3"/>
  <c r="D688" i="3"/>
  <c r="L688" i="3"/>
  <c r="D689" i="3"/>
  <c r="L689" i="3"/>
  <c r="D690" i="3"/>
  <c r="L690" i="3"/>
  <c r="D691" i="3"/>
  <c r="L691" i="3"/>
  <c r="D692" i="3"/>
  <c r="L692" i="3"/>
  <c r="D693" i="3"/>
  <c r="L693" i="3"/>
  <c r="D694" i="3"/>
  <c r="L694" i="3"/>
  <c r="D695" i="3"/>
  <c r="L695" i="3"/>
  <c r="D696" i="3"/>
  <c r="L696" i="3"/>
  <c r="D697" i="3"/>
  <c r="L697" i="3"/>
  <c r="D698" i="3"/>
  <c r="L698" i="3"/>
  <c r="D699" i="3"/>
  <c r="L699" i="3"/>
  <c r="D700" i="3"/>
  <c r="L700" i="3"/>
  <c r="D701" i="3"/>
  <c r="L701" i="3"/>
  <c r="D702" i="3"/>
  <c r="L702" i="3"/>
  <c r="D703" i="3"/>
  <c r="L703" i="3"/>
  <c r="D704" i="3"/>
  <c r="L704" i="3"/>
  <c r="D705" i="3"/>
  <c r="L705" i="3"/>
  <c r="D706" i="3"/>
  <c r="L706" i="3"/>
  <c r="D707" i="3"/>
  <c r="L707" i="3"/>
  <c r="D708" i="3"/>
  <c r="L708" i="3"/>
  <c r="D709" i="3"/>
  <c r="L709" i="3"/>
  <c r="D710" i="3"/>
  <c r="L710" i="3"/>
  <c r="D711" i="3"/>
  <c r="L711" i="3"/>
  <c r="D712" i="3"/>
  <c r="L712" i="3"/>
  <c r="D713" i="3"/>
  <c r="L713" i="3"/>
  <c r="D714" i="3"/>
  <c r="L714" i="3"/>
  <c r="D715" i="3"/>
  <c r="L715" i="3"/>
  <c r="D716" i="3"/>
  <c r="L716" i="3"/>
  <c r="D717" i="3"/>
  <c r="L717" i="3"/>
  <c r="D718" i="3"/>
  <c r="L718" i="3"/>
  <c r="D719" i="3"/>
  <c r="L719" i="3"/>
  <c r="D720" i="3"/>
  <c r="L720" i="3"/>
  <c r="D721" i="3"/>
  <c r="L721" i="3"/>
  <c r="D722" i="3"/>
  <c r="L722" i="3"/>
  <c r="D723" i="3"/>
  <c r="L723" i="3"/>
  <c r="D724" i="3"/>
  <c r="L724" i="3"/>
  <c r="D725" i="3"/>
  <c r="L725" i="3"/>
  <c r="D726" i="3"/>
  <c r="L726" i="3"/>
  <c r="D727" i="3"/>
  <c r="L727" i="3"/>
  <c r="D728" i="3"/>
  <c r="L728" i="3"/>
  <c r="D729" i="3"/>
  <c r="L729" i="3"/>
  <c r="D730" i="3"/>
  <c r="L730" i="3"/>
  <c r="D731" i="3"/>
  <c r="L731" i="3"/>
  <c r="D732" i="3"/>
  <c r="L732" i="3"/>
  <c r="D733" i="3"/>
  <c r="L733" i="3"/>
  <c r="D734" i="3"/>
  <c r="L734" i="3"/>
  <c r="D735" i="3"/>
  <c r="L735" i="3"/>
  <c r="D736" i="3"/>
  <c r="L736" i="3"/>
  <c r="D737" i="3"/>
  <c r="L737" i="3"/>
  <c r="D738" i="3"/>
  <c r="L738" i="3"/>
  <c r="D739" i="3"/>
  <c r="L739" i="3"/>
  <c r="D740" i="3"/>
  <c r="L740" i="3"/>
  <c r="D741" i="3"/>
  <c r="L741" i="3"/>
  <c r="D742" i="3"/>
  <c r="L742" i="3"/>
  <c r="D743" i="3"/>
  <c r="L743" i="3"/>
  <c r="D744" i="3"/>
  <c r="L744" i="3"/>
  <c r="D745" i="3"/>
  <c r="L745" i="3"/>
  <c r="D746" i="3"/>
  <c r="L746" i="3"/>
  <c r="D747" i="3"/>
  <c r="L747" i="3"/>
  <c r="D748" i="3"/>
  <c r="L748" i="3"/>
  <c r="D749" i="3"/>
  <c r="L749" i="3"/>
  <c r="D750" i="3"/>
  <c r="L750" i="3"/>
  <c r="D751" i="3"/>
  <c r="L751" i="3"/>
  <c r="D752" i="3"/>
  <c r="L752" i="3"/>
  <c r="D753" i="3"/>
  <c r="L753" i="3"/>
  <c r="D754" i="3"/>
  <c r="L754" i="3"/>
  <c r="D755" i="3"/>
  <c r="L755" i="3"/>
  <c r="D756" i="3"/>
  <c r="L756" i="3"/>
  <c r="D757" i="3"/>
  <c r="L757" i="3"/>
  <c r="D758" i="3"/>
  <c r="L758" i="3"/>
  <c r="D759" i="3"/>
  <c r="L759" i="3"/>
  <c r="D760" i="3"/>
  <c r="L760" i="3"/>
  <c r="D761" i="3"/>
  <c r="L761" i="3"/>
  <c r="D762" i="3"/>
  <c r="L762" i="3"/>
  <c r="D763" i="3"/>
  <c r="L763" i="3"/>
  <c r="D764" i="3"/>
  <c r="L764" i="3"/>
  <c r="D765" i="3"/>
  <c r="L765" i="3"/>
  <c r="D766" i="3"/>
  <c r="L766" i="3"/>
  <c r="D767" i="3"/>
  <c r="L767" i="3"/>
  <c r="D768" i="3"/>
  <c r="L768" i="3"/>
  <c r="D769" i="3"/>
  <c r="L769" i="3"/>
  <c r="D770" i="3"/>
  <c r="L770" i="3"/>
  <c r="D771" i="3"/>
  <c r="L771" i="3"/>
  <c r="D772" i="3"/>
  <c r="L772" i="3"/>
  <c r="D773" i="3"/>
  <c r="L773" i="3"/>
  <c r="D774" i="3"/>
  <c r="L774" i="3"/>
  <c r="D775" i="3"/>
  <c r="L775" i="3"/>
  <c r="D776" i="3"/>
  <c r="L776" i="3"/>
  <c r="D777" i="3"/>
  <c r="L777" i="3"/>
  <c r="D778" i="3"/>
  <c r="L778" i="3"/>
  <c r="D779" i="3"/>
  <c r="L779" i="3"/>
  <c r="D780" i="3"/>
  <c r="L780" i="3"/>
  <c r="D781" i="3"/>
  <c r="L781" i="3"/>
  <c r="D782" i="3"/>
  <c r="L782" i="3"/>
  <c r="D783" i="3"/>
  <c r="L783" i="3"/>
  <c r="D784" i="3"/>
  <c r="L784" i="3"/>
  <c r="D785" i="3"/>
  <c r="L785" i="3"/>
  <c r="D786" i="3"/>
  <c r="L786" i="3"/>
  <c r="D787" i="3"/>
  <c r="L787" i="3"/>
  <c r="D788" i="3"/>
  <c r="L788" i="3"/>
  <c r="D789" i="3"/>
  <c r="L789" i="3"/>
  <c r="D790" i="3"/>
  <c r="L790" i="3"/>
  <c r="D791" i="3"/>
  <c r="L791" i="3"/>
  <c r="D792" i="3"/>
  <c r="L792" i="3"/>
  <c r="D793" i="3"/>
  <c r="L793" i="3"/>
  <c r="D794" i="3"/>
  <c r="L794" i="3"/>
  <c r="D795" i="3"/>
  <c r="L795" i="3"/>
  <c r="D796" i="3"/>
  <c r="L796" i="3"/>
  <c r="D797" i="3"/>
  <c r="L797" i="3"/>
  <c r="D798" i="3"/>
  <c r="L798" i="3"/>
  <c r="D799" i="3"/>
  <c r="L799" i="3"/>
  <c r="D800" i="3"/>
  <c r="L800" i="3"/>
  <c r="D801" i="3"/>
  <c r="L801" i="3"/>
  <c r="D802" i="3"/>
  <c r="L802" i="3"/>
  <c r="D803" i="3"/>
  <c r="L803" i="3"/>
  <c r="D804" i="3"/>
  <c r="L804" i="3"/>
  <c r="D805" i="3"/>
  <c r="L805" i="3"/>
  <c r="D806" i="3"/>
  <c r="L806" i="3"/>
  <c r="D807" i="3"/>
  <c r="L807" i="3"/>
  <c r="D808" i="3"/>
  <c r="L808" i="3"/>
  <c r="D809" i="3"/>
  <c r="L809" i="3"/>
  <c r="D810" i="3"/>
  <c r="L810" i="3"/>
  <c r="D811" i="3"/>
  <c r="L811" i="3"/>
  <c r="D812" i="3"/>
  <c r="L812" i="3"/>
  <c r="D813" i="3"/>
  <c r="L813" i="3"/>
  <c r="D814" i="3"/>
  <c r="L814" i="3"/>
  <c r="D815" i="3"/>
  <c r="L815" i="3"/>
  <c r="D816" i="3"/>
  <c r="L816" i="3"/>
  <c r="D817" i="3"/>
  <c r="L817" i="3"/>
  <c r="D818" i="3"/>
  <c r="L818" i="3"/>
  <c r="D819" i="3"/>
  <c r="L819" i="3"/>
  <c r="D820" i="3"/>
  <c r="L820" i="3"/>
  <c r="D821" i="3"/>
  <c r="L821" i="3"/>
  <c r="D822" i="3"/>
  <c r="L822" i="3"/>
  <c r="D823" i="3"/>
  <c r="L823" i="3"/>
  <c r="D824" i="3"/>
  <c r="L824" i="3"/>
  <c r="D825" i="3"/>
  <c r="L825" i="3"/>
  <c r="D826" i="3"/>
  <c r="L826" i="3"/>
  <c r="D827" i="3"/>
  <c r="L827" i="3"/>
  <c r="D828" i="3"/>
  <c r="L828" i="3"/>
  <c r="D829" i="3"/>
  <c r="L829" i="3"/>
  <c r="D830" i="3"/>
  <c r="L830" i="3"/>
  <c r="D831" i="3"/>
  <c r="L831" i="3"/>
  <c r="D832" i="3"/>
  <c r="L832" i="3"/>
  <c r="D833" i="3"/>
  <c r="L833" i="3"/>
  <c r="D834" i="3"/>
  <c r="L834" i="3"/>
  <c r="D835" i="3"/>
  <c r="L835" i="3"/>
  <c r="D836" i="3"/>
  <c r="L836" i="3"/>
  <c r="D837" i="3"/>
  <c r="L837" i="3"/>
  <c r="D838" i="3"/>
  <c r="L838" i="3"/>
  <c r="D839" i="3"/>
  <c r="L839" i="3"/>
  <c r="D840" i="3"/>
  <c r="L840" i="3"/>
  <c r="D841" i="3"/>
  <c r="L841" i="3"/>
  <c r="D842" i="3"/>
  <c r="L842" i="3"/>
  <c r="D843" i="3"/>
  <c r="L843" i="3"/>
  <c r="D844" i="3"/>
  <c r="L844" i="3"/>
  <c r="D845" i="3"/>
  <c r="L845" i="3"/>
  <c r="D846" i="3"/>
  <c r="L846" i="3"/>
  <c r="D847" i="3"/>
  <c r="L847" i="3"/>
  <c r="D848" i="3"/>
  <c r="L848" i="3"/>
  <c r="D849" i="3"/>
  <c r="L849" i="3"/>
  <c r="D850" i="3"/>
  <c r="L850" i="3"/>
  <c r="D851" i="3"/>
  <c r="L851" i="3"/>
  <c r="D852" i="3"/>
  <c r="L852" i="3"/>
  <c r="D853" i="3"/>
  <c r="L853" i="3"/>
  <c r="D854" i="3"/>
  <c r="L854" i="3"/>
  <c r="D855" i="3"/>
  <c r="L855" i="3"/>
  <c r="D856" i="3"/>
  <c r="L856" i="3"/>
  <c r="D857" i="3"/>
  <c r="L857" i="3"/>
  <c r="D858" i="3"/>
  <c r="L858" i="3"/>
  <c r="D859" i="3"/>
  <c r="L859" i="3"/>
  <c r="D860" i="3"/>
  <c r="L860" i="3"/>
  <c r="D861" i="3"/>
  <c r="L861" i="3"/>
  <c r="D862" i="3"/>
  <c r="L862" i="3"/>
  <c r="D863" i="3"/>
  <c r="L863" i="3"/>
  <c r="D864" i="3"/>
  <c r="L864" i="3"/>
  <c r="D865" i="3"/>
  <c r="L865" i="3"/>
  <c r="D866" i="3"/>
  <c r="L866" i="3"/>
  <c r="D867" i="3"/>
  <c r="L867" i="3"/>
  <c r="D868" i="3"/>
  <c r="L868" i="3"/>
  <c r="D869" i="3"/>
  <c r="L869" i="3"/>
  <c r="D870" i="3"/>
  <c r="L870" i="3"/>
  <c r="D871" i="3"/>
  <c r="L871" i="3"/>
  <c r="D872" i="3"/>
  <c r="L872" i="3"/>
  <c r="D873" i="3"/>
  <c r="L873" i="3"/>
  <c r="D874" i="3"/>
  <c r="L874" i="3"/>
  <c r="D875" i="3"/>
  <c r="L875" i="3"/>
  <c r="D876" i="3"/>
  <c r="L876" i="3"/>
  <c r="D877" i="3"/>
  <c r="L877" i="3"/>
  <c r="D878" i="3"/>
  <c r="L878" i="3"/>
  <c r="D879" i="3"/>
  <c r="L879" i="3"/>
  <c r="D880" i="3"/>
  <c r="L880" i="3"/>
  <c r="D881" i="3"/>
  <c r="L881" i="3"/>
  <c r="D882" i="3"/>
  <c r="L882" i="3"/>
  <c r="D883" i="3"/>
  <c r="L883" i="3"/>
  <c r="D884" i="3"/>
  <c r="L884" i="3"/>
  <c r="D885" i="3"/>
  <c r="L885" i="3"/>
  <c r="D886" i="3"/>
  <c r="L886" i="3"/>
  <c r="D887" i="3"/>
  <c r="L887" i="3"/>
  <c r="D888" i="3"/>
  <c r="L888" i="3"/>
  <c r="D889" i="3"/>
  <c r="L889" i="3"/>
  <c r="D890" i="3"/>
  <c r="L890" i="3"/>
  <c r="D891" i="3"/>
  <c r="L891" i="3"/>
  <c r="D892" i="3"/>
  <c r="L892" i="3"/>
  <c r="D893" i="3"/>
  <c r="L893" i="3"/>
  <c r="D894" i="3"/>
  <c r="L894" i="3"/>
  <c r="D895" i="3"/>
  <c r="L895" i="3"/>
  <c r="D896" i="3"/>
  <c r="L896" i="3"/>
  <c r="D897" i="3"/>
  <c r="L897" i="3"/>
  <c r="D898" i="3"/>
  <c r="L898" i="3"/>
  <c r="D899" i="3"/>
  <c r="L899" i="3"/>
  <c r="D900" i="3"/>
  <c r="L900" i="3"/>
  <c r="D901" i="3"/>
  <c r="L901" i="3"/>
  <c r="D902" i="3"/>
  <c r="L902" i="3"/>
  <c r="D903" i="3"/>
  <c r="L903" i="3"/>
  <c r="D904" i="3"/>
  <c r="L904" i="3"/>
  <c r="D905" i="3"/>
  <c r="L905" i="3"/>
  <c r="D906" i="3"/>
  <c r="L906" i="3"/>
  <c r="D907" i="3"/>
  <c r="L907" i="3"/>
  <c r="D908" i="3"/>
  <c r="L908" i="3"/>
  <c r="D909" i="3"/>
  <c r="L909" i="3"/>
  <c r="D910" i="3"/>
  <c r="L910" i="3"/>
  <c r="D911" i="3"/>
  <c r="L911" i="3"/>
  <c r="D912" i="3"/>
  <c r="L912" i="3"/>
  <c r="D913" i="3"/>
  <c r="L913" i="3"/>
  <c r="D914" i="3"/>
  <c r="L914" i="3"/>
  <c r="D915" i="3"/>
  <c r="L915" i="3"/>
  <c r="D916" i="3"/>
  <c r="L916" i="3"/>
  <c r="D917" i="3"/>
  <c r="L917" i="3"/>
  <c r="D918" i="3"/>
  <c r="L918" i="3"/>
  <c r="D919" i="3"/>
  <c r="L919" i="3"/>
  <c r="D920" i="3"/>
  <c r="L920" i="3"/>
  <c r="D921" i="3"/>
  <c r="L921" i="3"/>
  <c r="D922" i="3"/>
  <c r="L922" i="3"/>
  <c r="D923" i="3"/>
  <c r="L923" i="3"/>
  <c r="D924" i="3"/>
  <c r="L924" i="3"/>
  <c r="D925" i="3"/>
  <c r="L925" i="3"/>
  <c r="D926" i="3"/>
  <c r="L926" i="3"/>
  <c r="D927" i="3"/>
  <c r="L927" i="3"/>
  <c r="D928" i="3"/>
  <c r="L928" i="3"/>
  <c r="D929" i="3"/>
  <c r="L929" i="3"/>
  <c r="D930" i="3"/>
  <c r="L930" i="3"/>
  <c r="D931" i="3"/>
  <c r="L931" i="3"/>
  <c r="D932" i="3"/>
  <c r="L932" i="3"/>
  <c r="D933" i="3"/>
  <c r="L933" i="3"/>
  <c r="D934" i="3"/>
  <c r="L934" i="3"/>
  <c r="D935" i="3"/>
  <c r="L935" i="3"/>
  <c r="D936" i="3"/>
  <c r="L936" i="3"/>
  <c r="D937" i="3"/>
  <c r="L937" i="3"/>
  <c r="D938" i="3"/>
  <c r="L938" i="3"/>
  <c r="D939" i="3"/>
  <c r="L939" i="3"/>
  <c r="D940" i="3"/>
  <c r="L940" i="3"/>
  <c r="D941" i="3"/>
  <c r="L941" i="3"/>
  <c r="D942" i="3"/>
  <c r="L942" i="3"/>
  <c r="D943" i="3"/>
  <c r="L943" i="3"/>
  <c r="D944" i="3"/>
  <c r="L944" i="3"/>
  <c r="D945" i="3"/>
  <c r="L945" i="3"/>
  <c r="D946" i="3"/>
  <c r="L946" i="3"/>
  <c r="D947" i="3"/>
  <c r="L947" i="3"/>
  <c r="D948" i="3"/>
  <c r="L948" i="3"/>
  <c r="D949" i="3"/>
  <c r="L949" i="3"/>
  <c r="D950" i="3"/>
  <c r="L950" i="3"/>
  <c r="D951" i="3"/>
  <c r="L951" i="3"/>
  <c r="D952" i="3"/>
  <c r="L952" i="3"/>
  <c r="D953" i="3"/>
  <c r="L953" i="3"/>
  <c r="D954" i="3"/>
  <c r="L954" i="3"/>
  <c r="D955" i="3"/>
  <c r="L955" i="3"/>
  <c r="D956" i="3"/>
  <c r="L956" i="3"/>
  <c r="D957" i="3"/>
  <c r="L957" i="3"/>
  <c r="D958" i="3"/>
  <c r="L958" i="3"/>
  <c r="D959" i="3"/>
  <c r="L959" i="3"/>
  <c r="D960" i="3"/>
  <c r="L960" i="3"/>
  <c r="D961" i="3"/>
  <c r="L961" i="3"/>
  <c r="D962" i="3"/>
  <c r="L962" i="3"/>
  <c r="D963" i="3"/>
  <c r="L963" i="3"/>
  <c r="D964" i="3"/>
  <c r="L964" i="3"/>
  <c r="D965" i="3"/>
  <c r="L965" i="3"/>
  <c r="D966" i="3"/>
  <c r="L966" i="3"/>
  <c r="D967" i="3"/>
  <c r="L967" i="3"/>
  <c r="D968" i="3"/>
  <c r="L968" i="3"/>
  <c r="D969" i="3"/>
  <c r="L969" i="3"/>
  <c r="D970" i="3"/>
  <c r="L970" i="3"/>
  <c r="D971" i="3"/>
  <c r="L971" i="3"/>
  <c r="D972" i="3"/>
  <c r="L972" i="3"/>
  <c r="D973" i="3"/>
  <c r="L973" i="3"/>
  <c r="D974" i="3"/>
  <c r="L974" i="3"/>
  <c r="D975" i="3"/>
  <c r="L975" i="3"/>
  <c r="D976" i="3"/>
  <c r="L976" i="3"/>
  <c r="D977" i="3"/>
  <c r="L977" i="3"/>
  <c r="D978" i="3"/>
  <c r="L978" i="3"/>
  <c r="D979" i="3"/>
  <c r="L979" i="3"/>
  <c r="D980" i="3"/>
  <c r="L980" i="3"/>
  <c r="D981" i="3"/>
  <c r="L981" i="3"/>
  <c r="D982" i="3"/>
  <c r="L982" i="3"/>
  <c r="D983" i="3"/>
  <c r="L983" i="3"/>
  <c r="D984" i="3"/>
  <c r="L984" i="3"/>
  <c r="D985" i="3"/>
  <c r="L985" i="3"/>
  <c r="D986" i="3"/>
  <c r="L986" i="3"/>
  <c r="D987" i="3"/>
  <c r="L987" i="3"/>
  <c r="D988" i="3"/>
  <c r="L988" i="3"/>
  <c r="D989" i="3"/>
  <c r="L989" i="3"/>
  <c r="D990" i="3"/>
  <c r="L990" i="3"/>
  <c r="D991" i="3"/>
  <c r="L991" i="3"/>
  <c r="D992" i="3"/>
  <c r="L992" i="3"/>
  <c r="D993" i="3"/>
  <c r="L993" i="3"/>
  <c r="D994" i="3"/>
  <c r="L994" i="3"/>
  <c r="D995" i="3"/>
  <c r="L995" i="3"/>
  <c r="D996" i="3"/>
  <c r="L996" i="3"/>
  <c r="D997" i="3"/>
  <c r="L997" i="3"/>
  <c r="D998" i="3"/>
  <c r="L998" i="3"/>
  <c r="D999" i="3"/>
  <c r="L999" i="3"/>
  <c r="D1000" i="3"/>
  <c r="L1000" i="3"/>
  <c r="D1001" i="3"/>
  <c r="L1001" i="3"/>
  <c r="D1002" i="3"/>
  <c r="L1002" i="3"/>
  <c r="D1003" i="3"/>
  <c r="L1003" i="3"/>
  <c r="D1004" i="3"/>
  <c r="L1004" i="3"/>
  <c r="D1005" i="3"/>
  <c r="L1005" i="3"/>
  <c r="D1006" i="3"/>
  <c r="L1006" i="3"/>
  <c r="D1007" i="3"/>
  <c r="L1007" i="3"/>
  <c r="D1008" i="3"/>
  <c r="L1008" i="3"/>
  <c r="D1009" i="3"/>
  <c r="L1009" i="3"/>
  <c r="D1010" i="3"/>
  <c r="L1010" i="3"/>
  <c r="D1011" i="3"/>
  <c r="L1011" i="3"/>
  <c r="D1012" i="3"/>
  <c r="L1012" i="3"/>
  <c r="D1013" i="3"/>
  <c r="L1013" i="3"/>
  <c r="D1014" i="3"/>
  <c r="L1014" i="3"/>
  <c r="D1015" i="3"/>
  <c r="L1015" i="3"/>
  <c r="D1016" i="3"/>
  <c r="L1016" i="3"/>
  <c r="D1017" i="3"/>
  <c r="L1017" i="3"/>
  <c r="D1018" i="3"/>
  <c r="L1018" i="3"/>
  <c r="D1019" i="3"/>
  <c r="L1019" i="3"/>
  <c r="D1020" i="3"/>
  <c r="L1020" i="3"/>
  <c r="D1021" i="3"/>
  <c r="L1021" i="3"/>
  <c r="D1022" i="3"/>
  <c r="L1022" i="3"/>
  <c r="D1023" i="3"/>
  <c r="L1023" i="3"/>
  <c r="D1024" i="3"/>
  <c r="L1024" i="3"/>
  <c r="D1025" i="3"/>
  <c r="L1025" i="3"/>
  <c r="D1026" i="3"/>
  <c r="L1026" i="3"/>
  <c r="D1027" i="3"/>
  <c r="L1027" i="3"/>
  <c r="D1028" i="3"/>
  <c r="L1028" i="3"/>
  <c r="D1029" i="3"/>
  <c r="L1029" i="3"/>
  <c r="D1030" i="3"/>
  <c r="L1030" i="3"/>
  <c r="D1031" i="3"/>
  <c r="L1031" i="3"/>
  <c r="D1032" i="3"/>
  <c r="L1032" i="3"/>
  <c r="D1033" i="3"/>
  <c r="L1033" i="3"/>
  <c r="D1034" i="3"/>
  <c r="L1034" i="3"/>
  <c r="D1035" i="3"/>
  <c r="L1035" i="3"/>
  <c r="D1036" i="3"/>
  <c r="L1036" i="3"/>
  <c r="D1037" i="3"/>
  <c r="L1037" i="3"/>
  <c r="D1038" i="3"/>
  <c r="L1038" i="3"/>
  <c r="D1039" i="3"/>
  <c r="L1039" i="3"/>
  <c r="D1040" i="3"/>
  <c r="L1040" i="3"/>
  <c r="D1041" i="3"/>
  <c r="L1041" i="3"/>
  <c r="D1042" i="3"/>
  <c r="L1042" i="3"/>
  <c r="D1043" i="3"/>
  <c r="L1043" i="3"/>
  <c r="D1044" i="3"/>
  <c r="L1044" i="3"/>
  <c r="D1045" i="3"/>
  <c r="L1045" i="3"/>
  <c r="D1046" i="3"/>
  <c r="L1046" i="3"/>
  <c r="D1047" i="3"/>
  <c r="L1047" i="3"/>
  <c r="D1048" i="3"/>
  <c r="L1048" i="3"/>
  <c r="D1049" i="3"/>
  <c r="L1049" i="3"/>
  <c r="D1050" i="3"/>
  <c r="L1050" i="3"/>
  <c r="D1051" i="3"/>
  <c r="L1051" i="3"/>
  <c r="D1052" i="3"/>
  <c r="L1052" i="3"/>
  <c r="D1053" i="3"/>
  <c r="L1053" i="3"/>
  <c r="D1054" i="3"/>
  <c r="L1054" i="3"/>
  <c r="D1055" i="3"/>
  <c r="L1055" i="3"/>
  <c r="D1056" i="3"/>
  <c r="L1056" i="3"/>
  <c r="D1057" i="3"/>
  <c r="L1057" i="3"/>
  <c r="D1058" i="3"/>
  <c r="L1058" i="3"/>
  <c r="D1059" i="3"/>
  <c r="L1059" i="3"/>
  <c r="D1060" i="3"/>
  <c r="L1060" i="3"/>
  <c r="D1061" i="3"/>
  <c r="L1061" i="3"/>
  <c r="D1062" i="3"/>
  <c r="L1062" i="3"/>
  <c r="D1063" i="3"/>
  <c r="L1063" i="3"/>
  <c r="D1064" i="3"/>
  <c r="L1064" i="3"/>
  <c r="D1065" i="3"/>
  <c r="L1065" i="3"/>
  <c r="D1066" i="3"/>
  <c r="L1066" i="3"/>
  <c r="D1067" i="3"/>
  <c r="L1067" i="3"/>
  <c r="D1068" i="3"/>
  <c r="L1068" i="3"/>
  <c r="D1069" i="3"/>
  <c r="L1069" i="3"/>
  <c r="D1070" i="3"/>
  <c r="L1070" i="3"/>
  <c r="D1071" i="3"/>
  <c r="L1071" i="3"/>
  <c r="D1072" i="3"/>
  <c r="L1072" i="3"/>
  <c r="D1073" i="3"/>
  <c r="L1073" i="3"/>
  <c r="D1074" i="3"/>
  <c r="L1074" i="3"/>
  <c r="D1075" i="3"/>
  <c r="L1075" i="3"/>
  <c r="D1076" i="3"/>
  <c r="L1076" i="3"/>
  <c r="D1077" i="3"/>
  <c r="L1077" i="3"/>
  <c r="D1078" i="3"/>
  <c r="L1078" i="3"/>
  <c r="D1079" i="3"/>
  <c r="L1079" i="3"/>
  <c r="D1080" i="3"/>
  <c r="L1080" i="3"/>
  <c r="D1081" i="3"/>
  <c r="L1081" i="3"/>
  <c r="D1082" i="3"/>
  <c r="L1082" i="3"/>
  <c r="D1083" i="3"/>
  <c r="L1083" i="3"/>
  <c r="D1084" i="3"/>
  <c r="L1084" i="3"/>
  <c r="D1085" i="3"/>
  <c r="L1085" i="3"/>
  <c r="D1086" i="3"/>
  <c r="L1086" i="3"/>
  <c r="D1087" i="3"/>
  <c r="L1087" i="3"/>
  <c r="D1088" i="3"/>
  <c r="L1088" i="3"/>
  <c r="D1089" i="3"/>
  <c r="L1089" i="3"/>
  <c r="D1090" i="3"/>
  <c r="L1090" i="3"/>
  <c r="D1091" i="3"/>
  <c r="L1091" i="3"/>
  <c r="D1092" i="3"/>
  <c r="L1092" i="3"/>
  <c r="D1093" i="3"/>
  <c r="L1093" i="3"/>
  <c r="D1094" i="3"/>
  <c r="L1094" i="3"/>
  <c r="D1095" i="3"/>
  <c r="L1095" i="3"/>
  <c r="D1096" i="3"/>
  <c r="L1096" i="3"/>
  <c r="D1097" i="3"/>
  <c r="L1097" i="3"/>
  <c r="D1098" i="3"/>
  <c r="L1098" i="3"/>
  <c r="D1099" i="3"/>
  <c r="L1099" i="3"/>
  <c r="D1100" i="3"/>
  <c r="L1100" i="3"/>
  <c r="D1101" i="3"/>
  <c r="L1101" i="3"/>
  <c r="D1102" i="3"/>
  <c r="L1102" i="3"/>
  <c r="D1103" i="3"/>
  <c r="L1103" i="3"/>
  <c r="D1104" i="3"/>
  <c r="L1104" i="3"/>
  <c r="D1105" i="3"/>
  <c r="L1105" i="3"/>
  <c r="D1106" i="3"/>
  <c r="L1106" i="3"/>
  <c r="D1107" i="3"/>
  <c r="L1107" i="3"/>
  <c r="D1108" i="3"/>
  <c r="L1108" i="3"/>
  <c r="D1109" i="3"/>
  <c r="L1109" i="3"/>
  <c r="D1110" i="3"/>
  <c r="L1110" i="3"/>
  <c r="D1111" i="3"/>
  <c r="L1111" i="3"/>
  <c r="D1112" i="3"/>
  <c r="L1112" i="3"/>
  <c r="D1113" i="3"/>
  <c r="L1113" i="3"/>
  <c r="D1114" i="3"/>
  <c r="L1114" i="3"/>
  <c r="D1115" i="3"/>
  <c r="L1115" i="3"/>
  <c r="D1116" i="3"/>
  <c r="L1116" i="3"/>
  <c r="D1117" i="3"/>
  <c r="L1117" i="3"/>
  <c r="D1118" i="3"/>
  <c r="L1118" i="3"/>
  <c r="D1119" i="3"/>
  <c r="L1119" i="3"/>
  <c r="D1120" i="3"/>
  <c r="L1120" i="3"/>
  <c r="D1121" i="3"/>
  <c r="D1122" i="3"/>
  <c r="L1122" i="3"/>
  <c r="D1123" i="3"/>
  <c r="L1123" i="3"/>
  <c r="D1124" i="3"/>
  <c r="L1124" i="3"/>
  <c r="D1125" i="3"/>
  <c r="L1125" i="3"/>
  <c r="D1126" i="3"/>
  <c r="L1126" i="3"/>
  <c r="D1127" i="3"/>
  <c r="L1127" i="3"/>
  <c r="D1128" i="3"/>
  <c r="L1128" i="3"/>
  <c r="D1129" i="3"/>
  <c r="L1129" i="3"/>
  <c r="D1130" i="3"/>
  <c r="L1130" i="3"/>
  <c r="D1131" i="3"/>
  <c r="L1131" i="3"/>
  <c r="D1132" i="3"/>
  <c r="L1132" i="3"/>
  <c r="D1133" i="3"/>
  <c r="L1133" i="3"/>
  <c r="D1134" i="3"/>
  <c r="L1134" i="3"/>
  <c r="D1135" i="3"/>
  <c r="L1135" i="3"/>
  <c r="D1136" i="3"/>
  <c r="L1136" i="3"/>
  <c r="D1137" i="3"/>
  <c r="L1137" i="3"/>
  <c r="D1138" i="3"/>
  <c r="L1138" i="3"/>
  <c r="D1139" i="3"/>
  <c r="L1139" i="3"/>
  <c r="D1140" i="3"/>
  <c r="L1140" i="3"/>
  <c r="D1141" i="3"/>
  <c r="L1141" i="3"/>
  <c r="D1142" i="3"/>
  <c r="L1142" i="3"/>
  <c r="D1143" i="3"/>
  <c r="L1143" i="3"/>
  <c r="D1144" i="3"/>
  <c r="L1144" i="3"/>
  <c r="D1145" i="3"/>
  <c r="L1145" i="3"/>
  <c r="D1146" i="3"/>
  <c r="L1146" i="3"/>
  <c r="D1147" i="3"/>
  <c r="L1147" i="3"/>
  <c r="D1148" i="3"/>
  <c r="L1148" i="3"/>
  <c r="D1149" i="3"/>
  <c r="L1149" i="3"/>
  <c r="D1150" i="3"/>
  <c r="L1150" i="3"/>
  <c r="D1151" i="3"/>
  <c r="L1151" i="3"/>
  <c r="D1152" i="3"/>
  <c r="L1152" i="3"/>
  <c r="D1153" i="3"/>
  <c r="L1153" i="3"/>
  <c r="D1154" i="3"/>
  <c r="L1154" i="3"/>
  <c r="D1155" i="3"/>
  <c r="L1155" i="3"/>
  <c r="D1156" i="3"/>
  <c r="L1156" i="3"/>
  <c r="D1157" i="3"/>
  <c r="L1157" i="3"/>
  <c r="D1158" i="3"/>
  <c r="L1158" i="3"/>
  <c r="D1159" i="3"/>
  <c r="L1159" i="3"/>
  <c r="D1160" i="3"/>
  <c r="L1160" i="3"/>
  <c r="D1161" i="3"/>
  <c r="L1161" i="3"/>
  <c r="D1162" i="3"/>
  <c r="L1162" i="3"/>
  <c r="D1163" i="3"/>
  <c r="L1163" i="3"/>
  <c r="D1164" i="3"/>
  <c r="L1164" i="3"/>
  <c r="D1165" i="3"/>
  <c r="L1165" i="3"/>
  <c r="D1166" i="3"/>
  <c r="L1166" i="3"/>
  <c r="D1167" i="3"/>
  <c r="L1167" i="3"/>
  <c r="D1168" i="3"/>
  <c r="L1168" i="3"/>
  <c r="D1169" i="3"/>
  <c r="L1169" i="3"/>
  <c r="D1170" i="3"/>
  <c r="L1170" i="3"/>
  <c r="D1171" i="3"/>
  <c r="L1171" i="3"/>
  <c r="D1172" i="3"/>
  <c r="L1172" i="3"/>
  <c r="D1173" i="3"/>
  <c r="L1173" i="3"/>
  <c r="D1174" i="3"/>
  <c r="L1174" i="3"/>
  <c r="D1175" i="3"/>
  <c r="L1175" i="3"/>
  <c r="D1176" i="3"/>
  <c r="L1176" i="3"/>
  <c r="D1177" i="3"/>
  <c r="L1177" i="3"/>
  <c r="D1178" i="3"/>
  <c r="L1178" i="3"/>
  <c r="D1179" i="3"/>
  <c r="L1179" i="3"/>
  <c r="D1180" i="3"/>
  <c r="L1180" i="3"/>
  <c r="D1181" i="3"/>
  <c r="L1181" i="3"/>
  <c r="D1182" i="3"/>
  <c r="L1182" i="3"/>
  <c r="D1183" i="3"/>
  <c r="L1183" i="3"/>
  <c r="D1184" i="3"/>
  <c r="L1184" i="3"/>
  <c r="D1185" i="3"/>
  <c r="L1185" i="3"/>
  <c r="D1186" i="3"/>
  <c r="L1186" i="3"/>
  <c r="D1187" i="3"/>
  <c r="L1187" i="3"/>
  <c r="D1188" i="3"/>
  <c r="L1188" i="3"/>
  <c r="D1189" i="3"/>
  <c r="L1189" i="3"/>
  <c r="D1190" i="3"/>
  <c r="L1190" i="3"/>
  <c r="D1191" i="3"/>
  <c r="L1191" i="3"/>
  <c r="D1192" i="3"/>
  <c r="L1192" i="3"/>
  <c r="D1193" i="3"/>
  <c r="L1193" i="3"/>
  <c r="D1194" i="3"/>
  <c r="L1194" i="3"/>
  <c r="D1195" i="3"/>
  <c r="L1195" i="3"/>
  <c r="D1196" i="3"/>
  <c r="L1196" i="3"/>
  <c r="D1197" i="3"/>
  <c r="L1197" i="3"/>
  <c r="D1198" i="3"/>
  <c r="L1198" i="3"/>
  <c r="D1199" i="3"/>
  <c r="L1199" i="3"/>
  <c r="D1200" i="3"/>
  <c r="L1200" i="3"/>
  <c r="D1201" i="3"/>
  <c r="L1201" i="3"/>
  <c r="D1202" i="3"/>
  <c r="L1202" i="3"/>
  <c r="D1203" i="3"/>
  <c r="L1203" i="3"/>
  <c r="D1204" i="3"/>
  <c r="L1204" i="3"/>
  <c r="D1205" i="3"/>
  <c r="L1205" i="3"/>
  <c r="D1206" i="3"/>
  <c r="L1206" i="3"/>
  <c r="D1207" i="3"/>
  <c r="L1207" i="3"/>
  <c r="D1208" i="3"/>
  <c r="L1208" i="3"/>
  <c r="D1209" i="3"/>
  <c r="L1209" i="3"/>
  <c r="D1210" i="3"/>
  <c r="L1210" i="3"/>
  <c r="D1211" i="3"/>
  <c r="L1211" i="3"/>
  <c r="D1212" i="3"/>
  <c r="L1212" i="3"/>
  <c r="D1213" i="3"/>
  <c r="L1213" i="3"/>
  <c r="D1214" i="3"/>
  <c r="L1214" i="3"/>
  <c r="D1215" i="3"/>
  <c r="L1215" i="3"/>
  <c r="D1216" i="3"/>
  <c r="L1216" i="3"/>
  <c r="D1217" i="3"/>
  <c r="L1217" i="3"/>
  <c r="D1218" i="3"/>
  <c r="L1218" i="3"/>
  <c r="D1219" i="3"/>
  <c r="L1219" i="3"/>
  <c r="D1220" i="3"/>
  <c r="L1220" i="3"/>
  <c r="D1221" i="3"/>
  <c r="L1221" i="3"/>
  <c r="D1222" i="3"/>
  <c r="L1222" i="3"/>
  <c r="D1223" i="3"/>
  <c r="L1223" i="3"/>
  <c r="D1224" i="3"/>
  <c r="L1224" i="3"/>
  <c r="D1225" i="3"/>
  <c r="L1225" i="3"/>
  <c r="D1226" i="3"/>
  <c r="L1226" i="3"/>
  <c r="D1227" i="3"/>
  <c r="L1227" i="3"/>
  <c r="D1228" i="3"/>
  <c r="L1228" i="3"/>
  <c r="D1229" i="3"/>
  <c r="L1229" i="3"/>
  <c r="D1230" i="3"/>
  <c r="L1230" i="3"/>
  <c r="D1231" i="3"/>
  <c r="L1231" i="3"/>
  <c r="D1232" i="3"/>
  <c r="L1232" i="3"/>
  <c r="D1233" i="3"/>
  <c r="L1233" i="3"/>
  <c r="D1234" i="3"/>
  <c r="L1234" i="3"/>
  <c r="D1235" i="3"/>
  <c r="L1235" i="3"/>
  <c r="D1236" i="3"/>
  <c r="L1236" i="3"/>
  <c r="D1237" i="3"/>
  <c r="L1237" i="3"/>
  <c r="D1238" i="3"/>
  <c r="L1238" i="3"/>
  <c r="D1239" i="3"/>
  <c r="L1239" i="3"/>
  <c r="D1240" i="3"/>
  <c r="L1240" i="3"/>
  <c r="D1241" i="3"/>
  <c r="L1241" i="3"/>
  <c r="D1242" i="3"/>
  <c r="L1242" i="3"/>
  <c r="D1243" i="3"/>
  <c r="L1243" i="3"/>
  <c r="D1244" i="3"/>
  <c r="L1244" i="3"/>
  <c r="D1245" i="3"/>
  <c r="L1245" i="3"/>
  <c r="D1246" i="3"/>
  <c r="L1246" i="3"/>
  <c r="D1247" i="3"/>
  <c r="L1247" i="3"/>
  <c r="D1248" i="3"/>
  <c r="L1248" i="3"/>
  <c r="D1249" i="3"/>
  <c r="L1249" i="3"/>
  <c r="D1250" i="3"/>
  <c r="L1250" i="3"/>
  <c r="D1251" i="3"/>
  <c r="L1251" i="3"/>
  <c r="D1252" i="3"/>
  <c r="L1252" i="3"/>
  <c r="D1253" i="3"/>
  <c r="L1253" i="3"/>
  <c r="D1254" i="3"/>
  <c r="L1254" i="3"/>
  <c r="D1255" i="3"/>
  <c r="L1255" i="3"/>
  <c r="D1256" i="3"/>
  <c r="L1256" i="3"/>
  <c r="D1257" i="3"/>
  <c r="L1257" i="3"/>
  <c r="D1258" i="3"/>
  <c r="L1258" i="3"/>
  <c r="D1259" i="3"/>
  <c r="L1259" i="3"/>
  <c r="D1260" i="3"/>
  <c r="L1260" i="3"/>
  <c r="D1261" i="3"/>
  <c r="L1261" i="3"/>
  <c r="D1262" i="3"/>
  <c r="L1262" i="3"/>
  <c r="D1263" i="3"/>
  <c r="L1263" i="3"/>
  <c r="D1264" i="3"/>
  <c r="L1264" i="3"/>
  <c r="D1265" i="3"/>
  <c r="L1265" i="3"/>
  <c r="D1266" i="3"/>
  <c r="L1266" i="3"/>
  <c r="D1267" i="3"/>
  <c r="L1267" i="3"/>
  <c r="D1268" i="3"/>
  <c r="L1268" i="3"/>
  <c r="D1269" i="3"/>
  <c r="L1269" i="3"/>
  <c r="D1270" i="3"/>
  <c r="L1270" i="3"/>
  <c r="D1271" i="3"/>
  <c r="L1271" i="3"/>
  <c r="D1272" i="3"/>
  <c r="L1272" i="3"/>
  <c r="D1273" i="3"/>
  <c r="L1273" i="3"/>
  <c r="D1274" i="3"/>
  <c r="L1274" i="3"/>
  <c r="D1275" i="3"/>
  <c r="L1275" i="3"/>
  <c r="D1276" i="3"/>
  <c r="L1276" i="3"/>
  <c r="D1277" i="3"/>
  <c r="L1277" i="3"/>
  <c r="D1278" i="3"/>
  <c r="L1278" i="3"/>
  <c r="D1279" i="3"/>
  <c r="L1279" i="3"/>
  <c r="D1280" i="3"/>
  <c r="L1280" i="3"/>
  <c r="D1281" i="3"/>
  <c r="L1281" i="3"/>
  <c r="D1282" i="3"/>
  <c r="L1282" i="3"/>
  <c r="D1283" i="3"/>
  <c r="L1283" i="3"/>
  <c r="D1284" i="3"/>
  <c r="L1284" i="3"/>
  <c r="D1285" i="3"/>
  <c r="L1285" i="3"/>
  <c r="D1286" i="3"/>
  <c r="L1286" i="3"/>
  <c r="D1287" i="3"/>
  <c r="L1287" i="3"/>
  <c r="D1288" i="3"/>
  <c r="L1288" i="3"/>
  <c r="D1289" i="3"/>
  <c r="L1289" i="3"/>
  <c r="D1290" i="3"/>
  <c r="L1290" i="3"/>
  <c r="D1291" i="3"/>
  <c r="L1291" i="3"/>
  <c r="D1292" i="3"/>
  <c r="L1292" i="3"/>
  <c r="D1293" i="3"/>
  <c r="L1293" i="3"/>
  <c r="D1294" i="3"/>
  <c r="L1294" i="3"/>
  <c r="D1295" i="3"/>
  <c r="L1295" i="3"/>
  <c r="D1296" i="3"/>
  <c r="L1296" i="3"/>
  <c r="D1297" i="3"/>
  <c r="L1297" i="3"/>
  <c r="D1298" i="3"/>
  <c r="L1298" i="3"/>
  <c r="D1299" i="3"/>
  <c r="L1299" i="3"/>
  <c r="D1300" i="3"/>
  <c r="L1300" i="3"/>
  <c r="D1301" i="3"/>
  <c r="L1301" i="3"/>
  <c r="D1302" i="3"/>
  <c r="L1302" i="3"/>
  <c r="D1303" i="3"/>
  <c r="L1303" i="3"/>
  <c r="D1304" i="3"/>
  <c r="L1304" i="3"/>
  <c r="D1305" i="3"/>
  <c r="L1305" i="3"/>
  <c r="D1306" i="3"/>
  <c r="L1306" i="3"/>
  <c r="D1307" i="3"/>
  <c r="L1307" i="3"/>
  <c r="D1308" i="3"/>
  <c r="L1308" i="3"/>
  <c r="D1309" i="3"/>
  <c r="L1309" i="3"/>
  <c r="D1310" i="3"/>
  <c r="L1310" i="3"/>
  <c r="D1311" i="3"/>
  <c r="L1311" i="3"/>
  <c r="D1312" i="3"/>
  <c r="L1312" i="3"/>
  <c r="D1313" i="3"/>
  <c r="L1313" i="3"/>
  <c r="D1314" i="3"/>
  <c r="L1314" i="3"/>
  <c r="D1315" i="3"/>
  <c r="L1315" i="3"/>
  <c r="D1316" i="3"/>
  <c r="L1316" i="3"/>
  <c r="D1317" i="3"/>
  <c r="L1317" i="3"/>
  <c r="D1318" i="3"/>
  <c r="L1318" i="3"/>
  <c r="D1319" i="3"/>
  <c r="L1319" i="3"/>
  <c r="D1320" i="3"/>
  <c r="L1320" i="3"/>
  <c r="D1321" i="3"/>
  <c r="L1321" i="3"/>
  <c r="D1322" i="3"/>
  <c r="L1322" i="3"/>
  <c r="D1323" i="3"/>
  <c r="L1323" i="3"/>
  <c r="D1324" i="3"/>
  <c r="L1324" i="3"/>
  <c r="D1325" i="3"/>
  <c r="L1325" i="3"/>
  <c r="D1326" i="3"/>
  <c r="L1326" i="3"/>
  <c r="D1327" i="3"/>
  <c r="L1327" i="3"/>
  <c r="D1328" i="3"/>
  <c r="L1328" i="3"/>
  <c r="D1329" i="3"/>
  <c r="L1329" i="3"/>
  <c r="D1330" i="3"/>
  <c r="L1330" i="3"/>
  <c r="D1331" i="3"/>
  <c r="L1331" i="3"/>
  <c r="D1332" i="3"/>
  <c r="L1332" i="3"/>
  <c r="D1333" i="3"/>
  <c r="L1333" i="3"/>
  <c r="D1334" i="3"/>
  <c r="L1334" i="3"/>
  <c r="D1335" i="3"/>
  <c r="L1335" i="3"/>
  <c r="D1336" i="3"/>
  <c r="L1336" i="3"/>
  <c r="D1337" i="3"/>
  <c r="L1337" i="3"/>
  <c r="D1338" i="3"/>
  <c r="L1338" i="3"/>
  <c r="D1339" i="3"/>
  <c r="L1339" i="3"/>
  <c r="D1340" i="3"/>
  <c r="L1340" i="3"/>
  <c r="D1341" i="3"/>
  <c r="L1341" i="3"/>
  <c r="D1342" i="3"/>
  <c r="L1342" i="3"/>
  <c r="D1343" i="3"/>
  <c r="L1343" i="3"/>
  <c r="D1344" i="3"/>
  <c r="L1344" i="3"/>
  <c r="D1345" i="3"/>
  <c r="L1345" i="3"/>
  <c r="D1346" i="3"/>
  <c r="L1346" i="3"/>
  <c r="D1347" i="3"/>
  <c r="L1347" i="3"/>
  <c r="D1348" i="3"/>
  <c r="L1348" i="3"/>
  <c r="D1349" i="3"/>
  <c r="L1349" i="3"/>
  <c r="D1350" i="3"/>
  <c r="L1350" i="3"/>
  <c r="D1351" i="3"/>
  <c r="L1351" i="3"/>
  <c r="D1352" i="3"/>
  <c r="L1352" i="3"/>
  <c r="D1353" i="3"/>
  <c r="L1353" i="3"/>
  <c r="D1354" i="3"/>
  <c r="L1354" i="3"/>
  <c r="D1355" i="3"/>
  <c r="L1355" i="3"/>
  <c r="D1356" i="3"/>
  <c r="L1356" i="3"/>
  <c r="D1357" i="3"/>
  <c r="L1357" i="3"/>
  <c r="D1358" i="3"/>
  <c r="L1358" i="3"/>
  <c r="D1359" i="3"/>
  <c r="L1359" i="3"/>
  <c r="D1360" i="3"/>
  <c r="L1360" i="3"/>
  <c r="D1361" i="3"/>
  <c r="L1361" i="3"/>
  <c r="D1362" i="3"/>
  <c r="L1362" i="3"/>
  <c r="D1363" i="3"/>
  <c r="L1363" i="3"/>
  <c r="D1364" i="3"/>
  <c r="L1364" i="3"/>
  <c r="D1365" i="3"/>
  <c r="L1365" i="3"/>
  <c r="D1366" i="3"/>
  <c r="L1366" i="3"/>
  <c r="D1367" i="3"/>
  <c r="L1367" i="3"/>
  <c r="D1368" i="3"/>
  <c r="L1368" i="3"/>
  <c r="D1369" i="3"/>
  <c r="L1369" i="3"/>
  <c r="D1370" i="3"/>
  <c r="L1370" i="3"/>
  <c r="D1371" i="3"/>
  <c r="L1371" i="3"/>
  <c r="D1372" i="3"/>
  <c r="L1372" i="3"/>
  <c r="D1373" i="3"/>
  <c r="L1373" i="3"/>
  <c r="D1374" i="3"/>
  <c r="L1374" i="3"/>
  <c r="D1375" i="3"/>
  <c r="L1375" i="3"/>
  <c r="D1376" i="3"/>
  <c r="L1376" i="3"/>
  <c r="D1377" i="3"/>
  <c r="L1377" i="3"/>
  <c r="D1378" i="3"/>
  <c r="L1378" i="3"/>
  <c r="D1379" i="3"/>
  <c r="L1379" i="3"/>
  <c r="D1380" i="3"/>
  <c r="L1380" i="3"/>
  <c r="D1381" i="3"/>
  <c r="L1381" i="3"/>
  <c r="D1382" i="3"/>
  <c r="L1382" i="3"/>
  <c r="D1383" i="3"/>
  <c r="L1383" i="3"/>
  <c r="D1384" i="3"/>
  <c r="L1384" i="3"/>
  <c r="D1385" i="3"/>
  <c r="L1385" i="3"/>
  <c r="D1386" i="3"/>
  <c r="L1386" i="3"/>
  <c r="D1387" i="3"/>
  <c r="L1387" i="3"/>
  <c r="D1388" i="3"/>
  <c r="L1388" i="3"/>
  <c r="D1389" i="3"/>
  <c r="L1389" i="3"/>
  <c r="D1390" i="3"/>
  <c r="L1390" i="3"/>
  <c r="D1391" i="3"/>
  <c r="L1391" i="3"/>
  <c r="D1392" i="3"/>
  <c r="L1392" i="3"/>
  <c r="D1393" i="3"/>
  <c r="L1393" i="3"/>
  <c r="D1394" i="3"/>
  <c r="L1394" i="3"/>
  <c r="D1395" i="3"/>
  <c r="L1395" i="3"/>
  <c r="D1396" i="3"/>
  <c r="L1396" i="3"/>
  <c r="D1397" i="3"/>
  <c r="L1397" i="3"/>
  <c r="D1398" i="3"/>
  <c r="L1398" i="3"/>
  <c r="D1399" i="3"/>
  <c r="L1399" i="3"/>
  <c r="D1400" i="3"/>
  <c r="L1400" i="3"/>
  <c r="D1401" i="3"/>
  <c r="L1401" i="3"/>
  <c r="D1402" i="3"/>
  <c r="L1402" i="3"/>
  <c r="D1403" i="3"/>
  <c r="L1403" i="3"/>
  <c r="D1404" i="3"/>
  <c r="L1404" i="3"/>
  <c r="D1405" i="3"/>
  <c r="L1405" i="3"/>
  <c r="D1406" i="3"/>
  <c r="L1406" i="3"/>
  <c r="D1407" i="3"/>
  <c r="L1407" i="3"/>
  <c r="D1408" i="3"/>
  <c r="L1408" i="3"/>
  <c r="D1409" i="3"/>
  <c r="L1409" i="3"/>
  <c r="D1410" i="3"/>
  <c r="L1410" i="3"/>
  <c r="D1411" i="3"/>
  <c r="L1411" i="3"/>
  <c r="D1412" i="3"/>
  <c r="L1412" i="3"/>
  <c r="D1413" i="3"/>
  <c r="L1413" i="3"/>
  <c r="D1414" i="3"/>
  <c r="L1414" i="3"/>
  <c r="D1415" i="3"/>
  <c r="L1415" i="3"/>
  <c r="D1416" i="3"/>
  <c r="L1416" i="3"/>
  <c r="D1417" i="3"/>
  <c r="L1417" i="3"/>
  <c r="D1418" i="3"/>
  <c r="L1418" i="3"/>
  <c r="D1419" i="3"/>
  <c r="L1419" i="3"/>
  <c r="D1420" i="3"/>
  <c r="L1420" i="3"/>
  <c r="D1421" i="3"/>
  <c r="L1421" i="3"/>
  <c r="D1422" i="3"/>
  <c r="L1422" i="3"/>
  <c r="D1423" i="3"/>
  <c r="L1423" i="3"/>
  <c r="D1424" i="3"/>
  <c r="L1424" i="3"/>
  <c r="D1425" i="3"/>
  <c r="L1425" i="3"/>
  <c r="D1426" i="3"/>
  <c r="L1426" i="3"/>
  <c r="D1427" i="3"/>
  <c r="L1427" i="3"/>
  <c r="D1428" i="3"/>
  <c r="L1428" i="3"/>
  <c r="D1429" i="3"/>
  <c r="L1429" i="3"/>
  <c r="D1430" i="3"/>
  <c r="L1430" i="3"/>
  <c r="D1431" i="3"/>
  <c r="L1431" i="3"/>
  <c r="D1432" i="3"/>
  <c r="L1432" i="3"/>
  <c r="D1433" i="3"/>
  <c r="L1433" i="3"/>
  <c r="D1434" i="3"/>
  <c r="L1434" i="3"/>
  <c r="D1435" i="3"/>
  <c r="L1435" i="3"/>
  <c r="D1436" i="3"/>
  <c r="L1436" i="3"/>
  <c r="D1437" i="3"/>
  <c r="L1437" i="3"/>
  <c r="D1438" i="3"/>
  <c r="L1438" i="3"/>
  <c r="D1439" i="3"/>
  <c r="L1439" i="3"/>
  <c r="D1440" i="3"/>
  <c r="L1440" i="3"/>
  <c r="D1441" i="3"/>
  <c r="L1441" i="3"/>
  <c r="D1442" i="3"/>
  <c r="L1442" i="3"/>
  <c r="D1443" i="3"/>
  <c r="L1443" i="3"/>
  <c r="D1444" i="3"/>
  <c r="L1444" i="3"/>
  <c r="D1445" i="3"/>
  <c r="L1445" i="3"/>
  <c r="D1446" i="3"/>
  <c r="L1446" i="3"/>
  <c r="D1447" i="3"/>
  <c r="L1447" i="3"/>
  <c r="D1448" i="3"/>
  <c r="L1448" i="3"/>
  <c r="D1449" i="3"/>
  <c r="L1449" i="3"/>
  <c r="D1450" i="3"/>
  <c r="L1450" i="3"/>
  <c r="D1451" i="3"/>
  <c r="L1451" i="3"/>
  <c r="D1452" i="3"/>
  <c r="L1452" i="3"/>
  <c r="D1453" i="3"/>
  <c r="L1453" i="3"/>
  <c r="D1454" i="3"/>
  <c r="L1454" i="3"/>
  <c r="D1455" i="3"/>
  <c r="L1455" i="3"/>
  <c r="D1456" i="3"/>
  <c r="L1456" i="3"/>
  <c r="D1457" i="3"/>
  <c r="L1457" i="3"/>
  <c r="D1458" i="3"/>
  <c r="L1458" i="3"/>
  <c r="D1459" i="3"/>
  <c r="L1459" i="3"/>
  <c r="D1460" i="3"/>
  <c r="L1460" i="3"/>
  <c r="D1461" i="3"/>
  <c r="L1461" i="3"/>
  <c r="D1462" i="3"/>
  <c r="L1462" i="3"/>
  <c r="D1463" i="3"/>
  <c r="L1463" i="3"/>
  <c r="D1464" i="3"/>
  <c r="L1464" i="3"/>
  <c r="D1465" i="3"/>
  <c r="L1465" i="3"/>
  <c r="D1466" i="3"/>
  <c r="L1466" i="3"/>
  <c r="D1467" i="3"/>
  <c r="L1467" i="3"/>
  <c r="D1468" i="3"/>
  <c r="L1468" i="3"/>
  <c r="D1469" i="3"/>
  <c r="L1469" i="3"/>
  <c r="D1470" i="3"/>
  <c r="L1470" i="3"/>
  <c r="D1471" i="3"/>
  <c r="L1471" i="3"/>
  <c r="D1472" i="3"/>
  <c r="L1472" i="3"/>
  <c r="D1473" i="3"/>
  <c r="L1473" i="3"/>
  <c r="D1474" i="3"/>
  <c r="L1474" i="3"/>
  <c r="D1475" i="3"/>
  <c r="L1475" i="3"/>
  <c r="D1476" i="3"/>
  <c r="L1476" i="3"/>
  <c r="D1477" i="3"/>
  <c r="L1477" i="3"/>
  <c r="D1478" i="3"/>
  <c r="L1478" i="3"/>
  <c r="D1479" i="3"/>
  <c r="L1479" i="3"/>
  <c r="D1480" i="3"/>
  <c r="L1480" i="3"/>
  <c r="D1481" i="3"/>
  <c r="L1481" i="3"/>
  <c r="D1482" i="3"/>
  <c r="L1482" i="3"/>
  <c r="D1483" i="3"/>
  <c r="L1483" i="3"/>
  <c r="D1484" i="3"/>
  <c r="L1484" i="3"/>
  <c r="D1485" i="3"/>
  <c r="L1485" i="3"/>
  <c r="D1486" i="3"/>
  <c r="L1486" i="3"/>
  <c r="D1487" i="3"/>
  <c r="L1487" i="3"/>
  <c r="D1488" i="3"/>
  <c r="L1488" i="3"/>
  <c r="D1489" i="3"/>
  <c r="L1489" i="3"/>
  <c r="D1490" i="3"/>
  <c r="L1490" i="3"/>
  <c r="D1491" i="3"/>
  <c r="L1491" i="3"/>
  <c r="D1492" i="3"/>
  <c r="L1492" i="3"/>
  <c r="D1493" i="3"/>
  <c r="L1493" i="3"/>
  <c r="D1494" i="3"/>
  <c r="L1494" i="3"/>
  <c r="D1495" i="3"/>
  <c r="L1495" i="3"/>
  <c r="D1496" i="3"/>
  <c r="L1496" i="3"/>
  <c r="D1497" i="3"/>
  <c r="L1497" i="3"/>
  <c r="D1498" i="3"/>
  <c r="L1498" i="3"/>
  <c r="D1499" i="3"/>
  <c r="L1499" i="3"/>
  <c r="D1500" i="3"/>
  <c r="L1500" i="3"/>
  <c r="D1501" i="3"/>
  <c r="L1501" i="3"/>
  <c r="D1502" i="3"/>
  <c r="L1502" i="3"/>
  <c r="D1503" i="3"/>
  <c r="L1503" i="3"/>
  <c r="D1504" i="3"/>
  <c r="L1504" i="3"/>
  <c r="D1505" i="3"/>
  <c r="L1505" i="3"/>
  <c r="D1506" i="3"/>
  <c r="L1506" i="3"/>
  <c r="D1507" i="3"/>
  <c r="L1507" i="3"/>
  <c r="D1508" i="3"/>
  <c r="L1508" i="3"/>
  <c r="D1509" i="3"/>
  <c r="L1509" i="3"/>
  <c r="D1510" i="3"/>
  <c r="L1510" i="3"/>
  <c r="D1511" i="3"/>
  <c r="L1511" i="3"/>
  <c r="D1512" i="3"/>
  <c r="L1512" i="3"/>
  <c r="D1513" i="3"/>
  <c r="L1513" i="3"/>
  <c r="D1514" i="3"/>
  <c r="L1514" i="3"/>
  <c r="D1515" i="3"/>
  <c r="L1515" i="3"/>
  <c r="D446" i="3"/>
  <c r="L282" i="3"/>
  <c r="D282" i="3"/>
  <c r="L283" i="3" l="1"/>
  <c r="D283" i="3"/>
  <c r="L284" i="3" l="1"/>
  <c r="D284" i="3"/>
  <c r="L285" i="3" l="1"/>
  <c r="D285" i="3"/>
  <c r="L286" i="3" l="1"/>
  <c r="D286" i="3"/>
  <c r="D290" i="3" l="1"/>
  <c r="L287" i="3"/>
  <c r="D287" i="3"/>
  <c r="L288" i="3" l="1"/>
  <c r="D288" i="3"/>
  <c r="L289" i="3" l="1"/>
  <c r="D289" i="3"/>
  <c r="L290" i="3"/>
  <c r="L291" i="3" l="1"/>
  <c r="L292" i="3" l="1"/>
  <c r="L293" i="3" l="1"/>
  <c r="L294" i="3"/>
  <c r="L295" i="3" l="1"/>
  <c r="L296" i="3" l="1"/>
  <c r="L297" i="3" l="1"/>
  <c r="L298" i="3" l="1"/>
  <c r="L299" i="3" l="1"/>
  <c r="L300" i="3" l="1"/>
  <c r="L301" i="3" l="1"/>
  <c r="L302" i="3" l="1"/>
  <c r="D302" i="3"/>
  <c r="L303" i="3" l="1"/>
  <c r="D303" i="3"/>
  <c r="L304" i="3" l="1"/>
  <c r="D304" i="3"/>
  <c r="L305" i="3" l="1"/>
  <c r="D305" i="3"/>
  <c r="L306" i="3" l="1"/>
  <c r="D306" i="3"/>
  <c r="L307" i="3" l="1"/>
  <c r="D307" i="3"/>
  <c r="L308" i="3" l="1"/>
  <c r="D308" i="3"/>
  <c r="L309" i="3" l="1"/>
  <c r="D309" i="3"/>
  <c r="L310" i="3" l="1"/>
  <c r="D310" i="3"/>
  <c r="L311" i="3" l="1"/>
  <c r="D311" i="3"/>
  <c r="L312" i="3" l="1"/>
  <c r="D312" i="3"/>
  <c r="L313" i="3" l="1"/>
  <c r="D313" i="3"/>
  <c r="L314" i="3" l="1"/>
  <c r="D314" i="3"/>
  <c r="L315" i="3" l="1"/>
  <c r="D315" i="3"/>
  <c r="L316" i="3" l="1"/>
  <c r="D316" i="3"/>
  <c r="L317" i="3" l="1"/>
  <c r="D317" i="3"/>
  <c r="L318" i="3" l="1"/>
  <c r="D318" i="3"/>
  <c r="L319" i="3" l="1"/>
  <c r="D319" i="3"/>
  <c r="L320" i="3" l="1"/>
  <c r="D320" i="3"/>
  <c r="L321" i="3" l="1"/>
  <c r="D321" i="3"/>
  <c r="L322" i="3" l="1"/>
  <c r="D322" i="3"/>
  <c r="L323" i="3" l="1"/>
  <c r="D323" i="3"/>
  <c r="L324" i="3" l="1"/>
  <c r="D324" i="3"/>
  <c r="L325" i="3" l="1"/>
  <c r="D325" i="3"/>
  <c r="L326" i="3" l="1"/>
  <c r="D326" i="3"/>
  <c r="L327" i="3" l="1"/>
  <c r="D327" i="3"/>
  <c r="L328" i="3" l="1"/>
  <c r="D328" i="3"/>
  <c r="L329" i="3" l="1"/>
  <c r="D329" i="3"/>
  <c r="L330" i="3" l="1"/>
  <c r="D330" i="3"/>
  <c r="L331" i="3" l="1"/>
  <c r="D331" i="3"/>
  <c r="L332" i="3" l="1"/>
  <c r="D332" i="3"/>
  <c r="L333" i="3" l="1"/>
  <c r="D333" i="3"/>
  <c r="L334" i="3" l="1"/>
  <c r="D334" i="3"/>
  <c r="L335" i="3" l="1"/>
  <c r="D335" i="3"/>
  <c r="L336" i="3" l="1"/>
  <c r="D336" i="3"/>
  <c r="L337" i="3" l="1"/>
  <c r="D337" i="3"/>
  <c r="L338" i="3" l="1"/>
  <c r="D338" i="3"/>
  <c r="L339" i="3" l="1"/>
  <c r="D339" i="3"/>
  <c r="L340" i="3" l="1"/>
  <c r="D340" i="3"/>
  <c r="L341" i="3" l="1"/>
  <c r="D341" i="3"/>
  <c r="L342" i="3" l="1"/>
  <c r="D342" i="3"/>
  <c r="L343" i="3" l="1"/>
  <c r="D343" i="3"/>
  <c r="L344" i="3" l="1"/>
  <c r="D344" i="3"/>
  <c r="L345" i="3" l="1"/>
  <c r="D345" i="3"/>
  <c r="L346" i="3" l="1"/>
  <c r="D346" i="3"/>
  <c r="L347" i="3" l="1"/>
  <c r="D347" i="3"/>
  <c r="L348" i="3" l="1"/>
  <c r="D348" i="3"/>
  <c r="L349" i="3" l="1"/>
  <c r="D349" i="3"/>
  <c r="L350" i="3" l="1"/>
  <c r="D350" i="3"/>
  <c r="L351" i="3" l="1"/>
  <c r="D351" i="3"/>
  <c r="L352" i="3" l="1"/>
  <c r="D352" i="3"/>
  <c r="L353" i="3" l="1"/>
  <c r="D353" i="3"/>
  <c r="L354" i="3" l="1"/>
  <c r="D354" i="3"/>
  <c r="L355" i="3" l="1"/>
  <c r="D355" i="3"/>
  <c r="L356" i="3" l="1"/>
  <c r="D356" i="3"/>
  <c r="L357" i="3" l="1"/>
  <c r="D357" i="3"/>
  <c r="L358" i="3" l="1"/>
  <c r="D358" i="3"/>
  <c r="L359" i="3" l="1"/>
  <c r="D359" i="3"/>
  <c r="L360" i="3" l="1"/>
  <c r="D360" i="3"/>
  <c r="L361" i="3" l="1"/>
  <c r="D361" i="3"/>
  <c r="L362" i="3" l="1"/>
  <c r="D362" i="3"/>
  <c r="L363" i="3" l="1"/>
  <c r="D363" i="3"/>
  <c r="L364" i="3" l="1"/>
  <c r="D364" i="3"/>
  <c r="L365" i="3" l="1"/>
  <c r="D365" i="3"/>
  <c r="L366" i="3" l="1"/>
  <c r="D366" i="3"/>
  <c r="L367" i="3" l="1"/>
  <c r="D367" i="3"/>
  <c r="L368" i="3" l="1"/>
  <c r="D368" i="3"/>
  <c r="L369" i="3" l="1"/>
  <c r="D369" i="3"/>
  <c r="L370" i="3" l="1"/>
  <c r="D370" i="3"/>
  <c r="L371" i="3" l="1"/>
  <c r="D371" i="3"/>
  <c r="L372" i="3" l="1"/>
  <c r="D372" i="3"/>
  <c r="L373" i="3" l="1"/>
  <c r="D373" i="3"/>
  <c r="L374" i="3" l="1"/>
  <c r="D374" i="3"/>
  <c r="L375" i="3" l="1"/>
  <c r="D375" i="3"/>
  <c r="L376" i="3" l="1"/>
  <c r="D376" i="3"/>
  <c r="L377" i="3" l="1"/>
  <c r="L378" i="3" l="1"/>
  <c r="D378" i="3"/>
  <c r="L379" i="3" l="1"/>
  <c r="D379" i="3"/>
  <c r="L380" i="3" l="1"/>
  <c r="D380" i="3"/>
  <c r="L381" i="3" l="1"/>
  <c r="D381" i="3"/>
  <c r="L382" i="3" l="1"/>
  <c r="D382" i="3"/>
  <c r="L383" i="3" l="1"/>
  <c r="D383" i="3"/>
  <c r="L384" i="3" l="1"/>
  <c r="D384" i="3"/>
  <c r="L385" i="3" l="1"/>
  <c r="D385" i="3"/>
  <c r="L386" i="3" l="1"/>
  <c r="D386" i="3"/>
  <c r="L387" i="3" l="1"/>
  <c r="D387" i="3"/>
  <c r="L388" i="3" l="1"/>
  <c r="D388" i="3"/>
  <c r="L389" i="3" l="1"/>
  <c r="D389" i="3"/>
  <c r="L390" i="3" l="1"/>
  <c r="D390" i="3"/>
  <c r="L391" i="3" l="1"/>
  <c r="D391" i="3"/>
  <c r="L392" i="3" l="1"/>
  <c r="D392" i="3"/>
  <c r="L393" i="3" l="1"/>
  <c r="D393" i="3"/>
  <c r="L394" i="3" l="1"/>
  <c r="L395" i="3" l="1"/>
  <c r="D395" i="3"/>
  <c r="L396" i="3" l="1"/>
  <c r="D396" i="3"/>
  <c r="L397" i="3" l="1"/>
  <c r="D397" i="3"/>
  <c r="L398" i="3" l="1"/>
  <c r="D398" i="3"/>
  <c r="L399" i="3" l="1"/>
  <c r="D399" i="3"/>
  <c r="L400" i="3" l="1"/>
  <c r="D400" i="3"/>
  <c r="L401" i="3" l="1"/>
  <c r="D401" i="3"/>
  <c r="L402" i="3" l="1"/>
  <c r="D402" i="3"/>
  <c r="L403" i="3" l="1"/>
  <c r="D403" i="3"/>
  <c r="L404" i="3" l="1"/>
  <c r="D404" i="3"/>
  <c r="L405" i="3" l="1"/>
  <c r="D405" i="3"/>
  <c r="L406" i="3" l="1"/>
  <c r="D406" i="3"/>
  <c r="L407" i="3" l="1"/>
  <c r="D407" i="3"/>
  <c r="L408" i="3" l="1"/>
  <c r="D408" i="3"/>
  <c r="L409" i="3" l="1"/>
  <c r="D409" i="3"/>
  <c r="L410" i="3" l="1"/>
  <c r="D410" i="3"/>
  <c r="L411" i="3" l="1"/>
  <c r="D411" i="3"/>
  <c r="L412" i="3" l="1"/>
  <c r="D412" i="3"/>
  <c r="L413" i="3" l="1"/>
  <c r="D413" i="3"/>
  <c r="L414" i="3" l="1"/>
  <c r="D414" i="3"/>
  <c r="L415" i="3" l="1"/>
  <c r="D415" i="3"/>
  <c r="L416" i="3" l="1"/>
  <c r="D416" i="3"/>
  <c r="L417" i="3" l="1"/>
  <c r="D417" i="3"/>
  <c r="L418" i="3" l="1"/>
  <c r="D418" i="3"/>
  <c r="L419" i="3" l="1"/>
  <c r="D419" i="3"/>
  <c r="L420" i="3" l="1"/>
  <c r="D420" i="3"/>
  <c r="L421" i="3" l="1"/>
  <c r="D421" i="3"/>
  <c r="L422" i="3" l="1"/>
  <c r="D422" i="3"/>
  <c r="L423" i="3" l="1"/>
  <c r="D423" i="3"/>
  <c r="L424" i="3" l="1"/>
  <c r="D424" i="3"/>
  <c r="L425" i="3" l="1"/>
  <c r="D425" i="3"/>
  <c r="L426" i="3" l="1"/>
  <c r="D426" i="3"/>
  <c r="L427" i="3" l="1"/>
  <c r="D427" i="3"/>
  <c r="L428" i="3" l="1"/>
  <c r="D428" i="3"/>
  <c r="L429" i="3" l="1"/>
  <c r="D429" i="3"/>
  <c r="L430" i="3" l="1"/>
  <c r="D430" i="3"/>
  <c r="L431" i="3" l="1"/>
  <c r="D431" i="3"/>
  <c r="L432" i="3" l="1"/>
  <c r="D432" i="3"/>
  <c r="L433" i="3" l="1"/>
  <c r="D433" i="3"/>
  <c r="L434" i="3" l="1"/>
  <c r="D434" i="3"/>
  <c r="L435" i="3" l="1"/>
  <c r="D435" i="3"/>
  <c r="L436" i="3" l="1"/>
  <c r="D436" i="3"/>
  <c r="L437" i="3" l="1"/>
  <c r="D437" i="3"/>
  <c r="L438" i="3" l="1"/>
  <c r="D438" i="3"/>
  <c r="L439" i="3" l="1"/>
  <c r="D439" i="3"/>
  <c r="L440" i="3" l="1"/>
  <c r="D440" i="3"/>
  <c r="L441" i="3" l="1"/>
  <c r="D441" i="3"/>
  <c r="L442" i="3" l="1"/>
  <c r="D442" i="3"/>
  <c r="L443" i="3" l="1"/>
  <c r="D443" i="3"/>
  <c r="L444" i="3" l="1"/>
  <c r="L445" i="3" l="1"/>
  <c r="D445" i="3"/>
  <c r="L446" i="3" l="1"/>
  <c r="L447" i="3" l="1"/>
  <c r="D447" i="3"/>
  <c r="L449" i="3" l="1"/>
  <c r="D449" i="3"/>
  <c r="L448" i="3"/>
  <c r="D448" i="3"/>
  <c r="K1067" i="6"/>
  <c r="C1067" i="6"/>
  <c r="K1066" i="6"/>
  <c r="C1066" i="6"/>
  <c r="K1065" i="6"/>
  <c r="C1065" i="6"/>
  <c r="K1064" i="6"/>
  <c r="C1064" i="6"/>
  <c r="K1063" i="6"/>
  <c r="C1063" i="6"/>
  <c r="K1062" i="6"/>
  <c r="C1062" i="6"/>
  <c r="K1061" i="6"/>
  <c r="C1061" i="6"/>
  <c r="K1060" i="6"/>
  <c r="C1060" i="6"/>
  <c r="K1059" i="6"/>
  <c r="C1059" i="6"/>
  <c r="K1058" i="6"/>
  <c r="C1058" i="6"/>
  <c r="K1057" i="6"/>
  <c r="C1057" i="6"/>
  <c r="K1056" i="6"/>
  <c r="C1056" i="6"/>
  <c r="K1055" i="6"/>
  <c r="C1055" i="6"/>
  <c r="K1054" i="6"/>
  <c r="C1054" i="6"/>
  <c r="K1053" i="6"/>
  <c r="C1053" i="6"/>
  <c r="K1052" i="6"/>
  <c r="C1052" i="6"/>
  <c r="K1051" i="6"/>
  <c r="C1051" i="6"/>
  <c r="K1050" i="6"/>
  <c r="C1050" i="6"/>
  <c r="K1049" i="6"/>
  <c r="K1048" i="6"/>
  <c r="C1048" i="6"/>
  <c r="K1047" i="6"/>
  <c r="C1047" i="6"/>
  <c r="K1046" i="6"/>
  <c r="C1046" i="6"/>
  <c r="K1045" i="6"/>
  <c r="C1045" i="6"/>
  <c r="K1044" i="6"/>
  <c r="C1044" i="6"/>
  <c r="K1043" i="6"/>
  <c r="C1043" i="6"/>
  <c r="K1042" i="6"/>
  <c r="C1042" i="6"/>
  <c r="K1041" i="6"/>
  <c r="C1041" i="6"/>
  <c r="K1040" i="6"/>
  <c r="C1040" i="6"/>
  <c r="K1039" i="6"/>
  <c r="K1038" i="6"/>
  <c r="K1037" i="6"/>
  <c r="C1037" i="6"/>
  <c r="K1036" i="6"/>
  <c r="C1036" i="6"/>
  <c r="K1035" i="6"/>
  <c r="K1034" i="6"/>
  <c r="C1034" i="6"/>
  <c r="K1033" i="6"/>
  <c r="C1033" i="6"/>
  <c r="K1032" i="6"/>
  <c r="C1032" i="6"/>
  <c r="K1031" i="6"/>
  <c r="C1031" i="6"/>
  <c r="K1030" i="6"/>
  <c r="C1030" i="6"/>
  <c r="K1029" i="6"/>
  <c r="C1029" i="6"/>
  <c r="K1028" i="6"/>
  <c r="K1027" i="6"/>
  <c r="K1026" i="6"/>
  <c r="K1025" i="6"/>
  <c r="C1025" i="6"/>
  <c r="K1024" i="6"/>
  <c r="K1023" i="6"/>
  <c r="C1023" i="6"/>
  <c r="K1022" i="6"/>
  <c r="C1022" i="6"/>
  <c r="K1021" i="6"/>
  <c r="C1021" i="6"/>
  <c r="K1020" i="6"/>
  <c r="K1019" i="6"/>
  <c r="C1019" i="6"/>
  <c r="K1018" i="6"/>
  <c r="C1018" i="6"/>
  <c r="K1017" i="6"/>
  <c r="C1017" i="6"/>
  <c r="K1016" i="6"/>
  <c r="C1016" i="6"/>
  <c r="K1015" i="6"/>
  <c r="C1015" i="6"/>
  <c r="K1014" i="6"/>
  <c r="C1014" i="6"/>
  <c r="K1013" i="6"/>
  <c r="C1013" i="6"/>
  <c r="K1012" i="6"/>
  <c r="C1012" i="6"/>
  <c r="K1011" i="6"/>
  <c r="C1011" i="6"/>
  <c r="K1010" i="6"/>
  <c r="C1010" i="6"/>
  <c r="K1009" i="6"/>
  <c r="C1009" i="6"/>
  <c r="K1008" i="6"/>
  <c r="C1008" i="6"/>
  <c r="K1007" i="6"/>
  <c r="C1007" i="6"/>
  <c r="K1006" i="6"/>
  <c r="C1006" i="6"/>
  <c r="K1005" i="6"/>
  <c r="C1005" i="6"/>
  <c r="K1004" i="6"/>
  <c r="C1004" i="6"/>
  <c r="K1003" i="6"/>
  <c r="C1003" i="6"/>
  <c r="K1002" i="6"/>
  <c r="C1002" i="6"/>
  <c r="K1001" i="6"/>
  <c r="C1001" i="6"/>
  <c r="K1000" i="6"/>
  <c r="C1000" i="6"/>
  <c r="K999" i="6"/>
  <c r="C999" i="6"/>
  <c r="K998" i="6"/>
  <c r="C998" i="6"/>
  <c r="K997" i="6"/>
  <c r="C997" i="6"/>
  <c r="K996" i="6"/>
  <c r="C996" i="6"/>
  <c r="K995" i="6"/>
  <c r="C995" i="6"/>
  <c r="K994" i="6"/>
  <c r="C994" i="6"/>
  <c r="K993" i="6"/>
  <c r="C993" i="6"/>
  <c r="K992" i="6"/>
  <c r="C992" i="6"/>
  <c r="K991" i="6"/>
  <c r="C991" i="6"/>
  <c r="K990" i="6"/>
  <c r="C990" i="6"/>
  <c r="K989" i="6"/>
  <c r="C989" i="6"/>
  <c r="K988" i="6"/>
  <c r="C988" i="6"/>
  <c r="K987" i="6"/>
  <c r="C987" i="6"/>
  <c r="K986" i="6"/>
  <c r="C986" i="6"/>
  <c r="K985" i="6"/>
  <c r="C985" i="6"/>
  <c r="K984" i="6"/>
  <c r="C984" i="6"/>
  <c r="K983" i="6"/>
  <c r="C983" i="6"/>
  <c r="K982" i="6"/>
  <c r="C982" i="6"/>
  <c r="K981" i="6"/>
  <c r="C981" i="6"/>
  <c r="K980" i="6"/>
  <c r="C980" i="6"/>
  <c r="K979" i="6"/>
  <c r="C979" i="6"/>
  <c r="K978" i="6"/>
  <c r="C978" i="6"/>
  <c r="K977" i="6"/>
  <c r="C977" i="6"/>
  <c r="K976" i="6"/>
  <c r="C976" i="6"/>
  <c r="K975" i="6"/>
  <c r="C975" i="6"/>
  <c r="K974" i="6"/>
  <c r="C974" i="6"/>
  <c r="K973" i="6"/>
  <c r="C973" i="6"/>
  <c r="K972" i="6"/>
  <c r="C972" i="6"/>
  <c r="K971" i="6"/>
  <c r="C971" i="6"/>
  <c r="K970" i="6"/>
  <c r="C970" i="6"/>
  <c r="K969" i="6"/>
  <c r="C969" i="6"/>
  <c r="K968" i="6"/>
  <c r="C968" i="6"/>
  <c r="K967" i="6"/>
  <c r="C967" i="6"/>
  <c r="K966" i="6"/>
  <c r="C966" i="6"/>
  <c r="K965" i="6"/>
  <c r="C965" i="6"/>
  <c r="K964" i="6"/>
  <c r="C964" i="6"/>
  <c r="K963" i="6"/>
  <c r="C963" i="6"/>
  <c r="K962" i="6"/>
  <c r="C962" i="6"/>
  <c r="K961" i="6"/>
  <c r="C961" i="6"/>
  <c r="K960" i="6"/>
  <c r="C960" i="6"/>
  <c r="K959" i="6"/>
  <c r="C959" i="6"/>
  <c r="K958" i="6"/>
  <c r="C958" i="6"/>
  <c r="K957" i="6"/>
  <c r="C957" i="6"/>
  <c r="K956" i="6"/>
  <c r="C956" i="6"/>
  <c r="K955" i="6"/>
  <c r="C955" i="6"/>
  <c r="K954" i="6"/>
  <c r="C954" i="6"/>
  <c r="K953" i="6"/>
  <c r="C953" i="6"/>
  <c r="K952" i="6"/>
  <c r="C952" i="6"/>
  <c r="K951" i="6"/>
  <c r="C951" i="6"/>
  <c r="K950" i="6"/>
  <c r="C950" i="6"/>
  <c r="K949" i="6"/>
  <c r="C949" i="6"/>
  <c r="K948" i="6"/>
  <c r="C948" i="6"/>
  <c r="K947" i="6"/>
  <c r="C947" i="6"/>
  <c r="K946" i="6"/>
  <c r="C946" i="6"/>
  <c r="K945" i="6"/>
  <c r="C945" i="6"/>
  <c r="K944" i="6"/>
  <c r="C944" i="6"/>
  <c r="K943" i="6"/>
  <c r="C943" i="6"/>
  <c r="K942" i="6"/>
  <c r="C942" i="6"/>
  <c r="K941" i="6"/>
  <c r="C941" i="6"/>
  <c r="K940" i="6"/>
  <c r="C940" i="6"/>
  <c r="K939" i="6"/>
  <c r="C939" i="6"/>
  <c r="K938" i="6"/>
  <c r="C938" i="6"/>
  <c r="K937" i="6"/>
  <c r="C937" i="6"/>
  <c r="K936" i="6"/>
  <c r="C936" i="6"/>
  <c r="K935" i="6"/>
  <c r="C935" i="6"/>
  <c r="K934" i="6"/>
  <c r="C934" i="6"/>
  <c r="K933" i="6"/>
  <c r="C933" i="6"/>
  <c r="K932" i="6"/>
  <c r="C932" i="6"/>
  <c r="K931" i="6"/>
  <c r="C931" i="6"/>
  <c r="K930" i="6"/>
  <c r="C930" i="6"/>
  <c r="K929" i="6"/>
  <c r="C929" i="6"/>
  <c r="K928" i="6"/>
  <c r="C928" i="6"/>
  <c r="K927" i="6"/>
  <c r="C927" i="6"/>
  <c r="K926" i="6"/>
  <c r="C926" i="6"/>
  <c r="K925" i="6"/>
  <c r="C925" i="6"/>
  <c r="K924" i="6"/>
  <c r="C924" i="6"/>
  <c r="K923" i="6"/>
  <c r="C923" i="6"/>
  <c r="K922" i="6"/>
  <c r="C922" i="6"/>
  <c r="K921" i="6"/>
  <c r="C921" i="6"/>
  <c r="K920" i="6"/>
  <c r="C920" i="6"/>
  <c r="K919" i="6"/>
  <c r="C919" i="6"/>
  <c r="K918" i="6"/>
  <c r="C918" i="6"/>
  <c r="K917" i="6"/>
  <c r="C917" i="6"/>
  <c r="K916" i="6"/>
  <c r="C916" i="6"/>
  <c r="K915" i="6"/>
  <c r="C915" i="6"/>
  <c r="K914" i="6"/>
  <c r="C914" i="6"/>
  <c r="K913" i="6"/>
  <c r="C913" i="6"/>
  <c r="K912" i="6"/>
  <c r="C912" i="6"/>
  <c r="K911" i="6"/>
  <c r="C911" i="6"/>
  <c r="K910" i="6"/>
  <c r="C910" i="6"/>
  <c r="K909" i="6"/>
  <c r="C909" i="6"/>
  <c r="K908" i="6"/>
  <c r="C908" i="6"/>
  <c r="K907" i="6"/>
  <c r="C907" i="6"/>
  <c r="K906" i="6"/>
  <c r="C906" i="6"/>
  <c r="K905" i="6"/>
  <c r="C905" i="6"/>
  <c r="K904" i="6"/>
  <c r="C904" i="6"/>
  <c r="K903" i="6"/>
  <c r="C903" i="6"/>
  <c r="K902" i="6"/>
  <c r="C902" i="6"/>
  <c r="K901" i="6"/>
  <c r="C901" i="6"/>
  <c r="K900" i="6"/>
  <c r="C900" i="6"/>
  <c r="K899" i="6"/>
  <c r="C899" i="6"/>
  <c r="K898" i="6"/>
  <c r="C898" i="6"/>
  <c r="K897" i="6"/>
  <c r="C897" i="6"/>
  <c r="K896" i="6"/>
  <c r="C896" i="6"/>
  <c r="K895" i="6"/>
  <c r="C895" i="6"/>
  <c r="K894" i="6"/>
  <c r="C894" i="6"/>
  <c r="K893" i="6"/>
  <c r="C893" i="6"/>
  <c r="K892" i="6"/>
  <c r="C892" i="6"/>
  <c r="K891" i="6"/>
  <c r="C891" i="6"/>
  <c r="K890" i="6"/>
  <c r="C890" i="6"/>
  <c r="K889" i="6"/>
  <c r="C889" i="6"/>
  <c r="K888" i="6"/>
  <c r="C888" i="6"/>
  <c r="K887" i="6"/>
  <c r="C887" i="6"/>
  <c r="K886" i="6"/>
  <c r="C886" i="6"/>
  <c r="K885" i="6"/>
  <c r="C885" i="6"/>
  <c r="K884" i="6"/>
  <c r="C884" i="6"/>
  <c r="K883" i="6"/>
  <c r="C883" i="6"/>
  <c r="K882" i="6"/>
  <c r="C882" i="6"/>
  <c r="K881" i="6"/>
  <c r="C881" i="6"/>
  <c r="K880" i="6"/>
  <c r="C880" i="6"/>
  <c r="K879" i="6"/>
  <c r="C879" i="6"/>
  <c r="K878" i="6"/>
  <c r="C878" i="6"/>
  <c r="K877" i="6"/>
  <c r="K876" i="6"/>
  <c r="C876" i="6"/>
  <c r="K875" i="6"/>
  <c r="C875" i="6"/>
  <c r="K874" i="6"/>
  <c r="C874" i="6"/>
  <c r="K873" i="6"/>
  <c r="C873" i="6"/>
  <c r="K872" i="6"/>
  <c r="K871" i="6"/>
  <c r="C871" i="6"/>
  <c r="K870" i="6"/>
  <c r="C870" i="6"/>
  <c r="K869" i="6"/>
  <c r="C869" i="6"/>
  <c r="K868" i="6"/>
  <c r="C868" i="6"/>
  <c r="K867" i="6"/>
  <c r="C867" i="6"/>
  <c r="K866" i="6"/>
  <c r="C866" i="6"/>
  <c r="K865" i="6"/>
  <c r="C865" i="6"/>
  <c r="K864" i="6"/>
  <c r="C864" i="6"/>
  <c r="K863" i="6"/>
  <c r="C863" i="6"/>
  <c r="K862" i="6"/>
  <c r="C862" i="6"/>
  <c r="K861" i="6"/>
  <c r="C861" i="6"/>
  <c r="K860" i="6"/>
  <c r="C860" i="6"/>
  <c r="K859" i="6"/>
  <c r="C859" i="6"/>
  <c r="K858" i="6"/>
  <c r="C858" i="6"/>
  <c r="K857" i="6"/>
  <c r="C857" i="6"/>
  <c r="K856" i="6"/>
  <c r="C856" i="6"/>
  <c r="K855" i="6"/>
  <c r="C855" i="6"/>
  <c r="K854" i="6"/>
  <c r="C854" i="6"/>
  <c r="K853" i="6"/>
  <c r="C853" i="6"/>
  <c r="K852" i="6"/>
  <c r="C852" i="6"/>
  <c r="K851" i="6"/>
  <c r="C851" i="6"/>
  <c r="K850" i="6"/>
  <c r="C850" i="6"/>
  <c r="K849" i="6"/>
  <c r="C849" i="6"/>
  <c r="K848" i="6"/>
  <c r="C848" i="6"/>
  <c r="K847" i="6"/>
  <c r="C847" i="6"/>
  <c r="K846" i="6"/>
  <c r="C846" i="6"/>
  <c r="K845" i="6"/>
  <c r="C845" i="6"/>
  <c r="K844" i="6"/>
  <c r="C844" i="6"/>
  <c r="K843" i="6"/>
  <c r="C843" i="6"/>
  <c r="K842" i="6"/>
  <c r="C842" i="6"/>
  <c r="K841" i="6"/>
  <c r="C841" i="6"/>
  <c r="K840" i="6"/>
  <c r="C840" i="6"/>
  <c r="K839" i="6"/>
  <c r="C839" i="6"/>
  <c r="K838" i="6"/>
  <c r="C838" i="6"/>
  <c r="K837" i="6"/>
  <c r="C837" i="6"/>
  <c r="K836" i="6"/>
  <c r="C836" i="6"/>
  <c r="K835" i="6"/>
  <c r="C835" i="6"/>
  <c r="K834" i="6"/>
  <c r="C834" i="6"/>
  <c r="K833" i="6"/>
  <c r="C833" i="6"/>
  <c r="K832" i="6"/>
  <c r="C832" i="6"/>
  <c r="K831" i="6"/>
  <c r="C831" i="6"/>
  <c r="K830" i="6"/>
  <c r="C830" i="6"/>
  <c r="K829" i="6"/>
  <c r="C829" i="6"/>
  <c r="K828" i="6"/>
  <c r="C828" i="6"/>
  <c r="K827" i="6"/>
  <c r="C827" i="6"/>
  <c r="K826" i="6"/>
  <c r="C826" i="6"/>
  <c r="K825" i="6"/>
  <c r="C825" i="6"/>
  <c r="K824" i="6"/>
  <c r="C824" i="6"/>
  <c r="K823" i="6"/>
  <c r="C823" i="6"/>
  <c r="K822" i="6"/>
  <c r="K821" i="6"/>
  <c r="C821" i="6"/>
  <c r="K820" i="6"/>
  <c r="C820" i="6"/>
  <c r="K819" i="6"/>
  <c r="C819" i="6"/>
  <c r="K818" i="6"/>
  <c r="C818" i="6"/>
  <c r="K817" i="6"/>
  <c r="C817" i="6"/>
  <c r="K816" i="6"/>
  <c r="C816" i="6"/>
  <c r="K815" i="6"/>
  <c r="C815" i="6"/>
  <c r="K814" i="6"/>
  <c r="C814" i="6"/>
  <c r="K813" i="6"/>
  <c r="C813" i="6"/>
  <c r="K812" i="6"/>
  <c r="C812" i="6"/>
  <c r="K811" i="6"/>
  <c r="C811" i="6"/>
  <c r="K810" i="6"/>
  <c r="C810" i="6"/>
  <c r="K809" i="6"/>
  <c r="C809" i="6"/>
  <c r="K808" i="6"/>
  <c r="C808" i="6"/>
  <c r="K807" i="6"/>
  <c r="C807" i="6"/>
  <c r="K806" i="6"/>
  <c r="C806" i="6"/>
  <c r="K805" i="6"/>
  <c r="C805" i="6"/>
  <c r="K804" i="6"/>
  <c r="C804" i="6"/>
  <c r="K803" i="6"/>
  <c r="C803" i="6"/>
  <c r="K802" i="6"/>
  <c r="C802" i="6"/>
  <c r="K801" i="6"/>
  <c r="C801" i="6"/>
  <c r="K800" i="6"/>
  <c r="C800" i="6"/>
  <c r="K799" i="6"/>
  <c r="C799" i="6"/>
  <c r="K798" i="6"/>
  <c r="C798" i="6"/>
  <c r="K797" i="6"/>
  <c r="C797" i="6"/>
  <c r="K796" i="6"/>
  <c r="C796" i="6"/>
  <c r="K795" i="6"/>
  <c r="C795" i="6"/>
  <c r="K794" i="6"/>
  <c r="C794" i="6"/>
  <c r="K793" i="6"/>
  <c r="C793" i="6"/>
  <c r="K792" i="6"/>
  <c r="C792" i="6"/>
  <c r="K791" i="6"/>
  <c r="C791" i="6"/>
  <c r="K790" i="6"/>
  <c r="C790" i="6"/>
  <c r="K789" i="6"/>
  <c r="C789" i="6"/>
  <c r="K788" i="6"/>
  <c r="C788" i="6"/>
  <c r="K787" i="6"/>
  <c r="C787" i="6"/>
  <c r="K786" i="6"/>
  <c r="C786" i="6"/>
  <c r="K785" i="6"/>
  <c r="C785" i="6"/>
  <c r="K784" i="6"/>
  <c r="C784" i="6"/>
  <c r="K783" i="6"/>
  <c r="C783" i="6"/>
  <c r="K782" i="6"/>
  <c r="C782" i="6"/>
  <c r="K781" i="6"/>
  <c r="C781" i="6"/>
  <c r="K780" i="6"/>
  <c r="C780" i="6"/>
  <c r="K779" i="6"/>
  <c r="C779" i="6"/>
  <c r="K778" i="6"/>
  <c r="C778" i="6"/>
  <c r="K777" i="6"/>
  <c r="C777" i="6"/>
  <c r="K776" i="6"/>
  <c r="C776" i="6"/>
  <c r="K775" i="6"/>
  <c r="C775" i="6"/>
  <c r="K774" i="6"/>
  <c r="C774" i="6"/>
  <c r="K773" i="6"/>
  <c r="C773" i="6"/>
  <c r="K772" i="6"/>
  <c r="C772" i="6"/>
  <c r="K771" i="6"/>
  <c r="C771" i="6"/>
  <c r="K770" i="6"/>
  <c r="C770" i="6"/>
  <c r="K769" i="6"/>
  <c r="C769" i="6"/>
  <c r="K768" i="6"/>
  <c r="C768" i="6"/>
  <c r="K767" i="6"/>
  <c r="C767" i="6"/>
  <c r="K766" i="6"/>
  <c r="C766" i="6"/>
  <c r="K765" i="6"/>
  <c r="C765" i="6"/>
  <c r="K764" i="6"/>
  <c r="C764" i="6"/>
  <c r="K763" i="6"/>
  <c r="C763" i="6"/>
  <c r="K762" i="6"/>
  <c r="C762" i="6"/>
  <c r="K761" i="6"/>
  <c r="C761" i="6"/>
  <c r="K760" i="6"/>
  <c r="C760" i="6"/>
  <c r="K759" i="6"/>
  <c r="C759" i="6"/>
  <c r="K758" i="6"/>
  <c r="C758" i="6"/>
  <c r="K757" i="6"/>
  <c r="C757" i="6"/>
  <c r="K756" i="6"/>
  <c r="C756" i="6"/>
  <c r="K755" i="6"/>
  <c r="C755" i="6"/>
  <c r="K754" i="6"/>
  <c r="C754" i="6"/>
  <c r="K753" i="6"/>
  <c r="C753" i="6"/>
  <c r="K752" i="6"/>
  <c r="C752" i="6"/>
  <c r="K751" i="6"/>
  <c r="C751" i="6"/>
  <c r="K750" i="6"/>
  <c r="C750" i="6"/>
  <c r="K749" i="6"/>
  <c r="C749" i="6"/>
  <c r="K748" i="6"/>
  <c r="C748" i="6"/>
  <c r="K747" i="6"/>
  <c r="C747" i="6"/>
  <c r="K746" i="6"/>
  <c r="C746" i="6"/>
  <c r="K745" i="6"/>
  <c r="C745" i="6"/>
  <c r="K744" i="6"/>
  <c r="C744" i="6"/>
  <c r="K743" i="6"/>
  <c r="C743" i="6"/>
  <c r="K742" i="6"/>
  <c r="C742" i="6"/>
  <c r="K741" i="6"/>
  <c r="K740" i="6"/>
  <c r="C740" i="6"/>
  <c r="K739" i="6"/>
  <c r="C739" i="6"/>
  <c r="K738" i="6"/>
  <c r="C738" i="6"/>
  <c r="K737" i="6"/>
  <c r="C737" i="6"/>
  <c r="K736" i="6"/>
  <c r="C736" i="6"/>
  <c r="K735" i="6"/>
  <c r="C735" i="6"/>
  <c r="K734" i="6"/>
  <c r="C734" i="6"/>
  <c r="K733" i="6"/>
  <c r="C733" i="6"/>
  <c r="K732" i="6"/>
  <c r="C732" i="6"/>
  <c r="K731" i="6"/>
  <c r="C731" i="6"/>
  <c r="K730" i="6"/>
  <c r="C730" i="6"/>
  <c r="K729" i="6"/>
  <c r="C729" i="6"/>
  <c r="K728" i="6"/>
  <c r="C728" i="6"/>
  <c r="K727" i="6"/>
  <c r="C727" i="6"/>
  <c r="K726" i="6"/>
  <c r="C726" i="6"/>
  <c r="K725" i="6"/>
  <c r="C725" i="6"/>
  <c r="K724" i="6"/>
  <c r="C724" i="6"/>
  <c r="K723" i="6"/>
  <c r="C723" i="6"/>
  <c r="K722" i="6"/>
  <c r="C722" i="6"/>
  <c r="K721" i="6"/>
  <c r="C721" i="6"/>
  <c r="K720" i="6"/>
  <c r="C720" i="6"/>
  <c r="K719" i="6"/>
  <c r="C719" i="6"/>
  <c r="K718" i="6"/>
  <c r="C718" i="6"/>
  <c r="K717" i="6"/>
  <c r="C717" i="6"/>
  <c r="K716" i="6"/>
  <c r="C716" i="6"/>
  <c r="K715" i="6"/>
  <c r="C715" i="6"/>
  <c r="K714" i="6"/>
  <c r="C714" i="6"/>
  <c r="K713" i="6"/>
  <c r="C713" i="6"/>
  <c r="K712" i="6"/>
  <c r="C712" i="6"/>
  <c r="K711" i="6"/>
  <c r="C711" i="6"/>
  <c r="K710" i="6"/>
  <c r="C710" i="6"/>
  <c r="K709" i="6"/>
  <c r="C709" i="6"/>
  <c r="K708" i="6"/>
  <c r="C708" i="6"/>
  <c r="K707" i="6"/>
  <c r="C707" i="6"/>
  <c r="K706" i="6"/>
  <c r="C706" i="6"/>
  <c r="K705" i="6"/>
  <c r="C705" i="6"/>
  <c r="K704" i="6"/>
  <c r="C704" i="6"/>
  <c r="K703" i="6"/>
  <c r="C703" i="6"/>
  <c r="K702" i="6"/>
  <c r="C702" i="6"/>
  <c r="K701" i="6"/>
  <c r="C701" i="6"/>
  <c r="K700" i="6"/>
  <c r="C700" i="6"/>
  <c r="K699" i="6"/>
  <c r="C699" i="6"/>
  <c r="K698" i="6"/>
  <c r="C698" i="6"/>
  <c r="K697" i="6"/>
  <c r="C697" i="6"/>
  <c r="K696" i="6"/>
  <c r="C696" i="6"/>
  <c r="K695" i="6"/>
  <c r="C695" i="6"/>
  <c r="K694" i="6"/>
  <c r="C694" i="6"/>
  <c r="K693" i="6"/>
  <c r="C693" i="6"/>
  <c r="K692" i="6"/>
  <c r="C692" i="6"/>
  <c r="K691" i="6"/>
  <c r="C691" i="6"/>
  <c r="K690" i="6"/>
  <c r="C690" i="6"/>
  <c r="K689" i="6"/>
  <c r="C689" i="6"/>
  <c r="K688" i="6"/>
  <c r="C688" i="6"/>
  <c r="K687" i="6"/>
  <c r="C687" i="6"/>
  <c r="K686" i="6"/>
  <c r="C686" i="6"/>
  <c r="K685" i="6"/>
  <c r="C685" i="6"/>
  <c r="K684" i="6"/>
  <c r="C684" i="6"/>
  <c r="K683" i="6"/>
  <c r="C683" i="6"/>
  <c r="K682" i="6"/>
  <c r="C682" i="6"/>
  <c r="K681" i="6"/>
  <c r="C681" i="6"/>
  <c r="K680" i="6"/>
  <c r="C680" i="6"/>
  <c r="K679" i="6"/>
  <c r="C679" i="6"/>
  <c r="K678" i="6"/>
  <c r="C678" i="6"/>
  <c r="K677" i="6"/>
  <c r="C677" i="6"/>
  <c r="K676" i="6"/>
  <c r="C676" i="6"/>
  <c r="K675" i="6"/>
  <c r="C675" i="6"/>
  <c r="K674" i="6"/>
  <c r="C674" i="6"/>
  <c r="C673" i="6"/>
  <c r="K672" i="6"/>
  <c r="C672" i="6"/>
  <c r="K671" i="6"/>
  <c r="C671" i="6"/>
  <c r="K670" i="6"/>
  <c r="C670" i="6"/>
  <c r="K669" i="6"/>
  <c r="C669" i="6"/>
  <c r="K668" i="6"/>
  <c r="C668" i="6"/>
  <c r="K667" i="6"/>
  <c r="C667" i="6"/>
  <c r="K666" i="6"/>
  <c r="C666" i="6"/>
  <c r="K665" i="6"/>
  <c r="C665" i="6"/>
  <c r="K664" i="6"/>
  <c r="C664" i="6"/>
  <c r="K663" i="6"/>
  <c r="C663" i="6"/>
  <c r="K662" i="6"/>
  <c r="C662" i="6"/>
  <c r="K661" i="6"/>
  <c r="C661" i="6"/>
  <c r="K660" i="6"/>
  <c r="C660" i="6"/>
  <c r="K659" i="6"/>
  <c r="C659" i="6"/>
  <c r="K658" i="6"/>
  <c r="C658" i="6"/>
  <c r="K657" i="6"/>
  <c r="C657" i="6"/>
  <c r="K656" i="6"/>
  <c r="C656" i="6"/>
  <c r="K655" i="6"/>
  <c r="C655" i="6"/>
  <c r="K654" i="6"/>
  <c r="C654" i="6"/>
  <c r="K653" i="6"/>
  <c r="C653" i="6"/>
  <c r="K652" i="6"/>
  <c r="C652" i="6"/>
  <c r="K651" i="6"/>
  <c r="C651" i="6"/>
  <c r="K650" i="6"/>
  <c r="C650" i="6"/>
  <c r="K649" i="6"/>
  <c r="C649" i="6"/>
  <c r="K648" i="6"/>
  <c r="C648" i="6"/>
  <c r="K647" i="6"/>
  <c r="C647" i="6"/>
  <c r="K646" i="6"/>
  <c r="C646" i="6"/>
  <c r="K645" i="6"/>
  <c r="C645" i="6"/>
  <c r="K644" i="6"/>
  <c r="C644" i="6"/>
  <c r="K643" i="6"/>
  <c r="C643" i="6"/>
  <c r="K642" i="6"/>
  <c r="C642" i="6"/>
  <c r="K641" i="6"/>
  <c r="C641" i="6"/>
  <c r="K640" i="6"/>
  <c r="C640" i="6"/>
  <c r="K639" i="6"/>
  <c r="C639" i="6"/>
  <c r="K638" i="6"/>
  <c r="C638" i="6"/>
  <c r="K637" i="6"/>
  <c r="K636" i="6"/>
  <c r="C636" i="6"/>
  <c r="K635" i="6"/>
  <c r="C635" i="6"/>
  <c r="K634" i="6"/>
  <c r="C634" i="6"/>
  <c r="K633" i="6"/>
  <c r="C633" i="6"/>
  <c r="K632" i="6"/>
  <c r="C632" i="6"/>
  <c r="K631" i="6"/>
  <c r="C631" i="6"/>
  <c r="K630" i="6"/>
  <c r="C630" i="6"/>
  <c r="K629" i="6"/>
  <c r="C629" i="6"/>
  <c r="K628" i="6"/>
  <c r="C628" i="6"/>
  <c r="K627" i="6"/>
  <c r="C627" i="6"/>
  <c r="K626" i="6"/>
  <c r="C626" i="6"/>
  <c r="K625" i="6"/>
  <c r="C625" i="6"/>
  <c r="K624" i="6"/>
  <c r="C624" i="6"/>
  <c r="K623" i="6"/>
  <c r="C623" i="6"/>
  <c r="K622" i="6"/>
  <c r="C622" i="6"/>
  <c r="K621" i="6"/>
  <c r="C621" i="6"/>
  <c r="K620" i="6"/>
  <c r="C620" i="6"/>
  <c r="K619" i="6"/>
  <c r="C619" i="6"/>
  <c r="K618" i="6"/>
  <c r="C618" i="6"/>
  <c r="K617" i="6"/>
  <c r="C617" i="6"/>
  <c r="K616" i="6"/>
  <c r="C616" i="6"/>
  <c r="K615" i="6"/>
  <c r="C615" i="6"/>
  <c r="K614" i="6"/>
  <c r="C614" i="6"/>
  <c r="K613" i="6"/>
  <c r="C613" i="6"/>
  <c r="K612" i="6"/>
  <c r="C612" i="6"/>
  <c r="K611" i="6"/>
  <c r="C611" i="6"/>
  <c r="K610" i="6"/>
  <c r="C610" i="6"/>
  <c r="K609" i="6"/>
  <c r="K608" i="6"/>
  <c r="C608" i="6"/>
  <c r="K607" i="6"/>
  <c r="C607" i="6"/>
  <c r="K606" i="6"/>
  <c r="C606" i="6"/>
  <c r="K605" i="6"/>
  <c r="C605" i="6"/>
  <c r="K604" i="6"/>
  <c r="C604" i="6"/>
  <c r="K603" i="6"/>
  <c r="C603" i="6"/>
  <c r="K602" i="6"/>
  <c r="C602" i="6"/>
  <c r="K601" i="6"/>
  <c r="C601" i="6"/>
  <c r="K600" i="6"/>
  <c r="C600" i="6"/>
  <c r="K599" i="6"/>
  <c r="C599" i="6"/>
  <c r="K598" i="6"/>
  <c r="C598" i="6"/>
  <c r="K597" i="6"/>
  <c r="C597" i="6"/>
  <c r="K596" i="6"/>
  <c r="C596" i="6"/>
  <c r="K595" i="6"/>
  <c r="C595" i="6"/>
  <c r="K594" i="6"/>
  <c r="C594" i="6"/>
  <c r="K593" i="6"/>
  <c r="C593" i="6"/>
  <c r="K592" i="6"/>
  <c r="C592" i="6"/>
  <c r="K591" i="6"/>
  <c r="C591" i="6"/>
  <c r="K590" i="6"/>
  <c r="C590" i="6"/>
  <c r="K589" i="6"/>
  <c r="C589" i="6"/>
  <c r="K588" i="6"/>
  <c r="C588" i="6"/>
  <c r="K587" i="6"/>
  <c r="C587" i="6"/>
  <c r="K586" i="6"/>
  <c r="C586" i="6"/>
  <c r="K585" i="6"/>
  <c r="C585" i="6"/>
  <c r="K584" i="6"/>
  <c r="C584" i="6"/>
  <c r="K583" i="6"/>
  <c r="C583" i="6"/>
  <c r="K582" i="6"/>
  <c r="K581" i="6"/>
  <c r="K580" i="6"/>
  <c r="C580" i="6"/>
  <c r="K579" i="6"/>
  <c r="C579" i="6"/>
  <c r="K578" i="6"/>
  <c r="C578" i="6"/>
  <c r="K577" i="6"/>
  <c r="C577" i="6"/>
  <c r="K576" i="6"/>
  <c r="C576" i="6"/>
  <c r="K575" i="6"/>
  <c r="K574" i="6"/>
  <c r="C574" i="6"/>
  <c r="K573" i="6"/>
  <c r="C573" i="6"/>
  <c r="K572" i="6"/>
  <c r="C572" i="6"/>
  <c r="K571" i="6"/>
  <c r="C571" i="6"/>
  <c r="K570" i="6"/>
  <c r="C570" i="6"/>
  <c r="K569" i="6"/>
  <c r="C569" i="6"/>
  <c r="K568" i="6"/>
  <c r="C568" i="6"/>
  <c r="K567" i="6"/>
  <c r="C567" i="6"/>
  <c r="K566" i="6"/>
  <c r="C566" i="6"/>
  <c r="K565" i="6"/>
  <c r="C565" i="6"/>
  <c r="K564" i="6"/>
  <c r="C564" i="6"/>
  <c r="K563" i="6"/>
  <c r="C563" i="6"/>
  <c r="K562" i="6"/>
  <c r="C562" i="6"/>
  <c r="K561" i="6"/>
  <c r="C561" i="6"/>
  <c r="K560" i="6"/>
  <c r="C560" i="6"/>
  <c r="K559" i="6"/>
  <c r="C559" i="6"/>
  <c r="K558" i="6"/>
  <c r="C558" i="6"/>
  <c r="K557" i="6"/>
  <c r="C557" i="6"/>
  <c r="K556" i="6"/>
  <c r="C556" i="6"/>
  <c r="K555" i="6"/>
  <c r="C555" i="6"/>
  <c r="K554" i="6"/>
  <c r="C554" i="6"/>
  <c r="K553" i="6"/>
  <c r="K552" i="6"/>
  <c r="C552" i="6"/>
  <c r="K551" i="6"/>
  <c r="C551" i="6"/>
  <c r="K550" i="6"/>
  <c r="C550" i="6"/>
  <c r="K549" i="6"/>
  <c r="C549" i="6"/>
  <c r="K548" i="6"/>
  <c r="C548" i="6"/>
  <c r="K547" i="6"/>
  <c r="C547" i="6"/>
  <c r="K546" i="6"/>
  <c r="C546" i="6"/>
  <c r="K545" i="6"/>
  <c r="C545" i="6"/>
  <c r="K544" i="6"/>
  <c r="C544" i="6"/>
  <c r="K543" i="6"/>
  <c r="C543" i="6"/>
  <c r="K542" i="6"/>
  <c r="C542" i="6"/>
  <c r="K541" i="6"/>
  <c r="C541" i="6"/>
  <c r="K540" i="6"/>
  <c r="C540" i="6"/>
  <c r="K539" i="6"/>
  <c r="C539" i="6"/>
  <c r="K538" i="6"/>
  <c r="C538" i="6"/>
  <c r="K537" i="6"/>
  <c r="C537" i="6"/>
  <c r="K536" i="6"/>
  <c r="C536" i="6"/>
  <c r="K535" i="6"/>
  <c r="C535" i="6"/>
  <c r="K534" i="6"/>
  <c r="K533" i="6"/>
  <c r="K532" i="6"/>
  <c r="C532" i="6"/>
  <c r="K531" i="6"/>
  <c r="K530" i="6"/>
  <c r="C530" i="6"/>
  <c r="K529" i="6"/>
  <c r="K528" i="6"/>
  <c r="C528" i="6"/>
  <c r="K527" i="6"/>
  <c r="C527" i="6"/>
  <c r="K526" i="6"/>
  <c r="C526" i="6"/>
  <c r="K525" i="6"/>
  <c r="C525" i="6"/>
  <c r="K524" i="6"/>
  <c r="C524" i="6"/>
  <c r="K523" i="6"/>
  <c r="C523" i="6"/>
  <c r="K522" i="6"/>
  <c r="C522" i="6"/>
  <c r="K521" i="6"/>
  <c r="K520" i="6"/>
  <c r="C520" i="6"/>
  <c r="K519" i="6"/>
  <c r="K518" i="6"/>
  <c r="K517" i="6"/>
  <c r="C517" i="6"/>
  <c r="K516" i="6"/>
  <c r="K515" i="6"/>
  <c r="C515" i="6"/>
  <c r="K514" i="6"/>
  <c r="C514" i="6"/>
  <c r="K513" i="6"/>
  <c r="C513" i="6"/>
  <c r="K512" i="6"/>
  <c r="C512" i="6"/>
  <c r="K511" i="6"/>
  <c r="C511" i="6"/>
  <c r="K510" i="6"/>
  <c r="C510" i="6"/>
  <c r="K509" i="6"/>
  <c r="C509" i="6"/>
  <c r="K508" i="6"/>
  <c r="C508" i="6"/>
  <c r="K507" i="6"/>
  <c r="C507" i="6"/>
  <c r="K506" i="6"/>
  <c r="C506" i="6"/>
  <c r="K505" i="6"/>
  <c r="C505" i="6"/>
  <c r="K504" i="6"/>
  <c r="C504" i="6"/>
  <c r="K503" i="6"/>
  <c r="K502" i="6"/>
  <c r="K501" i="6"/>
  <c r="C501" i="6"/>
  <c r="K500" i="6"/>
  <c r="C500" i="6"/>
  <c r="K499" i="6"/>
  <c r="C499" i="6"/>
  <c r="K498" i="6"/>
  <c r="K497" i="6"/>
  <c r="C497" i="6"/>
  <c r="K496" i="6"/>
  <c r="K495" i="6"/>
  <c r="K494" i="6"/>
  <c r="C494" i="6"/>
  <c r="K493" i="6"/>
  <c r="C493" i="6"/>
  <c r="K492" i="6"/>
  <c r="C492" i="6"/>
  <c r="K491" i="6"/>
  <c r="K490" i="6"/>
  <c r="K489" i="6"/>
  <c r="C489" i="6"/>
  <c r="K488" i="6"/>
  <c r="C488" i="6"/>
  <c r="K487" i="6"/>
  <c r="C487" i="6"/>
  <c r="K486" i="6"/>
  <c r="C486" i="6"/>
  <c r="K485" i="6"/>
  <c r="C485" i="6"/>
  <c r="K484" i="6"/>
  <c r="C484" i="6"/>
  <c r="K483" i="6"/>
  <c r="C483" i="6"/>
  <c r="K482" i="6"/>
  <c r="C482" i="6"/>
  <c r="K481" i="6"/>
  <c r="C481" i="6"/>
  <c r="K480" i="6"/>
  <c r="C480" i="6"/>
  <c r="K479" i="6"/>
  <c r="C479" i="6"/>
  <c r="K478" i="6"/>
  <c r="C478" i="6"/>
  <c r="K477" i="6"/>
  <c r="C477" i="6"/>
  <c r="K476" i="6"/>
  <c r="C476" i="6"/>
  <c r="K475" i="6"/>
  <c r="C475" i="6"/>
  <c r="K474" i="6"/>
  <c r="C474" i="6"/>
  <c r="K473" i="6"/>
  <c r="C473" i="6"/>
  <c r="K472" i="6"/>
  <c r="C472" i="6"/>
  <c r="K471" i="6"/>
  <c r="C471" i="6"/>
  <c r="K470" i="6"/>
  <c r="C470" i="6"/>
  <c r="K469" i="6"/>
  <c r="C469" i="6"/>
  <c r="K468" i="6"/>
  <c r="C468" i="6"/>
  <c r="K467" i="6"/>
  <c r="C467" i="6"/>
  <c r="K466" i="6"/>
  <c r="C466" i="6"/>
  <c r="K465" i="6"/>
  <c r="C465" i="6"/>
  <c r="K464" i="6"/>
  <c r="C464" i="6"/>
  <c r="K463" i="6"/>
  <c r="C463" i="6"/>
  <c r="K462" i="6"/>
  <c r="C462" i="6"/>
  <c r="K461" i="6"/>
  <c r="C461" i="6"/>
  <c r="K460" i="6"/>
  <c r="C460" i="6"/>
  <c r="K459" i="6"/>
  <c r="C459" i="6"/>
  <c r="K458" i="6"/>
  <c r="C458" i="6"/>
  <c r="K457" i="6"/>
  <c r="C457" i="6"/>
  <c r="K456" i="6"/>
  <c r="C456" i="6"/>
  <c r="K455" i="6"/>
  <c r="C455" i="6"/>
  <c r="K454" i="6"/>
  <c r="C454" i="6"/>
  <c r="K453" i="6"/>
  <c r="C453" i="6"/>
  <c r="K452" i="6"/>
  <c r="C452" i="6"/>
  <c r="K451" i="6"/>
  <c r="C451" i="6"/>
  <c r="K450" i="6"/>
  <c r="C450" i="6"/>
  <c r="K449" i="6"/>
  <c r="C449" i="6"/>
  <c r="K448" i="6"/>
  <c r="C448" i="6"/>
  <c r="K447" i="6"/>
  <c r="C447" i="6"/>
  <c r="K446" i="6"/>
  <c r="C446" i="6"/>
  <c r="K445" i="6"/>
  <c r="C445" i="6"/>
  <c r="K444" i="6"/>
  <c r="C444" i="6"/>
  <c r="K443" i="6"/>
  <c r="C443" i="6"/>
  <c r="K442" i="6"/>
  <c r="C442" i="6"/>
  <c r="K441" i="6"/>
  <c r="C441" i="6"/>
  <c r="K440" i="6"/>
  <c r="C440" i="6"/>
  <c r="K439" i="6"/>
  <c r="C439" i="6"/>
  <c r="K438" i="6"/>
  <c r="C438" i="6"/>
  <c r="K437" i="6"/>
  <c r="C437" i="6"/>
  <c r="K436" i="6"/>
  <c r="C436" i="6"/>
  <c r="K435" i="6"/>
  <c r="C435" i="6"/>
  <c r="K434" i="6"/>
  <c r="C434" i="6"/>
  <c r="K433" i="6"/>
  <c r="C433" i="6"/>
  <c r="K432" i="6"/>
  <c r="C432" i="6"/>
  <c r="K431" i="6"/>
  <c r="C431" i="6"/>
  <c r="K430" i="6"/>
  <c r="C430" i="6"/>
  <c r="K429" i="6"/>
  <c r="C429" i="6"/>
  <c r="K428" i="6"/>
  <c r="C428" i="6"/>
  <c r="K427" i="6"/>
  <c r="C427" i="6"/>
  <c r="K426" i="6"/>
  <c r="C426" i="6"/>
  <c r="K425" i="6"/>
  <c r="C425" i="6"/>
  <c r="K424" i="6"/>
  <c r="C424" i="6"/>
  <c r="K423" i="6"/>
  <c r="C423" i="6"/>
  <c r="K422" i="6"/>
  <c r="C422" i="6"/>
  <c r="K421" i="6"/>
  <c r="C421" i="6"/>
  <c r="K420" i="6"/>
  <c r="C420" i="6"/>
  <c r="K419" i="6"/>
  <c r="C419" i="6"/>
  <c r="K418" i="6"/>
  <c r="C418" i="6"/>
  <c r="K417" i="6"/>
  <c r="C417" i="6"/>
  <c r="K416" i="6"/>
  <c r="C416" i="6"/>
  <c r="K415" i="6"/>
  <c r="C415" i="6"/>
  <c r="K414" i="6"/>
  <c r="C414" i="6"/>
  <c r="K413" i="6"/>
  <c r="C413" i="6"/>
  <c r="K412" i="6"/>
  <c r="C412" i="6"/>
  <c r="K411" i="6"/>
  <c r="C411" i="6"/>
  <c r="K410" i="6"/>
  <c r="C410" i="6"/>
  <c r="K409" i="6"/>
  <c r="C409" i="6"/>
  <c r="K408" i="6"/>
  <c r="C408" i="6"/>
  <c r="K407" i="6"/>
  <c r="C407" i="6"/>
  <c r="K406" i="6"/>
  <c r="C406" i="6"/>
  <c r="K405" i="6"/>
  <c r="C405" i="6"/>
  <c r="K404" i="6"/>
  <c r="C404" i="6"/>
  <c r="K403" i="6"/>
  <c r="C403" i="6"/>
  <c r="K402" i="6"/>
  <c r="C402" i="6"/>
  <c r="K401" i="6"/>
  <c r="C401" i="6"/>
  <c r="K400" i="6"/>
  <c r="C400" i="6"/>
  <c r="K399" i="6"/>
  <c r="C399" i="6"/>
  <c r="K398" i="6"/>
  <c r="C398" i="6"/>
  <c r="K397" i="6"/>
  <c r="C397" i="6"/>
  <c r="K396" i="6"/>
  <c r="C396" i="6"/>
  <c r="K395" i="6"/>
  <c r="C395" i="6"/>
  <c r="K394" i="6"/>
  <c r="K393" i="6"/>
  <c r="C393" i="6"/>
  <c r="K392" i="6"/>
  <c r="C392" i="6"/>
  <c r="K391" i="6"/>
  <c r="C391" i="6"/>
  <c r="K390" i="6"/>
  <c r="C390" i="6"/>
  <c r="K389" i="6"/>
  <c r="C389" i="6"/>
  <c r="K388" i="6"/>
  <c r="C388" i="6"/>
  <c r="K387" i="6"/>
  <c r="C387" i="6"/>
  <c r="K386" i="6"/>
  <c r="C386" i="6"/>
  <c r="K385" i="6"/>
  <c r="C385" i="6"/>
  <c r="K384" i="6"/>
  <c r="C384" i="6"/>
  <c r="K383" i="6"/>
  <c r="C383" i="6"/>
  <c r="K382" i="6"/>
  <c r="C382" i="6"/>
  <c r="K381" i="6"/>
  <c r="C381" i="6"/>
  <c r="K380" i="6"/>
  <c r="C380" i="6"/>
  <c r="K379" i="6"/>
  <c r="C379" i="6"/>
  <c r="K378" i="6"/>
  <c r="C378" i="6"/>
  <c r="K377" i="6"/>
  <c r="C377" i="6"/>
  <c r="K376" i="6"/>
  <c r="C376" i="6"/>
  <c r="K375" i="6"/>
  <c r="C375" i="6"/>
  <c r="K374" i="6"/>
  <c r="C374" i="6"/>
  <c r="K373" i="6"/>
  <c r="C373" i="6"/>
  <c r="K372" i="6"/>
  <c r="C372" i="6"/>
  <c r="K371" i="6"/>
  <c r="C371" i="6"/>
  <c r="K370" i="6"/>
  <c r="C370" i="6"/>
  <c r="K369" i="6"/>
  <c r="C369" i="6"/>
  <c r="K368" i="6"/>
  <c r="C368" i="6"/>
  <c r="K367" i="6"/>
  <c r="C367" i="6"/>
  <c r="K366" i="6"/>
  <c r="C366" i="6"/>
  <c r="K365" i="6"/>
  <c r="C365" i="6"/>
  <c r="K364" i="6"/>
  <c r="C364" i="6"/>
  <c r="K363" i="6"/>
  <c r="C363" i="6"/>
  <c r="K362" i="6"/>
  <c r="C362" i="6"/>
  <c r="K361" i="6"/>
  <c r="C361" i="6"/>
  <c r="K360" i="6"/>
  <c r="C360" i="6"/>
  <c r="K359" i="6"/>
  <c r="C359" i="6"/>
  <c r="K358" i="6"/>
  <c r="C358" i="6"/>
  <c r="K357" i="6"/>
  <c r="C357" i="6"/>
  <c r="K356" i="6"/>
  <c r="C356" i="6"/>
  <c r="K355" i="6"/>
  <c r="C355" i="6"/>
  <c r="K354" i="6"/>
  <c r="C354" i="6"/>
  <c r="K353" i="6"/>
  <c r="C353" i="6"/>
  <c r="K352" i="6"/>
  <c r="C352" i="6"/>
  <c r="K351" i="6"/>
  <c r="C351" i="6"/>
  <c r="K350" i="6"/>
  <c r="C350" i="6"/>
  <c r="K349" i="6"/>
  <c r="C349" i="6"/>
  <c r="K348" i="6"/>
  <c r="C348" i="6"/>
  <c r="K347" i="6"/>
  <c r="C347" i="6"/>
  <c r="K346" i="6"/>
  <c r="C346" i="6"/>
  <c r="K345" i="6"/>
  <c r="C345" i="6"/>
  <c r="K344" i="6"/>
  <c r="C344" i="6"/>
  <c r="K343" i="6"/>
  <c r="C343" i="6"/>
  <c r="K342" i="6"/>
  <c r="C342" i="6"/>
  <c r="K341" i="6"/>
  <c r="C341" i="6"/>
  <c r="K340" i="6"/>
  <c r="C340" i="6"/>
  <c r="K339" i="6"/>
  <c r="C339" i="6"/>
  <c r="K338" i="6"/>
  <c r="C338" i="6"/>
  <c r="K337" i="6"/>
  <c r="C337" i="6"/>
  <c r="K336" i="6"/>
  <c r="C336" i="6"/>
  <c r="K335" i="6"/>
  <c r="C335" i="6"/>
  <c r="K334" i="6"/>
  <c r="C334" i="6"/>
  <c r="K333" i="6"/>
  <c r="C333" i="6"/>
  <c r="K332" i="6"/>
  <c r="C332" i="6"/>
  <c r="K331" i="6"/>
  <c r="C331" i="6"/>
  <c r="K330" i="6"/>
  <c r="C330" i="6"/>
  <c r="K329" i="6"/>
  <c r="C329" i="6"/>
  <c r="K328" i="6"/>
  <c r="C328" i="6"/>
  <c r="K327" i="6"/>
  <c r="C327" i="6"/>
  <c r="K326" i="6"/>
  <c r="C326" i="6"/>
  <c r="K325" i="6"/>
  <c r="C325" i="6"/>
  <c r="K324" i="6"/>
  <c r="C324" i="6"/>
  <c r="K323" i="6"/>
  <c r="C323" i="6"/>
  <c r="K322" i="6"/>
  <c r="C322" i="6"/>
  <c r="K321" i="6"/>
  <c r="C321" i="6"/>
  <c r="K320" i="6"/>
  <c r="C320" i="6"/>
  <c r="K319" i="6"/>
  <c r="C319" i="6"/>
  <c r="K318" i="6"/>
  <c r="C318" i="6"/>
  <c r="K317" i="6"/>
  <c r="C317" i="6"/>
  <c r="K316" i="6"/>
  <c r="C316" i="6"/>
  <c r="K315" i="6"/>
  <c r="C315" i="6"/>
  <c r="K314" i="6"/>
  <c r="C314" i="6"/>
  <c r="K313" i="6"/>
  <c r="C313" i="6"/>
  <c r="K312" i="6"/>
  <c r="C312" i="6"/>
  <c r="K311" i="6"/>
  <c r="C311" i="6"/>
  <c r="K310" i="6"/>
  <c r="C310" i="6"/>
  <c r="K309" i="6"/>
  <c r="C309" i="6"/>
  <c r="K308" i="6"/>
  <c r="C308" i="6"/>
  <c r="K307" i="6"/>
  <c r="C307" i="6"/>
  <c r="K306" i="6"/>
  <c r="C306" i="6"/>
  <c r="K305" i="6"/>
  <c r="C305" i="6"/>
  <c r="K304" i="6"/>
  <c r="C304" i="6"/>
  <c r="K303" i="6"/>
  <c r="C303" i="6"/>
  <c r="K302" i="6"/>
  <c r="C302" i="6"/>
  <c r="K301" i="6"/>
  <c r="C301" i="6"/>
  <c r="K300" i="6"/>
  <c r="C300" i="6"/>
  <c r="K299" i="6"/>
  <c r="C299" i="6"/>
  <c r="K298" i="6"/>
  <c r="C298" i="6"/>
  <c r="K297" i="6"/>
  <c r="C297" i="6"/>
  <c r="K296" i="6"/>
  <c r="C296" i="6"/>
  <c r="K295" i="6"/>
  <c r="C295" i="6"/>
  <c r="K294" i="6"/>
  <c r="C294" i="6"/>
  <c r="K293" i="6"/>
  <c r="C293" i="6"/>
  <c r="K292" i="6"/>
  <c r="C292" i="6"/>
  <c r="K291" i="6"/>
  <c r="C291" i="6"/>
  <c r="K290" i="6"/>
  <c r="C290" i="6"/>
  <c r="K289" i="6"/>
  <c r="C289" i="6"/>
  <c r="K288" i="6"/>
  <c r="C288" i="6"/>
  <c r="K287" i="6"/>
  <c r="C287" i="6"/>
  <c r="K286" i="6"/>
  <c r="C286" i="6"/>
  <c r="K285" i="6"/>
  <c r="C285" i="6"/>
  <c r="K284" i="6"/>
  <c r="C284" i="6"/>
  <c r="K283" i="6"/>
  <c r="C283" i="6"/>
  <c r="K282" i="6"/>
  <c r="C282" i="6"/>
  <c r="K281" i="6"/>
  <c r="C281" i="6"/>
  <c r="K280" i="6"/>
  <c r="C280" i="6"/>
  <c r="K279" i="6"/>
  <c r="C279" i="6"/>
  <c r="K278" i="6"/>
  <c r="C278" i="6"/>
  <c r="K277" i="6"/>
  <c r="C277" i="6"/>
  <c r="K276" i="6"/>
  <c r="C276" i="6"/>
  <c r="K275" i="6"/>
  <c r="C275" i="6"/>
  <c r="K274" i="6"/>
  <c r="C274" i="6"/>
  <c r="K273" i="6"/>
  <c r="C273" i="6"/>
  <c r="K272" i="6"/>
  <c r="C272" i="6"/>
  <c r="K271" i="6"/>
  <c r="K270" i="6"/>
  <c r="K269" i="6"/>
  <c r="C269" i="6"/>
  <c r="K268" i="6"/>
  <c r="C268" i="6"/>
  <c r="K267" i="6"/>
  <c r="C267" i="6"/>
  <c r="K266" i="6"/>
  <c r="C266" i="6"/>
  <c r="K265" i="6"/>
  <c r="C265" i="6"/>
  <c r="K264" i="6"/>
  <c r="C264" i="6"/>
  <c r="K263" i="6"/>
  <c r="C263" i="6"/>
  <c r="K262" i="6"/>
  <c r="C262" i="6"/>
  <c r="K261" i="6"/>
  <c r="C261" i="6"/>
  <c r="K260" i="6"/>
  <c r="C260" i="6"/>
  <c r="K259" i="6"/>
  <c r="C259" i="6"/>
  <c r="K258" i="6"/>
  <c r="C258" i="6"/>
  <c r="K257" i="6"/>
  <c r="C257" i="6"/>
  <c r="K256" i="6"/>
  <c r="C256" i="6"/>
  <c r="K255" i="6"/>
  <c r="C255" i="6"/>
  <c r="K254" i="6"/>
  <c r="C254" i="6"/>
  <c r="K253" i="6"/>
  <c r="C253" i="6"/>
  <c r="K252" i="6"/>
  <c r="C252" i="6"/>
  <c r="K251" i="6"/>
  <c r="C251" i="6"/>
  <c r="K250" i="6"/>
  <c r="C250" i="6"/>
  <c r="K249" i="6"/>
  <c r="C249" i="6"/>
  <c r="K248" i="6"/>
  <c r="C248" i="6"/>
  <c r="K247" i="6"/>
  <c r="C247" i="6"/>
  <c r="K246" i="6"/>
  <c r="C246" i="6"/>
  <c r="K245" i="6"/>
  <c r="C245" i="6"/>
  <c r="K244" i="6"/>
  <c r="C244" i="6"/>
  <c r="K243" i="6"/>
  <c r="C243" i="6"/>
  <c r="K242" i="6"/>
  <c r="C242" i="6"/>
  <c r="K241" i="6"/>
  <c r="C241" i="6"/>
  <c r="K240" i="6"/>
  <c r="C240" i="6"/>
  <c r="K239" i="6"/>
  <c r="C239" i="6"/>
  <c r="K238" i="6"/>
  <c r="C238" i="6"/>
  <c r="K237" i="6"/>
  <c r="C237" i="6"/>
  <c r="K236" i="6"/>
  <c r="C236" i="6"/>
  <c r="K235" i="6"/>
  <c r="C235" i="6"/>
  <c r="K234" i="6"/>
  <c r="C234" i="6"/>
  <c r="K233" i="6"/>
  <c r="C233" i="6"/>
  <c r="K232" i="6"/>
  <c r="C232" i="6"/>
  <c r="K231" i="6"/>
  <c r="C231" i="6"/>
  <c r="K230" i="6"/>
  <c r="C230" i="6"/>
  <c r="K229" i="6"/>
  <c r="C229" i="6"/>
  <c r="K228" i="6"/>
  <c r="C228" i="6"/>
  <c r="K227" i="6"/>
  <c r="C227" i="6"/>
  <c r="K226" i="6"/>
  <c r="C226" i="6"/>
  <c r="K225" i="6"/>
  <c r="C225" i="6"/>
  <c r="K224" i="6"/>
  <c r="C224" i="6"/>
  <c r="K223" i="6"/>
  <c r="C223" i="6"/>
  <c r="K222" i="6"/>
  <c r="C222" i="6"/>
  <c r="K221" i="6"/>
  <c r="C221" i="6"/>
  <c r="K220" i="6"/>
  <c r="C220" i="6"/>
  <c r="K219" i="6"/>
  <c r="C219" i="6"/>
  <c r="K218" i="6"/>
  <c r="C218" i="6"/>
  <c r="K217" i="6"/>
  <c r="C217" i="6"/>
  <c r="K216" i="6"/>
  <c r="C216" i="6"/>
  <c r="K215" i="6"/>
  <c r="C215" i="6"/>
  <c r="K214" i="6"/>
  <c r="C214" i="6"/>
  <c r="K213" i="6"/>
  <c r="C213" i="6"/>
  <c r="K212" i="6"/>
  <c r="C212" i="6"/>
  <c r="K211" i="6"/>
  <c r="C211" i="6"/>
  <c r="K210" i="6"/>
  <c r="C210" i="6"/>
  <c r="K209" i="6"/>
  <c r="C209" i="6"/>
  <c r="K208" i="6"/>
  <c r="C208" i="6"/>
  <c r="K207" i="6"/>
  <c r="C207" i="6"/>
  <c r="K206" i="6"/>
  <c r="C206" i="6"/>
  <c r="K205" i="6"/>
  <c r="C205" i="6"/>
  <c r="K204" i="6"/>
  <c r="C204" i="6"/>
  <c r="K203" i="6"/>
  <c r="C203" i="6"/>
  <c r="K202" i="6"/>
  <c r="C202" i="6"/>
  <c r="K201" i="6"/>
  <c r="C201" i="6"/>
  <c r="K200" i="6"/>
  <c r="C200" i="6"/>
  <c r="K199" i="6"/>
  <c r="C199" i="6"/>
  <c r="K198" i="6"/>
  <c r="C198" i="6"/>
  <c r="K197" i="6"/>
  <c r="C197" i="6"/>
  <c r="K196" i="6"/>
  <c r="C196" i="6"/>
  <c r="K195" i="6"/>
  <c r="C195" i="6"/>
  <c r="K194" i="6"/>
  <c r="C194" i="6"/>
  <c r="K193" i="6"/>
  <c r="C193" i="6"/>
  <c r="K192" i="6"/>
  <c r="C192" i="6"/>
  <c r="K191" i="6"/>
  <c r="C191" i="6"/>
  <c r="K190" i="6"/>
  <c r="C190" i="6"/>
  <c r="K189" i="6"/>
  <c r="C189" i="6"/>
  <c r="K188" i="6"/>
  <c r="C188" i="6"/>
  <c r="K187" i="6"/>
  <c r="C187" i="6"/>
  <c r="K186" i="6"/>
  <c r="C186" i="6"/>
  <c r="K185" i="6"/>
  <c r="C185" i="6"/>
  <c r="K184" i="6"/>
  <c r="C184" i="6"/>
  <c r="K183" i="6"/>
  <c r="C183" i="6"/>
  <c r="K182" i="6"/>
  <c r="C182" i="6"/>
  <c r="K181" i="6"/>
  <c r="C181" i="6"/>
  <c r="K180" i="6"/>
  <c r="C180" i="6"/>
  <c r="K179" i="6"/>
  <c r="C179" i="6"/>
  <c r="K178" i="6"/>
  <c r="C178" i="6"/>
  <c r="K177" i="6"/>
  <c r="C177" i="6"/>
  <c r="K176" i="6"/>
  <c r="C176" i="6"/>
  <c r="K175" i="6"/>
  <c r="C175" i="6"/>
  <c r="K174" i="6"/>
  <c r="C174" i="6"/>
  <c r="K173" i="6"/>
  <c r="C173" i="6"/>
  <c r="K172" i="6"/>
  <c r="C172" i="6"/>
  <c r="K171" i="6"/>
  <c r="C171" i="6"/>
  <c r="K170" i="6"/>
  <c r="C170" i="6"/>
  <c r="K169" i="6"/>
  <c r="C169" i="6"/>
  <c r="K168" i="6"/>
  <c r="C168" i="6"/>
  <c r="K167" i="6"/>
  <c r="C167" i="6"/>
  <c r="K166" i="6"/>
  <c r="C166" i="6"/>
  <c r="K165" i="6"/>
  <c r="C165" i="6"/>
  <c r="K164" i="6"/>
  <c r="C164" i="6"/>
  <c r="K163" i="6"/>
  <c r="C163" i="6"/>
  <c r="K162" i="6"/>
  <c r="C162" i="6"/>
  <c r="K161" i="6"/>
  <c r="C161" i="6"/>
  <c r="K160" i="6"/>
  <c r="C160" i="6"/>
  <c r="K159" i="6"/>
  <c r="C159" i="6"/>
  <c r="K158" i="6"/>
  <c r="C158" i="6"/>
  <c r="K157" i="6"/>
  <c r="C157" i="6"/>
  <c r="K156" i="6"/>
  <c r="C156" i="6"/>
  <c r="K155" i="6"/>
  <c r="C155" i="6"/>
  <c r="K154" i="6"/>
  <c r="C154" i="6"/>
  <c r="K153" i="6"/>
  <c r="C153" i="6"/>
  <c r="K152" i="6"/>
  <c r="C152" i="6"/>
  <c r="K151" i="6"/>
  <c r="C151" i="6"/>
  <c r="K150" i="6"/>
  <c r="C150" i="6"/>
  <c r="K149" i="6"/>
  <c r="C149" i="6"/>
  <c r="K148" i="6"/>
  <c r="C148" i="6"/>
  <c r="K147" i="6"/>
  <c r="C147" i="6"/>
  <c r="K146" i="6"/>
  <c r="C146" i="6"/>
  <c r="K145" i="6"/>
  <c r="C145" i="6"/>
  <c r="K144" i="6"/>
  <c r="C144" i="6"/>
  <c r="K143" i="6"/>
  <c r="C143" i="6"/>
  <c r="K142" i="6"/>
  <c r="C142" i="6"/>
  <c r="K141" i="6"/>
  <c r="C141" i="6"/>
  <c r="K140" i="6"/>
  <c r="C140" i="6"/>
  <c r="K139" i="6"/>
  <c r="C139" i="6"/>
  <c r="K138" i="6"/>
  <c r="C138" i="6"/>
  <c r="K137" i="6"/>
  <c r="C137" i="6"/>
  <c r="K136" i="6"/>
  <c r="C136" i="6"/>
  <c r="K135" i="6"/>
  <c r="C135" i="6"/>
  <c r="K134" i="6"/>
  <c r="C134" i="6"/>
  <c r="K133" i="6"/>
  <c r="C133" i="6"/>
  <c r="K132" i="6"/>
  <c r="C132" i="6"/>
  <c r="K131" i="6"/>
  <c r="C131" i="6"/>
  <c r="K130" i="6"/>
  <c r="C130" i="6"/>
  <c r="K129" i="6"/>
  <c r="C129" i="6"/>
  <c r="K128" i="6"/>
  <c r="C128" i="6"/>
  <c r="K127" i="6"/>
  <c r="C127" i="6"/>
  <c r="K126" i="6"/>
  <c r="C126" i="6"/>
  <c r="K125" i="6"/>
  <c r="C125" i="6"/>
  <c r="K124" i="6"/>
  <c r="C124" i="6"/>
  <c r="K123" i="6"/>
  <c r="C123" i="6"/>
  <c r="K122" i="6"/>
  <c r="C122" i="6"/>
  <c r="K121" i="6"/>
  <c r="C121" i="6"/>
  <c r="K120" i="6"/>
  <c r="C120" i="6"/>
  <c r="K119" i="6"/>
  <c r="C119" i="6"/>
  <c r="K118" i="6"/>
  <c r="C118" i="6"/>
  <c r="K117" i="6"/>
  <c r="C117" i="6"/>
  <c r="K116" i="6"/>
  <c r="C116" i="6"/>
  <c r="K115" i="6"/>
  <c r="C115" i="6"/>
  <c r="K114" i="6"/>
  <c r="C114" i="6"/>
  <c r="K113" i="6"/>
  <c r="C113" i="6"/>
  <c r="K112" i="6"/>
  <c r="C112" i="6"/>
  <c r="K111" i="6"/>
  <c r="C111" i="6"/>
  <c r="K110" i="6"/>
  <c r="C110" i="6"/>
  <c r="K109" i="6"/>
  <c r="C109" i="6"/>
  <c r="K108" i="6"/>
  <c r="C108" i="6"/>
  <c r="K107" i="6"/>
  <c r="C107" i="6"/>
  <c r="K106" i="6"/>
  <c r="C106" i="6"/>
  <c r="K105" i="6"/>
  <c r="C105" i="6"/>
  <c r="K104" i="6"/>
  <c r="C104" i="6"/>
  <c r="K103" i="6"/>
  <c r="C103" i="6"/>
  <c r="K102" i="6"/>
  <c r="C102" i="6"/>
  <c r="K101" i="6"/>
  <c r="C101" i="6"/>
  <c r="K100" i="6"/>
  <c r="C100" i="6"/>
  <c r="K99" i="6"/>
  <c r="C99" i="6"/>
  <c r="K98" i="6"/>
  <c r="C98" i="6"/>
  <c r="K97" i="6"/>
  <c r="C97" i="6"/>
  <c r="K96" i="6"/>
  <c r="C96" i="6"/>
  <c r="K85" i="6"/>
  <c r="C85" i="6"/>
  <c r="K84" i="6"/>
  <c r="C84" i="6"/>
  <c r="K83" i="6"/>
  <c r="C83" i="6"/>
  <c r="K82" i="6"/>
  <c r="C82" i="6"/>
  <c r="K81" i="6"/>
  <c r="C81" i="6"/>
  <c r="K80" i="6"/>
  <c r="C80" i="6"/>
  <c r="K79" i="6"/>
  <c r="C79" i="6"/>
  <c r="K78" i="6"/>
  <c r="C78" i="6"/>
  <c r="K77" i="6"/>
  <c r="C77" i="6"/>
  <c r="K76" i="6"/>
  <c r="C76" i="6"/>
  <c r="K75" i="6"/>
  <c r="C75" i="6"/>
  <c r="K74" i="6"/>
  <c r="C74" i="6"/>
  <c r="K73" i="6"/>
  <c r="C73" i="6"/>
  <c r="K72" i="6"/>
  <c r="C72" i="6"/>
  <c r="K71" i="6"/>
  <c r="C71" i="6"/>
  <c r="K70" i="6"/>
  <c r="C70" i="6"/>
  <c r="K69" i="6"/>
  <c r="C69" i="6"/>
  <c r="K68" i="6"/>
  <c r="C68" i="6"/>
  <c r="K67" i="6"/>
  <c r="C67" i="6"/>
  <c r="K66" i="6"/>
  <c r="C66" i="6"/>
  <c r="K65" i="6"/>
  <c r="C65" i="6"/>
  <c r="K64" i="6"/>
  <c r="C64" i="6"/>
  <c r="K63" i="6"/>
  <c r="C63" i="6"/>
  <c r="K62" i="6"/>
  <c r="C62" i="6"/>
  <c r="K61" i="6"/>
  <c r="C61" i="6"/>
  <c r="K60" i="6"/>
  <c r="C60" i="6"/>
  <c r="K59" i="6"/>
  <c r="C59" i="6"/>
  <c r="K58" i="6"/>
  <c r="C58" i="6"/>
  <c r="K57" i="6"/>
  <c r="C57" i="6"/>
  <c r="K56" i="6"/>
  <c r="C56" i="6"/>
  <c r="K55" i="6"/>
  <c r="C55" i="6"/>
  <c r="K54" i="6"/>
  <c r="C54" i="6"/>
  <c r="K53" i="6"/>
  <c r="C53" i="6"/>
  <c r="K52" i="6"/>
  <c r="C52" i="6"/>
  <c r="K51" i="6"/>
  <c r="C51" i="6"/>
  <c r="K50" i="6"/>
  <c r="C50" i="6"/>
  <c r="K49" i="6"/>
  <c r="C49" i="6"/>
  <c r="K48" i="6"/>
  <c r="C48" i="6"/>
  <c r="K47" i="6"/>
  <c r="C47" i="6"/>
  <c r="K46" i="6"/>
  <c r="C46" i="6"/>
  <c r="K45" i="6"/>
  <c r="C45" i="6"/>
  <c r="K44" i="6"/>
  <c r="C44" i="6"/>
  <c r="K43" i="6"/>
  <c r="C43" i="6"/>
  <c r="K42" i="6"/>
  <c r="C42" i="6"/>
  <c r="K41" i="6"/>
  <c r="C41" i="6"/>
  <c r="K40" i="6"/>
  <c r="C40" i="6"/>
  <c r="K39" i="6"/>
  <c r="C39" i="6"/>
  <c r="K38" i="6"/>
  <c r="C38" i="6"/>
  <c r="K37" i="6"/>
  <c r="C37" i="6"/>
  <c r="K36" i="6"/>
  <c r="C36" i="6"/>
  <c r="K35" i="6"/>
  <c r="C35" i="6"/>
  <c r="K34" i="6"/>
  <c r="C34" i="6"/>
  <c r="K33" i="6"/>
  <c r="C33" i="6"/>
  <c r="K32" i="6"/>
  <c r="C32" i="6"/>
  <c r="K31" i="6"/>
  <c r="C31" i="6"/>
  <c r="K30" i="6"/>
  <c r="C30" i="6"/>
  <c r="K29" i="6"/>
  <c r="C29" i="6"/>
  <c r="K28" i="6"/>
  <c r="C28" i="6"/>
  <c r="K27" i="6"/>
  <c r="C27" i="6"/>
  <c r="K26" i="6"/>
  <c r="C26" i="6"/>
  <c r="K25" i="6"/>
  <c r="C25" i="6"/>
  <c r="K24" i="6"/>
  <c r="C24" i="6"/>
  <c r="K23" i="6"/>
  <c r="C23" i="6"/>
  <c r="K22" i="6"/>
  <c r="C22" i="6"/>
  <c r="K21" i="6"/>
  <c r="K20" i="6"/>
  <c r="C20" i="6"/>
  <c r="K19" i="6"/>
  <c r="C19" i="6"/>
  <c r="K18" i="6"/>
  <c r="C18" i="6"/>
  <c r="K17" i="6"/>
  <c r="C17" i="6"/>
  <c r="K16" i="6"/>
  <c r="C16" i="6"/>
  <c r="K15" i="6"/>
  <c r="C15" i="6"/>
  <c r="K14" i="6"/>
  <c r="C14" i="6"/>
  <c r="K13" i="6"/>
  <c r="C13" i="6"/>
  <c r="K12" i="6"/>
  <c r="C12" i="6"/>
  <c r="K11" i="6"/>
  <c r="C11" i="6"/>
  <c r="K10" i="6"/>
  <c r="C10" i="6"/>
  <c r="K9" i="6"/>
  <c r="C9" i="6"/>
  <c r="K8" i="6"/>
  <c r="C8" i="6"/>
  <c r="K7" i="6"/>
  <c r="C7" i="6"/>
  <c r="K6" i="6"/>
  <c r="C6" i="6"/>
  <c r="K5" i="6"/>
  <c r="K4" i="6"/>
  <c r="C4" i="6"/>
  <c r="K3" i="6"/>
  <c r="C3" i="6"/>
  <c r="K2" i="6"/>
  <c r="C2" i="6"/>
  <c r="C2" i="1"/>
</calcChain>
</file>

<file path=xl/sharedStrings.xml><?xml version="1.0" encoding="utf-8"?>
<sst xmlns="http://schemas.openxmlformats.org/spreadsheetml/2006/main" count="21686" uniqueCount="1784">
  <si>
    <t>TARİH</t>
  </si>
  <si>
    <t>BÖLÜM ADI</t>
  </si>
  <si>
    <t>HATA NEDENİ</t>
  </si>
  <si>
    <t>Bölüm Adı</t>
  </si>
  <si>
    <t>BANTLAMA</t>
  </si>
  <si>
    <t>CNC (DELİK)</t>
  </si>
  <si>
    <t>KESON</t>
  </si>
  <si>
    <t>MONTAJ</t>
  </si>
  <si>
    <t>Talep Açan Kullanıcı</t>
  </si>
  <si>
    <t>GÖKHAN BİLDİRİCİ</t>
  </si>
  <si>
    <t>SERVET KAPLAN</t>
  </si>
  <si>
    <t>SIDDIK KAPLAN</t>
  </si>
  <si>
    <t xml:space="preserve">RENK </t>
  </si>
  <si>
    <t>BAROK</t>
  </si>
  <si>
    <t>SİYAH</t>
  </si>
  <si>
    <t>BEYAZ</t>
  </si>
  <si>
    <t>SİS GRİ</t>
  </si>
  <si>
    <t>ANTRASİT</t>
  </si>
  <si>
    <t>DAFNE</t>
  </si>
  <si>
    <t>TOPRAK</t>
  </si>
  <si>
    <t>ATLANTİK ÇAM</t>
  </si>
  <si>
    <t>GORDİON</t>
  </si>
  <si>
    <t>MAT PLUS BUZ GRİ</t>
  </si>
  <si>
    <t>EVEREST</t>
  </si>
  <si>
    <t>ANTİK ÇEVİZ</t>
  </si>
  <si>
    <t>ANKA</t>
  </si>
  <si>
    <t>ARAL</t>
  </si>
  <si>
    <t>VENEZİA</t>
  </si>
  <si>
    <t>CAMBRİGE</t>
  </si>
  <si>
    <t>ENDÜLÜS</t>
  </si>
  <si>
    <t>AKASYA KREM</t>
  </si>
  <si>
    <t>Renkler</t>
  </si>
  <si>
    <t>Kalınlık</t>
  </si>
  <si>
    <t>8 MM</t>
  </si>
  <si>
    <t>18 MM</t>
  </si>
  <si>
    <t>30 MM</t>
  </si>
  <si>
    <t>Hata Nedeni</t>
  </si>
  <si>
    <t>ÜRÜN BULUNAMADI</t>
  </si>
  <si>
    <t>DELİK HATASI</t>
  </si>
  <si>
    <t>PVC HATASI</t>
  </si>
  <si>
    <t>YÜZEY HATASI</t>
  </si>
  <si>
    <t>ÇİZİM HATASI</t>
  </si>
  <si>
    <t>MAKİNE HATASI</t>
  </si>
  <si>
    <t>PERSONEL HATASI</t>
  </si>
  <si>
    <t>KALINLIK</t>
  </si>
  <si>
    <t>ÜRÜN İSMİ</t>
  </si>
  <si>
    <t>RENK</t>
  </si>
  <si>
    <t>TALEP AÇAN
KULLANICI</t>
  </si>
  <si>
    <t>HATALI PARÇA VERİ GİRİŞİ</t>
  </si>
  <si>
    <t>SİPARİŞ NO - SIRA NO</t>
  </si>
  <si>
    <t>KESİM DURUMU</t>
  </si>
  <si>
    <t>PVC DURUMU</t>
  </si>
  <si>
    <t>CNC DURUMU</t>
  </si>
  <si>
    <t>MEHMET ÖZEN</t>
  </si>
  <si>
    <t>YAPILDI</t>
  </si>
  <si>
    <t>İNFORMATİK</t>
  </si>
  <si>
    <t>ADET</t>
  </si>
  <si>
    <t>TOPLAM M²</t>
  </si>
  <si>
    <t>EN</t>
  </si>
  <si>
    <t>BOY</t>
  </si>
  <si>
    <t xml:space="preserve">BOY (MM OLARAK GİRİN) </t>
  </si>
  <si>
    <t>EN(MM OLARAK GİRİN)</t>
  </si>
  <si>
    <t>MİKAİL TUNCER</t>
  </si>
  <si>
    <t>SÜLEYMAN İSTEK</t>
  </si>
  <si>
    <t>ÜRETİM ŞEFİ</t>
  </si>
  <si>
    <t>ÜRETİM MÜDÜRÜ</t>
  </si>
  <si>
    <t>trio etejer ayak</t>
  </si>
  <si>
    <t>siyah</t>
  </si>
  <si>
    <t>polo work</t>
  </si>
  <si>
    <t>majör sehpa</t>
  </si>
  <si>
    <t>PLATO MASA TABLA</t>
  </si>
  <si>
    <t>fors dolap</t>
  </si>
  <si>
    <t>motto konsol alt ust</t>
  </si>
  <si>
    <t>planet perde</t>
  </si>
  <si>
    <t>eva konsol alt ust</t>
  </si>
  <si>
    <t>KESİM KIRIK</t>
  </si>
  <si>
    <t>fırat masa yak</t>
  </si>
  <si>
    <t>RECEP DİKİLİTAŞ</t>
  </si>
  <si>
    <t>19113-05</t>
  </si>
  <si>
    <t>fly dolap ust</t>
  </si>
  <si>
    <t>polo masa</t>
  </si>
  <si>
    <t>KURUM ÜRÜNLERİ</t>
  </si>
  <si>
    <t>LOYER LOCKER</t>
  </si>
  <si>
    <t>19569-01</t>
  </si>
  <si>
    <t>operasyon iç perde</t>
  </si>
  <si>
    <t>REGAL DOLAP KAPAK</t>
  </si>
  <si>
    <t>pratik konsol kapak</t>
  </si>
  <si>
    <t>motto konsol alt</t>
  </si>
  <si>
    <t>L  masa</t>
  </si>
  <si>
    <t xml:space="preserve">PLUS </t>
  </si>
  <si>
    <t>PLUS</t>
  </si>
  <si>
    <t>sılver konsol ust</t>
  </si>
  <si>
    <t>fly ust tabla</t>
  </si>
  <si>
    <t>fly masa perde</t>
  </si>
  <si>
    <t>space masa tabla</t>
  </si>
  <si>
    <t>pratık konsol yan</t>
  </si>
  <si>
    <t xml:space="preserve">polo masa </t>
  </si>
  <si>
    <t>safir dolap yan</t>
  </si>
  <si>
    <t>motto yan kapak</t>
  </si>
  <si>
    <t>fors dolap yan</t>
  </si>
  <si>
    <t>fors dolap kapak</t>
  </si>
  <si>
    <t>fors dolap ust</t>
  </si>
  <si>
    <t>YÜZEY ÇİZİK</t>
  </si>
  <si>
    <t>İMALAT HATASI</t>
  </si>
  <si>
    <t>space konsol yan</t>
  </si>
  <si>
    <t>valens ust tabla</t>
  </si>
  <si>
    <t>motto dolap yan kapak</t>
  </si>
  <si>
    <t>motto dolap ust</t>
  </si>
  <si>
    <t>19734-50</t>
  </si>
  <si>
    <t>valens konsol ust</t>
  </si>
  <si>
    <t>SANREMO</t>
  </si>
  <si>
    <t>CAPICINO</t>
  </si>
  <si>
    <t xml:space="preserve">etejer çekmece kapak </t>
  </si>
  <si>
    <t xml:space="preserve">mudur etejer üst kutu tabla </t>
  </si>
  <si>
    <t>19732-06</t>
  </si>
  <si>
    <t>fly sehpa</t>
  </si>
  <si>
    <t>valens masa tabla</t>
  </si>
  <si>
    <t>valens konsol arkalık</t>
  </si>
  <si>
    <t>zeta orta sehpa</t>
  </si>
  <si>
    <t>D-217</t>
  </si>
  <si>
    <t>12 GÖZLÜ PERSONEL DOLABI</t>
  </si>
  <si>
    <t>ÜRÜN ADI</t>
  </si>
  <si>
    <t>enes dolap kapak</t>
  </si>
  <si>
    <t>tabla</t>
  </si>
  <si>
    <t>motto konsol yan</t>
  </si>
  <si>
    <t>MEHMET YAZICI</t>
  </si>
  <si>
    <t>loft top</t>
  </si>
  <si>
    <t>geo dolap kapak</t>
  </si>
  <si>
    <t xml:space="preserve">evol masa </t>
  </si>
  <si>
    <t>steel masa</t>
  </si>
  <si>
    <t>space dolap alt</t>
  </si>
  <si>
    <t>fly konsol kapak</t>
  </si>
  <si>
    <t>enes etejer alt</t>
  </si>
  <si>
    <t>major konsol kapak</t>
  </si>
  <si>
    <t>19861-01</t>
  </si>
  <si>
    <t>up down tabla</t>
  </si>
  <si>
    <t>work dolap alt</t>
  </si>
  <si>
    <t xml:space="preserve">work dolap dıkme </t>
  </si>
  <si>
    <t>vıyana etejer alt ust</t>
  </si>
  <si>
    <t>ayak</t>
  </si>
  <si>
    <t>work dolap ust</t>
  </si>
  <si>
    <t xml:space="preserve">fors dolap yan </t>
  </si>
  <si>
    <t>fly konsol yan</t>
  </si>
  <si>
    <t>valens masa alt ust</t>
  </si>
  <si>
    <t>planet dolap alt</t>
  </si>
  <si>
    <t>valens masa on tabla</t>
  </si>
  <si>
    <t>MAT PLUS DAFNE</t>
  </si>
  <si>
    <t>20079-01</t>
  </si>
  <si>
    <t>MAJÖR MASA TABLA</t>
  </si>
  <si>
    <t>sılver konsol kor kapak</t>
  </si>
  <si>
    <t>steel tabla</t>
  </si>
  <si>
    <t>SPACE MASA</t>
  </si>
  <si>
    <t>KALİTE</t>
  </si>
  <si>
    <t>EYÜP GÜMÜŞ</t>
  </si>
  <si>
    <t>PARÇAYI İŞLEYEN OPERATÖR ADI</t>
  </si>
  <si>
    <t>EKSİK ÜRÜN</t>
  </si>
  <si>
    <t>KIRIK</t>
  </si>
  <si>
    <t>ORHAN AYDIN</t>
  </si>
  <si>
    <t>luna soyunma dolap kapak</t>
  </si>
  <si>
    <t>muslum bulut</t>
  </si>
  <si>
    <t>saıl tabla</t>
  </si>
  <si>
    <t>POLO MASA</t>
  </si>
  <si>
    <t>20666-42</t>
  </si>
  <si>
    <t>vıyana masa cekmece yuzu</t>
  </si>
  <si>
    <t>DENIS TOPLANTI</t>
  </si>
  <si>
    <t>evol tabla</t>
  </si>
  <si>
    <t>sılver keson yan</t>
  </si>
  <si>
    <t>MAJÖR MASA TABLA ÖN</t>
  </si>
  <si>
    <t>SPACE ETEJER KESON ALT ÜST</t>
  </si>
  <si>
    <t>20500-02</t>
  </si>
  <si>
    <t>maneger etejer yan</t>
  </si>
  <si>
    <t>maneger etejer altust</t>
  </si>
  <si>
    <t>motto masa tabla</t>
  </si>
  <si>
    <t>20671-03</t>
  </si>
  <si>
    <t>20666-26</t>
  </si>
  <si>
    <t>konsol surgu kapak</t>
  </si>
  <si>
    <t>majör dolp kapk</t>
  </si>
  <si>
    <t>EVOL MASA TABLA</t>
  </si>
  <si>
    <t>20493-03</t>
  </si>
  <si>
    <t>KADIR DEMIR</t>
  </si>
  <si>
    <t>20682-02</t>
  </si>
  <si>
    <t>MAJOR UST TABLA</t>
  </si>
  <si>
    <t>INFORMATIK TOP</t>
  </si>
  <si>
    <t>ORHAN AVCI</t>
  </si>
  <si>
    <t>kulıs locker  ddolap kapak</t>
  </si>
  <si>
    <t>alı agac kıran</t>
  </si>
  <si>
    <t>motto dolap orta kapak</t>
  </si>
  <si>
    <t>sspace dolap raf</t>
  </si>
  <si>
    <t>21053-03</t>
  </si>
  <si>
    <t>DESK SAIL TABLA</t>
  </si>
  <si>
    <t>VİYANA MASA YAN</t>
  </si>
  <si>
    <t>20739-05</t>
  </si>
  <si>
    <t>20739-06</t>
  </si>
  <si>
    <t>FLY ORTA SEHPA TABLA</t>
  </si>
  <si>
    <t>polo work tabla</t>
  </si>
  <si>
    <t>RECEP DEMIRCI</t>
  </si>
  <si>
    <t>NAPOLİ YEMEK MASASI</t>
  </si>
  <si>
    <t>BREEZE MASA</t>
  </si>
  <si>
    <t>ALBA DOLAP ALT</t>
  </si>
  <si>
    <t>21099-04</t>
  </si>
  <si>
    <t>sky dolap kapak</t>
  </si>
  <si>
    <t>geo dolap alt</t>
  </si>
  <si>
    <t>21053-33</t>
  </si>
  <si>
    <t>20695-01</t>
  </si>
  <si>
    <t>space dolapust tabla</t>
  </si>
  <si>
    <t>fly dolap alt</t>
  </si>
  <si>
    <t>mehmet</t>
  </si>
  <si>
    <t>LEGO MASA TABLASI</t>
  </si>
  <si>
    <t>PARLAK BEYAZ</t>
  </si>
  <si>
    <t>MUSTAFA YILDIRIM</t>
  </si>
  <si>
    <t>trıo masa ayak</t>
  </si>
  <si>
    <t>zeta konsol alt ust</t>
  </si>
  <si>
    <t>21100-01</t>
  </si>
  <si>
    <t>major ust tabla</t>
  </si>
  <si>
    <t>21050-01</t>
  </si>
  <si>
    <t>motto masa perde</t>
  </si>
  <si>
    <t>PLANET DOLAP ALT</t>
  </si>
  <si>
    <t>SPACE MASA YARIM TABLA</t>
  </si>
  <si>
    <t>20640-09</t>
  </si>
  <si>
    <t>21071-36</t>
  </si>
  <si>
    <t>steel masa perde</t>
  </si>
  <si>
    <t>201053-38</t>
  </si>
  <si>
    <t>major dolap kapak</t>
  </si>
  <si>
    <t>geo tabla</t>
  </si>
  <si>
    <t>21099-02</t>
  </si>
  <si>
    <t>sılver konsol dıkme</t>
  </si>
  <si>
    <t>BREZZ MASA</t>
  </si>
  <si>
    <t>STORAGE LAYER DIS YAN</t>
  </si>
  <si>
    <t>21162-01</t>
  </si>
  <si>
    <t>deniz bank tabla</t>
  </si>
  <si>
    <t>valens masa ön parça</t>
  </si>
  <si>
    <t>cengiz özdemir</t>
  </si>
  <si>
    <t xml:space="preserve">denıs top  </t>
  </si>
  <si>
    <t>21168-13</t>
  </si>
  <si>
    <t>major keson yan</t>
  </si>
  <si>
    <t>21139-01</t>
  </si>
  <si>
    <t>21092-02</t>
  </si>
  <si>
    <t xml:space="preserve">sılver konsol </t>
  </si>
  <si>
    <t>211-49-04</t>
  </si>
  <si>
    <t>sılver konsol arkalık</t>
  </si>
  <si>
    <t>UP DOWN ARKA</t>
  </si>
  <si>
    <t>fly konsol arkalık</t>
  </si>
  <si>
    <t>21071-04</t>
  </si>
  <si>
    <t>STEEL MASA TABLA</t>
  </si>
  <si>
    <t>motto perde</t>
  </si>
  <si>
    <t>sılverkonsol</t>
  </si>
  <si>
    <t>21229-01</t>
  </si>
  <si>
    <t>slıde masa tabla</t>
  </si>
  <si>
    <t>GEO TABLA</t>
  </si>
  <si>
    <t>21053-17</t>
  </si>
  <si>
    <t>motto konsol ust tabla</t>
  </si>
  <si>
    <t>space etejel</t>
  </si>
  <si>
    <t>ARGE-ÜRGE</t>
  </si>
  <si>
    <t>ZETA MASA TABLA</t>
  </si>
  <si>
    <t>PLANET MASA TABLA</t>
  </si>
  <si>
    <t>21066-04</t>
  </si>
  <si>
    <t>plexy eperator</t>
  </si>
  <si>
    <t>21071-37</t>
  </si>
  <si>
    <t>21187-04</t>
  </si>
  <si>
    <t>MAJOR DOLAP KAPAK</t>
  </si>
  <si>
    <t>SALİH PAYAM</t>
  </si>
  <si>
    <t>21071-62</t>
  </si>
  <si>
    <t>eva konsol kapak</t>
  </si>
  <si>
    <t>21248-10</t>
  </si>
  <si>
    <t>fly konsol ust tabla</t>
  </si>
  <si>
    <t>stone sehpa</t>
  </si>
  <si>
    <t>mustafa yıldırım</t>
  </si>
  <si>
    <t>space etejer alt ust</t>
  </si>
  <si>
    <t>21150-89</t>
  </si>
  <si>
    <t>eva konsol dıkme</t>
  </si>
  <si>
    <t>motto masa</t>
  </si>
  <si>
    <t>valens sehpa</t>
  </si>
  <si>
    <t>21178-06</t>
  </si>
  <si>
    <t>sılver konsol kapak</t>
  </si>
  <si>
    <t>povag planetr</t>
  </si>
  <si>
    <t>denizbank masa tabla</t>
  </si>
  <si>
    <t>21216-02</t>
  </si>
  <si>
    <t>motto konsol dikme</t>
  </si>
  <si>
    <t>21196-01</t>
  </si>
  <si>
    <t xml:space="preserve">valens komsol yan </t>
  </si>
  <si>
    <t>loft toplantı tabla</t>
  </si>
  <si>
    <t>motto konsol üst</t>
  </si>
  <si>
    <t>valens alt ust</t>
  </si>
  <si>
    <t>denız bank kapak</t>
  </si>
  <si>
    <t>denıs meetıng</t>
  </si>
  <si>
    <t>yıldız kaycı</t>
  </si>
  <si>
    <t>21303-01</t>
  </si>
  <si>
    <t>21208-01</t>
  </si>
  <si>
    <t>denıs meeting r140 tabla</t>
  </si>
  <si>
    <t>21312-01</t>
  </si>
  <si>
    <t>valens keson yan</t>
  </si>
  <si>
    <t>21314-01</t>
  </si>
  <si>
    <t>major cekmece buyuk</t>
  </si>
  <si>
    <t>planet masa tabla</t>
  </si>
  <si>
    <t>21284-08</t>
  </si>
  <si>
    <t>paladım sehpa</t>
  </si>
  <si>
    <t>21265-03</t>
  </si>
  <si>
    <t>POLO WORK TABLA</t>
  </si>
  <si>
    <t xml:space="preserve">PLANET TOP </t>
  </si>
  <si>
    <t>alt tabla</t>
  </si>
  <si>
    <t>21301-02</t>
  </si>
  <si>
    <t>loft etejer tabla</t>
  </si>
  <si>
    <t>21319-02</t>
  </si>
  <si>
    <t>motto konsol orta kapak</t>
  </si>
  <si>
    <t>SAFIR KESON YAN</t>
  </si>
  <si>
    <t>SILVER KONSOL 160*45</t>
  </si>
  <si>
    <t>planet MASA TABLA</t>
  </si>
  <si>
    <t>VALENS UST TABLA</t>
  </si>
  <si>
    <t>LAM DOLAP KAPAK</t>
  </si>
  <si>
    <t>MAJOR KONSOL ALT TABLA</t>
  </si>
  <si>
    <t>SABRI KILIC</t>
  </si>
  <si>
    <t>21125-08</t>
  </si>
  <si>
    <t>PLANET KONSOL KAPAK</t>
  </si>
  <si>
    <t>213278-01</t>
  </si>
  <si>
    <t>SKY DOLAP YAN</t>
  </si>
  <si>
    <t>21053-54</t>
  </si>
  <si>
    <t>VALENS KONSOL DIKME</t>
  </si>
  <si>
    <t>VIYANA MASA TABLA</t>
  </si>
  <si>
    <t>ZEYNEP CANGIR</t>
  </si>
  <si>
    <t>YEMEK MASASI</t>
  </si>
  <si>
    <t>21291-17</t>
  </si>
  <si>
    <t>EVOL TABLA</t>
  </si>
  <si>
    <t>21291-01</t>
  </si>
  <si>
    <t>space masa çift tabla(sail)</t>
  </si>
  <si>
    <t>MAT PLUS SİYAH</t>
  </si>
  <si>
    <t>21364-01</t>
  </si>
  <si>
    <t>golf banko alt perde içi</t>
  </si>
  <si>
    <t>lam dolap yan</t>
  </si>
  <si>
    <t>21377-02</t>
  </si>
  <si>
    <t>mırac etejer keson tabla</t>
  </si>
  <si>
    <t>21071-54</t>
  </si>
  <si>
    <t>fly tabla ust</t>
  </si>
  <si>
    <t>denız bank</t>
  </si>
  <si>
    <t>VALENS MASA KONSOL ALT-ÜST</t>
  </si>
  <si>
    <t>21053-78</t>
  </si>
  <si>
    <t>21053-51</t>
  </si>
  <si>
    <t>vales konsol alt ust</t>
  </si>
  <si>
    <t>21150-100</t>
  </si>
  <si>
    <t>golf banko ust tabla ön</t>
  </si>
  <si>
    <t>mehmet yazıcı</t>
  </si>
  <si>
    <t>valen yan kapak</t>
  </si>
  <si>
    <t>loft dolap alt</t>
  </si>
  <si>
    <t>valens toplantı</t>
  </si>
  <si>
    <t>21377-01</t>
  </si>
  <si>
    <t>21403-05</t>
  </si>
  <si>
    <t>polo tabla</t>
  </si>
  <si>
    <t>21440-02</t>
  </si>
  <si>
    <t>SILVER KONSOL KOR KAPAK</t>
  </si>
  <si>
    <t>LAM DOLAP YAN</t>
  </si>
  <si>
    <t>valens konsol alt ust</t>
  </si>
  <si>
    <t>golf banko ust perde</t>
  </si>
  <si>
    <t>valens konsol kapak</t>
  </si>
  <si>
    <t>21393-05</t>
  </si>
  <si>
    <t xml:space="preserve">space masa </t>
  </si>
  <si>
    <t>PLANET DOLAP ORTA DİKME</t>
  </si>
  <si>
    <t>21358-03</t>
  </si>
  <si>
    <t>fly sehpa kutu alt ust</t>
  </si>
  <si>
    <t>GOLF  BANKO UST</t>
  </si>
  <si>
    <t>major konsol alt baza</t>
  </si>
  <si>
    <t>21495-01</t>
  </si>
  <si>
    <t>GOLF BANKO UST CITA</t>
  </si>
  <si>
    <t>21409-01</t>
  </si>
  <si>
    <t>valens tabla</t>
  </si>
  <si>
    <t>zıraat bankası dolap kapak</t>
  </si>
  <si>
    <t>21178-07</t>
  </si>
  <si>
    <t>saıl perde</t>
  </si>
  <si>
    <t>21442-02</t>
  </si>
  <si>
    <t>breez dolap yan</t>
  </si>
  <si>
    <t>evoltabla</t>
  </si>
  <si>
    <t>kemal buyuk çelebı</t>
  </si>
  <si>
    <t>21150-09</t>
  </si>
  <si>
    <t xml:space="preserve">mottto masa </t>
  </si>
  <si>
    <t>valens konsol yan kapak cnc</t>
  </si>
  <si>
    <t>2115-13</t>
  </si>
  <si>
    <t>motto konsol dıkme</t>
  </si>
  <si>
    <t xml:space="preserve">motto masa tabla </t>
  </si>
  <si>
    <t>evol top ekı</t>
  </si>
  <si>
    <t>21519-01</t>
  </si>
  <si>
    <t>fly keson yan</t>
  </si>
  <si>
    <t>21150-36</t>
  </si>
  <si>
    <t>space konsol ust tabla</t>
  </si>
  <si>
    <t>EVOL TOPLANTI EKİ</t>
  </si>
  <si>
    <t>21178-09</t>
  </si>
  <si>
    <t>orhan aydın,</t>
  </si>
  <si>
    <t>fors dolap alt</t>
  </si>
  <si>
    <t>orhan aydın</t>
  </si>
  <si>
    <t>fors dolap raf</t>
  </si>
  <si>
    <t>21150-104</t>
  </si>
  <si>
    <t>rıA bako alt bazaq</t>
  </si>
  <si>
    <t>kadır demır</t>
  </si>
  <si>
    <t>breze buyuk keson yan</t>
  </si>
  <si>
    <t>layer ust</t>
  </si>
  <si>
    <t>recep demırcı</t>
  </si>
  <si>
    <t>pecep dmırcı</t>
  </si>
  <si>
    <t>zeynep cangır</t>
  </si>
  <si>
    <t xml:space="preserve">lam dolap yan </t>
  </si>
  <si>
    <t>fors dola kapak</t>
  </si>
  <si>
    <t>21002-87</t>
  </si>
  <si>
    <t>rıva banko on perde</t>
  </si>
  <si>
    <t>alı agac</t>
  </si>
  <si>
    <t>21584-04</t>
  </si>
  <si>
    <t>rıva banko perde</t>
  </si>
  <si>
    <t>ali agac</t>
  </si>
  <si>
    <t>konsol arkalık</t>
  </si>
  <si>
    <t>riva banko perde</t>
  </si>
  <si>
    <t>21071-46</t>
  </si>
  <si>
    <t>mırac etejel tabla</t>
  </si>
  <si>
    <t>alı agaç</t>
  </si>
  <si>
    <t>21502-04</t>
  </si>
  <si>
    <t>21489-01</t>
  </si>
  <si>
    <t>ÖZEL İNFORMATİC 380*200 (TABLA 1)</t>
  </si>
  <si>
    <t>SABRİ KILIÇ</t>
  </si>
  <si>
    <t xml:space="preserve">rıva banko yan </t>
  </si>
  <si>
    <t>21178-11</t>
  </si>
  <si>
    <t>pratık konsol raf</t>
  </si>
  <si>
    <t>21632-04</t>
  </si>
  <si>
    <t>planet konsol kapak</t>
  </si>
  <si>
    <t>pratık konsol kapak</t>
  </si>
  <si>
    <t>mırac etejer ust</t>
  </si>
  <si>
    <t>POLO 2 LI CALISMA</t>
  </si>
  <si>
    <t>MOTTO ETEJER ÜST</t>
  </si>
  <si>
    <t xml:space="preserve">silver kapak </t>
  </si>
  <si>
    <t xml:space="preserve">steel masa </t>
  </si>
  <si>
    <t>21502-07</t>
  </si>
  <si>
    <t>saıl</t>
  </si>
  <si>
    <t>21125-01</t>
  </si>
  <si>
    <t>slıde dolap yan</t>
  </si>
  <si>
    <t>slıde dolap kapak</t>
  </si>
  <si>
    <t>21656-01</t>
  </si>
  <si>
    <t>LAYER</t>
  </si>
  <si>
    <t>SILVER KONSOL ARKA</t>
  </si>
  <si>
    <t>MEHMET BOZKURT</t>
  </si>
  <si>
    <t>PLANET KAPAK</t>
  </si>
  <si>
    <t>21678-01</t>
  </si>
  <si>
    <t>golf banko ust tabla</t>
  </si>
  <si>
    <t>21703-01</t>
  </si>
  <si>
    <t>major masa ust tabla</t>
  </si>
  <si>
    <t>RIVA BONKO AYAK</t>
  </si>
  <si>
    <t>PAKİZE</t>
  </si>
  <si>
    <t>RIVA BONKO AYAK DIS</t>
  </si>
  <si>
    <t>AYSE</t>
  </si>
  <si>
    <t>21071-51</t>
  </si>
  <si>
    <t>21675-01</t>
  </si>
  <si>
    <t>kayra masa ayak</t>
  </si>
  <si>
    <t xml:space="preserve">POLO MASA TABLA </t>
  </si>
  <si>
    <t>orhhan aydın</t>
  </si>
  <si>
    <t>zeta konsol ust</t>
  </si>
  <si>
    <t>alı agc</t>
  </si>
  <si>
    <t>21053-88</t>
  </si>
  <si>
    <t>gowall tv unıtesı</t>
  </si>
  <si>
    <t>DENİS MEETİNG TOPLANTI</t>
  </si>
  <si>
    <t>21723-02</t>
  </si>
  <si>
    <t>21742-01</t>
  </si>
  <si>
    <t xml:space="preserve">motto masa perde </t>
  </si>
  <si>
    <t>ZETA KONSOL DİKME</t>
  </si>
  <si>
    <t>ZETA KONSOL RAF</t>
  </si>
  <si>
    <t>21071-42</t>
  </si>
  <si>
    <t>21429-70</t>
  </si>
  <si>
    <t>rıva banko alt baza</t>
  </si>
  <si>
    <t>stell masa perde</t>
  </si>
  <si>
    <t xml:space="preserve">ocdor tabla </t>
  </si>
  <si>
    <t>21751-04</t>
  </si>
  <si>
    <t>fly orta sehpa yan</t>
  </si>
  <si>
    <t>kor kapak</t>
  </si>
  <si>
    <t>21757-01</t>
  </si>
  <si>
    <t>21429-74</t>
  </si>
  <si>
    <t>golf banko ust tabla on</t>
  </si>
  <si>
    <t>informatic özel</t>
  </si>
  <si>
    <t>sabri kılıç</t>
  </si>
  <si>
    <t>özel informatic</t>
  </si>
  <si>
    <t>layer dolap dıkme</t>
  </si>
  <si>
    <t>layer dolap ust</t>
  </si>
  <si>
    <t>govall tv unıtesı on arka yuz</t>
  </si>
  <si>
    <t>21429-80</t>
  </si>
  <si>
    <t>mırac keson yan</t>
  </si>
  <si>
    <t>21729-09</t>
  </si>
  <si>
    <t>21429-36</t>
  </si>
  <si>
    <t>vlens ust tabla</t>
  </si>
  <si>
    <t>21429-26</t>
  </si>
  <si>
    <t>SİLVER KONSOL ARKA</t>
  </si>
  <si>
    <t xml:space="preserve">İNFORMATIK </t>
  </si>
  <si>
    <t>YUNUS GUNGOR</t>
  </si>
  <si>
    <t>golf alt perde</t>
  </si>
  <si>
    <t>orhan avcı</t>
  </si>
  <si>
    <t xml:space="preserve">layer dolap dıkme </t>
  </si>
  <si>
    <t>informatic</t>
  </si>
  <si>
    <t>pratik kör kapak</t>
  </si>
  <si>
    <t xml:space="preserve">sail etejer üst </t>
  </si>
  <si>
    <t xml:space="preserve">çizimle oynanmış </t>
  </si>
  <si>
    <t>PLANET DOLAP ÜST</t>
  </si>
  <si>
    <t xml:space="preserve">planet r sehap </t>
  </si>
  <si>
    <t xml:space="preserve">motto masa tabla sol </t>
  </si>
  <si>
    <t>napoli yemek masası</t>
  </si>
  <si>
    <t>dolap yan</t>
  </si>
  <si>
    <t>ali ağaç kıran</t>
  </si>
  <si>
    <t>21857-16</t>
  </si>
  <si>
    <t>deluxe sehpaQ90</t>
  </si>
  <si>
    <t>mehmet şefik yurtbatıran</t>
  </si>
  <si>
    <t>EVOL MASA TABLASI</t>
  </si>
  <si>
    <t>GOLF BANKO MASA TABLA</t>
  </si>
  <si>
    <t>LOFT TOLANTI MASA</t>
  </si>
  <si>
    <t>21053-74</t>
  </si>
  <si>
    <t xml:space="preserve">EXRUDE MASA KONSOL ALT </t>
  </si>
  <si>
    <t>MEHMET ŞEFİK YURTBATIRAN</t>
  </si>
  <si>
    <t>MOTTO MASA TABLASI</t>
  </si>
  <si>
    <t>SIDIK KAPLAN</t>
  </si>
  <si>
    <t xml:space="preserve">fly konsol kpak </t>
  </si>
  <si>
    <t xml:space="preserve">fly konsol dıkme </t>
  </si>
  <si>
    <t>orhan atdın</t>
  </si>
  <si>
    <t>21906-08</t>
  </si>
  <si>
    <t>enes sehpa</t>
  </si>
  <si>
    <t>breze keson yan</t>
  </si>
  <si>
    <t>21902-01</t>
  </si>
  <si>
    <t xml:space="preserve">polo shpa </t>
  </si>
  <si>
    <t>21181-01</t>
  </si>
  <si>
    <t>denis d. Toplantı 600*140</t>
  </si>
  <si>
    <t>21877-29</t>
  </si>
  <si>
    <t>21875-43</t>
  </si>
  <si>
    <t>work dolap kapak</t>
  </si>
  <si>
    <t>21877-23</t>
  </si>
  <si>
    <t>kadır demr</t>
  </si>
  <si>
    <t>21911-06</t>
  </si>
  <si>
    <t>LOFT TOPLANTI 220*120</t>
  </si>
  <si>
    <t>VALENS MASA TEK TABLA</t>
  </si>
  <si>
    <t>RECEP DEMİRCİ</t>
  </si>
  <si>
    <t>evol work</t>
  </si>
  <si>
    <t>kadir demir</t>
  </si>
  <si>
    <t>SILVER KONSOL KAPAK</t>
  </si>
  <si>
    <t>ALI AGAC</t>
  </si>
  <si>
    <t>EVA KONSOL ARKA</t>
  </si>
  <si>
    <t>ZETA ETEJER YAN</t>
  </si>
  <si>
    <t>VALENS KONSOL RAF</t>
  </si>
  <si>
    <t>21949-01</t>
  </si>
  <si>
    <t>flat kapak</t>
  </si>
  <si>
    <t xml:space="preserve">fly masa keson yan </t>
  </si>
  <si>
    <t>loft kapak</t>
  </si>
  <si>
    <t>sılver ust</t>
  </si>
  <si>
    <t>ökadır demır</t>
  </si>
  <si>
    <t>space konsol alt</t>
  </si>
  <si>
    <t>21947-01</t>
  </si>
  <si>
    <t>major konsol dıkme</t>
  </si>
  <si>
    <t>21961-04</t>
  </si>
  <si>
    <t xml:space="preserve">work dolap kapak ozel </t>
  </si>
  <si>
    <t>21992-05</t>
  </si>
  <si>
    <t>21992-01</t>
  </si>
  <si>
    <t>polo masa ust</t>
  </si>
  <si>
    <t>21978-04</t>
  </si>
  <si>
    <t>work dolap yan</t>
  </si>
  <si>
    <t>golf banko perde</t>
  </si>
  <si>
    <t>major sehpa tabla</t>
  </si>
  <si>
    <t>BREZE DOLAP UST</t>
  </si>
  <si>
    <t>21865-01</t>
  </si>
  <si>
    <t>LOFT TOPLANTI MASASI</t>
  </si>
  <si>
    <t>mehmetb yazucu</t>
  </si>
  <si>
    <t>21945-01</t>
  </si>
  <si>
    <t>saıl masa tabla</t>
  </si>
  <si>
    <t>slide 2 li work</t>
  </si>
  <si>
    <t>mehmet özen</t>
  </si>
  <si>
    <t>sılver kapak</t>
  </si>
  <si>
    <t xml:space="preserve">enes konsol ust </t>
  </si>
  <si>
    <t>loft konsol arkalık</t>
  </si>
  <si>
    <t>enes dolap alt</t>
  </si>
  <si>
    <t>2998-09</t>
  </si>
  <si>
    <t xml:space="preserve">enes dolap dıkme </t>
  </si>
  <si>
    <t>enes kapak</t>
  </si>
  <si>
    <t>lam dolap alt</t>
  </si>
  <si>
    <t>LOFT MASA TABLA</t>
  </si>
  <si>
    <t>21998-11</t>
  </si>
  <si>
    <t>mırac ayak</t>
  </si>
  <si>
    <t>muslum blt</t>
  </si>
  <si>
    <t>enes ayak</t>
  </si>
  <si>
    <t>mslm blt</t>
  </si>
  <si>
    <t>dolap ust</t>
  </si>
  <si>
    <t>WORK DOLAP ALT</t>
  </si>
  <si>
    <t>200luk dolap yan</t>
  </si>
  <si>
    <t>napolı yemek masası</t>
  </si>
  <si>
    <t>alı gac</t>
  </si>
  <si>
    <t>orhan aydn</t>
  </si>
  <si>
    <t>21998-16</t>
  </si>
  <si>
    <t>trıo etejer ayak ust</t>
  </si>
  <si>
    <t xml:space="preserve">elıt masa </t>
  </si>
  <si>
    <t>22014-01</t>
  </si>
  <si>
    <t>matriks dolap kapk</t>
  </si>
  <si>
    <t>22023-03</t>
  </si>
  <si>
    <t>work dolap dıkme</t>
  </si>
  <si>
    <t>msl blt</t>
  </si>
  <si>
    <t>22034-03</t>
  </si>
  <si>
    <t>orhn aydn</t>
  </si>
  <si>
    <t>work dolAP ALT</t>
  </si>
  <si>
    <t>WORD DOLAP UST</t>
  </si>
  <si>
    <t>MUSLUM BULUT</t>
  </si>
  <si>
    <t xml:space="preserve">kısa dolap alt </t>
  </si>
  <si>
    <t>FORS DOLAP ÜST</t>
  </si>
  <si>
    <t>FORS DOLAP ALT</t>
  </si>
  <si>
    <t>FORS DOLAP SABİT RAF</t>
  </si>
  <si>
    <t>zeta etejer alt ust</t>
  </si>
  <si>
    <t>GÖNYESİZLİK</t>
  </si>
  <si>
    <t>yonetıcı dolap ıc yan</t>
  </si>
  <si>
    <t>764-02</t>
  </si>
  <si>
    <t>ZETA ETEJER UST</t>
  </si>
  <si>
    <t>NAPOLİ MASA TABLAA</t>
  </si>
  <si>
    <t>ALI AĞAÇ KIRAN</t>
  </si>
  <si>
    <t>FLY ORTA SEHPA</t>
  </si>
  <si>
    <t>ZİRAAT BANK</t>
  </si>
  <si>
    <t>ORTA DIKME</t>
  </si>
  <si>
    <t>TRİO ETAJER KLAVYE</t>
  </si>
  <si>
    <t>ELİT KAPAK</t>
  </si>
  <si>
    <t>22058 01</t>
  </si>
  <si>
    <t>fly masa konsol müst</t>
  </si>
  <si>
    <t>22072 75</t>
  </si>
  <si>
    <t>silver kapaklı dolap kapak</t>
  </si>
  <si>
    <t>elit dolap kapak</t>
  </si>
  <si>
    <t>elit dolap dikme</t>
  </si>
  <si>
    <t>memet yazıcı</t>
  </si>
  <si>
    <t>22037-01</t>
  </si>
  <si>
    <t>planet tabla</t>
  </si>
  <si>
    <t>766-01</t>
  </si>
  <si>
    <t>90lık yazıcı dolap kapak</t>
  </si>
  <si>
    <t>22072-77</t>
  </si>
  <si>
    <t>elıt dolap ust tablça</t>
  </si>
  <si>
    <t>ali agaç</t>
  </si>
  <si>
    <t>ELİT KONSOL ÜST</t>
  </si>
  <si>
    <t xml:space="preserve">NAPOLI YEMEK MASA </t>
  </si>
  <si>
    <t>22155-03</t>
  </si>
  <si>
    <t>alı agç</t>
  </si>
  <si>
    <t>22155-51</t>
  </si>
  <si>
    <t>polo work masa tabla</t>
  </si>
  <si>
    <t>22072-58</t>
  </si>
  <si>
    <t>DENİS TOPLANTI MASASI</t>
  </si>
  <si>
    <t>valens dıkme</t>
  </si>
  <si>
    <t>orhn ayn</t>
  </si>
  <si>
    <t xml:space="preserve">valens </t>
  </si>
  <si>
    <t>orhn</t>
  </si>
  <si>
    <t>22082 04</t>
  </si>
  <si>
    <t>desk sail tabla</t>
  </si>
  <si>
    <t>loft dolap ayak içi</t>
  </si>
  <si>
    <t>şefik yurt batıran</t>
  </si>
  <si>
    <t>lam dolap kapak</t>
  </si>
  <si>
    <t>yıldız kayıcı menteşe tığı delerken gevsemiş</t>
  </si>
  <si>
    <t xml:space="preserve">evol tekli masa </t>
  </si>
  <si>
    <t>SILVER DOLAP YAN</t>
  </si>
  <si>
    <t>sail tabla</t>
  </si>
  <si>
    <t xml:space="preserve">napolı yemek masa </t>
  </si>
  <si>
    <t>napolı yemek masa</t>
  </si>
  <si>
    <t>majör sehpa tabla</t>
  </si>
  <si>
    <t>22155-64</t>
  </si>
  <si>
    <t>for dolap yan</t>
  </si>
  <si>
    <t>denizbank çalışma masası</t>
  </si>
  <si>
    <t>fors dolap üst</t>
  </si>
  <si>
    <t>gordion</t>
  </si>
  <si>
    <t>kırık</t>
  </si>
  <si>
    <t>ali ağaçkıran</t>
  </si>
  <si>
    <t xml:space="preserve">orhn </t>
  </si>
  <si>
    <t>22219-01</t>
  </si>
  <si>
    <t>luna dolap yan</t>
  </si>
  <si>
    <t>my</t>
  </si>
  <si>
    <t>saıl çalışma tabla</t>
  </si>
  <si>
    <t>22210-02</t>
  </si>
  <si>
    <t>valens yan konsol</t>
  </si>
  <si>
    <t>22155-44</t>
  </si>
  <si>
    <t>denis e. Toplntı 400.140 ORTA TABLA</t>
  </si>
  <si>
    <t>22217-22</t>
  </si>
  <si>
    <t xml:space="preserve">layer vestıyer dolap dikme </t>
  </si>
  <si>
    <t>MAJOR MASA TABLASI</t>
  </si>
  <si>
    <t>MUSTAFA YILDRIM</t>
  </si>
  <si>
    <t>ARAL MASA TABLASI 2</t>
  </si>
  <si>
    <t>22230-04</t>
  </si>
  <si>
    <t>muslum</t>
  </si>
  <si>
    <t>FLY MASA TABLASI KALEMLİKLİ</t>
  </si>
  <si>
    <t>22217-21</t>
  </si>
  <si>
    <t>layer vestiyer dolap 150x54x245</t>
  </si>
  <si>
    <t>layer vestiyer dolap aralık alt</t>
  </si>
  <si>
    <t>PLANET MASA PERDE</t>
  </si>
  <si>
    <t>22284-03</t>
  </si>
  <si>
    <t>polo masa tabla</t>
  </si>
  <si>
    <t xml:space="preserve">orhan </t>
  </si>
  <si>
    <t>22284-05</t>
  </si>
  <si>
    <t>sılver etejer ust</t>
  </si>
  <si>
    <t>22309-10</t>
  </si>
  <si>
    <t>pratık etejer yan</t>
  </si>
  <si>
    <t>layer orta kapak</t>
  </si>
  <si>
    <t>22326-03</t>
  </si>
  <si>
    <t>pratık etejel alt</t>
  </si>
  <si>
    <t>22323-01</t>
  </si>
  <si>
    <t>space tabla</t>
  </si>
  <si>
    <t>SAFİR MASA TABLA</t>
  </si>
  <si>
    <t>MOTTO MASA TABLA</t>
  </si>
  <si>
    <t>22370-01</t>
  </si>
  <si>
    <t>paladıum masa tabla</t>
  </si>
  <si>
    <t>22444-03</t>
  </si>
  <si>
    <t>22453-03</t>
  </si>
  <si>
    <t>polo teklı masa ekı tabla</t>
  </si>
  <si>
    <t>22427-01</t>
  </si>
  <si>
    <t>polo çalışma masası</t>
  </si>
  <si>
    <t>22386-03</t>
  </si>
  <si>
    <t>PLUS BEKLEME KOLTUK</t>
  </si>
  <si>
    <t>VALENS KONSOL UST 8 MM</t>
  </si>
  <si>
    <t>DENİS ELİPS TOPLANTI 400*140</t>
  </si>
  <si>
    <t>22460-04</t>
  </si>
  <si>
    <t>space sehpa</t>
  </si>
  <si>
    <t>space masa</t>
  </si>
  <si>
    <t>deniz bank özel dolap yan mat plus kar beyaz</t>
  </si>
  <si>
    <t>22494-02</t>
  </si>
  <si>
    <t>LOFT MASA (220 CM )</t>
  </si>
  <si>
    <t>22493-02</t>
  </si>
  <si>
    <t>22473-01</t>
  </si>
  <si>
    <t>tın etejer dolap kapak</t>
  </si>
  <si>
    <t>tın eteje ust</t>
  </si>
  <si>
    <t>22541-02</t>
  </si>
  <si>
    <t>planet masa</t>
  </si>
  <si>
    <t>polo masa ytabla</t>
  </si>
  <si>
    <t>planet top</t>
  </si>
  <si>
    <t>recep demirci</t>
  </si>
  <si>
    <t>slide dolap alrt</t>
  </si>
  <si>
    <t>sılver etejer yan</t>
  </si>
  <si>
    <t>ali</t>
  </si>
  <si>
    <t>KADİR DEMİR</t>
  </si>
  <si>
    <t xml:space="preserve">EVA KONSOL </t>
  </si>
  <si>
    <t>PLANET_R TEKLİ MASA (2AYAK)</t>
  </si>
  <si>
    <t>22625-01</t>
  </si>
  <si>
    <t>OTTOMAN DOLAP FONU ÜST ARKA</t>
  </si>
  <si>
    <t>planet konsol kapk</t>
  </si>
  <si>
    <t>22709-01</t>
  </si>
  <si>
    <t>orhn aydın</t>
  </si>
  <si>
    <t>22673-032</t>
  </si>
  <si>
    <t>geo masa tabla</t>
  </si>
  <si>
    <t>22656-01</t>
  </si>
  <si>
    <t>sky dolap ust</t>
  </si>
  <si>
    <t>22673-11</t>
  </si>
  <si>
    <t>PLANET_R_TEKLİ MASA 180*80*75</t>
  </si>
  <si>
    <t>22745-02</t>
  </si>
  <si>
    <t>major orta sehpa</t>
  </si>
  <si>
    <t>22696-02</t>
  </si>
  <si>
    <t>space konsol üst</t>
  </si>
  <si>
    <t>22745-08</t>
  </si>
  <si>
    <t>sılver etejer arkalık</t>
  </si>
  <si>
    <t>22745-05</t>
  </si>
  <si>
    <t>22753-02</t>
  </si>
  <si>
    <t xml:space="preserve">kayra konsol baza </t>
  </si>
  <si>
    <t>saıl top  u kanal</t>
  </si>
  <si>
    <t>loft top tabla</t>
  </si>
  <si>
    <t>albaraka etejer cekmece kapak</t>
  </si>
  <si>
    <t>albaraka etejer sabıt raf</t>
  </si>
  <si>
    <t>kayra konsol kapak</t>
  </si>
  <si>
    <t>fors  dolap kapak</t>
  </si>
  <si>
    <t>sail toplantı tabla</t>
  </si>
  <si>
    <t>denız bank work tabla</t>
  </si>
  <si>
    <t>22720-02</t>
  </si>
  <si>
    <t>VALENS MASA BUYUK TABLA</t>
  </si>
  <si>
    <t xml:space="preserve">EVOL MASA TABLA </t>
  </si>
  <si>
    <t>fly masa tabla</t>
  </si>
  <si>
    <t xml:space="preserve">YILDIZ </t>
  </si>
  <si>
    <t>SILVER UST KAPAK</t>
  </si>
  <si>
    <t>YILDIZ</t>
  </si>
  <si>
    <t>SILVER DOLAP ALT KAPAK</t>
  </si>
  <si>
    <t>SILVER SABİT RAF</t>
  </si>
  <si>
    <t>SILVER DOLAP RAF</t>
  </si>
  <si>
    <t>sılver tejer ust</t>
  </si>
  <si>
    <t>fors dolpa raf</t>
  </si>
  <si>
    <t>22841-03</t>
  </si>
  <si>
    <t>pratik etejer arka tabla</t>
  </si>
  <si>
    <t>orhan</t>
  </si>
  <si>
    <t>22807-01</t>
  </si>
  <si>
    <t>geo masa</t>
  </si>
  <si>
    <t>Saill top tablaa</t>
  </si>
  <si>
    <t>planet konsol ust</t>
  </si>
  <si>
    <t>evol masa tabla</t>
  </si>
  <si>
    <t xml:space="preserve">silver konsol üst </t>
  </si>
  <si>
    <t>sail top. Masası</t>
  </si>
  <si>
    <t xml:space="preserve">motto dolap alt </t>
  </si>
  <si>
    <t>22861-04</t>
  </si>
  <si>
    <t>nopoli yemek masası</t>
  </si>
  <si>
    <t>22751-01</t>
  </si>
  <si>
    <t xml:space="preserve">evol tabla </t>
  </si>
  <si>
    <t>kaynak bölümü çizmiş</t>
  </si>
  <si>
    <t>locker dolap alt kucuk</t>
  </si>
  <si>
    <t>22879-03</t>
  </si>
  <si>
    <t>fly konsol alt tabla</t>
  </si>
  <si>
    <t>300-luk el dolabı sag dolap alt raf</t>
  </si>
  <si>
    <t>msl</t>
  </si>
  <si>
    <t>22896-01</t>
  </si>
  <si>
    <t>LOFT TOPLANTI 420*150</t>
  </si>
  <si>
    <t xml:space="preserve">napoli yemek masa </t>
  </si>
  <si>
    <t>napoli yemek masa</t>
  </si>
  <si>
    <t>22929-01</t>
  </si>
  <si>
    <t>LUNA SOYUNMA DOLAP UST</t>
  </si>
  <si>
    <t>ORHN</t>
  </si>
  <si>
    <t>22944-01</t>
  </si>
  <si>
    <t>valens konso arkalık</t>
  </si>
  <si>
    <t xml:space="preserve">valens tabla </t>
  </si>
  <si>
    <t>22952-08</t>
  </si>
  <si>
    <t>STONE SEHPA TABLASI ( MATTİSE)</t>
  </si>
  <si>
    <t>22930-04</t>
  </si>
  <si>
    <t xml:space="preserve">albaraka </t>
  </si>
  <si>
    <t>arşiv dolap kapak</t>
  </si>
  <si>
    <t>ALBARAKA</t>
  </si>
  <si>
    <t>PERSONEL MASA 140 KONSOL ÜST</t>
  </si>
  <si>
    <t>2295-02</t>
  </si>
  <si>
    <t>major orta sehpa ust</t>
  </si>
  <si>
    <t>22957-01</t>
  </si>
  <si>
    <t>sabıt yan raf salver vestıyer ozel</t>
  </si>
  <si>
    <t>salver kapak ozel</t>
  </si>
  <si>
    <t>22985-01</t>
  </si>
  <si>
    <t>22996-02</t>
  </si>
  <si>
    <t>space konsol ust</t>
  </si>
  <si>
    <t>kadır</t>
  </si>
  <si>
    <t>nopolı masa</t>
  </si>
  <si>
    <t>22996-01</t>
  </si>
  <si>
    <t>SPACE MASA TABLA</t>
  </si>
  <si>
    <t>dolap kapak</t>
  </si>
  <si>
    <t>motto masa konsol yan</t>
  </si>
  <si>
    <t>CAGE YEMEK MASASI</t>
  </si>
  <si>
    <t>kaedrı</t>
  </si>
  <si>
    <t>23047-01</t>
  </si>
  <si>
    <t>SAFİR DOLAP ÜST</t>
  </si>
  <si>
    <t>23066-04</t>
  </si>
  <si>
    <t>sılver etejer kor kapak</t>
  </si>
  <si>
    <t>sılver etejer kapak</t>
  </si>
  <si>
    <t>sılver cekmece yuzu</t>
  </si>
  <si>
    <t>23080-03</t>
  </si>
  <si>
    <t>safir dolap kapak</t>
  </si>
  <si>
    <t>230080-01</t>
  </si>
  <si>
    <t>safır masa perde yan</t>
  </si>
  <si>
    <t>23085-04</t>
  </si>
  <si>
    <t>vestıyer yan</t>
  </si>
  <si>
    <t>vestıyer kapak</t>
  </si>
  <si>
    <t>vestiyer</t>
  </si>
  <si>
    <t>major dolap dıkme</t>
  </si>
  <si>
    <t>23102-03</t>
  </si>
  <si>
    <t>alı</t>
  </si>
  <si>
    <t>230080-03</t>
  </si>
  <si>
    <t>safır dolap kapak</t>
  </si>
  <si>
    <t>22930-07</t>
  </si>
  <si>
    <t>breze dolap dıkme</t>
  </si>
  <si>
    <t>muslm</t>
  </si>
  <si>
    <t>22992-02</t>
  </si>
  <si>
    <t xml:space="preserve">major konsol kapak </t>
  </si>
  <si>
    <t>23085-06</t>
  </si>
  <si>
    <t>steve dolap alt</t>
  </si>
  <si>
    <t>valens konsol orta kapak</t>
  </si>
  <si>
    <t>pratık etajer 45 alt</t>
  </si>
  <si>
    <t>pratık etajer 45 ust</t>
  </si>
  <si>
    <t>sılver etejar 115 alt</t>
  </si>
  <si>
    <t>pratik etejar</t>
  </si>
  <si>
    <t>sılver etajer 115 yan</t>
  </si>
  <si>
    <t xml:space="preserve">major sehpa </t>
  </si>
  <si>
    <t>major sehpa</t>
  </si>
  <si>
    <t>23143-04</t>
  </si>
  <si>
    <t>INFORMATIC 135*135</t>
  </si>
  <si>
    <t>safir kapak</t>
  </si>
  <si>
    <t>major tek tabla</t>
  </si>
  <si>
    <t>flay perde</t>
  </si>
  <si>
    <t>majör dolap ust</t>
  </si>
  <si>
    <t>sabri kılıc</t>
  </si>
  <si>
    <t>23147-05</t>
  </si>
  <si>
    <t>zeta masa tabla</t>
  </si>
  <si>
    <t>sılver etejer üst</t>
  </si>
  <si>
    <t>majör masa tek tabla</t>
  </si>
  <si>
    <t>MAJOR MASA KONSOLU ÜST TABLASI</t>
  </si>
  <si>
    <t>fors kapak</t>
  </si>
  <si>
    <t>servet kaplan</t>
  </si>
  <si>
    <t>23298-11</t>
  </si>
  <si>
    <t>fly masa ust tabla</t>
  </si>
  <si>
    <t>23317-01</t>
  </si>
  <si>
    <t>MAJOR MASA KONSOL ÜST</t>
  </si>
  <si>
    <t>23298-21</t>
  </si>
  <si>
    <t>DENİS E. TOPLANTI 320*140</t>
  </si>
  <si>
    <t>eva orta sehpa</t>
  </si>
  <si>
    <t>23298 18</t>
  </si>
  <si>
    <t>majör masa üst tabla</t>
  </si>
  <si>
    <t>DENİZBANK ŞUBE MÜDÜR MASASI</t>
  </si>
  <si>
    <t>SABRİ</t>
  </si>
  <si>
    <t>23264-02</t>
  </si>
  <si>
    <t>MOTTO MASA KONSOL YAN</t>
  </si>
  <si>
    <t>23341-01</t>
  </si>
  <si>
    <t>DENİS TOPLANTI MASASI Â140</t>
  </si>
  <si>
    <t xml:space="preserve">rıva </t>
  </si>
  <si>
    <t>EVA MASA (240 CM) KONSOL ÜST</t>
  </si>
  <si>
    <t>23349-01</t>
  </si>
  <si>
    <t>eva baza</t>
  </si>
  <si>
    <t>VALENS MASA KONSOL ÜST TABLA</t>
  </si>
  <si>
    <t xml:space="preserve">recep </t>
  </si>
  <si>
    <t>valens masa keson alt üst</t>
  </si>
  <si>
    <t>23300-09</t>
  </si>
  <si>
    <t>pratik etejer kor kapak</t>
  </si>
  <si>
    <t>pratik etejer ust</t>
  </si>
  <si>
    <t>23298-23</t>
  </si>
  <si>
    <t>STONE SEHPA</t>
  </si>
  <si>
    <t>ali agackıran</t>
  </si>
  <si>
    <t>silveretejer yan</t>
  </si>
  <si>
    <t>silver keson kapak</t>
  </si>
  <si>
    <t>silver etejer alt</t>
  </si>
  <si>
    <t>silver etejer yan</t>
  </si>
  <si>
    <t>silver kapak</t>
  </si>
  <si>
    <t xml:space="preserve">silver etejer alt </t>
  </si>
  <si>
    <t>valens orta kapak</t>
  </si>
  <si>
    <t>aliağaç kıran</t>
  </si>
  <si>
    <t>23359-04</t>
  </si>
  <si>
    <t>23295-05</t>
  </si>
  <si>
    <t>denız bank top</t>
  </si>
  <si>
    <t>denız top</t>
  </si>
  <si>
    <t>SAİL TEKLİ MASA</t>
  </si>
  <si>
    <t>23415-06</t>
  </si>
  <si>
    <t>zirat ban kısa yan</t>
  </si>
  <si>
    <t>zıırat dolap ust</t>
  </si>
  <si>
    <t>zıırat bankası</t>
  </si>
  <si>
    <t>zıırat kapak</t>
  </si>
  <si>
    <t>riva alt baza</t>
  </si>
  <si>
    <t>riva banko ön perde</t>
  </si>
  <si>
    <t>yuksek dolap kapak zıraat bankası</t>
  </si>
  <si>
    <t xml:space="preserve">rıva banko ust tabla </t>
  </si>
  <si>
    <t>MOTTO MASA</t>
  </si>
  <si>
    <t>motto orta kapak</t>
  </si>
  <si>
    <t xml:space="preserve">riva bonko ust </t>
  </si>
  <si>
    <t>riva bonko ust</t>
  </si>
  <si>
    <t>trıo toplantı</t>
  </si>
  <si>
    <t>ali ağağ kıran</t>
  </si>
  <si>
    <t>elit masa perde</t>
  </si>
  <si>
    <t>lam dolap üst kapak</t>
  </si>
  <si>
    <t>lam dolap üst</t>
  </si>
  <si>
    <t>stel masa tabla</t>
  </si>
  <si>
    <t>rıva banko ust tabla</t>
  </si>
  <si>
    <t>sılıde masa</t>
  </si>
  <si>
    <t>tri masa</t>
  </si>
  <si>
    <t>SAIL MASA</t>
  </si>
  <si>
    <t>200 dlp yan</t>
  </si>
  <si>
    <t>breze dolap alt</t>
  </si>
  <si>
    <t>tın etejer arka</t>
  </si>
  <si>
    <t>slide calısma masası</t>
  </si>
  <si>
    <t>enes sahpa</t>
  </si>
  <si>
    <t>trı kapak</t>
  </si>
  <si>
    <t>motto masa 200 lük</t>
  </si>
  <si>
    <t>sail tekli masa</t>
  </si>
  <si>
    <t>23549-04</t>
  </si>
  <si>
    <t xml:space="preserve">loft toplantı </t>
  </si>
  <si>
    <t>KAPAK</t>
  </si>
  <si>
    <t>tın etejer dolp kapak</t>
  </si>
  <si>
    <t>ziraat yüksek dolap kapak</t>
  </si>
  <si>
    <t>aktor tabla</t>
  </si>
  <si>
    <t>enes etejer üst</t>
  </si>
  <si>
    <t>23509-25</t>
  </si>
  <si>
    <t>denis elips toplantı 320*140</t>
  </si>
  <si>
    <t xml:space="preserve">SABRİ KILIÇ </t>
  </si>
  <si>
    <t xml:space="preserve"> denis elips toplantı 320*140</t>
  </si>
  <si>
    <t>zeta masa 180</t>
  </si>
  <si>
    <t>informatic 150*100</t>
  </si>
  <si>
    <t>breze masa ön perde küçük</t>
  </si>
  <si>
    <t>23599-09</t>
  </si>
  <si>
    <t>BREEZE MASA/DUZ</t>
  </si>
  <si>
    <t>tın konsol üst</t>
  </si>
  <si>
    <t>23619-01</t>
  </si>
  <si>
    <t>riva banko ust tabla</t>
  </si>
  <si>
    <t>LOFT TOP.420*150</t>
  </si>
  <si>
    <t>BREEZE MASA/DÜZ</t>
  </si>
  <si>
    <t>zeta konsol üst</t>
  </si>
  <si>
    <t>work dolap sabit raf</t>
  </si>
  <si>
    <t>23649-04</t>
  </si>
  <si>
    <t>sılver vestıyer kapak</t>
  </si>
  <si>
    <t>fly sehpa üst tabla</t>
  </si>
  <si>
    <t xml:space="preserve">silver vestiyer kapak </t>
  </si>
  <si>
    <t>kısa dolap ust zıraat bankası</t>
  </si>
  <si>
    <t>riva bonko üst</t>
  </si>
  <si>
    <t>sılver dolap yan</t>
  </si>
  <si>
    <t>elıt etejer ayak</t>
  </si>
  <si>
    <t>ZİRAAT BANKASI</t>
  </si>
  <si>
    <t>EYYÜP MEŞE</t>
  </si>
  <si>
    <t>237290-01</t>
  </si>
  <si>
    <t>breze masa keson ust ve alt</t>
  </si>
  <si>
    <t>operasyon masa tabla</t>
  </si>
  <si>
    <t xml:space="preserve">ZİRAAT BANKASI </t>
  </si>
  <si>
    <t>EYUP MESE</t>
  </si>
  <si>
    <t>fly konsol masa alt</t>
  </si>
  <si>
    <t>23747 01</t>
  </si>
  <si>
    <t>breeze masa ön perde</t>
  </si>
  <si>
    <t>loft toplantı 240*120</t>
  </si>
  <si>
    <t>fly masa alt tabla</t>
  </si>
  <si>
    <t>layer dolap yan</t>
  </si>
  <si>
    <t>23780-04</t>
  </si>
  <si>
    <t>DELÜXE SEHPA TABLASI</t>
  </si>
  <si>
    <t>23774-02</t>
  </si>
  <si>
    <t>evol 4 calışma</t>
  </si>
  <si>
    <t>23778-01</t>
  </si>
  <si>
    <t>motto masa 200luk</t>
  </si>
  <si>
    <t>23751-06</t>
  </si>
  <si>
    <t>atlas masa perde</t>
  </si>
  <si>
    <t>silvır dolap kapak</t>
  </si>
  <si>
    <t>pratik etejer kapak</t>
  </si>
  <si>
    <t>pratik etejer raf</t>
  </si>
  <si>
    <t>ziraat bankası</t>
  </si>
  <si>
    <t>mıy mıa konsol kucuk kapak</t>
  </si>
  <si>
    <t>zirray bankası</t>
  </si>
  <si>
    <t>mıy mıa konsol buyuk kapak</t>
  </si>
  <si>
    <t>zırrat</t>
  </si>
  <si>
    <t>alt</t>
  </si>
  <si>
    <t>zırat</t>
  </si>
  <si>
    <t>arkalık</t>
  </si>
  <si>
    <t xml:space="preserve">BREZE MASA </t>
  </si>
  <si>
    <t>23813-01</t>
  </si>
  <si>
    <t>motto masa surgu kapak</t>
  </si>
  <si>
    <t>MAJÖR KONSOL ÜST TABLA</t>
  </si>
  <si>
    <t>pratik etejer yan</t>
  </si>
  <si>
    <t>evol work tabla</t>
  </si>
  <si>
    <t>DENİZ BANK VEZNE MASA</t>
  </si>
  <si>
    <t>MEHMER ÖZEN</t>
  </si>
  <si>
    <t>MAT PLUS KAR BEYAZ</t>
  </si>
  <si>
    <t>evol 2'li çalışma tabla</t>
  </si>
  <si>
    <t>eyüp kaska</t>
  </si>
  <si>
    <t>albaraka dolap arkalık</t>
  </si>
  <si>
    <t>planet r müdür tekli masa tablası</t>
  </si>
  <si>
    <t xml:space="preserve"> renk gaudi</t>
  </si>
  <si>
    <t>GAUDİ</t>
  </si>
  <si>
    <t>beta dolap raf</t>
  </si>
  <si>
    <t>sılver kapak lı dolap yan</t>
  </si>
  <si>
    <t>valens masa konsol arkalık</t>
  </si>
  <si>
    <t>valens masa ust tabla</t>
  </si>
  <si>
    <t>beta sabıt raf</t>
  </si>
  <si>
    <t>motto masa 200luk perde</t>
  </si>
  <si>
    <t>sail toplantı 280x120</t>
  </si>
  <si>
    <t>23927-03</t>
  </si>
  <si>
    <t>VALENS TOPLANTI 280X120</t>
  </si>
  <si>
    <t>sılver keson ust</t>
  </si>
  <si>
    <t>sılver keson alt</t>
  </si>
  <si>
    <t>beta dolap alt</t>
  </si>
  <si>
    <t>23984 29</t>
  </si>
  <si>
    <t>silver etajer 115 arkalık</t>
  </si>
  <si>
    <t>silver dolap kapak</t>
  </si>
  <si>
    <t>TEKLİ ÇALIŞMA MASASI</t>
  </si>
  <si>
    <t>POLO TEKLİ MASA</t>
  </si>
  <si>
    <t>23984-29</t>
  </si>
  <si>
    <t>SİLVER ETAJER 115</t>
  </si>
  <si>
    <t>silver konsol alt</t>
  </si>
  <si>
    <t>valens masa ön parçası</t>
  </si>
  <si>
    <t>evol masa eki</t>
  </si>
  <si>
    <t>SİLVER KONSOL ÜST</t>
  </si>
  <si>
    <t>SİLVER KONSOL ARKALIK</t>
  </si>
  <si>
    <t>24067-61</t>
  </si>
  <si>
    <t>informatic toplantı 400*200 tabla 2</t>
  </si>
  <si>
    <t>pratik konsol yan</t>
  </si>
  <si>
    <t>planet dolap yan</t>
  </si>
  <si>
    <t>pratik konsol arka</t>
  </si>
  <si>
    <t>pratik konsol üst</t>
  </si>
  <si>
    <t>fly konsol iç kakak</t>
  </si>
  <si>
    <t>silver konsol üst</t>
  </si>
  <si>
    <t>fly konsol kapama</t>
  </si>
  <si>
    <t>yuksek dolap yan</t>
  </si>
  <si>
    <t>yuksek dolap kapak</t>
  </si>
  <si>
    <t>sılver vestıyer dıkme</t>
  </si>
  <si>
    <t>major masa konsol dıkme</t>
  </si>
  <si>
    <t>major masa kutu alt</t>
  </si>
  <si>
    <t>polo work masa</t>
  </si>
  <si>
    <t>24073-05</t>
  </si>
  <si>
    <t>denis topalantı masası</t>
  </si>
  <si>
    <t>POLO WORK</t>
  </si>
  <si>
    <t>vestiyer dolap kapak</t>
  </si>
  <si>
    <t xml:space="preserve">DENİZBANK SEHPA </t>
  </si>
  <si>
    <t>rıva banko ayak</t>
  </si>
  <si>
    <t>denız bank masa</t>
  </si>
  <si>
    <t>ozel konsol orta kapak</t>
  </si>
  <si>
    <t>tımy raf</t>
  </si>
  <si>
    <t>valen tabla</t>
  </si>
  <si>
    <t xml:space="preserve">sail masa </t>
  </si>
  <si>
    <t xml:space="preserve">riva banko ayak </t>
  </si>
  <si>
    <t>layer orta arkalık</t>
  </si>
  <si>
    <t>pnet kapak</t>
  </si>
  <si>
    <t>layer buyuk kapak</t>
  </si>
  <si>
    <t xml:space="preserve">eva konsol ayak </t>
  </si>
  <si>
    <t>portfey sehpa denliz bank</t>
  </si>
  <si>
    <t>ayhan baş kesen</t>
  </si>
  <si>
    <t>sail toplantı</t>
  </si>
  <si>
    <t>cengiz ozdemır</t>
  </si>
  <si>
    <t>24237-01</t>
  </si>
  <si>
    <t>cage kıtaplakla masa</t>
  </si>
  <si>
    <t xml:space="preserve">deniz bank masa </t>
  </si>
  <si>
    <t>24267-08</t>
  </si>
  <si>
    <t xml:space="preserve">pratik etejer arka </t>
  </si>
  <si>
    <t xml:space="preserve">RİVA BANKO MASA TABLA </t>
  </si>
  <si>
    <t>SLİDE TABLA</t>
  </si>
  <si>
    <t>major masa üst</t>
  </si>
  <si>
    <t>palet çarpması montaj bolumu</t>
  </si>
  <si>
    <t>EVA KONSOL ÜST</t>
  </si>
  <si>
    <t>work ddolap kapak</t>
  </si>
  <si>
    <t>vizyon</t>
  </si>
  <si>
    <t>ÖZEL RİVA BANKO ÜST</t>
  </si>
  <si>
    <t>silver yan</t>
  </si>
  <si>
    <t>motto perde 180 lik</t>
  </si>
  <si>
    <t>tmy raf</t>
  </si>
  <si>
    <t>valens masa üst tabla</t>
  </si>
  <si>
    <t>evol 2 li calışma masa</t>
  </si>
  <si>
    <t>24290-06</t>
  </si>
  <si>
    <t>DENIS MT TOPLANTI</t>
  </si>
  <si>
    <t>deniz bank work</t>
  </si>
  <si>
    <t>silver dolap raf</t>
  </si>
  <si>
    <t>FORS DOLAP YAN</t>
  </si>
  <si>
    <t>FOR DOLAP ALT</t>
  </si>
  <si>
    <t>FLAY KONSOL ARKA</t>
  </si>
  <si>
    <t>FLY KONSOL KAPAK</t>
  </si>
  <si>
    <t>EVOL</t>
  </si>
  <si>
    <t xml:space="preserve">EVOL SEMİNER MASA </t>
  </si>
  <si>
    <t>slıde tbla</t>
  </si>
  <si>
    <t>sılde ust</t>
  </si>
  <si>
    <t>valens keson arka</t>
  </si>
  <si>
    <t>actor masa tabla 2</t>
  </si>
  <si>
    <t>informatik tepe</t>
  </si>
  <si>
    <t>informatik yan</t>
  </si>
  <si>
    <t>actor masa tabla</t>
  </si>
  <si>
    <t>actor tabla 2</t>
  </si>
  <si>
    <t xml:space="preserve">SİLİDE MASA </t>
  </si>
  <si>
    <t>STD DIŞI GEO TOPLANTI (ACİL)</t>
  </si>
  <si>
    <t>DENİZBANK WORK TABLA</t>
  </si>
  <si>
    <t>motto masa ,</t>
  </si>
  <si>
    <t>baskı toplarında tutkal kalması nedenıyle parca yı kırmıştır</t>
  </si>
  <si>
    <t>24354-02</t>
  </si>
  <si>
    <t>evol</t>
  </si>
  <si>
    <t xml:space="preserve">sabri </t>
  </si>
  <si>
    <t>ZİRAAT MÜDÜR KONSOL ALT</t>
  </si>
  <si>
    <t xml:space="preserve"> sail top tabla u çerçeve</t>
  </si>
  <si>
    <t>valens masa üst</t>
  </si>
  <si>
    <t>sky dolap sabitraf</t>
  </si>
  <si>
    <t>valens tek tabla</t>
  </si>
  <si>
    <t>MOTTO MASA SAĞ 180</t>
  </si>
  <si>
    <t>valens masa tek tabla</t>
  </si>
  <si>
    <t>24463-01</t>
  </si>
  <si>
    <t>STD DISI ACTOR TV UNITELI MASA 210x130</t>
  </si>
  <si>
    <t>24434-04</t>
  </si>
  <si>
    <t>DESK SAİL 180 80</t>
  </si>
  <si>
    <t>SPACE KONSOL ALT</t>
  </si>
  <si>
    <t>space etejer alt</t>
  </si>
  <si>
    <t>space etejer üst</t>
  </si>
  <si>
    <t>EVA KONSOL KAPAK</t>
  </si>
  <si>
    <t>denızbank work</t>
  </si>
  <si>
    <t>murat aslan</t>
  </si>
  <si>
    <t xml:space="preserve">SİLİDE WORK ÖZEL </t>
  </si>
  <si>
    <t>majör masa tabla buyuk</t>
  </si>
  <si>
    <t>majör masa tabla küçük</t>
  </si>
  <si>
    <t>breeze masa tabla</t>
  </si>
  <si>
    <t>breeze masa alt 8mm</t>
  </si>
  <si>
    <t>deniss toplantı</t>
  </si>
  <si>
    <t>beyaz</t>
  </si>
  <si>
    <t>metin koçakj</t>
  </si>
  <si>
    <t>denız bank work masa</t>
  </si>
  <si>
    <t>major kutu kapak</t>
  </si>
  <si>
    <t>yüksek dolap</t>
  </si>
  <si>
    <t>eyup mese</t>
  </si>
  <si>
    <t xml:space="preserve">sail tekli masa </t>
  </si>
  <si>
    <t>24596-01</t>
  </si>
  <si>
    <t>major masa kutu kapak</t>
  </si>
  <si>
    <t>konsol kor kapak albaraka</t>
  </si>
  <si>
    <t>geo konsol kapak</t>
  </si>
  <si>
    <t>valens konsol orta kapk</t>
  </si>
  <si>
    <t>24596-67</t>
  </si>
  <si>
    <t>24590-01</t>
  </si>
  <si>
    <t>polo masa piriz</t>
  </si>
  <si>
    <t>24575-02</t>
  </si>
  <si>
    <t>SPACE KONSOL</t>
  </si>
  <si>
    <t>PVC</t>
  </si>
  <si>
    <t>mottosehpa</t>
  </si>
  <si>
    <t>MAJÖR ETAJER ÜST TABLA</t>
  </si>
  <si>
    <t>MOTTO DOLAP ÜST</t>
  </si>
  <si>
    <t>24626-17</t>
  </si>
  <si>
    <t xml:space="preserve"> STD EVOL TEKLİ MASA</t>
  </si>
  <si>
    <t>SPACE KONSOL ÜST</t>
  </si>
  <si>
    <t xml:space="preserve">sılver keson yan </t>
  </si>
  <si>
    <t>zıırat bank kısa dolap kapak</t>
  </si>
  <si>
    <t xml:space="preserve">space konsol ust </t>
  </si>
  <si>
    <t>giriş sensoru arz oldugu için testere parçayı kırdı</t>
  </si>
  <si>
    <t>24655-01</t>
  </si>
  <si>
    <t>SPACE MASA (220 CM)</t>
  </si>
  <si>
    <t>24659-01</t>
  </si>
  <si>
    <t>PLANET MASA (140CM)</t>
  </si>
  <si>
    <t>24626 015</t>
  </si>
  <si>
    <t>evol toplantı masası</t>
  </si>
  <si>
    <t>pvc</t>
  </si>
  <si>
    <t>24639-01</t>
  </si>
  <si>
    <t>CAGE 4 LU CALASMA 280X140 TABLA</t>
  </si>
  <si>
    <t>24670-02</t>
  </si>
  <si>
    <t>space sail sehpa</t>
  </si>
  <si>
    <t>ELİT DOLAP ÜST</t>
  </si>
  <si>
    <t>ELİT DOLAP DİKMESİ</t>
  </si>
  <si>
    <t>motto konsol alt tabla</t>
  </si>
  <si>
    <t>PLANET MASA (140 CM)</t>
  </si>
  <si>
    <t>kayra dolap kapağı</t>
  </si>
  <si>
    <t>cage 4 lu çalışma 280*140 tabla</t>
  </si>
  <si>
    <t>povak planet r 360*200 tepe tabla sağ</t>
  </si>
  <si>
    <t>saaıl tabla</t>
  </si>
  <si>
    <t>ozel fors dolap alt</t>
  </si>
  <si>
    <t>fly dolap kapak</t>
  </si>
  <si>
    <t>24724-01</t>
  </si>
  <si>
    <t>24696-26</t>
  </si>
  <si>
    <t>24747-16</t>
  </si>
  <si>
    <t>tin etejer 115 üst</t>
  </si>
  <si>
    <t>MİRAC MASA (160) ön kayıt</t>
  </si>
  <si>
    <t>MİRAC MASA (160)</t>
  </si>
  <si>
    <t>MAJÖR DOLAP DİKME</t>
  </si>
  <si>
    <t>BREZZE MASA</t>
  </si>
  <si>
    <t>TEKLİ ÇALIŞMA MASASI 140*80</t>
  </si>
  <si>
    <t>TRIO MASA AYAK</t>
  </si>
  <si>
    <t>TRIO ETEJER AYAK</t>
  </si>
  <si>
    <t>tın etejer ust</t>
  </si>
  <si>
    <t>sılver etejer alt</t>
  </si>
  <si>
    <t>24747-17</t>
  </si>
  <si>
    <t>İNFORMATİC TOPLANT 320*135</t>
  </si>
  <si>
    <t>eva konsol parca</t>
  </si>
  <si>
    <t>24787-08</t>
  </si>
  <si>
    <t>silver 45lik etejer alt</t>
  </si>
  <si>
    <t>silver etejer 45lik üst</t>
  </si>
  <si>
    <t>trio masa ayak üst</t>
  </si>
  <si>
    <t>24787-15</t>
  </si>
  <si>
    <t>POLO MASA (160)</t>
  </si>
  <si>
    <t>POLA MASA (160)</t>
  </si>
  <si>
    <t>DİNAMİK MASA</t>
  </si>
  <si>
    <t>24814-34</t>
  </si>
  <si>
    <t>denis d. Toplantı 320*140</t>
  </si>
  <si>
    <t>tın dolap kapak</t>
  </si>
  <si>
    <t>24817-25</t>
  </si>
  <si>
    <t>silver etjer 115 arkalık</t>
  </si>
  <si>
    <t>silver 120 dolap kapak</t>
  </si>
  <si>
    <t>yüksek dolap yan</t>
  </si>
  <si>
    <t>silver dolap yan</t>
  </si>
  <si>
    <t>24694-05</t>
  </si>
  <si>
    <t>denis d. Toplantı 280*140</t>
  </si>
  <si>
    <t>İNFORMATİC TOPLANTI 320*135</t>
  </si>
  <si>
    <t>silver konsol yan</t>
  </si>
  <si>
    <t>24814-52</t>
  </si>
  <si>
    <t>LOFT KONSOL ÜST</t>
  </si>
  <si>
    <t>silver konsol sabit raf</t>
  </si>
  <si>
    <t>evol masa</t>
  </si>
  <si>
    <t>LOFT KONSOL ÜST TABLA</t>
  </si>
  <si>
    <t>work konsol üst</t>
  </si>
  <si>
    <t xml:space="preserve">silver konsol dikme </t>
  </si>
  <si>
    <t xml:space="preserve"> tin dolap kapak</t>
  </si>
  <si>
    <t>24895-01</t>
  </si>
  <si>
    <t>LOFT TOPLANTI   340X150</t>
  </si>
  <si>
    <t>sılver etejer alt115lık</t>
  </si>
  <si>
    <t>sılver etejer 115lik kapak</t>
  </si>
  <si>
    <t>eva konsol cekmece kapak</t>
  </si>
  <si>
    <t>loft konsol alt tabla</t>
  </si>
  <si>
    <t>valens sehpa ust tabla</t>
  </si>
  <si>
    <t>sensor parcayı ıstenilen ölçüde görmediyi için parçayı kırdı</t>
  </si>
  <si>
    <t xml:space="preserve">loft konsol yan kapak </t>
  </si>
  <si>
    <t>tin dolap kapak</t>
  </si>
  <si>
    <t>loft konsol alt</t>
  </si>
  <si>
    <t>valens konsol celik kasa yan</t>
  </si>
  <si>
    <t>valens konsol orta dıkme</t>
  </si>
  <si>
    <t>valens konsol dıkme</t>
  </si>
  <si>
    <t>valens masa konsol yan</t>
  </si>
  <si>
    <t>loft masa tabla</t>
  </si>
  <si>
    <t>loft dolap ust</t>
  </si>
  <si>
    <t>planet r tabla</t>
  </si>
  <si>
    <t>polo top eki</t>
  </si>
  <si>
    <t>space dolap üst</t>
  </si>
  <si>
    <t>pratik konsol dikme</t>
  </si>
  <si>
    <t>24954-11</t>
  </si>
  <si>
    <t>denis dikdörtgen toplantı 400*140 tepe</t>
  </si>
  <si>
    <t>denis dikdörten toplantı orta tabla 400*140</t>
  </si>
  <si>
    <t>fly etejer alt</t>
  </si>
  <si>
    <t>İNFORMATIK</t>
  </si>
  <si>
    <t>ÇALIŞMA</t>
  </si>
  <si>
    <t>polo etejer</t>
  </si>
  <si>
    <t>denız bank tabla</t>
  </si>
  <si>
    <t xml:space="preserve">planet r tabla </t>
  </si>
  <si>
    <t>24898-03</t>
  </si>
  <si>
    <t>layer3cekmecelivestıyer15054205</t>
  </si>
  <si>
    <t>yeniden işlem yapıldı</t>
  </si>
  <si>
    <t>sılver çekmece yüzü</t>
  </si>
  <si>
    <t>fly sehpa üst</t>
  </si>
  <si>
    <t>fly masa alt</t>
  </si>
  <si>
    <t>denizbank operasyon konsol kapak</t>
  </si>
  <si>
    <t>polo etejer üst</t>
  </si>
  <si>
    <t xml:space="preserve">52002-01 </t>
  </si>
  <si>
    <t>valens masa keson kapak</t>
  </si>
  <si>
    <t>silver konsol kapak</t>
  </si>
  <si>
    <t>deniz bank</t>
  </si>
  <si>
    <t>flay masa tabla</t>
  </si>
  <si>
    <t>SİS GRİ montajdan geldi</t>
  </si>
  <si>
    <t>24997-03</t>
  </si>
  <si>
    <t xml:space="preserve">zeta masa </t>
  </si>
  <si>
    <t>25024-04</t>
  </si>
  <si>
    <t xml:space="preserve">PALADIUM KONSOL ÜST TAC </t>
  </si>
  <si>
    <t>25002-03</t>
  </si>
  <si>
    <t xml:space="preserve">valens konsol üst tabla </t>
  </si>
  <si>
    <t>zeta masa</t>
  </si>
  <si>
    <t>slıde bar masa</t>
  </si>
  <si>
    <t>evol top tabla</t>
  </si>
  <si>
    <t xml:space="preserve">recep demırci  </t>
  </si>
  <si>
    <t>25024-06</t>
  </si>
  <si>
    <t>silver kapaklı dolap yan</t>
  </si>
  <si>
    <t>25087-04</t>
  </si>
  <si>
    <t xml:space="preserve">major masa konsol alt </t>
  </si>
  <si>
    <t>evol top eki</t>
  </si>
  <si>
    <t>palet carpması</t>
  </si>
  <si>
    <t>FLY MASA PERDE</t>
  </si>
  <si>
    <t>fly etajer ust</t>
  </si>
  <si>
    <t>45 lık sılver konsol yan</t>
  </si>
  <si>
    <t>evol calısma tabla</t>
  </si>
  <si>
    <t xml:space="preserve">carpma </t>
  </si>
  <si>
    <t>kısa dolap raf</t>
  </si>
  <si>
    <t>kısa dolap alt</t>
  </si>
  <si>
    <t>motto konsol surgu kapak</t>
  </si>
  <si>
    <t>ziraat bankası kısa dolap kapak</t>
  </si>
  <si>
    <t>25048-08</t>
  </si>
  <si>
    <t>evol çalışma masası tabla</t>
  </si>
  <si>
    <t>std dışı evol tabla</t>
  </si>
  <si>
    <t>çarpma</t>
  </si>
  <si>
    <t>riva banko üst tac</t>
  </si>
  <si>
    <t>denizbank personel masa</t>
  </si>
  <si>
    <t>informatic toplantı tabla 2</t>
  </si>
  <si>
    <t>STD EVOL ÇALIŞMA</t>
  </si>
  <si>
    <t>RİVA BANKO MASA TABLA</t>
  </si>
  <si>
    <t>std evol masa</t>
  </si>
  <si>
    <t>riva banko ayak içi</t>
  </si>
  <si>
    <t>stş evol masa</t>
  </si>
  <si>
    <t xml:space="preserve">  </t>
  </si>
  <si>
    <t>lam dolap sabit raf</t>
  </si>
  <si>
    <t>silver sabit raf</t>
  </si>
  <si>
    <t xml:space="preserve">informatic toplantı </t>
  </si>
  <si>
    <t>informatic toplantı</t>
  </si>
  <si>
    <t>EVOL TEKLİ MASA</t>
  </si>
  <si>
    <t>pratik etejer alt</t>
  </si>
  <si>
    <t>45lik silver üst</t>
  </si>
  <si>
    <t xml:space="preserve">silver 45 lik alt </t>
  </si>
  <si>
    <t>silver 45 lik arkalıkk</t>
  </si>
  <si>
    <t>silver kapaklı dolap kapok</t>
  </si>
  <si>
    <t>layer locker</t>
  </si>
  <si>
    <t>evol calışma masası</t>
  </si>
  <si>
    <t xml:space="preserve">SİLVER DOLAP YAN </t>
  </si>
  <si>
    <t>evol çalışma masası</t>
  </si>
  <si>
    <t>GOVAL ÖN PARCA KUMAŞ</t>
  </si>
  <si>
    <t>İBRAHİM ÇELİK</t>
  </si>
  <si>
    <t xml:space="preserve">kalite kontrol kırdı </t>
  </si>
  <si>
    <t>25251-04</t>
  </si>
  <si>
    <t>fly etejer yan</t>
  </si>
  <si>
    <t>montaj</t>
  </si>
  <si>
    <t>fly sehpa tabla</t>
  </si>
  <si>
    <t>fly etjer kapak</t>
  </si>
  <si>
    <t>space keson duz yan</t>
  </si>
  <si>
    <t>fly etejer on kapak</t>
  </si>
  <si>
    <t>fly konsol boy kapak</t>
  </si>
  <si>
    <t>sılver alt</t>
  </si>
  <si>
    <t>SİLVER DOLAP KAPAK</t>
  </si>
  <si>
    <t>SİLVER DOLAP ALT</t>
  </si>
  <si>
    <t>25179-07</t>
  </si>
  <si>
    <t>r iva banko üst tabla</t>
  </si>
  <si>
    <t>VALENS MASA PERDE</t>
  </si>
  <si>
    <t>POLO WORK MASA</t>
  </si>
  <si>
    <t>major masa tabla 1</t>
  </si>
  <si>
    <t>major masa tabla 2</t>
  </si>
  <si>
    <t xml:space="preserve">slıde work tabla </t>
  </si>
  <si>
    <t>en ve boydan 2 mm küçük</t>
  </si>
  <si>
    <t>layer calışma 150 54 245</t>
  </si>
  <si>
    <t>layer oturma modülü</t>
  </si>
  <si>
    <t>25271-01</t>
  </si>
  <si>
    <t>valens masa perde</t>
  </si>
  <si>
    <t>silver etejer 115 yan</t>
  </si>
  <si>
    <t>25184-25</t>
  </si>
  <si>
    <t>silver konsol arka</t>
  </si>
  <si>
    <t>25184-13</t>
  </si>
  <si>
    <t xml:space="preserve">majör masa konsol üst </t>
  </si>
  <si>
    <t xml:space="preserve">FLY KONSOL ÜST </t>
  </si>
  <si>
    <t>major masa on tabla</t>
  </si>
  <si>
    <t>denizbank</t>
  </si>
  <si>
    <t>m17c kasa sırt dolabı ust tabla</t>
  </si>
  <si>
    <t>paladyum etejer alt</t>
  </si>
  <si>
    <t xml:space="preserve">slide masa </t>
  </si>
  <si>
    <t>up downn</t>
  </si>
  <si>
    <t>Direktör masa sol tabla</t>
  </si>
  <si>
    <t xml:space="preserve">valens konsol dikme </t>
  </si>
  <si>
    <t xml:space="preserve">POLO MASA </t>
  </si>
  <si>
    <t xml:space="preserve">direktör masa </t>
  </si>
  <si>
    <t>anadolu hayat</t>
  </si>
  <si>
    <t>valens konsol üst</t>
  </si>
  <si>
    <t>25187-69</t>
  </si>
  <si>
    <t>ZETA ETEJER ALT</t>
  </si>
  <si>
    <t>informati</t>
  </si>
  <si>
    <t xml:space="preserve">fly dolap yan </t>
  </si>
  <si>
    <t>valens dolap ust 8 mm</t>
  </si>
  <si>
    <t xml:space="preserve">valens konsol arka </t>
  </si>
  <si>
    <t>zeta etejer alt</t>
  </si>
  <si>
    <t>MOTTO MASA 180</t>
  </si>
  <si>
    <t>25483-02</t>
  </si>
  <si>
    <t>MAJOR KONSOL UST</t>
  </si>
  <si>
    <t>cage masa tabla</t>
  </si>
  <si>
    <t>yanlıs spariş</t>
  </si>
  <si>
    <t>polo tekli masa</t>
  </si>
  <si>
    <t>slıde top yuvarlak</t>
  </si>
  <si>
    <t>25406-28</t>
  </si>
  <si>
    <t>LAYER GECİŞ DOLABI</t>
  </si>
  <si>
    <t>SPCE KESON ALT</t>
  </si>
  <si>
    <t>silver dolap alt</t>
  </si>
  <si>
    <t>25609-01</t>
  </si>
  <si>
    <t>tech kıtchenette doalp üst</t>
  </si>
  <si>
    <t>lif yönü hatası</t>
  </si>
  <si>
    <t>fly masa üst</t>
  </si>
  <si>
    <t>RUBENS</t>
  </si>
  <si>
    <t>space keson üst</t>
  </si>
  <si>
    <t>miraç masa üst</t>
  </si>
  <si>
    <t>25646-13</t>
  </si>
  <si>
    <t>fırat masa perde</t>
  </si>
  <si>
    <t>25652-04</t>
  </si>
  <si>
    <t>silver etejer 115 üst</t>
  </si>
  <si>
    <t>majör masa tabla</t>
  </si>
  <si>
    <t>prime sehpa</t>
  </si>
  <si>
    <t xml:space="preserve">actor </t>
  </si>
  <si>
    <t>tin dolaplı kapak</t>
  </si>
  <si>
    <t>renk luna</t>
  </si>
  <si>
    <t>200 lük lam dolap kapağı</t>
  </si>
  <si>
    <t xml:space="preserve">200 lük lam dolap yan </t>
  </si>
  <si>
    <t>200 lük lam dolap yan</t>
  </si>
  <si>
    <t>DENİZBANK</t>
  </si>
  <si>
    <t xml:space="preserve">FLAY SEHPA YAN </t>
  </si>
  <si>
    <t>eyüp meşe</t>
  </si>
  <si>
    <t>denis dikdörtgen toplantı 240*110</t>
  </si>
  <si>
    <t>25809-01</t>
  </si>
  <si>
    <t xml:space="preserve">slıde toplantı masa </t>
  </si>
  <si>
    <t>erikce</t>
  </si>
  <si>
    <t>planet r tekli 160*80</t>
  </si>
  <si>
    <t>steel sehpa</t>
  </si>
  <si>
    <t xml:space="preserve"> PRİME SEHPA 4</t>
  </si>
  <si>
    <t>PRİME SEHPA 5</t>
  </si>
  <si>
    <t>25566-7</t>
  </si>
  <si>
    <t>İKİLİ MASA</t>
  </si>
  <si>
    <t>25807-01</t>
  </si>
  <si>
    <t>CAGE TEKLİ 140*70</t>
  </si>
  <si>
    <t>DENİZ BANK ÖZEL LOFT TOP.</t>
  </si>
  <si>
    <t>İNFORMATİK 135*135</t>
  </si>
  <si>
    <t>fly konsol ön kapak</t>
  </si>
  <si>
    <t>alt ust</t>
  </si>
  <si>
    <t>renk mavi mukail usta  bilgisi var</t>
  </si>
  <si>
    <t>2 li çalışma tabla</t>
  </si>
  <si>
    <t>evol toplantı eki</t>
  </si>
  <si>
    <t xml:space="preserve">miraç etejer üst </t>
  </si>
  <si>
    <t>ACİLLLL</t>
  </si>
  <si>
    <t>prime sehpa 5</t>
  </si>
  <si>
    <t>25912-01</t>
  </si>
  <si>
    <t xml:space="preserve">evol toplantı eki </t>
  </si>
  <si>
    <t xml:space="preserve">cage masa </t>
  </si>
  <si>
    <t>slid e work tabla</t>
  </si>
  <si>
    <t>25948-02</t>
  </si>
  <si>
    <t>VALENS MASA TABLA KÜÇÜK</t>
  </si>
  <si>
    <t>26012-04</t>
  </si>
  <si>
    <t xml:space="preserve">space dolap üst </t>
  </si>
  <si>
    <t>26012-03</t>
  </si>
  <si>
    <t xml:space="preserve">space etejer alt </t>
  </si>
  <si>
    <t>26006-08</t>
  </si>
  <si>
    <t>kısa dolap kapak</t>
  </si>
  <si>
    <t>deniz bank vezne masa</t>
  </si>
  <si>
    <t>deniz  bank personel masa</t>
  </si>
  <si>
    <t>sail müdür masa</t>
  </si>
  <si>
    <t>tekli masa</t>
  </si>
  <si>
    <t>25228-15</t>
  </si>
  <si>
    <t>ezik</t>
  </si>
  <si>
    <t>25988-03</t>
  </si>
  <si>
    <t>pratik etejer dikme 160 lık</t>
  </si>
  <si>
    <t>pratik etejer dikme</t>
  </si>
  <si>
    <t>desk sail</t>
  </si>
  <si>
    <t>prj camlı dolap alt</t>
  </si>
  <si>
    <t xml:space="preserve">pratik etejer dikme </t>
  </si>
  <si>
    <t>SPACE DOLAP ÜST</t>
  </si>
  <si>
    <t>denizbank vezne konsol üst</t>
  </si>
  <si>
    <t>deniz bank vezne konsol alt</t>
  </si>
  <si>
    <t>PRATİK KONSOL ARKA</t>
  </si>
  <si>
    <t>daıs banko üst</t>
  </si>
  <si>
    <t>26100-01</t>
  </si>
  <si>
    <t>majör masa üst</t>
  </si>
  <si>
    <t>26088-1</t>
  </si>
  <si>
    <t>LOFT TOPLANTI TABLA</t>
  </si>
  <si>
    <t>riva perde</t>
  </si>
  <si>
    <t>denizbank vezne masa sol</t>
  </si>
  <si>
    <t>erikçe</t>
  </si>
  <si>
    <t>matt plus stoneware d 140 18mm</t>
  </si>
  <si>
    <t>riva banko üst taç</t>
  </si>
  <si>
    <t>planet konsol üst</t>
  </si>
  <si>
    <t>180 lik riva banko perde</t>
  </si>
  <si>
    <t>silver arkalık</t>
  </si>
  <si>
    <t>riva banko tabla</t>
  </si>
  <si>
    <t>26115-19</t>
  </si>
  <si>
    <t>sail tekli prizli</t>
  </si>
  <si>
    <t>26136   09</t>
  </si>
  <si>
    <t>26169-02</t>
  </si>
  <si>
    <t>DENIS D.BAR TABLASI</t>
  </si>
  <si>
    <t>26136 15</t>
  </si>
  <si>
    <t>planet konsol yan</t>
  </si>
  <si>
    <t xml:space="preserve">planet dolap yan </t>
  </si>
  <si>
    <t>mehmet bozkur</t>
  </si>
  <si>
    <t>planet dıkme</t>
  </si>
  <si>
    <t>mehmet bozkurt</t>
  </si>
  <si>
    <t>26163-02</t>
  </si>
  <si>
    <t>motto dolap alt</t>
  </si>
  <si>
    <t>PRATİK ETEJER 115 ÜST TABLA</t>
  </si>
  <si>
    <t>MUSTAFA YILDIRIM ACİLLLLL</t>
  </si>
  <si>
    <t>SAİL 2 P ÇALIŞMA</t>
  </si>
  <si>
    <t>DENİZBANK SEHPA</t>
  </si>
  <si>
    <t>majör dolap kapak</t>
  </si>
  <si>
    <t>evol toplantı</t>
  </si>
  <si>
    <t>26190-03</t>
  </si>
  <si>
    <t>silver etejer özel arkalık</t>
  </si>
  <si>
    <t>DENİS ELİPS TOPLANTI 240*110</t>
  </si>
  <si>
    <t>silver özel üst</t>
  </si>
  <si>
    <t>KLİMT</t>
  </si>
  <si>
    <t>space sehpa sail</t>
  </si>
  <si>
    <t>ozel sılver dolap ÜST</t>
  </si>
  <si>
    <t>fly orta sehpa</t>
  </si>
  <si>
    <t xml:space="preserve">SİLVER KAPAK </t>
  </si>
  <si>
    <t>tın konsol ust</t>
  </si>
  <si>
    <t>majör masa konsol dıkme</t>
  </si>
  <si>
    <t>26297-01</t>
  </si>
  <si>
    <t>26327-09</t>
  </si>
  <si>
    <t>ezik de var parçada</t>
  </si>
  <si>
    <t>majör kutu kapak</t>
  </si>
  <si>
    <t>PRJ-PLEXY SEP.</t>
  </si>
  <si>
    <t xml:space="preserve">fly masa tabla </t>
  </si>
  <si>
    <t>parcaya su deymiştir</t>
  </si>
  <si>
    <t>majör perde çıtası</t>
  </si>
  <si>
    <t>26342-02</t>
  </si>
  <si>
    <t>fly etejer ön kapak</t>
  </si>
  <si>
    <t>major masa ust</t>
  </si>
  <si>
    <t>26415-03</t>
  </si>
  <si>
    <t>toplantı masası tablası</t>
  </si>
  <si>
    <t>MAJÖR KONSOL ALT TABLA</t>
  </si>
  <si>
    <t xml:space="preserve">steel masa tabla </t>
  </si>
  <si>
    <t>recep demirci  tablalarda çizik var</t>
  </si>
  <si>
    <t>urun makinede dondu</t>
  </si>
  <si>
    <t xml:space="preserve">tmy </t>
  </si>
  <si>
    <t>MEMET ÖZEN</t>
  </si>
  <si>
    <t>pvc kaldırır ken kanal kırıldı</t>
  </si>
  <si>
    <t>prj tımy</t>
  </si>
  <si>
    <t>ozel banko tabla</t>
  </si>
  <si>
    <t>steel top tabla</t>
  </si>
  <si>
    <t>major masa cekmece buyuk</t>
  </si>
  <si>
    <t>sılver dolap ust</t>
  </si>
  <si>
    <t>kırımına olmuş</t>
  </si>
  <si>
    <t>prj melAMIN ARKALIK</t>
  </si>
  <si>
    <t>26491-02</t>
  </si>
  <si>
    <t>EVOL_1P11070</t>
  </si>
  <si>
    <t>TEKLİ ÇALIŞMA MASASI TABLA</t>
  </si>
  <si>
    <t>vestiyer yan</t>
  </si>
  <si>
    <t>180 LİK MAJOR KONSOL ÜST</t>
  </si>
  <si>
    <t>planet konsol ust tabla</t>
  </si>
  <si>
    <t>sılver dolap kapak</t>
  </si>
  <si>
    <t>space konsol orta raf</t>
  </si>
  <si>
    <t xml:space="preserve">majör dolap üst </t>
  </si>
  <si>
    <t>sperator</t>
  </si>
  <si>
    <t>murat</t>
  </si>
  <si>
    <t xml:space="preserve">majör masa </t>
  </si>
  <si>
    <t>yüksek dolap kapak</t>
  </si>
  <si>
    <t>26601-03</t>
  </si>
  <si>
    <t>Yeniden İşlenen Plakalar</t>
  </si>
  <si>
    <t>10 adet plaka yeniden işlem yapılmıştır.</t>
  </si>
  <si>
    <t>paladium dolap alt</t>
  </si>
  <si>
    <t>26426-01</t>
  </si>
  <si>
    <t>RİVA BANKO 140 CM</t>
  </si>
  <si>
    <t>DENIZ BANK KONSOL ALT</t>
  </si>
  <si>
    <t>PLANET R TEKLİ MASA</t>
  </si>
  <si>
    <t>GOWALL YAN</t>
  </si>
  <si>
    <t xml:space="preserve">yeni banko sag yan </t>
  </si>
  <si>
    <t>26626-11</t>
  </si>
  <si>
    <t>26622-01</t>
  </si>
  <si>
    <t>std dışı evol tekli masa</t>
  </si>
  <si>
    <t>masa 160</t>
  </si>
  <si>
    <t xml:space="preserve">ismail </t>
  </si>
  <si>
    <t>personel hatası</t>
  </si>
  <si>
    <t>imalat hatası</t>
  </si>
  <si>
    <t>kesım kırık</t>
  </si>
  <si>
    <t>26657-02</t>
  </si>
  <si>
    <t xml:space="preserve">YENİDEN İŞLEM </t>
  </si>
  <si>
    <t>AÇIKLAMA</t>
  </si>
  <si>
    <t>deniz bank ust tabla</t>
  </si>
  <si>
    <t>kırık nedeniyle freze yapılıp cnc bantlamaya gonderildi</t>
  </si>
  <si>
    <t>iki tarafıda imalat leke ve çizik var</t>
  </si>
  <si>
    <t>26577-25</t>
  </si>
  <si>
    <t>lam dolap kapağı</t>
  </si>
  <si>
    <t>motto konsol sürgü kapak</t>
  </si>
  <si>
    <t>silver 45 yan</t>
  </si>
  <si>
    <t>26577-03</t>
  </si>
  <si>
    <t>silver 45 arkalık</t>
  </si>
  <si>
    <t xml:space="preserve">ACTOR MASA TABLA </t>
  </si>
  <si>
    <t>SABRİ KILIC</t>
  </si>
  <si>
    <t>flay masa ön parça</t>
  </si>
  <si>
    <t>motto dikme</t>
  </si>
  <si>
    <t>elden düşürüldü</t>
  </si>
  <si>
    <t>26577-07</t>
  </si>
  <si>
    <t>evol tekli masa tabla</t>
  </si>
  <si>
    <t>MAJÖR DOLAP KAPAK</t>
  </si>
  <si>
    <t>altıpatlar toplantı</t>
  </si>
  <si>
    <t>eyup mesa</t>
  </si>
  <si>
    <t>arge hatası</t>
  </si>
  <si>
    <t xml:space="preserve">slıde masa  tabla </t>
  </si>
  <si>
    <t>26766-01</t>
  </si>
  <si>
    <t>major konsol ust tabla</t>
  </si>
  <si>
    <t>oparasyon masa tablası</t>
  </si>
  <si>
    <t>pratik 115 konsol kapak</t>
  </si>
  <si>
    <t>sail toplanbtı masa</t>
  </si>
  <si>
    <t>RİVA BANKO PERDE</t>
  </si>
  <si>
    <t>YANLIS DELİK</t>
  </si>
  <si>
    <t>ziraat kapak</t>
  </si>
  <si>
    <t>STEEL ORTA SEHBA</t>
  </si>
  <si>
    <t>MASA 160 TABLA</t>
  </si>
  <si>
    <t>motto masa 200 luk üst tabla sol</t>
  </si>
  <si>
    <t>26849-04</t>
  </si>
  <si>
    <t>MAJÖR KUTU ALT</t>
  </si>
  <si>
    <t>fly masa etejer arkalık</t>
  </si>
  <si>
    <t>26791-08</t>
  </si>
  <si>
    <t>26814-03</t>
  </si>
  <si>
    <t>RİVA BANKO ÖN PERDE</t>
  </si>
  <si>
    <t>26791-23</t>
  </si>
  <si>
    <t>PRATİK 160 ARKA</t>
  </si>
  <si>
    <t xml:space="preserve">evol masa tablaa </t>
  </si>
  <si>
    <t>breez ddolap kapak</t>
  </si>
  <si>
    <t xml:space="preserve">deniz bank </t>
  </si>
  <si>
    <t>26884-01</t>
  </si>
  <si>
    <t>polo work masa 140</t>
  </si>
  <si>
    <t>kadır demir</t>
  </si>
  <si>
    <t>26693-02</t>
  </si>
  <si>
    <t>std dısı evol toplantı masası</t>
  </si>
  <si>
    <t>kayra dolap kapak</t>
  </si>
  <si>
    <t>planet work ssh</t>
  </si>
  <si>
    <t>valens üst tabla</t>
  </si>
  <si>
    <t>pratik 115 kapak</t>
  </si>
  <si>
    <t>FIRAT MASA PERDE</t>
  </si>
  <si>
    <t>İPTAL OLAN  140 MASA PERDESİ İPTALKEN 120 LİK MASA PERDESİ İPTAL EDİLMİŞ 140 LIK FAZLA KALINCA 120 Lİ GE DÜŞÜRDÜK</t>
  </si>
  <si>
    <t>personel üst</t>
  </si>
  <si>
    <t>frezede kaydı</t>
  </si>
  <si>
    <t>tin kapak</t>
  </si>
  <si>
    <t>26900-02</t>
  </si>
  <si>
    <t>CAGE CAFE MASASA</t>
  </si>
  <si>
    <t>PATLAMA ÜNİTESİNDEKİ BASKI TOPU</t>
  </si>
  <si>
    <t xml:space="preserve">26928-28 </t>
  </si>
  <si>
    <t xml:space="preserve">riva banko ön perde 180 </t>
  </si>
  <si>
    <t xml:space="preserve">palet baskısı parçayı kırdı </t>
  </si>
  <si>
    <t>zeta etajer alt</t>
  </si>
  <si>
    <t>silver 45 etajer üst</t>
  </si>
  <si>
    <t>2mm kısa</t>
  </si>
  <si>
    <t>27006-01</t>
  </si>
  <si>
    <t>valens etejer arkalık</t>
  </si>
  <si>
    <t>26928-81</t>
  </si>
  <si>
    <t>layer oturma arkalık</t>
  </si>
  <si>
    <t>parca çatlak</t>
  </si>
  <si>
    <t>26929 01</t>
  </si>
  <si>
    <t>safir masa keson alt</t>
  </si>
  <si>
    <t>yüzeyinde leke var.</t>
  </si>
  <si>
    <t>albaraka sabit raf</t>
  </si>
  <si>
    <t>makineye ölçüyü yanlış girmiş</t>
  </si>
  <si>
    <t>EXTRUDE,</t>
  </si>
  <si>
    <t>ARZALI</t>
  </si>
  <si>
    <t>silver dolap üst</t>
  </si>
  <si>
    <t>informatik</t>
  </si>
  <si>
    <t xml:space="preserve">planet masa </t>
  </si>
  <si>
    <t>arsıv dolap yan</t>
  </si>
  <si>
    <t>kadir</t>
  </si>
  <si>
    <t>özel dolap</t>
  </si>
  <si>
    <t>rubens</t>
  </si>
  <si>
    <t>salih kömürcü</t>
  </si>
  <si>
    <t>özel dolap kapagı</t>
  </si>
  <si>
    <t>180 lik majör dolap üst</t>
  </si>
  <si>
    <t>dafne</t>
  </si>
  <si>
    <t>kurulum yapılırken köşe carpması sonocu kırılmıştır</t>
  </si>
  <si>
    <t>trıo dolap yan</t>
  </si>
  <si>
    <t>trio etejer ust tabla</t>
  </si>
  <si>
    <t>silver etejer kapak</t>
  </si>
  <si>
    <t>sail bar masası tablası</t>
  </si>
  <si>
    <t>zeta etejer yan</t>
  </si>
  <si>
    <t>enes orta sehpa kayıt</t>
  </si>
  <si>
    <t>space etejer yan</t>
  </si>
  <si>
    <t>çatlak</t>
  </si>
  <si>
    <t>27018-02</t>
  </si>
  <si>
    <t xml:space="preserve">space yan dıkme </t>
  </si>
  <si>
    <t>cnc delik taraflarının bantları kırık hava soguk olma nedeniyle bant kırıkları olusuyor</t>
  </si>
  <si>
    <t xml:space="preserve">bant kırıkları delik yonleri hava soguk nedeniyle </t>
  </si>
  <si>
    <t>27015-01</t>
  </si>
  <si>
    <t xml:space="preserve">MAKİNE ADI </t>
  </si>
  <si>
    <t>MAKİNE ADI</t>
  </si>
  <si>
    <t>SELCO</t>
  </si>
  <si>
    <t>MASTERWOOD</t>
  </si>
  <si>
    <t>SKİPPER</t>
  </si>
  <si>
    <t>TURANLAR</t>
  </si>
  <si>
    <t>ROVER B</t>
  </si>
  <si>
    <t>STREAM B</t>
  </si>
  <si>
    <t>STREAM C</t>
  </si>
  <si>
    <t>MACMAZZA</t>
  </si>
  <si>
    <t>enes etejer kapak</t>
  </si>
  <si>
    <t>elit etejer perde</t>
  </si>
  <si>
    <t xml:space="preserve">lam dolap kapak </t>
  </si>
  <si>
    <t>müdür masa konsol alt</t>
  </si>
  <si>
    <t xml:space="preserve">ozel work </t>
  </si>
  <si>
    <t>gişe bankosu etejer ust</t>
  </si>
  <si>
    <t xml:space="preserve">trıo dolap raf </t>
  </si>
  <si>
    <t>parça eğri oldugu için makine sperinde köşesi kırıldı</t>
  </si>
  <si>
    <t xml:space="preserve">gişe bankosu etejer alt baza </t>
  </si>
  <si>
    <t>flay masa üsttabla</t>
  </si>
  <si>
    <t>sılver konsol üst</t>
  </si>
  <si>
    <t>layer arkalık</t>
  </si>
  <si>
    <t>ikili çalışma masa tablası</t>
  </si>
  <si>
    <t>ikili,çalışma masa tablası</t>
  </si>
  <si>
    <t>parça şişkinlik var</t>
  </si>
  <si>
    <t>motto konsol keson çekmece</t>
  </si>
  <si>
    <t>parçada şişkinlik var</t>
  </si>
  <si>
    <t>fly orta sehpa alt ust</t>
  </si>
  <si>
    <t>kagıt hatası</t>
  </si>
  <si>
    <t xml:space="preserve">trio etejer ayak </t>
  </si>
  <si>
    <t>trio ayak</t>
  </si>
  <si>
    <t>1 adet kırık</t>
  </si>
  <si>
    <t>polo özel masa</t>
  </si>
  <si>
    <t>özel dolap lar 2mm pvc li</t>
  </si>
  <si>
    <t>500 gelen tarafa yeniden pvc atıldı</t>
  </si>
  <si>
    <t xml:space="preserve">ozel dolap baza </t>
  </si>
  <si>
    <t xml:space="preserve">260 taraf bant yapıldı </t>
  </si>
  <si>
    <t>fly sabit raf 2</t>
  </si>
  <si>
    <t>3 mm kısa</t>
  </si>
  <si>
    <t>valens masa tabla küçük</t>
  </si>
  <si>
    <t>zeta sehpa üst</t>
  </si>
  <si>
    <t>pratik etejer 115 üst</t>
  </si>
  <si>
    <t>kesimde makinenin tırnak eziği</t>
  </si>
  <si>
    <t>26859-25</t>
  </si>
  <si>
    <t>elit masa ayak</t>
  </si>
  <si>
    <t>27158-05</t>
  </si>
  <si>
    <t>ınboxs dosya dolap arkalık</t>
  </si>
  <si>
    <t>parçaya yağmur deymiş</t>
  </si>
  <si>
    <t>albaraka konsol sabit raf</t>
  </si>
  <si>
    <t>albaraka konsol alt</t>
  </si>
  <si>
    <t>denız bank konsol arka</t>
  </si>
  <si>
    <t>denız bank operasyon konsol yan</t>
  </si>
  <si>
    <t>banko</t>
  </si>
  <si>
    <t>ismail</t>
  </si>
  <si>
    <t>ınbox dolap arkalık</t>
  </si>
  <si>
    <t>27053-01</t>
  </si>
  <si>
    <t>27217-09</t>
  </si>
  <si>
    <t>INFORMATAIC TOPLANTI MASA</t>
  </si>
  <si>
    <t xml:space="preserve">saıl masa </t>
  </si>
  <si>
    <t>spere parçayı dayamadan verildi makinede ergi gitti</t>
  </si>
  <si>
    <t xml:space="preserve">work dolap yan </t>
  </si>
  <si>
    <t>motto etejer kapak</t>
  </si>
  <si>
    <t>1 cm kısa</t>
  </si>
  <si>
    <t>kombi dolabı denizbank</t>
  </si>
  <si>
    <t>m.bulut</t>
  </si>
  <si>
    <t>pvc yapıştı</t>
  </si>
  <si>
    <t>27196-01</t>
  </si>
  <si>
    <t xml:space="preserve">polo tekli masa </t>
  </si>
  <si>
    <t>27173-01</t>
  </si>
  <si>
    <t xml:space="preserve">steel toplantı </t>
  </si>
  <si>
    <t>ikili çalışma tabla</t>
  </si>
  <si>
    <t>menteşe tığı kapağı kırdı</t>
  </si>
  <si>
    <t>27171-12</t>
  </si>
  <si>
    <t>breze masa duz</t>
  </si>
  <si>
    <t>enes masa</t>
  </si>
  <si>
    <t xml:space="preserve">elit sehpa </t>
  </si>
  <si>
    <t>GRİ PVC BANTLARDA LEKEler var 700 kenarları yapıştı 2 taraf</t>
  </si>
  <si>
    <t>elit etejer tabla</t>
  </si>
  <si>
    <t>gri pvc 800 kenarı tek 1 taraf yapıştı</t>
  </si>
  <si>
    <t>denizbak</t>
  </si>
  <si>
    <t>27217-08</t>
  </si>
  <si>
    <t>major masa perde</t>
  </si>
  <si>
    <t>elıt masa</t>
  </si>
  <si>
    <t xml:space="preserve">muslum bulut </t>
  </si>
  <si>
    <t>parcayı eğri verdi</t>
  </si>
  <si>
    <t>valens konso kapak</t>
  </si>
  <si>
    <t>stell ıkılı çalışma</t>
  </si>
  <si>
    <t>muslum b</t>
  </si>
  <si>
    <t>steel toplantı</t>
  </si>
  <si>
    <t>polo 2li çalışma</t>
  </si>
  <si>
    <t>SİLVER ETEJER ARKALIK</t>
  </si>
  <si>
    <t>MUSLUM</t>
  </si>
  <si>
    <t>SILVER ETEJER KAPAK</t>
  </si>
  <si>
    <t>DOLAP TIP3 KAPAK LIBYA FUAR</t>
  </si>
  <si>
    <t>WORK DOLAP KAPAK</t>
  </si>
  <si>
    <t>WORK DOLAP UST</t>
  </si>
  <si>
    <t>SILVER ETEJER KOR KAPAK</t>
  </si>
  <si>
    <t>WORK DOLAP YAN</t>
  </si>
  <si>
    <t>ziraat bankası yüksek dolap kapak</t>
  </si>
  <si>
    <t>informatıc</t>
  </si>
  <si>
    <t xml:space="preserve">MOTTO DOLAP KAPAK </t>
  </si>
  <si>
    <t>PLANET DOLAP KAPAK</t>
  </si>
  <si>
    <t xml:space="preserve">PERSONEL </t>
  </si>
  <si>
    <t>TİN KAPAK</t>
  </si>
  <si>
    <t xml:space="preserve">YÜZEYDE KABARIKLIK </t>
  </si>
  <si>
    <t>27286-04</t>
  </si>
  <si>
    <t xml:space="preserve">BREZE DOLAP KAPAK </t>
  </si>
  <si>
    <t>yanlıs program</t>
  </si>
  <si>
    <t>406 olan taraf yapıştırıldı.</t>
  </si>
  <si>
    <t>silver 45 üst</t>
  </si>
  <si>
    <t>TIN ETEJER RAF</t>
  </si>
  <si>
    <t xml:space="preserve">URUNUN ETİKETİ VURULDU MONTAJ BOLUMUNDE URUNU BULAMADILAR </t>
  </si>
  <si>
    <t>27337-02</t>
  </si>
  <si>
    <t xml:space="preserve">loft masa </t>
  </si>
  <si>
    <t>zıraat kapak</t>
  </si>
  <si>
    <t>27393-04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</si>
</sst>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24"/>
      <color rgb="FF000000"/>
      <name val="Calibri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2" fontId="0" fillId="0" borderId="1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ill="1"/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3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1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492199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914400</xdr:colOff>
          <xdr:row>14</xdr:row>
          <xdr:rowOff>76200</xdr:rowOff>
        </xdr:from>
        <xdr:to>
          <xdr:col>2</xdr:col>
          <xdr:colOff>2286000</xdr:colOff>
          <xdr:row>15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tr-TR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o1" displayName="Tablo1" ref="H5:I19" totalsRowShown="0">
  <autoFilter ref="H5:I19" xr:uid="{00000000-0009-0000-0100-000001000000}"/>
  <tableColumns count="2">
    <tableColumn id="1" xr3:uid="{00000000-0010-0000-0000-000001000000}" name="Hata Nedeni"/>
    <tableColumn id="2" xr3:uid="{00000000-0010-0000-0000-000002000000}" name="MAKİNE AD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o6" displayName="Tablo6" ref="D5:D13" totalsRowShown="0">
  <autoFilter ref="D5:D13" xr:uid="{00000000-0009-0000-0100-000006000000}"/>
  <tableColumns count="1">
    <tableColumn id="1" xr3:uid="{00000000-0010-0000-0100-000001000000}" name="Bölüm Adı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ablo7" displayName="Tablo7" ref="E5:E13" totalsRowShown="0">
  <autoFilter ref="E5:E13" xr:uid="{00000000-0009-0000-0100-000007000000}"/>
  <tableColumns count="1">
    <tableColumn id="1" xr3:uid="{00000000-0010-0000-0200-000001000000}" name="Talep Açan Kullanıcı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Tablo8" displayName="Tablo8" ref="F5:F33" totalsRowShown="0">
  <autoFilter ref="F5:F33" xr:uid="{00000000-0009-0000-0100-000008000000}"/>
  <tableColumns count="1">
    <tableColumn id="1" xr3:uid="{00000000-0010-0000-0300-000001000000}" name="Renkl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Tablo9" displayName="Tablo9" ref="G5:G8" totalsRowShown="0">
  <autoFilter ref="G5:G8" xr:uid="{00000000-0009-0000-0100-000009000000}"/>
  <tableColumns count="1">
    <tableColumn id="1" xr3:uid="{00000000-0010-0000-0400-000001000000}" name="Kalınlı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pageSetUpPr fitToPage="1"/>
  </sheetPr>
  <dimension ref="A1:C17"/>
  <sheetViews>
    <sheetView showGridLines="0" zoomScaleNormal="100" workbookViewId="0">
      <selection activeCell="C12" sqref="C12"/>
    </sheetView>
  </sheetViews>
  <sheetFormatPr defaultRowHeight="14.4" x14ac:dyDescent="0.3"/>
  <cols>
    <col min="1" max="1" width="14.5546875" style="1" customWidth="1"/>
    <col min="2" max="2" width="18.21875" customWidth="1"/>
    <col min="3" max="3" width="49.5546875" customWidth="1"/>
    <col min="4" max="4" width="14.5546875" customWidth="1"/>
    <col min="5" max="5" width="11.5546875" customWidth="1"/>
    <col min="6" max="6" width="23.5546875" bestFit="1" customWidth="1"/>
  </cols>
  <sheetData>
    <row r="1" spans="1:3" ht="46.5" customHeight="1" x14ac:dyDescent="0.3">
      <c r="A1" s="2"/>
      <c r="B1" s="24" t="s">
        <v>48</v>
      </c>
      <c r="C1" s="25"/>
    </row>
    <row r="2" spans="1:3" ht="31.5" customHeight="1" x14ac:dyDescent="0.3">
      <c r="A2" s="21" t="s">
        <v>0</v>
      </c>
      <c r="B2" s="21"/>
      <c r="C2" s="12">
        <f ca="1">NOW()</f>
        <v>46092.514043287039</v>
      </c>
    </row>
    <row r="3" spans="1:3" ht="42" customHeight="1" x14ac:dyDescent="0.3">
      <c r="A3" s="21" t="s">
        <v>1</v>
      </c>
      <c r="B3" s="21"/>
      <c r="C3" s="6"/>
    </row>
    <row r="4" spans="1:3" ht="42" customHeight="1" x14ac:dyDescent="0.3">
      <c r="A4" s="26" t="s">
        <v>1668</v>
      </c>
      <c r="B4" s="27"/>
      <c r="C4" s="6"/>
    </row>
    <row r="5" spans="1:3" ht="45.75" customHeight="1" x14ac:dyDescent="0.3">
      <c r="A5" s="26" t="s">
        <v>49</v>
      </c>
      <c r="B5" s="27"/>
      <c r="C5" s="6"/>
    </row>
    <row r="6" spans="1:3" ht="42.75" customHeight="1" x14ac:dyDescent="0.3">
      <c r="A6" s="26" t="s">
        <v>121</v>
      </c>
      <c r="B6" s="27"/>
      <c r="C6" s="6"/>
    </row>
    <row r="7" spans="1:3" ht="49.5" customHeight="1" x14ac:dyDescent="0.3">
      <c r="A7" s="26" t="s">
        <v>12</v>
      </c>
      <c r="B7" s="27"/>
      <c r="C7" s="6"/>
    </row>
    <row r="8" spans="1:3" ht="46.5" customHeight="1" x14ac:dyDescent="0.3">
      <c r="A8" s="26" t="s">
        <v>44</v>
      </c>
      <c r="B8" s="27"/>
      <c r="C8" s="6"/>
    </row>
    <row r="9" spans="1:3" ht="43.5" customHeight="1" x14ac:dyDescent="0.3">
      <c r="A9" s="26" t="s">
        <v>60</v>
      </c>
      <c r="B9" s="27"/>
      <c r="C9" s="6"/>
    </row>
    <row r="10" spans="1:3" ht="47.25" customHeight="1" x14ac:dyDescent="0.3">
      <c r="A10" s="8"/>
      <c r="B10" s="9" t="s">
        <v>61</v>
      </c>
      <c r="C10" s="6"/>
    </row>
    <row r="11" spans="1:3" ht="49.5" customHeight="1" x14ac:dyDescent="0.3">
      <c r="A11" s="26" t="s">
        <v>56</v>
      </c>
      <c r="B11" s="27"/>
      <c r="C11" s="6"/>
    </row>
    <row r="12" spans="1:3" ht="50.25" customHeight="1" x14ac:dyDescent="0.3">
      <c r="A12" s="21" t="s">
        <v>2</v>
      </c>
      <c r="B12" s="21"/>
      <c r="C12" s="6"/>
    </row>
    <row r="13" spans="1:3" ht="50.25" customHeight="1" x14ac:dyDescent="0.3">
      <c r="A13" s="26" t="s">
        <v>154</v>
      </c>
      <c r="B13" s="27"/>
      <c r="C13" s="6"/>
    </row>
    <row r="14" spans="1:3" ht="50.25" customHeight="1" x14ac:dyDescent="0.3">
      <c r="A14" s="28" t="s">
        <v>1564</v>
      </c>
      <c r="B14" s="29"/>
      <c r="C14" s="6"/>
    </row>
    <row r="15" spans="1:3" ht="24" customHeight="1" x14ac:dyDescent="0.3">
      <c r="A15" s="22"/>
      <c r="B15" s="22"/>
      <c r="C15" s="23"/>
    </row>
    <row r="16" spans="1:3" ht="24" customHeight="1" x14ac:dyDescent="0.3">
      <c r="A16" s="22"/>
      <c r="B16" s="22"/>
      <c r="C16" s="23"/>
    </row>
    <row r="17" spans="3:3" x14ac:dyDescent="0.3">
      <c r="C17" s="15"/>
    </row>
  </sheetData>
  <mergeCells count="15">
    <mergeCell ref="A3:B3"/>
    <mergeCell ref="A15:B16"/>
    <mergeCell ref="C15:C16"/>
    <mergeCell ref="B1:C1"/>
    <mergeCell ref="A2:B2"/>
    <mergeCell ref="A12:B12"/>
    <mergeCell ref="A5:B5"/>
    <mergeCell ref="A6:B6"/>
    <mergeCell ref="A8:B8"/>
    <mergeCell ref="A7:B7"/>
    <mergeCell ref="A9:B9"/>
    <mergeCell ref="A11:B11"/>
    <mergeCell ref="A13:B13"/>
    <mergeCell ref="A14:B14"/>
    <mergeCell ref="A4:B4"/>
  </mergeCells>
  <dataValidations count="2">
    <dataValidation type="list" allowBlank="1" showInputMessage="1" showErrorMessage="1" sqref="C3" xr:uid="{00000000-0002-0000-0000-000000000000}">
      <formula1>Bölüm_Adı</formula1>
    </dataValidation>
    <dataValidation type="list" allowBlank="1" showInputMessage="1" showErrorMessage="1" sqref="C8" xr:uid="{00000000-0002-0000-0000-000001000000}">
      <formula1>Kalınlık</formula1>
    </dataValidation>
  </dataValidations>
  <pageMargins left="0.25" right="0.25" top="0.75" bottom="0.75" header="0.3" footer="0.3"/>
  <pageSetup paperSize="11"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ro2">
                <anchor moveWithCells="1" sizeWithCells="1">
                  <from>
                    <xdr:col>2</xdr:col>
                    <xdr:colOff>914400</xdr:colOff>
                    <xdr:row>14</xdr:row>
                    <xdr:rowOff>76200</xdr:rowOff>
                  </from>
                  <to>
                    <xdr:col>2</xdr:col>
                    <xdr:colOff>2286000</xdr:colOff>
                    <xdr:row>15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2000000}">
          <x14:formula1>
            <xm:f>'Veri doğrulama'!$H$6:$H$19</xm:f>
          </x14:formula1>
          <xm:sqref>C12</xm:sqref>
        </x14:dataValidation>
        <x14:dataValidation type="list" allowBlank="1" showInputMessage="1" showErrorMessage="1" xr:uid="{00000000-0002-0000-0000-000003000000}">
          <x14:formula1>
            <xm:f>'Veri doğrulama'!$I$6:$I$13</xm:f>
          </x14:formula1>
          <xm:sqref>C4</xm:sqref>
        </x14:dataValidation>
        <x14:dataValidation type="list" allowBlank="1" showInputMessage="1" showErrorMessage="1" xr:uid="{00000000-0002-0000-0000-000004000000}">
          <x14:formula1>
            <xm:f>'Veri doğrulama'!$F$6:$F$33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/>
  <dimension ref="A1:R1515"/>
  <sheetViews>
    <sheetView showGridLines="0" tabSelected="1" zoomScaleNormal="100" zoomScaleSheetLayoutView="25" workbookViewId="0">
      <selection activeCell="G6" sqref="G6"/>
    </sheetView>
  </sheetViews>
  <sheetFormatPr defaultColWidth="19.21875" defaultRowHeight="30" customHeight="1" x14ac:dyDescent="0.3"/>
  <cols>
    <col min="1" max="1" width="21.77734375" style="3" customWidth="1"/>
    <col min="2" max="2" width="15" style="3" customWidth="1"/>
    <col min="3" max="3" width="11.77734375" style="3" customWidth="1"/>
    <col min="4" max="4" width="16.5546875" style="3" customWidth="1"/>
    <col min="5" max="5" width="8.21875" style="3" customWidth="1"/>
    <col min="6" max="6" width="27.77734375" style="3" customWidth="1"/>
    <col min="7" max="7" width="15.77734375" style="3" customWidth="1"/>
    <col min="8" max="8" width="7.77734375" style="3" customWidth="1"/>
    <col min="9" max="9" width="9.21875" style="3" customWidth="1"/>
    <col min="10" max="10" width="11.21875" style="3" customWidth="1"/>
    <col min="11" max="11" width="7" style="3" customWidth="1"/>
    <col min="12" max="12" width="10" style="3" customWidth="1"/>
    <col min="13" max="13" width="16" style="3" customWidth="1"/>
    <col min="14" max="14" width="14.77734375" style="3" customWidth="1"/>
    <col min="15" max="15" width="16.21875" style="3" customWidth="1"/>
    <col min="16" max="16" width="16.5546875" style="19" customWidth="1"/>
    <col min="17" max="17" width="19.21875" style="19"/>
    <col min="18" max="18" width="14" style="19" customWidth="1"/>
  </cols>
  <sheetData>
    <row r="1" spans="1:18" ht="30" customHeight="1" x14ac:dyDescent="0.3">
      <c r="A1" s="4" t="s">
        <v>0</v>
      </c>
      <c r="B1" s="4" t="s">
        <v>1</v>
      </c>
      <c r="C1" s="4" t="s">
        <v>1669</v>
      </c>
      <c r="D1" s="5" t="s">
        <v>47</v>
      </c>
      <c r="E1" s="5" t="s">
        <v>49</v>
      </c>
      <c r="F1" s="5" t="s">
        <v>45</v>
      </c>
      <c r="G1" s="5" t="s">
        <v>46</v>
      </c>
      <c r="H1" s="5" t="s">
        <v>44</v>
      </c>
      <c r="I1" s="5" t="s">
        <v>59</v>
      </c>
      <c r="J1" s="5" t="s">
        <v>58</v>
      </c>
      <c r="K1" s="5" t="s">
        <v>56</v>
      </c>
      <c r="L1" s="5" t="s">
        <v>57</v>
      </c>
      <c r="M1" s="5" t="s">
        <v>2</v>
      </c>
      <c r="N1" s="5" t="s">
        <v>154</v>
      </c>
      <c r="O1" s="5" t="s">
        <v>1564</v>
      </c>
      <c r="P1" s="18" t="s">
        <v>50</v>
      </c>
      <c r="Q1" s="18" t="s">
        <v>51</v>
      </c>
      <c r="R1" s="18" t="s">
        <v>52</v>
      </c>
    </row>
    <row r="2" spans="1:18" s="16" customFormat="1" ht="31.95" customHeight="1" x14ac:dyDescent="0.3">
      <c r="A2" s="7">
        <v>46092.465069444443</v>
      </c>
      <c r="B2" s="6" t="s">
        <v>4</v>
      </c>
      <c r="C2" s="6" t="s">
        <v>1675</v>
      </c>
      <c r="D2" s="6" t="str">
        <f>VLOOKUP(B2,'Veri doğrulama'!$D$6:$F$13,2,0)</f>
        <v>MEHMET YAZICI</v>
      </c>
      <c r="E2" s="6" t="s">
        <v>1783</v>
      </c>
      <c r="F2" s="6" t="s">
        <v>303</v>
      </c>
      <c r="G2" s="6" t="s">
        <v>19</v>
      </c>
      <c r="H2" s="6" t="s">
        <v>34</v>
      </c>
      <c r="I2" s="6">
        <v>698</v>
      </c>
      <c r="J2" s="6">
        <v>435</v>
      </c>
      <c r="K2" s="6">
        <v>1</v>
      </c>
      <c r="L2" s="10">
        <f>I2*J2/1000000*K2</f>
        <v>0.30363000000000001</v>
      </c>
      <c r="M2" s="6" t="s">
        <v>102</v>
      </c>
      <c r="N2" s="6" t="s">
        <v>159</v>
      </c>
      <c r="O2" s="6"/>
      <c r="P2" s="17"/>
      <c r="Q2" s="17"/>
      <c r="R2" s="17"/>
    </row>
    <row r="3" spans="1:18" s="16" customFormat="1" ht="31.95" customHeight="1" x14ac:dyDescent="0.3">
      <c r="A3" s="7">
        <v>46092.339675925927</v>
      </c>
      <c r="B3" s="6" t="s">
        <v>4</v>
      </c>
      <c r="C3" s="6" t="s">
        <v>1676</v>
      </c>
      <c r="D3" s="6" t="str">
        <f>VLOOKUP(B3,'Veri doğrulama'!$D$6:$F$13,2,0)</f>
        <v>MEHMET YAZICI</v>
      </c>
      <c r="E3" s="6"/>
      <c r="F3" s="6" t="s">
        <v>1782</v>
      </c>
      <c r="G3" s="6" t="s">
        <v>16</v>
      </c>
      <c r="H3" s="6" t="s">
        <v>34</v>
      </c>
      <c r="I3" s="6">
        <v>700</v>
      </c>
      <c r="J3" s="6">
        <v>397</v>
      </c>
      <c r="K3" s="6">
        <v>1</v>
      </c>
      <c r="L3" s="10">
        <f t="shared" ref="L3:L7" si="0">I3*J3/1000000*K3</f>
        <v>0.27789999999999998</v>
      </c>
      <c r="M3" s="6" t="s">
        <v>103</v>
      </c>
      <c r="N3" s="6" t="s">
        <v>385</v>
      </c>
      <c r="O3" s="6"/>
      <c r="P3" s="17" t="s">
        <v>54</v>
      </c>
      <c r="Q3" s="17"/>
      <c r="R3" s="17"/>
    </row>
    <row r="4" spans="1:18" s="16" customFormat="1" ht="31.95" customHeight="1" x14ac:dyDescent="0.3">
      <c r="A4" s="7">
        <v>46091.45034722222</v>
      </c>
      <c r="B4" s="6" t="s">
        <v>5</v>
      </c>
      <c r="C4" s="6" t="s">
        <v>1674</v>
      </c>
      <c r="D4" s="6" t="str">
        <f>VLOOKUP(B4,'Veri doğrulama'!$D$6:$F$13,2,0)</f>
        <v>MEHMET ÖZEN</v>
      </c>
      <c r="E4" s="6" t="s">
        <v>1780</v>
      </c>
      <c r="F4" s="6" t="s">
        <v>1781</v>
      </c>
      <c r="G4" s="6" t="s">
        <v>1010</v>
      </c>
      <c r="H4" s="6" t="s">
        <v>34</v>
      </c>
      <c r="I4" s="6">
        <v>2210</v>
      </c>
      <c r="J4" s="6">
        <v>910</v>
      </c>
      <c r="K4" s="6">
        <v>1</v>
      </c>
      <c r="L4" s="10">
        <f t="shared" si="0"/>
        <v>2.0110999999999999</v>
      </c>
      <c r="M4" s="6" t="s">
        <v>102</v>
      </c>
      <c r="N4" s="6"/>
      <c r="O4" s="6"/>
      <c r="P4" s="17" t="s">
        <v>54</v>
      </c>
      <c r="Q4" s="17"/>
      <c r="R4" s="17"/>
    </row>
    <row r="5" spans="1:18" s="16" customFormat="1" ht="31.95" customHeight="1" x14ac:dyDescent="0.3">
      <c r="A5" s="7">
        <v>46091.408125000002</v>
      </c>
      <c r="B5" s="6" t="s">
        <v>5</v>
      </c>
      <c r="C5" s="6" t="s">
        <v>1671</v>
      </c>
      <c r="D5" s="6" t="str">
        <f>VLOOKUP(B5,'Veri doğrulama'!$D$6:$F$13,2,0)</f>
        <v>MEHMET ÖZEN</v>
      </c>
      <c r="E5" s="6"/>
      <c r="F5" s="6" t="s">
        <v>709</v>
      </c>
      <c r="G5" s="6" t="s">
        <v>18</v>
      </c>
      <c r="H5" s="6" t="s">
        <v>34</v>
      </c>
      <c r="I5" s="6">
        <v>1800</v>
      </c>
      <c r="J5" s="6">
        <v>800</v>
      </c>
      <c r="K5" s="6">
        <v>1</v>
      </c>
      <c r="L5" s="10">
        <f t="shared" si="0"/>
        <v>1.44</v>
      </c>
      <c r="M5" s="6" t="s">
        <v>103</v>
      </c>
      <c r="N5" s="6"/>
      <c r="O5" s="6"/>
      <c r="P5" s="17" t="s">
        <v>54</v>
      </c>
      <c r="Q5" s="17"/>
      <c r="R5" s="17"/>
    </row>
    <row r="6" spans="1:18" s="16" customFormat="1" ht="31.95" customHeight="1" x14ac:dyDescent="0.3">
      <c r="A6" s="7">
        <v>46090.679212962961</v>
      </c>
      <c r="B6" s="6" t="s">
        <v>4</v>
      </c>
      <c r="C6" s="6" t="s">
        <v>1675</v>
      </c>
      <c r="D6" s="6" t="str">
        <f>VLOOKUP(B6,'Veri doğrulama'!$D$6:$F$13,2,0)</f>
        <v>MEHMET YAZICI</v>
      </c>
      <c r="E6" s="6"/>
      <c r="F6" s="6" t="s">
        <v>1778</v>
      </c>
      <c r="G6" s="6" t="s">
        <v>24</v>
      </c>
      <c r="H6" s="6" t="s">
        <v>34</v>
      </c>
      <c r="I6" s="6">
        <v>407</v>
      </c>
      <c r="J6" s="6">
        <v>447</v>
      </c>
      <c r="K6" s="6">
        <v>1</v>
      </c>
      <c r="L6" s="10">
        <f t="shared" si="0"/>
        <v>0.18192900000000001</v>
      </c>
      <c r="M6" s="6" t="s">
        <v>37</v>
      </c>
      <c r="N6" s="6" t="s">
        <v>125</v>
      </c>
      <c r="O6" s="6" t="s">
        <v>1779</v>
      </c>
      <c r="P6" s="17" t="s">
        <v>54</v>
      </c>
      <c r="Q6" s="17"/>
      <c r="R6" s="17"/>
    </row>
    <row r="7" spans="1:18" s="16" customFormat="1" ht="31.95" customHeight="1" x14ac:dyDescent="0.3">
      <c r="A7" s="7">
        <v>46090.619259259256</v>
      </c>
      <c r="B7" s="6" t="s">
        <v>5</v>
      </c>
      <c r="C7" s="6" t="s">
        <v>1672</v>
      </c>
      <c r="D7" s="6" t="str">
        <f>VLOOKUP(B7,'Veri doğrulama'!$D$6:$F$13,2,0)</f>
        <v>MEHMET ÖZEN</v>
      </c>
      <c r="E7" s="6"/>
      <c r="F7" s="6" t="s">
        <v>1777</v>
      </c>
      <c r="G7" s="6" t="s">
        <v>24</v>
      </c>
      <c r="H7" s="6" t="s">
        <v>34</v>
      </c>
      <c r="I7" s="6">
        <v>600</v>
      </c>
      <c r="J7" s="6">
        <v>450</v>
      </c>
      <c r="K7" s="6">
        <v>1</v>
      </c>
      <c r="L7" s="10">
        <f t="shared" si="0"/>
        <v>0.27</v>
      </c>
      <c r="M7" s="6" t="s">
        <v>156</v>
      </c>
      <c r="N7" s="6"/>
      <c r="O7" s="6"/>
      <c r="P7" s="17" t="s">
        <v>54</v>
      </c>
      <c r="Q7" s="17"/>
      <c r="R7" s="17"/>
    </row>
    <row r="8" spans="1:18" s="16" customFormat="1" ht="31.95" customHeight="1" x14ac:dyDescent="0.3">
      <c r="A8" s="7">
        <v>46090.444328703707</v>
      </c>
      <c r="B8" s="6" t="s">
        <v>4</v>
      </c>
      <c r="C8" s="6" t="s">
        <v>1676</v>
      </c>
      <c r="D8" s="6" t="str">
        <f>VLOOKUP(B8,'Veri doğrulama'!$D$6:$F$13,2,0)</f>
        <v>MEHMET YAZICI</v>
      </c>
      <c r="E8" s="6"/>
      <c r="F8" s="6" t="s">
        <v>714</v>
      </c>
      <c r="G8" s="6" t="s">
        <v>1392</v>
      </c>
      <c r="H8" s="6" t="s">
        <v>34</v>
      </c>
      <c r="I8" s="6">
        <v>539</v>
      </c>
      <c r="J8" s="6">
        <v>406</v>
      </c>
      <c r="K8" s="6">
        <v>7</v>
      </c>
      <c r="L8" s="10">
        <f t="shared" ref="L8:L71" si="1">I8*J8/1000000*K8</f>
        <v>1.531838</v>
      </c>
      <c r="M8" s="6" t="s">
        <v>1563</v>
      </c>
      <c r="N8" s="6" t="s">
        <v>667</v>
      </c>
      <c r="O8" s="6" t="s">
        <v>1776</v>
      </c>
      <c r="P8" s="17" t="s">
        <v>54</v>
      </c>
      <c r="Q8" s="17"/>
      <c r="R8" s="17"/>
    </row>
    <row r="9" spans="1:18" s="16" customFormat="1" ht="31.95" customHeight="1" x14ac:dyDescent="0.3">
      <c r="A9" s="7">
        <v>46087.691423611112</v>
      </c>
      <c r="B9" s="6" t="s">
        <v>5</v>
      </c>
      <c r="C9" s="6" t="s">
        <v>1671</v>
      </c>
      <c r="D9" s="6" t="str">
        <f>VLOOKUP(B9,'Veri doğrulama'!$D$6:$F$13,2,0)</f>
        <v>MEHMET ÖZEN</v>
      </c>
      <c r="E9" s="6"/>
      <c r="F9" s="6" t="s">
        <v>1526</v>
      </c>
      <c r="G9" s="6" t="s">
        <v>15</v>
      </c>
      <c r="H9" s="6" t="s">
        <v>34</v>
      </c>
      <c r="I9" s="6">
        <v>2400</v>
      </c>
      <c r="J9" s="6">
        <v>1100</v>
      </c>
      <c r="K9" s="6">
        <v>1</v>
      </c>
      <c r="L9" s="10">
        <f t="shared" si="1"/>
        <v>2.64</v>
      </c>
      <c r="M9" s="6" t="s">
        <v>43</v>
      </c>
      <c r="N9" s="6" t="s">
        <v>557</v>
      </c>
      <c r="O9" s="6" t="s">
        <v>1775</v>
      </c>
      <c r="P9" s="17" t="s">
        <v>54</v>
      </c>
      <c r="Q9" s="17"/>
      <c r="R9" s="17"/>
    </row>
    <row r="10" spans="1:18" s="16" customFormat="1" ht="31.95" customHeight="1" x14ac:dyDescent="0.3">
      <c r="A10" s="7">
        <v>46087.590243055558</v>
      </c>
      <c r="B10" s="6" t="s">
        <v>5</v>
      </c>
      <c r="C10" s="6" t="s">
        <v>1672</v>
      </c>
      <c r="D10" s="6" t="str">
        <f>VLOOKUP(B10,'Veri doğrulama'!$D$6:$F$13,2,0)</f>
        <v>MEHMET ÖZEN</v>
      </c>
      <c r="E10" s="6" t="s">
        <v>1773</v>
      </c>
      <c r="F10" s="6" t="s">
        <v>1774</v>
      </c>
      <c r="G10" s="6" t="s">
        <v>24</v>
      </c>
      <c r="H10" s="6" t="s">
        <v>34</v>
      </c>
      <c r="I10" s="6">
        <v>640</v>
      </c>
      <c r="J10" s="6">
        <v>467</v>
      </c>
      <c r="K10" s="6">
        <v>1</v>
      </c>
      <c r="L10" s="10">
        <f t="shared" si="1"/>
        <v>0.29887999999999998</v>
      </c>
      <c r="M10" s="6" t="s">
        <v>102</v>
      </c>
      <c r="N10" s="6"/>
      <c r="O10" s="6"/>
      <c r="P10" s="17" t="s">
        <v>54</v>
      </c>
      <c r="Q10" s="17"/>
      <c r="R10" s="17"/>
    </row>
    <row r="11" spans="1:18" s="16" customFormat="1" ht="31.95" customHeight="1" x14ac:dyDescent="0.3">
      <c r="A11" s="7">
        <v>46087.566111111111</v>
      </c>
      <c r="B11" s="6" t="s">
        <v>5</v>
      </c>
      <c r="C11" s="6" t="s">
        <v>1672</v>
      </c>
      <c r="D11" s="6" t="str">
        <f>VLOOKUP(B11,'Veri doğrulama'!$D$6:$F$13,2,0)</f>
        <v>MEHMET ÖZEN</v>
      </c>
      <c r="E11" s="6"/>
      <c r="F11" s="6" t="s">
        <v>1771</v>
      </c>
      <c r="G11" s="6" t="s">
        <v>15</v>
      </c>
      <c r="H11" s="6" t="s">
        <v>34</v>
      </c>
      <c r="I11" s="6">
        <v>561</v>
      </c>
      <c r="J11" s="6">
        <v>452</v>
      </c>
      <c r="K11" s="6">
        <v>1</v>
      </c>
      <c r="L11" s="10">
        <f t="shared" si="1"/>
        <v>0.25357200000000002</v>
      </c>
      <c r="M11" s="6" t="s">
        <v>103</v>
      </c>
      <c r="N11" s="6"/>
      <c r="O11" s="6" t="s">
        <v>1772</v>
      </c>
      <c r="P11" s="17" t="s">
        <v>54</v>
      </c>
      <c r="Q11" s="17"/>
      <c r="R11" s="17"/>
    </row>
    <row r="12" spans="1:18" s="16" customFormat="1" ht="31.95" customHeight="1" x14ac:dyDescent="0.3">
      <c r="A12" s="7">
        <v>46087.505185185182</v>
      </c>
      <c r="B12" s="6" t="s">
        <v>5</v>
      </c>
      <c r="C12" s="6" t="s">
        <v>1672</v>
      </c>
      <c r="D12" s="6" t="str">
        <f>VLOOKUP(B12,'Veri doğrulama'!$D$6:$F$13,2,0)</f>
        <v>MEHMET ÖZEN</v>
      </c>
      <c r="E12" s="6"/>
      <c r="F12" s="6" t="s">
        <v>1770</v>
      </c>
      <c r="G12" s="6" t="s">
        <v>22</v>
      </c>
      <c r="H12" s="6" t="s">
        <v>34</v>
      </c>
      <c r="I12" s="6">
        <v>1557</v>
      </c>
      <c r="J12" s="6">
        <v>724</v>
      </c>
      <c r="K12" s="6">
        <v>1</v>
      </c>
      <c r="L12" s="10">
        <f t="shared" si="1"/>
        <v>1.1272679999999999</v>
      </c>
      <c r="M12" s="6" t="s">
        <v>156</v>
      </c>
      <c r="N12" s="6"/>
      <c r="O12" s="6"/>
      <c r="P12" s="17" t="s">
        <v>54</v>
      </c>
      <c r="Q12" s="17"/>
      <c r="R12" s="17"/>
    </row>
    <row r="13" spans="1:18" s="16" customFormat="1" ht="31.95" customHeight="1" x14ac:dyDescent="0.3">
      <c r="A13" s="7">
        <v>46087.504131944443</v>
      </c>
      <c r="B13" s="6" t="s">
        <v>5</v>
      </c>
      <c r="C13" s="6" t="s">
        <v>1672</v>
      </c>
      <c r="D13" s="6" t="str">
        <f>VLOOKUP(B13,'Veri doğrulama'!$D$6:$F$13,2,0)</f>
        <v>MEHMET ÖZEN</v>
      </c>
      <c r="E13" s="6"/>
      <c r="F13" s="6" t="s">
        <v>1769</v>
      </c>
      <c r="G13" s="6" t="s">
        <v>18</v>
      </c>
      <c r="H13" s="6" t="s">
        <v>34</v>
      </c>
      <c r="I13" s="6">
        <v>470</v>
      </c>
      <c r="J13" s="6">
        <v>447</v>
      </c>
      <c r="K13" s="6">
        <v>1</v>
      </c>
      <c r="L13" s="10">
        <f t="shared" si="1"/>
        <v>0.21009</v>
      </c>
      <c r="M13" s="6" t="s">
        <v>43</v>
      </c>
      <c r="N13" s="6"/>
      <c r="O13" s="6"/>
      <c r="P13" s="17" t="s">
        <v>54</v>
      </c>
      <c r="Q13" s="17"/>
      <c r="R13" s="17"/>
    </row>
    <row r="14" spans="1:18" s="16" customFormat="1" ht="31.95" customHeight="1" x14ac:dyDescent="0.3">
      <c r="A14" s="7">
        <v>46087.503321759257</v>
      </c>
      <c r="B14" s="6" t="s">
        <v>5</v>
      </c>
      <c r="C14" s="6" t="s">
        <v>1672</v>
      </c>
      <c r="D14" s="6" t="str">
        <f>VLOOKUP(B14,'Veri doğrulama'!$D$6:$F$13,2,0)</f>
        <v>MEHMET ÖZEN</v>
      </c>
      <c r="E14" s="6">
        <v>27300</v>
      </c>
      <c r="F14" s="6" t="s">
        <v>1768</v>
      </c>
      <c r="G14" s="6" t="s">
        <v>18</v>
      </c>
      <c r="H14" s="6" t="s">
        <v>34</v>
      </c>
      <c r="I14" s="6">
        <v>698</v>
      </c>
      <c r="J14" s="6">
        <v>435</v>
      </c>
      <c r="K14" s="6">
        <v>1</v>
      </c>
      <c r="L14" s="10">
        <f t="shared" si="1"/>
        <v>0.30363000000000001</v>
      </c>
      <c r="M14" s="6" t="s">
        <v>42</v>
      </c>
      <c r="N14" s="6"/>
      <c r="O14" s="6"/>
      <c r="P14" s="17" t="s">
        <v>54</v>
      </c>
      <c r="Q14" s="17"/>
      <c r="R14" s="17"/>
    </row>
    <row r="15" spans="1:18" s="16" customFormat="1" ht="31.95" customHeight="1" x14ac:dyDescent="0.3">
      <c r="A15" s="7">
        <v>46087.451469907406</v>
      </c>
      <c r="B15" s="6" t="s">
        <v>4</v>
      </c>
      <c r="C15" s="6" t="s">
        <v>1675</v>
      </c>
      <c r="D15" s="6" t="str">
        <f>VLOOKUP(B15,'Veri doğrulama'!$D$6:$F$13,2,0)</f>
        <v>MEHMET YAZICI</v>
      </c>
      <c r="E15" s="6">
        <v>27327</v>
      </c>
      <c r="F15" s="6" t="s">
        <v>735</v>
      </c>
      <c r="G15" s="6" t="s">
        <v>17</v>
      </c>
      <c r="H15" s="6" t="s">
        <v>34</v>
      </c>
      <c r="I15" s="6">
        <v>1150</v>
      </c>
      <c r="J15" s="6">
        <v>557</v>
      </c>
      <c r="K15" s="6">
        <v>1</v>
      </c>
      <c r="L15" s="10">
        <f t="shared" si="1"/>
        <v>0.64054999999999995</v>
      </c>
      <c r="M15" s="6" t="s">
        <v>75</v>
      </c>
      <c r="N15" s="6" t="s">
        <v>667</v>
      </c>
      <c r="O15" s="6"/>
      <c r="P15" s="17" t="s">
        <v>54</v>
      </c>
      <c r="Q15" s="17"/>
      <c r="R15" s="17"/>
    </row>
    <row r="16" spans="1:18" s="16" customFormat="1" ht="31.95" customHeight="1" x14ac:dyDescent="0.3">
      <c r="A16" s="7">
        <v>46087.347766203704</v>
      </c>
      <c r="B16" s="6" t="s">
        <v>5</v>
      </c>
      <c r="C16" s="6" t="s">
        <v>1674</v>
      </c>
      <c r="D16" s="6" t="str">
        <f>VLOOKUP(B16,'Veri doğrulama'!$D$6:$F$13,2,0)</f>
        <v>MEHMET ÖZEN</v>
      </c>
      <c r="E16" s="6"/>
      <c r="F16" s="6" t="s">
        <v>1767</v>
      </c>
      <c r="G16" s="6" t="s">
        <v>1392</v>
      </c>
      <c r="H16" s="6" t="s">
        <v>34</v>
      </c>
      <c r="I16" s="6">
        <v>1370</v>
      </c>
      <c r="J16" s="6">
        <v>1370</v>
      </c>
      <c r="K16" s="6">
        <v>1</v>
      </c>
      <c r="L16" s="10">
        <f t="shared" si="1"/>
        <v>1.8769</v>
      </c>
      <c r="M16" s="6" t="s">
        <v>41</v>
      </c>
      <c r="N16" s="6" t="s">
        <v>468</v>
      </c>
      <c r="O16" s="6"/>
      <c r="P16" s="17" t="s">
        <v>54</v>
      </c>
      <c r="Q16" s="17"/>
      <c r="R16" s="17"/>
    </row>
    <row r="17" spans="1:18" s="16" customFormat="1" ht="31.95" customHeight="1" x14ac:dyDescent="0.3">
      <c r="A17" s="7">
        <v>46086.704965277779</v>
      </c>
      <c r="B17" s="6" t="s">
        <v>5</v>
      </c>
      <c r="C17" s="6" t="s">
        <v>1672</v>
      </c>
      <c r="D17" s="6" t="str">
        <f>VLOOKUP(B17,'Veri doğrulama'!$D$6:$F$13,2,0)</f>
        <v>MEHMET ÖZEN</v>
      </c>
      <c r="E17" s="6"/>
      <c r="F17" s="6" t="s">
        <v>1766</v>
      </c>
      <c r="G17" s="6" t="s">
        <v>16</v>
      </c>
      <c r="H17" s="6" t="s">
        <v>34</v>
      </c>
      <c r="I17" s="6">
        <v>1815</v>
      </c>
      <c r="J17" s="6">
        <v>397</v>
      </c>
      <c r="K17" s="6">
        <v>1</v>
      </c>
      <c r="L17" s="10">
        <f t="shared" si="1"/>
        <v>0.72055499999999995</v>
      </c>
      <c r="M17" s="6" t="s">
        <v>102</v>
      </c>
      <c r="N17" s="6"/>
      <c r="O17" s="6"/>
      <c r="P17" s="17" t="s">
        <v>54</v>
      </c>
      <c r="Q17" s="17"/>
      <c r="R17" s="17"/>
    </row>
    <row r="18" spans="1:18" s="16" customFormat="1" ht="31.95" customHeight="1" x14ac:dyDescent="0.3">
      <c r="A18" s="7">
        <v>46086.704212962963</v>
      </c>
      <c r="B18" s="6" t="s">
        <v>5</v>
      </c>
      <c r="C18" s="6" t="s">
        <v>1672</v>
      </c>
      <c r="D18" s="6" t="str">
        <f>VLOOKUP(B18,'Veri doğrulama'!$D$6:$F$13,2,0)</f>
        <v>MEHMET ÖZEN</v>
      </c>
      <c r="E18" s="6"/>
      <c r="F18" s="6" t="s">
        <v>1742</v>
      </c>
      <c r="G18" s="6" t="s">
        <v>27</v>
      </c>
      <c r="H18" s="6" t="s">
        <v>35</v>
      </c>
      <c r="I18" s="6">
        <v>1200</v>
      </c>
      <c r="J18" s="6">
        <v>850</v>
      </c>
      <c r="K18" s="6">
        <v>1</v>
      </c>
      <c r="L18" s="10">
        <f t="shared" si="1"/>
        <v>1.02</v>
      </c>
      <c r="M18" s="6" t="s">
        <v>102</v>
      </c>
      <c r="N18" s="6">
        <v>1</v>
      </c>
      <c r="O18" s="6"/>
      <c r="P18" s="17" t="s">
        <v>54</v>
      </c>
      <c r="Q18" s="17"/>
      <c r="R18" s="17"/>
    </row>
    <row r="19" spans="1:18" s="16" customFormat="1" ht="31.95" customHeight="1" x14ac:dyDescent="0.3">
      <c r="A19" s="7">
        <v>46086.632638888892</v>
      </c>
      <c r="B19" s="6" t="s">
        <v>4</v>
      </c>
      <c r="C19" s="6" t="s">
        <v>1675</v>
      </c>
      <c r="D19" s="6" t="str">
        <f>VLOOKUP(B19,'Veri doğrulama'!$D$6:$F$13,2,0)</f>
        <v>MEHMET YAZICI</v>
      </c>
      <c r="E19" s="6"/>
      <c r="F19" s="6" t="s">
        <v>1762</v>
      </c>
      <c r="G19" s="6" t="s">
        <v>16</v>
      </c>
      <c r="H19" s="6" t="s">
        <v>34</v>
      </c>
      <c r="I19" s="6">
        <v>700</v>
      </c>
      <c r="J19" s="6">
        <v>397</v>
      </c>
      <c r="K19" s="6">
        <v>1</v>
      </c>
      <c r="L19" s="10">
        <f t="shared" si="1"/>
        <v>0.27789999999999998</v>
      </c>
      <c r="M19" s="6" t="s">
        <v>75</v>
      </c>
      <c r="N19" s="6" t="s">
        <v>1759</v>
      </c>
      <c r="O19" s="6"/>
      <c r="P19" s="17" t="s">
        <v>54</v>
      </c>
      <c r="Q19" s="17"/>
      <c r="R19" s="17"/>
    </row>
    <row r="20" spans="1:18" s="16" customFormat="1" ht="31.95" customHeight="1" x14ac:dyDescent="0.3">
      <c r="A20" s="7">
        <v>46086.632013888891</v>
      </c>
      <c r="B20" s="6" t="s">
        <v>4</v>
      </c>
      <c r="C20" s="6" t="s">
        <v>1675</v>
      </c>
      <c r="D20" s="6" t="str">
        <f>VLOOKUP(B20,'Veri doğrulama'!$D$6:$F$13,2,0)</f>
        <v>MEHMET YAZICI</v>
      </c>
      <c r="E20" s="6"/>
      <c r="F20" s="6" t="s">
        <v>1765</v>
      </c>
      <c r="G20" s="6" t="s">
        <v>17</v>
      </c>
      <c r="H20" s="6" t="s">
        <v>34</v>
      </c>
      <c r="I20" s="6">
        <v>360</v>
      </c>
      <c r="J20" s="6">
        <v>720</v>
      </c>
      <c r="K20" s="6">
        <v>1</v>
      </c>
      <c r="L20" s="10">
        <f t="shared" si="1"/>
        <v>0.25919999999999999</v>
      </c>
      <c r="M20" s="6" t="s">
        <v>102</v>
      </c>
      <c r="N20" s="6" t="s">
        <v>1759</v>
      </c>
      <c r="O20" s="6"/>
      <c r="P20" s="17" t="s">
        <v>54</v>
      </c>
      <c r="Q20" s="17"/>
      <c r="R20" s="17"/>
    </row>
    <row r="21" spans="1:18" s="16" customFormat="1" ht="31.95" customHeight="1" x14ac:dyDescent="0.3">
      <c r="A21" s="7">
        <v>46086.628981481481</v>
      </c>
      <c r="B21" s="6" t="s">
        <v>4</v>
      </c>
      <c r="C21" s="6" t="s">
        <v>1675</v>
      </c>
      <c r="D21" s="6" t="str">
        <f>VLOOKUP(B21,'Veri doğrulama'!$D$6:$F$13,2,0)</f>
        <v>MEHMET YAZICI</v>
      </c>
      <c r="E21" s="6"/>
      <c r="F21" s="6" t="s">
        <v>1764</v>
      </c>
      <c r="G21" s="6" t="s">
        <v>1392</v>
      </c>
      <c r="H21" s="6" t="s">
        <v>34</v>
      </c>
      <c r="I21" s="6">
        <v>247</v>
      </c>
      <c r="J21" s="6">
        <v>557</v>
      </c>
      <c r="K21" s="6">
        <v>1</v>
      </c>
      <c r="L21" s="10">
        <f t="shared" si="1"/>
        <v>0.13757900000000001</v>
      </c>
      <c r="M21" s="6" t="s">
        <v>103</v>
      </c>
      <c r="N21" s="6" t="s">
        <v>1759</v>
      </c>
      <c r="O21" s="6"/>
      <c r="P21" s="17" t="s">
        <v>54</v>
      </c>
      <c r="Q21" s="17"/>
      <c r="R21" s="17"/>
    </row>
    <row r="22" spans="1:18" s="16" customFormat="1" ht="31.95" customHeight="1" x14ac:dyDescent="0.3">
      <c r="A22" s="7">
        <v>46086.628182870372</v>
      </c>
      <c r="B22" s="6" t="s">
        <v>4</v>
      </c>
      <c r="C22" s="6" t="s">
        <v>1675</v>
      </c>
      <c r="D22" s="6" t="str">
        <f>VLOOKUP(B22,'Veri doğrulama'!$D$6:$F$13,2,0)</f>
        <v>MEHMET YAZICI</v>
      </c>
      <c r="E22" s="6"/>
      <c r="F22" s="6" t="s">
        <v>1763</v>
      </c>
      <c r="G22" s="6" t="s">
        <v>1392</v>
      </c>
      <c r="H22" s="6" t="s">
        <v>34</v>
      </c>
      <c r="I22" s="6">
        <v>1600</v>
      </c>
      <c r="J22" s="6">
        <v>385</v>
      </c>
      <c r="K22" s="6">
        <v>3</v>
      </c>
      <c r="L22" s="10">
        <f t="shared" si="1"/>
        <v>1.8479999999999999</v>
      </c>
      <c r="M22" s="6" t="s">
        <v>102</v>
      </c>
      <c r="N22" s="6" t="s">
        <v>1759</v>
      </c>
      <c r="O22" s="6"/>
      <c r="P22" s="17" t="s">
        <v>54</v>
      </c>
      <c r="Q22" s="17"/>
      <c r="R22" s="17"/>
    </row>
    <row r="23" spans="1:18" s="16" customFormat="1" ht="31.95" customHeight="1" x14ac:dyDescent="0.3">
      <c r="A23" s="7">
        <v>46086.627233796295</v>
      </c>
      <c r="B23" s="6" t="s">
        <v>4</v>
      </c>
      <c r="C23" s="6" t="s">
        <v>1675</v>
      </c>
      <c r="D23" s="6" t="str">
        <f>VLOOKUP(B23,'Veri doğrulama'!$D$6:$F$13,2,0)</f>
        <v>MEHMET YAZICI</v>
      </c>
      <c r="E23" s="6"/>
      <c r="F23" s="6" t="s">
        <v>1762</v>
      </c>
      <c r="G23" s="6" t="s">
        <v>1392</v>
      </c>
      <c r="H23" s="6" t="s">
        <v>34</v>
      </c>
      <c r="I23" s="6">
        <v>700</v>
      </c>
      <c r="J23" s="6">
        <v>397</v>
      </c>
      <c r="K23" s="6">
        <v>3</v>
      </c>
      <c r="L23" s="10">
        <f t="shared" si="1"/>
        <v>0.83369999999999989</v>
      </c>
      <c r="M23" s="6" t="s">
        <v>102</v>
      </c>
      <c r="N23" s="6" t="s">
        <v>1759</v>
      </c>
      <c r="O23" s="6"/>
      <c r="P23" s="17" t="s">
        <v>54</v>
      </c>
      <c r="Q23" s="17"/>
      <c r="R23" s="17"/>
    </row>
    <row r="24" spans="1:18" s="16" customFormat="1" ht="31.95" customHeight="1" x14ac:dyDescent="0.3">
      <c r="A24" s="7">
        <v>46086.626273148147</v>
      </c>
      <c r="B24" s="6" t="s">
        <v>4</v>
      </c>
      <c r="C24" s="6" t="s">
        <v>1675</v>
      </c>
      <c r="D24" s="6" t="str">
        <f>VLOOKUP(B24,'Veri doğrulama'!$D$6:$F$13,2,0)</f>
        <v>MEHMET YAZICI</v>
      </c>
      <c r="E24" s="6"/>
      <c r="F24" s="6" t="s">
        <v>1761</v>
      </c>
      <c r="G24" s="6" t="s">
        <v>1392</v>
      </c>
      <c r="H24" s="6" t="s">
        <v>34</v>
      </c>
      <c r="I24" s="6">
        <v>433</v>
      </c>
      <c r="J24" s="6">
        <v>385</v>
      </c>
      <c r="K24" s="6">
        <v>2</v>
      </c>
      <c r="L24" s="10">
        <f t="shared" si="1"/>
        <v>0.33340999999999998</v>
      </c>
      <c r="M24" s="6" t="s">
        <v>102</v>
      </c>
      <c r="N24" s="6" t="s">
        <v>1759</v>
      </c>
      <c r="O24" s="6"/>
      <c r="P24" s="17" t="s">
        <v>54</v>
      </c>
      <c r="Q24" s="17"/>
      <c r="R24" s="17"/>
    </row>
    <row r="25" spans="1:18" s="16" customFormat="1" ht="31.95" customHeight="1" x14ac:dyDescent="0.3">
      <c r="A25" s="7">
        <v>46086.625243055554</v>
      </c>
      <c r="B25" s="6" t="s">
        <v>4</v>
      </c>
      <c r="C25" s="6" t="s">
        <v>1675</v>
      </c>
      <c r="D25" s="6" t="str">
        <f>VLOOKUP(B25,'Veri doğrulama'!$D$6:$F$13,2,0)</f>
        <v>MEHMET YAZICI</v>
      </c>
      <c r="E25" s="6"/>
      <c r="F25" s="6" t="s">
        <v>1760</v>
      </c>
      <c r="G25" s="6" t="s">
        <v>1392</v>
      </c>
      <c r="H25" s="6" t="s">
        <v>34</v>
      </c>
      <c r="I25" s="6">
        <v>447</v>
      </c>
      <c r="J25" s="6">
        <v>555</v>
      </c>
      <c r="K25" s="6">
        <v>2</v>
      </c>
      <c r="L25" s="10">
        <f t="shared" si="1"/>
        <v>0.49617</v>
      </c>
      <c r="M25" s="6" t="s">
        <v>102</v>
      </c>
      <c r="N25" s="6" t="s">
        <v>1759</v>
      </c>
      <c r="O25" s="6"/>
      <c r="P25" s="17" t="s">
        <v>54</v>
      </c>
      <c r="Q25" s="17"/>
      <c r="R25" s="17"/>
    </row>
    <row r="26" spans="1:18" s="16" customFormat="1" ht="31.95" customHeight="1" x14ac:dyDescent="0.3">
      <c r="A26" s="7">
        <v>46086.624386574076</v>
      </c>
      <c r="B26" s="6" t="s">
        <v>4</v>
      </c>
      <c r="C26" s="6" t="s">
        <v>1675</v>
      </c>
      <c r="D26" s="6" t="str">
        <f>VLOOKUP(B26,'Veri doğrulama'!$D$6:$F$13,2,0)</f>
        <v>MEHMET YAZICI</v>
      </c>
      <c r="E26" s="6"/>
      <c r="F26" s="6" t="s">
        <v>1758</v>
      </c>
      <c r="G26" s="6" t="s">
        <v>1392</v>
      </c>
      <c r="H26" s="6" t="s">
        <v>34</v>
      </c>
      <c r="I26" s="6">
        <v>1150</v>
      </c>
      <c r="J26" s="6">
        <v>557</v>
      </c>
      <c r="K26" s="6">
        <v>1</v>
      </c>
      <c r="L26" s="10">
        <f t="shared" si="1"/>
        <v>0.64054999999999995</v>
      </c>
      <c r="M26" s="6" t="s">
        <v>103</v>
      </c>
      <c r="N26" s="6" t="s">
        <v>1759</v>
      </c>
      <c r="O26" s="6"/>
      <c r="P26" s="17" t="s">
        <v>54</v>
      </c>
      <c r="Q26" s="17"/>
      <c r="R26" s="17"/>
    </row>
    <row r="27" spans="1:18" s="16" customFormat="1" ht="31.95" customHeight="1" x14ac:dyDescent="0.3">
      <c r="A27" s="7">
        <v>46086.419016203705</v>
      </c>
      <c r="B27" s="6" t="s">
        <v>5</v>
      </c>
      <c r="C27" s="6" t="s">
        <v>1671</v>
      </c>
      <c r="D27" s="6" t="str">
        <f>VLOOKUP(B27,'Veri doğrulama'!$D$6:$F$13,2,0)</f>
        <v>MEHMET ÖZEN</v>
      </c>
      <c r="E27" s="6"/>
      <c r="F27" s="6" t="s">
        <v>924</v>
      </c>
      <c r="G27" s="6" t="s">
        <v>17</v>
      </c>
      <c r="H27" s="6" t="s">
        <v>34</v>
      </c>
      <c r="I27" s="6">
        <v>1745</v>
      </c>
      <c r="J27" s="6">
        <v>800</v>
      </c>
      <c r="K27" s="6">
        <v>1</v>
      </c>
      <c r="L27" s="10">
        <f t="shared" si="1"/>
        <v>1.3959999999999999</v>
      </c>
      <c r="M27" s="6" t="s">
        <v>596</v>
      </c>
      <c r="N27" s="6" t="s">
        <v>1522</v>
      </c>
      <c r="O27" s="6"/>
      <c r="P27" s="17" t="s">
        <v>54</v>
      </c>
      <c r="Q27" s="17"/>
      <c r="R27" s="17"/>
    </row>
    <row r="28" spans="1:18" s="16" customFormat="1" ht="31.95" customHeight="1" x14ac:dyDescent="0.3">
      <c r="A28" s="7">
        <v>46085.663101851853</v>
      </c>
      <c r="B28" s="6" t="s">
        <v>7</v>
      </c>
      <c r="C28" s="6"/>
      <c r="D28" s="6" t="str">
        <f>VLOOKUP(B28,'Veri doğrulama'!$D$6:$F$13,2,0)</f>
        <v>SIDDIK KAPLAN</v>
      </c>
      <c r="E28" s="6"/>
      <c r="F28" s="6" t="s">
        <v>1757</v>
      </c>
      <c r="G28" s="6" t="s">
        <v>18</v>
      </c>
      <c r="H28" s="6" t="s">
        <v>34</v>
      </c>
      <c r="I28" s="6">
        <v>1400</v>
      </c>
      <c r="J28" s="6">
        <v>1200</v>
      </c>
      <c r="K28" s="6">
        <v>1</v>
      </c>
      <c r="L28" s="10">
        <f t="shared" si="1"/>
        <v>1.68</v>
      </c>
      <c r="M28" s="6" t="s">
        <v>43</v>
      </c>
      <c r="N28" s="6"/>
      <c r="O28" s="6"/>
      <c r="P28" s="17" t="s">
        <v>54</v>
      </c>
      <c r="Q28" s="17"/>
      <c r="R28" s="17"/>
    </row>
    <row r="29" spans="1:18" s="16" customFormat="1" ht="31.95" customHeight="1" x14ac:dyDescent="0.3">
      <c r="A29" s="7">
        <v>46085.606724537036</v>
      </c>
      <c r="B29" s="6" t="s">
        <v>4</v>
      </c>
      <c r="C29" s="6" t="s">
        <v>1675</v>
      </c>
      <c r="D29" s="6" t="str">
        <f>VLOOKUP(B29,'Veri doğrulama'!$D$6:$F$13,2,0)</f>
        <v>MEHMET YAZICI</v>
      </c>
      <c r="E29" s="6">
        <v>27284</v>
      </c>
      <c r="F29" s="6" t="s">
        <v>1756</v>
      </c>
      <c r="G29" s="6" t="s">
        <v>16</v>
      </c>
      <c r="H29" s="6" t="s">
        <v>34</v>
      </c>
      <c r="I29" s="6">
        <v>2400</v>
      </c>
      <c r="J29" s="6">
        <v>1100</v>
      </c>
      <c r="K29" s="6">
        <v>1</v>
      </c>
      <c r="L29" s="10">
        <f t="shared" si="1"/>
        <v>2.64</v>
      </c>
      <c r="M29" s="6" t="s">
        <v>103</v>
      </c>
      <c r="N29" s="6" t="s">
        <v>667</v>
      </c>
      <c r="O29" s="6"/>
      <c r="P29" s="17" t="s">
        <v>54</v>
      </c>
      <c r="Q29" s="17"/>
      <c r="R29" s="17"/>
    </row>
    <row r="30" spans="1:18" s="16" customFormat="1" ht="31.95" customHeight="1" x14ac:dyDescent="0.3">
      <c r="A30" s="7">
        <v>46085.605671296296</v>
      </c>
      <c r="B30" s="6" t="s">
        <v>4</v>
      </c>
      <c r="C30" s="6" t="s">
        <v>1675</v>
      </c>
      <c r="D30" s="6" t="str">
        <f>VLOOKUP(B30,'Veri doğrulama'!$D$6:$F$13,2,0)</f>
        <v>MEHMET YAZICI</v>
      </c>
      <c r="E30" s="6">
        <v>27284</v>
      </c>
      <c r="F30" s="6" t="s">
        <v>1754</v>
      </c>
      <c r="G30" s="6" t="s">
        <v>16</v>
      </c>
      <c r="H30" s="6" t="s">
        <v>34</v>
      </c>
      <c r="I30" s="6">
        <v>1400</v>
      </c>
      <c r="J30" s="6">
        <v>1200</v>
      </c>
      <c r="K30" s="6">
        <v>1</v>
      </c>
      <c r="L30" s="10">
        <f t="shared" si="1"/>
        <v>1.68</v>
      </c>
      <c r="M30" s="6" t="s">
        <v>103</v>
      </c>
      <c r="N30" s="6" t="s">
        <v>1755</v>
      </c>
      <c r="O30" s="6"/>
      <c r="P30" s="17" t="s">
        <v>54</v>
      </c>
      <c r="Q30" s="17" t="s">
        <v>54</v>
      </c>
      <c r="R30" s="17"/>
    </row>
    <row r="31" spans="1:18" s="16" customFormat="1" ht="31.95" customHeight="1" x14ac:dyDescent="0.3">
      <c r="A31" s="7">
        <v>46085.605127314811</v>
      </c>
      <c r="B31" s="6" t="s">
        <v>4</v>
      </c>
      <c r="C31" s="6" t="s">
        <v>1675</v>
      </c>
      <c r="D31" s="6" t="str">
        <f>VLOOKUP(B31,'Veri doğrulama'!$D$6:$F$13,2,0)</f>
        <v>MEHMET YAZICI</v>
      </c>
      <c r="E31" s="6">
        <v>27274</v>
      </c>
      <c r="F31" s="6" t="s">
        <v>1044</v>
      </c>
      <c r="G31" s="6" t="s">
        <v>16</v>
      </c>
      <c r="H31" s="6" t="s">
        <v>34</v>
      </c>
      <c r="I31" s="6">
        <v>1877</v>
      </c>
      <c r="J31" s="6">
        <v>375</v>
      </c>
      <c r="K31" s="6">
        <v>1</v>
      </c>
      <c r="L31" s="10">
        <f t="shared" si="1"/>
        <v>0.70387500000000003</v>
      </c>
      <c r="M31" s="6" t="s">
        <v>103</v>
      </c>
      <c r="N31" s="6" t="s">
        <v>159</v>
      </c>
      <c r="O31" s="6"/>
      <c r="P31" s="17" t="s">
        <v>54</v>
      </c>
      <c r="Q31" s="17" t="s">
        <v>54</v>
      </c>
      <c r="R31" s="17"/>
    </row>
    <row r="32" spans="1:18" s="16" customFormat="1" ht="31.95" customHeight="1" x14ac:dyDescent="0.3">
      <c r="A32" s="7">
        <v>46085.603958333333</v>
      </c>
      <c r="B32" s="6" t="s">
        <v>4</v>
      </c>
      <c r="C32" s="6" t="s">
        <v>1675</v>
      </c>
      <c r="D32" s="6" t="str">
        <f>VLOOKUP(B32,'Veri doğrulama'!$D$6:$F$13,2,0)</f>
        <v>MEHMET YAZICI</v>
      </c>
      <c r="E32" s="6">
        <v>27259</v>
      </c>
      <c r="F32" s="6" t="s">
        <v>1753</v>
      </c>
      <c r="G32" s="6" t="s">
        <v>14</v>
      </c>
      <c r="H32" s="6" t="s">
        <v>34</v>
      </c>
      <c r="I32" s="6">
        <v>320</v>
      </c>
      <c r="J32" s="6">
        <v>339</v>
      </c>
      <c r="K32" s="6">
        <v>1</v>
      </c>
      <c r="L32" s="10">
        <f t="shared" si="1"/>
        <v>0.10847999999999999</v>
      </c>
      <c r="M32" s="6" t="s">
        <v>102</v>
      </c>
      <c r="N32" s="6" t="s">
        <v>159</v>
      </c>
      <c r="O32" s="6"/>
      <c r="P32" s="17" t="s">
        <v>54</v>
      </c>
      <c r="Q32" s="17" t="s">
        <v>54</v>
      </c>
      <c r="R32" s="17"/>
    </row>
    <row r="33" spans="1:18" s="16" customFormat="1" ht="31.95" customHeight="1" x14ac:dyDescent="0.3">
      <c r="A33" s="7">
        <v>46085.603379629632</v>
      </c>
      <c r="B33" s="6" t="s">
        <v>4</v>
      </c>
      <c r="C33" s="6" t="s">
        <v>1675</v>
      </c>
      <c r="D33" s="6" t="str">
        <f>VLOOKUP(B33,'Veri doğrulama'!$D$6:$F$13,2,0)</f>
        <v>MEHMET YAZICI</v>
      </c>
      <c r="E33" s="6">
        <v>27259</v>
      </c>
      <c r="F33" s="6" t="s">
        <v>839</v>
      </c>
      <c r="G33" s="6" t="s">
        <v>14</v>
      </c>
      <c r="H33" s="6" t="s">
        <v>34</v>
      </c>
      <c r="I33" s="6">
        <v>698</v>
      </c>
      <c r="J33" s="6">
        <v>435</v>
      </c>
      <c r="K33" s="6">
        <v>1</v>
      </c>
      <c r="L33" s="10">
        <f t="shared" si="1"/>
        <v>0.30363000000000001</v>
      </c>
      <c r="M33" s="6" t="s">
        <v>102</v>
      </c>
      <c r="N33" s="6" t="s">
        <v>159</v>
      </c>
      <c r="O33" s="6"/>
      <c r="P33" s="17" t="s">
        <v>54</v>
      </c>
      <c r="Q33" s="17" t="s">
        <v>54</v>
      </c>
      <c r="R33" s="17"/>
    </row>
    <row r="34" spans="1:18" s="16" customFormat="1" ht="31.95" customHeight="1" x14ac:dyDescent="0.3">
      <c r="A34" s="7">
        <v>46085.572083333333</v>
      </c>
      <c r="B34" s="6" t="s">
        <v>4</v>
      </c>
      <c r="C34" s="6" t="s">
        <v>1675</v>
      </c>
      <c r="D34" s="6" t="str">
        <f>VLOOKUP(B34,'Veri doğrulama'!$D$6:$F$13,2,0)</f>
        <v>MEHMET YAZICI</v>
      </c>
      <c r="E34" s="6"/>
      <c r="F34" s="6" t="s">
        <v>1750</v>
      </c>
      <c r="G34" s="6" t="s">
        <v>27</v>
      </c>
      <c r="H34" s="6" t="s">
        <v>34</v>
      </c>
      <c r="I34" s="6">
        <v>1800</v>
      </c>
      <c r="J34" s="6">
        <v>850</v>
      </c>
      <c r="K34" s="6">
        <v>1</v>
      </c>
      <c r="L34" s="10">
        <f t="shared" si="1"/>
        <v>1.53</v>
      </c>
      <c r="M34" s="6" t="s">
        <v>43</v>
      </c>
      <c r="N34" s="6" t="s">
        <v>1751</v>
      </c>
      <c r="O34" s="6" t="s">
        <v>1752</v>
      </c>
      <c r="P34" s="17" t="s">
        <v>54</v>
      </c>
      <c r="Q34" s="17" t="s">
        <v>54</v>
      </c>
      <c r="R34" s="17"/>
    </row>
    <row r="35" spans="1:18" s="16" customFormat="1" ht="31.95" customHeight="1" x14ac:dyDescent="0.3">
      <c r="A35" s="7">
        <v>46085.557754629626</v>
      </c>
      <c r="B35" s="6" t="s">
        <v>5</v>
      </c>
      <c r="C35" s="6" t="s">
        <v>1674</v>
      </c>
      <c r="D35" s="6" t="str">
        <f>VLOOKUP(B35,'Veri doğrulama'!$D$6:$F$13,2,0)</f>
        <v>MEHMET ÖZEN</v>
      </c>
      <c r="E35" s="6" t="s">
        <v>1748</v>
      </c>
      <c r="F35" s="6" t="s">
        <v>1749</v>
      </c>
      <c r="G35" s="6" t="s">
        <v>18</v>
      </c>
      <c r="H35" s="6" t="s">
        <v>34</v>
      </c>
      <c r="I35" s="6">
        <v>1610</v>
      </c>
      <c r="J35" s="6">
        <v>307</v>
      </c>
      <c r="K35" s="6">
        <v>1</v>
      </c>
      <c r="L35" s="10">
        <f t="shared" si="1"/>
        <v>0.49426999999999999</v>
      </c>
      <c r="M35" s="6" t="s">
        <v>156</v>
      </c>
      <c r="N35" s="6"/>
      <c r="O35" s="6"/>
      <c r="P35" s="17" t="s">
        <v>54</v>
      </c>
      <c r="Q35" s="17" t="s">
        <v>54</v>
      </c>
      <c r="R35" s="17"/>
    </row>
    <row r="36" spans="1:18" s="16" customFormat="1" ht="31.95" customHeight="1" x14ac:dyDescent="0.3">
      <c r="A36" s="7">
        <v>46085.500601851854</v>
      </c>
      <c r="B36" s="6" t="s">
        <v>6</v>
      </c>
      <c r="C36" s="6"/>
      <c r="D36" s="6" t="str">
        <f>VLOOKUP(B36,'Veri doğrulama'!$D$6:$F$13,2,0)</f>
        <v>SERVET KAPLAN</v>
      </c>
      <c r="E36" s="6"/>
      <c r="F36" s="6" t="s">
        <v>1747</v>
      </c>
      <c r="G36" s="6" t="s">
        <v>22</v>
      </c>
      <c r="H36" s="6" t="s">
        <v>34</v>
      </c>
      <c r="I36" s="6">
        <v>682</v>
      </c>
      <c r="J36" s="6">
        <v>475</v>
      </c>
      <c r="K36" s="6">
        <v>1</v>
      </c>
      <c r="L36" s="10">
        <f t="shared" si="1"/>
        <v>0.32395000000000002</v>
      </c>
      <c r="M36" s="6" t="s">
        <v>103</v>
      </c>
      <c r="N36" s="6"/>
      <c r="O36" s="6"/>
      <c r="P36" s="17" t="s">
        <v>54</v>
      </c>
      <c r="Q36" s="17" t="s">
        <v>54</v>
      </c>
      <c r="R36" s="17"/>
    </row>
    <row r="37" spans="1:18" s="16" customFormat="1" ht="31.95" customHeight="1" x14ac:dyDescent="0.3">
      <c r="A37" s="7">
        <v>46085.499432870369</v>
      </c>
      <c r="B37" s="6" t="s">
        <v>6</v>
      </c>
      <c r="C37" s="6"/>
      <c r="D37" s="6" t="str">
        <f>VLOOKUP(B37,'Veri doğrulama'!$D$6:$F$13,2,0)</f>
        <v>SERVET KAPLAN</v>
      </c>
      <c r="E37" s="6"/>
      <c r="F37" s="6" t="s">
        <v>1747</v>
      </c>
      <c r="G37" s="6" t="s">
        <v>22</v>
      </c>
      <c r="H37" s="6" t="s">
        <v>34</v>
      </c>
      <c r="I37" s="6">
        <v>1464</v>
      </c>
      <c r="J37" s="6">
        <v>682</v>
      </c>
      <c r="K37" s="6">
        <v>1</v>
      </c>
      <c r="L37" s="10">
        <f t="shared" si="1"/>
        <v>0.998448</v>
      </c>
      <c r="M37" s="6" t="s">
        <v>103</v>
      </c>
      <c r="N37" s="6"/>
      <c r="O37" s="6"/>
      <c r="P37" s="17" t="s">
        <v>54</v>
      </c>
      <c r="Q37" s="17" t="s">
        <v>54</v>
      </c>
      <c r="R37" s="17"/>
    </row>
    <row r="38" spans="1:18" s="16" customFormat="1" ht="31.95" customHeight="1" x14ac:dyDescent="0.3">
      <c r="A38" s="7">
        <v>46085.44630787037</v>
      </c>
      <c r="B38" s="6" t="s">
        <v>4</v>
      </c>
      <c r="C38" s="6" t="s">
        <v>1675</v>
      </c>
      <c r="D38" s="6" t="str">
        <f>VLOOKUP(B38,'Veri doğrulama'!$D$6:$F$13,2,0)</f>
        <v>MEHMET YAZICI</v>
      </c>
      <c r="E38" s="6"/>
      <c r="F38" s="6" t="s">
        <v>1745</v>
      </c>
      <c r="G38" s="6" t="s">
        <v>16</v>
      </c>
      <c r="H38" s="6" t="s">
        <v>34</v>
      </c>
      <c r="I38" s="6">
        <v>800</v>
      </c>
      <c r="J38" s="6">
        <v>550</v>
      </c>
      <c r="K38" s="6">
        <v>17</v>
      </c>
      <c r="L38" s="10">
        <f t="shared" si="1"/>
        <v>7.48</v>
      </c>
      <c r="M38" s="6" t="s">
        <v>1563</v>
      </c>
      <c r="N38" s="6" t="s">
        <v>526</v>
      </c>
      <c r="O38" s="6" t="s">
        <v>1746</v>
      </c>
      <c r="P38" s="17" t="s">
        <v>54</v>
      </c>
      <c r="Q38" s="17" t="s">
        <v>54</v>
      </c>
      <c r="R38" s="17"/>
    </row>
    <row r="39" spans="1:18" s="16" customFormat="1" ht="31.95" customHeight="1" x14ac:dyDescent="0.3">
      <c r="A39" s="7">
        <v>46085.445023148146</v>
      </c>
      <c r="B39" s="6" t="s">
        <v>4</v>
      </c>
      <c r="C39" s="6" t="s">
        <v>1675</v>
      </c>
      <c r="D39" s="6" t="str">
        <f>VLOOKUP(B39,'Veri doğrulama'!$D$6:$F$13,2,0)</f>
        <v>MEHMET YAZICI</v>
      </c>
      <c r="E39" s="6"/>
      <c r="F39" s="6" t="s">
        <v>1743</v>
      </c>
      <c r="G39" s="6" t="s">
        <v>16</v>
      </c>
      <c r="H39" s="6" t="s">
        <v>34</v>
      </c>
      <c r="I39" s="6">
        <v>700</v>
      </c>
      <c r="J39" s="6">
        <v>500</v>
      </c>
      <c r="K39" s="6">
        <v>22</v>
      </c>
      <c r="L39" s="10">
        <f t="shared" si="1"/>
        <v>7.6999999999999993</v>
      </c>
      <c r="M39" s="6" t="s">
        <v>1563</v>
      </c>
      <c r="N39" s="6" t="s">
        <v>716</v>
      </c>
      <c r="O39" s="6" t="s">
        <v>1744</v>
      </c>
      <c r="P39" s="17" t="s">
        <v>54</v>
      </c>
      <c r="Q39" s="17" t="s">
        <v>54</v>
      </c>
      <c r="R39" s="17"/>
    </row>
    <row r="40" spans="1:18" s="16" customFormat="1" ht="31.95" customHeight="1" x14ac:dyDescent="0.3">
      <c r="A40" s="7">
        <v>46085.425486111111</v>
      </c>
      <c r="B40" s="6" t="s">
        <v>5</v>
      </c>
      <c r="C40" s="6" t="s">
        <v>1671</v>
      </c>
      <c r="D40" s="6" t="str">
        <f>VLOOKUP(B40,'Veri doğrulama'!$D$6:$F$13,2,0)</f>
        <v>MEHMET ÖZEN</v>
      </c>
      <c r="E40" s="6"/>
      <c r="F40" s="6" t="s">
        <v>1742</v>
      </c>
      <c r="G40" s="6" t="s">
        <v>27</v>
      </c>
      <c r="H40" s="6" t="s">
        <v>35</v>
      </c>
      <c r="I40" s="6">
        <v>1200</v>
      </c>
      <c r="J40" s="6">
        <v>8500</v>
      </c>
      <c r="K40" s="6">
        <v>2</v>
      </c>
      <c r="L40" s="10">
        <f t="shared" si="1"/>
        <v>20.399999999999999</v>
      </c>
      <c r="M40" s="6" t="s">
        <v>43</v>
      </c>
      <c r="N40" s="6"/>
      <c r="O40" s="6"/>
      <c r="P40" s="17" t="s">
        <v>54</v>
      </c>
      <c r="Q40" s="17" t="s">
        <v>54</v>
      </c>
      <c r="R40" s="17"/>
    </row>
    <row r="41" spans="1:18" s="16" customFormat="1" ht="31.95" customHeight="1" x14ac:dyDescent="0.3">
      <c r="A41" s="7">
        <v>46085.421550925923</v>
      </c>
      <c r="B41" s="6" t="s">
        <v>5</v>
      </c>
      <c r="C41" s="6" t="s">
        <v>1674</v>
      </c>
      <c r="D41" s="6" t="str">
        <f>VLOOKUP(B41,'Veri doğrulama'!$D$6:$F$13,2,0)</f>
        <v>MEHMET ÖZEN</v>
      </c>
      <c r="E41" s="6" t="s">
        <v>1740</v>
      </c>
      <c r="F41" s="6" t="s">
        <v>1741</v>
      </c>
      <c r="G41" s="6" t="s">
        <v>18</v>
      </c>
      <c r="H41" s="6" t="s">
        <v>34</v>
      </c>
      <c r="I41" s="6">
        <v>2220</v>
      </c>
      <c r="J41" s="6">
        <v>970</v>
      </c>
      <c r="K41" s="6">
        <v>1</v>
      </c>
      <c r="L41" s="10">
        <f t="shared" si="1"/>
        <v>2.1534</v>
      </c>
      <c r="M41" s="6" t="s">
        <v>42</v>
      </c>
      <c r="N41" s="6" t="s">
        <v>468</v>
      </c>
      <c r="O41" s="6"/>
      <c r="P41" s="17" t="s">
        <v>54</v>
      </c>
      <c r="Q41" s="17" t="s">
        <v>54</v>
      </c>
      <c r="R41" s="17"/>
    </row>
    <row r="42" spans="1:18" s="16" customFormat="1" ht="31.95" customHeight="1" x14ac:dyDescent="0.3">
      <c r="A42" s="7">
        <v>46085.405578703707</v>
      </c>
      <c r="B42" s="6" t="s">
        <v>5</v>
      </c>
      <c r="C42" s="6" t="s">
        <v>1672</v>
      </c>
      <c r="D42" s="6" t="str">
        <f>VLOOKUP(B42,'Veri doğrulama'!$D$6:$F$13,2,0)</f>
        <v>MEHMET ÖZEN</v>
      </c>
      <c r="E42" s="6"/>
      <c r="F42" s="6" t="s">
        <v>518</v>
      </c>
      <c r="G42" s="6" t="s">
        <v>16</v>
      </c>
      <c r="H42" s="6" t="s">
        <v>34</v>
      </c>
      <c r="I42" s="6">
        <v>700</v>
      </c>
      <c r="J42" s="6">
        <v>397</v>
      </c>
      <c r="K42" s="6">
        <v>1</v>
      </c>
      <c r="L42" s="10">
        <f t="shared" si="1"/>
        <v>0.27789999999999998</v>
      </c>
      <c r="M42" s="6" t="s">
        <v>42</v>
      </c>
      <c r="N42" s="6"/>
      <c r="O42" s="6" t="s">
        <v>1739</v>
      </c>
      <c r="P42" s="17" t="s">
        <v>54</v>
      </c>
      <c r="Q42" s="17" t="s">
        <v>54</v>
      </c>
      <c r="R42" s="17"/>
    </row>
    <row r="43" spans="1:18" s="16" customFormat="1" ht="31.95" customHeight="1" x14ac:dyDescent="0.3">
      <c r="A43" s="7">
        <v>46085.343263888892</v>
      </c>
      <c r="B43" s="6" t="s">
        <v>5</v>
      </c>
      <c r="C43" s="6" t="s">
        <v>1672</v>
      </c>
      <c r="D43" s="6" t="str">
        <f>VLOOKUP(B43,'Veri doğrulama'!$D$6:$F$13,2,0)</f>
        <v>MEHMET ÖZEN</v>
      </c>
      <c r="E43" s="6"/>
      <c r="F43" s="6" t="s">
        <v>1738</v>
      </c>
      <c r="G43" s="6" t="s">
        <v>15</v>
      </c>
      <c r="H43" s="6" t="s">
        <v>34</v>
      </c>
      <c r="I43" s="6">
        <v>1200</v>
      </c>
      <c r="J43" s="6">
        <v>1400</v>
      </c>
      <c r="K43" s="6">
        <v>4</v>
      </c>
      <c r="L43" s="10">
        <f t="shared" si="1"/>
        <v>6.72</v>
      </c>
      <c r="M43" s="6" t="s">
        <v>103</v>
      </c>
      <c r="N43" s="6"/>
      <c r="O43" s="6"/>
      <c r="P43" s="17" t="s">
        <v>54</v>
      </c>
      <c r="Q43" s="17" t="s">
        <v>54</v>
      </c>
      <c r="R43" s="17"/>
    </row>
    <row r="44" spans="1:18" s="16" customFormat="1" ht="31.95" customHeight="1" x14ac:dyDescent="0.3">
      <c r="A44" s="7">
        <v>46085.341770833336</v>
      </c>
      <c r="B44" s="6" t="s">
        <v>5</v>
      </c>
      <c r="C44" s="6" t="s">
        <v>1672</v>
      </c>
      <c r="D44" s="6" t="str">
        <f>VLOOKUP(B44,'Veri doğrulama'!$D$6:$F$13,2,0)</f>
        <v>MEHMET ÖZEN</v>
      </c>
      <c r="E44" s="6" t="s">
        <v>1736</v>
      </c>
      <c r="F44" s="6" t="s">
        <v>1737</v>
      </c>
      <c r="G44" s="6" t="s">
        <v>15</v>
      </c>
      <c r="H44" s="6" t="s">
        <v>34</v>
      </c>
      <c r="I44" s="6">
        <v>2400</v>
      </c>
      <c r="J44" s="6">
        <v>1100</v>
      </c>
      <c r="K44" s="6">
        <v>1</v>
      </c>
      <c r="L44" s="10">
        <f t="shared" si="1"/>
        <v>2.64</v>
      </c>
      <c r="M44" s="6" t="s">
        <v>103</v>
      </c>
      <c r="N44" s="6"/>
      <c r="O44" s="6"/>
      <c r="P44" s="17" t="s">
        <v>54</v>
      </c>
      <c r="Q44" s="17" t="s">
        <v>54</v>
      </c>
      <c r="R44" s="17"/>
    </row>
    <row r="45" spans="1:18" s="16" customFormat="1" ht="31.95" customHeight="1" x14ac:dyDescent="0.3">
      <c r="A45" s="7">
        <v>46085.340486111112</v>
      </c>
      <c r="B45" s="6" t="s">
        <v>5</v>
      </c>
      <c r="C45" s="6" t="s">
        <v>1672</v>
      </c>
      <c r="D45" s="6" t="str">
        <f>VLOOKUP(B45,'Veri doğrulama'!$D$6:$F$13,2,0)</f>
        <v>MEHMET ÖZEN</v>
      </c>
      <c r="E45" s="6" t="s">
        <v>1734</v>
      </c>
      <c r="F45" s="6" t="s">
        <v>1735</v>
      </c>
      <c r="G45" s="6" t="s">
        <v>15</v>
      </c>
      <c r="H45" s="6" t="s">
        <v>34</v>
      </c>
      <c r="I45" s="6">
        <v>2000</v>
      </c>
      <c r="J45" s="6">
        <v>1000</v>
      </c>
      <c r="K45" s="6">
        <v>1</v>
      </c>
      <c r="L45" s="10">
        <f t="shared" si="1"/>
        <v>2</v>
      </c>
      <c r="M45" s="6" t="s">
        <v>103</v>
      </c>
      <c r="N45" s="6"/>
      <c r="O45" s="6"/>
      <c r="P45" s="17" t="s">
        <v>54</v>
      </c>
      <c r="Q45" s="17" t="s">
        <v>54</v>
      </c>
      <c r="R45" s="17"/>
    </row>
    <row r="46" spans="1:18" s="16" customFormat="1" ht="31.95" customHeight="1" x14ac:dyDescent="0.3">
      <c r="A46" s="7">
        <v>46084.664849537039</v>
      </c>
      <c r="B46" s="6" t="s">
        <v>4</v>
      </c>
      <c r="C46" s="6" t="s">
        <v>1673</v>
      </c>
      <c r="D46" s="6" t="str">
        <f>VLOOKUP(B46,'Veri doğrulama'!$D$6:$F$13,2,0)</f>
        <v>MEHMET YAZICI</v>
      </c>
      <c r="E46" s="6"/>
      <c r="F46" s="6" t="s">
        <v>80</v>
      </c>
      <c r="G46" s="6" t="s">
        <v>17</v>
      </c>
      <c r="H46" s="6" t="s">
        <v>34</v>
      </c>
      <c r="I46" s="6">
        <v>1600</v>
      </c>
      <c r="J46" s="6">
        <v>800</v>
      </c>
      <c r="K46" s="6">
        <v>20</v>
      </c>
      <c r="L46" s="10">
        <f t="shared" si="1"/>
        <v>25.6</v>
      </c>
      <c r="M46" s="6" t="s">
        <v>41</v>
      </c>
      <c r="N46" s="6" t="s">
        <v>1732</v>
      </c>
      <c r="O46" s="6" t="s">
        <v>1733</v>
      </c>
      <c r="P46" s="17" t="s">
        <v>54</v>
      </c>
      <c r="Q46" s="17" t="s">
        <v>54</v>
      </c>
      <c r="R46" s="17"/>
    </row>
    <row r="47" spans="1:18" s="16" customFormat="1" ht="31.95" customHeight="1" x14ac:dyDescent="0.3">
      <c r="A47" s="7">
        <v>46084.664293981485</v>
      </c>
      <c r="B47" s="6" t="s">
        <v>4</v>
      </c>
      <c r="C47" s="6" t="s">
        <v>1673</v>
      </c>
      <c r="D47" s="6" t="str">
        <f>VLOOKUP(B47,'Veri doğrulama'!$D$6:$F$13,2,0)</f>
        <v>MEHMET YAZICI</v>
      </c>
      <c r="E47" s="6"/>
      <c r="F47" s="6" t="s">
        <v>80</v>
      </c>
      <c r="G47" s="6" t="s">
        <v>16</v>
      </c>
      <c r="H47" s="6" t="s">
        <v>34</v>
      </c>
      <c r="I47" s="6">
        <v>1600</v>
      </c>
      <c r="J47" s="6">
        <v>800</v>
      </c>
      <c r="K47" s="6">
        <v>20</v>
      </c>
      <c r="L47" s="10">
        <f t="shared" si="1"/>
        <v>25.6</v>
      </c>
      <c r="M47" s="6" t="s">
        <v>41</v>
      </c>
      <c r="N47" s="6" t="s">
        <v>1732</v>
      </c>
      <c r="O47" s="6" t="s">
        <v>1733</v>
      </c>
      <c r="P47" s="17" t="s">
        <v>54</v>
      </c>
      <c r="Q47" s="17" t="s">
        <v>54</v>
      </c>
      <c r="R47" s="17"/>
    </row>
    <row r="48" spans="1:18" s="16" customFormat="1" ht="31.95" customHeight="1" x14ac:dyDescent="0.3">
      <c r="A48" s="7">
        <v>46084.598657407405</v>
      </c>
      <c r="B48" s="6" t="s">
        <v>5</v>
      </c>
      <c r="C48" s="6"/>
      <c r="D48" s="6" t="str">
        <f>VLOOKUP(B48,'Veri doğrulama'!$D$6:$F$13,2,0)</f>
        <v>MEHMET ÖZEN</v>
      </c>
      <c r="E48" s="6"/>
      <c r="F48" s="6" t="s">
        <v>1731</v>
      </c>
      <c r="G48" s="6" t="s">
        <v>1497</v>
      </c>
      <c r="H48" s="6" t="s">
        <v>34</v>
      </c>
      <c r="I48" s="6">
        <v>1177</v>
      </c>
      <c r="J48" s="6">
        <v>400</v>
      </c>
      <c r="K48" s="6">
        <v>1</v>
      </c>
      <c r="L48" s="10">
        <f t="shared" si="1"/>
        <v>0.4708</v>
      </c>
      <c r="M48" s="6" t="s">
        <v>156</v>
      </c>
      <c r="N48" s="6"/>
      <c r="O48" s="6"/>
      <c r="P48" s="17" t="s">
        <v>54</v>
      </c>
      <c r="Q48" s="17" t="s">
        <v>54</v>
      </c>
      <c r="R48" s="17"/>
    </row>
    <row r="49" spans="1:18" s="16" customFormat="1" ht="31.95" customHeight="1" x14ac:dyDescent="0.3">
      <c r="A49" s="7">
        <v>46084.513969907406</v>
      </c>
      <c r="B49" s="6" t="s">
        <v>5</v>
      </c>
      <c r="C49" s="6" t="s">
        <v>1672</v>
      </c>
      <c r="D49" s="6" t="str">
        <f>VLOOKUP(B49,'Veri doğrulama'!$D$6:$F$13,2,0)</f>
        <v>MEHMET ÖZEN</v>
      </c>
      <c r="E49" s="6"/>
      <c r="F49" s="6" t="s">
        <v>1729</v>
      </c>
      <c r="G49" s="6" t="s">
        <v>17</v>
      </c>
      <c r="H49" s="6" t="s">
        <v>34</v>
      </c>
      <c r="I49" s="6">
        <v>730</v>
      </c>
      <c r="J49" s="6">
        <v>252</v>
      </c>
      <c r="K49" s="6">
        <v>1</v>
      </c>
      <c r="L49" s="10">
        <f t="shared" si="1"/>
        <v>0.18396000000000001</v>
      </c>
      <c r="M49" s="6" t="s">
        <v>596</v>
      </c>
      <c r="N49" s="6"/>
      <c r="O49" s="6" t="s">
        <v>1730</v>
      </c>
      <c r="P49" s="17" t="s">
        <v>54</v>
      </c>
      <c r="Q49" s="17" t="s">
        <v>54</v>
      </c>
      <c r="R49" s="17"/>
    </row>
    <row r="50" spans="1:18" s="16" customFormat="1" ht="31.95" customHeight="1" x14ac:dyDescent="0.3">
      <c r="A50" s="7">
        <v>46084.51326388889</v>
      </c>
      <c r="B50" s="6" t="s">
        <v>5</v>
      </c>
      <c r="C50" s="6" t="s">
        <v>1672</v>
      </c>
      <c r="D50" s="6" t="str">
        <f>VLOOKUP(B50,'Veri doğrulama'!$D$6:$F$13,2,0)</f>
        <v>MEHMET ÖZEN</v>
      </c>
      <c r="E50" s="6"/>
      <c r="F50" s="6" t="s">
        <v>136</v>
      </c>
      <c r="G50" s="6" t="s">
        <v>16</v>
      </c>
      <c r="H50" s="6" t="s">
        <v>34</v>
      </c>
      <c r="I50" s="6">
        <v>1600</v>
      </c>
      <c r="J50" s="6">
        <v>360</v>
      </c>
      <c r="K50" s="6">
        <v>1</v>
      </c>
      <c r="L50" s="10">
        <f t="shared" si="1"/>
        <v>0.57599999999999996</v>
      </c>
      <c r="M50" s="6" t="s">
        <v>102</v>
      </c>
      <c r="N50" s="6"/>
      <c r="O50" s="6"/>
      <c r="P50" s="17" t="s">
        <v>54</v>
      </c>
      <c r="Q50" s="17" t="s">
        <v>54</v>
      </c>
      <c r="R50" s="17"/>
    </row>
    <row r="51" spans="1:18" s="16" customFormat="1" ht="31.95" customHeight="1" x14ac:dyDescent="0.3">
      <c r="A51" s="7">
        <v>46084.510821759257</v>
      </c>
      <c r="B51" s="6" t="s">
        <v>4</v>
      </c>
      <c r="C51" s="6" t="s">
        <v>1675</v>
      </c>
      <c r="D51" s="6" t="str">
        <f>VLOOKUP(B51,'Veri doğrulama'!$D$6:$F$13,2,0)</f>
        <v>MEHMET YAZICI</v>
      </c>
      <c r="E51" s="6"/>
      <c r="F51" s="6" t="s">
        <v>105</v>
      </c>
      <c r="G51" s="6" t="s">
        <v>14</v>
      </c>
      <c r="H51" s="6" t="s">
        <v>34</v>
      </c>
      <c r="I51" s="6">
        <v>2600</v>
      </c>
      <c r="J51" s="6">
        <v>300</v>
      </c>
      <c r="K51" s="6">
        <v>1</v>
      </c>
      <c r="L51" s="10">
        <f t="shared" si="1"/>
        <v>0.78</v>
      </c>
      <c r="M51" s="6" t="s">
        <v>75</v>
      </c>
      <c r="N51" s="6" t="s">
        <v>159</v>
      </c>
      <c r="O51" s="6"/>
      <c r="P51" s="17" t="s">
        <v>54</v>
      </c>
      <c r="Q51" s="17" t="s">
        <v>54</v>
      </c>
      <c r="R51" s="17"/>
    </row>
    <row r="52" spans="1:18" s="16" customFormat="1" ht="31.95" customHeight="1" x14ac:dyDescent="0.3">
      <c r="A52" s="7">
        <v>46084.509988425925</v>
      </c>
      <c r="B52" s="6" t="s">
        <v>4</v>
      </c>
      <c r="C52" s="6" t="s">
        <v>1676</v>
      </c>
      <c r="D52" s="6" t="str">
        <f>VLOOKUP(B52,'Veri doğrulama'!$D$6:$F$13,2,0)</f>
        <v>MEHMET YAZICI</v>
      </c>
      <c r="E52" s="6">
        <v>27217</v>
      </c>
      <c r="F52" s="6" t="s">
        <v>1728</v>
      </c>
      <c r="G52" s="6" t="s">
        <v>16</v>
      </c>
      <c r="H52" s="6" t="s">
        <v>34</v>
      </c>
      <c r="I52" s="6">
        <v>720</v>
      </c>
      <c r="J52" s="6">
        <v>360</v>
      </c>
      <c r="K52" s="6">
        <v>1</v>
      </c>
      <c r="L52" s="10">
        <f t="shared" si="1"/>
        <v>0.25919999999999999</v>
      </c>
      <c r="M52" s="6" t="s">
        <v>103</v>
      </c>
      <c r="N52" s="6" t="s">
        <v>389</v>
      </c>
      <c r="O52" s="6"/>
      <c r="P52" s="17" t="s">
        <v>54</v>
      </c>
      <c r="Q52" s="17" t="s">
        <v>54</v>
      </c>
      <c r="R52" s="17"/>
    </row>
    <row r="53" spans="1:18" s="16" customFormat="1" ht="31.95" customHeight="1" x14ac:dyDescent="0.3">
      <c r="A53" s="7">
        <v>46084.509398148148</v>
      </c>
      <c r="B53" s="6" t="s">
        <v>4</v>
      </c>
      <c r="C53" s="6" t="s">
        <v>1676</v>
      </c>
      <c r="D53" s="6" t="str">
        <f>VLOOKUP(B53,'Veri doğrulama'!$D$6:$F$13,2,0)</f>
        <v>MEHMET YAZICI</v>
      </c>
      <c r="E53" s="6"/>
      <c r="F53" s="6" t="s">
        <v>345</v>
      </c>
      <c r="G53" s="6" t="s">
        <v>16</v>
      </c>
      <c r="H53" s="6" t="s">
        <v>34</v>
      </c>
      <c r="I53" s="6">
        <v>1400</v>
      </c>
      <c r="J53" s="6">
        <v>1200</v>
      </c>
      <c r="K53" s="6">
        <v>1</v>
      </c>
      <c r="L53" s="10">
        <f t="shared" si="1"/>
        <v>1.68</v>
      </c>
      <c r="M53" s="6" t="s">
        <v>43</v>
      </c>
      <c r="N53" s="6" t="s">
        <v>526</v>
      </c>
      <c r="O53" s="6" t="s">
        <v>1727</v>
      </c>
      <c r="P53" s="17" t="s">
        <v>54</v>
      </c>
      <c r="Q53" s="17" t="s">
        <v>54</v>
      </c>
      <c r="R53" s="17"/>
    </row>
    <row r="54" spans="1:18" s="16" customFormat="1" ht="31.95" customHeight="1" x14ac:dyDescent="0.3">
      <c r="A54" s="7">
        <v>46084.503784722219</v>
      </c>
      <c r="B54" s="6" t="s">
        <v>5</v>
      </c>
      <c r="C54" s="6"/>
      <c r="D54" s="6" t="str">
        <f>VLOOKUP(B54,'Veri doğrulama'!$D$6:$F$13,2,0)</f>
        <v>MEHMET ÖZEN</v>
      </c>
      <c r="E54" s="6"/>
      <c r="F54" s="6" t="s">
        <v>1726</v>
      </c>
      <c r="G54" s="6" t="s">
        <v>26</v>
      </c>
      <c r="H54" s="6" t="s">
        <v>34</v>
      </c>
      <c r="I54" s="6">
        <v>1400</v>
      </c>
      <c r="J54" s="6">
        <v>800</v>
      </c>
      <c r="K54" s="6">
        <v>1</v>
      </c>
      <c r="L54" s="10">
        <f t="shared" si="1"/>
        <v>1.1200000000000001</v>
      </c>
      <c r="M54" s="6" t="s">
        <v>156</v>
      </c>
      <c r="N54" s="6"/>
      <c r="O54" s="6"/>
      <c r="P54" s="17" t="s">
        <v>54</v>
      </c>
      <c r="Q54" s="17" t="s">
        <v>54</v>
      </c>
      <c r="R54" s="17"/>
    </row>
    <row r="55" spans="1:18" s="16" customFormat="1" ht="31.95" customHeight="1" x14ac:dyDescent="0.3">
      <c r="A55" s="7">
        <v>46084.40829861111</v>
      </c>
      <c r="B55" s="6" t="s">
        <v>5</v>
      </c>
      <c r="C55" s="6" t="s">
        <v>1674</v>
      </c>
      <c r="D55" s="6" t="str">
        <f>VLOOKUP(B55,'Veri doğrulama'!$D$6:$F$13,2,0)</f>
        <v>MEHMET ÖZEN</v>
      </c>
      <c r="E55" s="6" t="s">
        <v>1724</v>
      </c>
      <c r="F55" s="6" t="s">
        <v>1725</v>
      </c>
      <c r="G55" s="6" t="s">
        <v>1392</v>
      </c>
      <c r="H55" s="6" t="s">
        <v>34</v>
      </c>
      <c r="I55" s="6">
        <v>1620</v>
      </c>
      <c r="J55" s="6">
        <v>1370</v>
      </c>
      <c r="K55" s="6">
        <v>1</v>
      </c>
      <c r="L55" s="10">
        <f t="shared" si="1"/>
        <v>2.2193999999999998</v>
      </c>
      <c r="M55" s="6" t="s">
        <v>43</v>
      </c>
      <c r="N55" s="6" t="s">
        <v>468</v>
      </c>
      <c r="O55" s="6"/>
      <c r="P55" s="17" t="s">
        <v>54</v>
      </c>
      <c r="Q55" s="17" t="s">
        <v>54</v>
      </c>
      <c r="R55" s="17"/>
    </row>
    <row r="56" spans="1:18" s="16" customFormat="1" ht="31.95" customHeight="1" x14ac:dyDescent="0.3">
      <c r="A56" s="7">
        <v>46084.383726851855</v>
      </c>
      <c r="B56" s="6" t="s">
        <v>5</v>
      </c>
      <c r="C56" s="6" t="s">
        <v>1674</v>
      </c>
      <c r="D56" s="6" t="str">
        <f>VLOOKUP(B56,'Veri doğrulama'!$D$6:$F$13,2,0)</f>
        <v>MEHMET ÖZEN</v>
      </c>
      <c r="E56" s="6" t="s">
        <v>1723</v>
      </c>
      <c r="F56" s="6" t="s">
        <v>1342</v>
      </c>
      <c r="G56" s="6" t="s">
        <v>18</v>
      </c>
      <c r="H56" s="6" t="s">
        <v>34</v>
      </c>
      <c r="I56" s="6">
        <v>2070</v>
      </c>
      <c r="J56" s="6">
        <v>370</v>
      </c>
      <c r="K56" s="6">
        <v>1</v>
      </c>
      <c r="L56" s="10">
        <f t="shared" si="1"/>
        <v>0.76590000000000003</v>
      </c>
      <c r="M56" s="6" t="s">
        <v>156</v>
      </c>
      <c r="N56" s="6"/>
      <c r="O56" s="6"/>
      <c r="P56" s="17" t="s">
        <v>54</v>
      </c>
      <c r="Q56" s="17" t="s">
        <v>54</v>
      </c>
      <c r="R56" s="17"/>
    </row>
    <row r="57" spans="1:18" s="16" customFormat="1" ht="31.95" customHeight="1" x14ac:dyDescent="0.3">
      <c r="A57" s="7">
        <v>46083.67392361111</v>
      </c>
      <c r="B57" s="6" t="s">
        <v>5</v>
      </c>
      <c r="C57" s="6" t="s">
        <v>1672</v>
      </c>
      <c r="D57" s="6" t="str">
        <f>VLOOKUP(B57,'Veri doğrulama'!$D$6:$F$13,2,0)</f>
        <v>MEHMET ÖZEN</v>
      </c>
      <c r="E57" s="6"/>
      <c r="F57" s="6" t="s">
        <v>1722</v>
      </c>
      <c r="G57" s="6" t="s">
        <v>111</v>
      </c>
      <c r="H57" s="6" t="s">
        <v>34</v>
      </c>
      <c r="I57" s="6">
        <v>700</v>
      </c>
      <c r="J57" s="6">
        <v>762</v>
      </c>
      <c r="K57" s="6">
        <v>1</v>
      </c>
      <c r="L57" s="10">
        <f t="shared" si="1"/>
        <v>0.53339999999999999</v>
      </c>
      <c r="M57" s="6" t="s">
        <v>75</v>
      </c>
      <c r="N57" s="6"/>
      <c r="O57" s="6"/>
      <c r="P57" s="17" t="s">
        <v>54</v>
      </c>
      <c r="Q57" s="17" t="s">
        <v>54</v>
      </c>
      <c r="R57" s="17"/>
    </row>
    <row r="58" spans="1:18" s="16" customFormat="1" ht="31.95" customHeight="1" x14ac:dyDescent="0.3">
      <c r="A58" s="7">
        <v>46083.666585648149</v>
      </c>
      <c r="B58" s="6" t="s">
        <v>5</v>
      </c>
      <c r="C58" s="6"/>
      <c r="D58" s="6" t="str">
        <f>VLOOKUP(B58,'Veri doğrulama'!$D$6:$F$13,2,0)</f>
        <v>MEHMET ÖZEN</v>
      </c>
      <c r="E58" s="6"/>
      <c r="F58" s="6" t="s">
        <v>1720</v>
      </c>
      <c r="G58" s="6"/>
      <c r="H58" s="6" t="s">
        <v>34</v>
      </c>
      <c r="I58" s="6">
        <v>1030</v>
      </c>
      <c r="J58" s="6">
        <v>439</v>
      </c>
      <c r="K58" s="6">
        <v>2</v>
      </c>
      <c r="L58" s="10">
        <f t="shared" si="1"/>
        <v>0.90434000000000003</v>
      </c>
      <c r="M58" s="6" t="s">
        <v>43</v>
      </c>
      <c r="N58" s="6" t="s">
        <v>1721</v>
      </c>
      <c r="O58" s="6"/>
      <c r="P58" s="17" t="s">
        <v>54</v>
      </c>
      <c r="Q58" s="17" t="s">
        <v>54</v>
      </c>
      <c r="R58" s="17"/>
    </row>
    <row r="59" spans="1:18" s="16" customFormat="1" ht="31.95" customHeight="1" x14ac:dyDescent="0.3">
      <c r="A59" s="7">
        <v>46083.609317129631</v>
      </c>
      <c r="B59" s="6" t="s">
        <v>6</v>
      </c>
      <c r="C59" s="6"/>
      <c r="D59" s="6" t="str">
        <f>VLOOKUP(B59,'Veri doğrulama'!$D$6:$F$13,2,0)</f>
        <v>SERVET KAPLAN</v>
      </c>
      <c r="E59" s="6"/>
      <c r="F59" s="6" t="s">
        <v>1719</v>
      </c>
      <c r="G59" s="6" t="s">
        <v>22</v>
      </c>
      <c r="H59" s="6" t="s">
        <v>34</v>
      </c>
      <c r="I59" s="6">
        <v>680</v>
      </c>
      <c r="J59" s="6">
        <v>424</v>
      </c>
      <c r="K59" s="6">
        <v>3</v>
      </c>
      <c r="L59" s="10">
        <f t="shared" si="1"/>
        <v>0.86496000000000006</v>
      </c>
      <c r="M59" s="6" t="s">
        <v>103</v>
      </c>
      <c r="N59" s="6"/>
      <c r="O59" s="6"/>
      <c r="P59" s="17" t="s">
        <v>54</v>
      </c>
      <c r="Q59" s="17" t="s">
        <v>54</v>
      </c>
      <c r="R59" s="17"/>
    </row>
    <row r="60" spans="1:18" s="16" customFormat="1" ht="31.95" customHeight="1" x14ac:dyDescent="0.3">
      <c r="A60" s="7">
        <v>46083.608425925922</v>
      </c>
      <c r="B60" s="6" t="s">
        <v>6</v>
      </c>
      <c r="C60" s="6"/>
      <c r="D60" s="6" t="str">
        <f>VLOOKUP(B60,'Veri doğrulama'!$D$6:$F$13,2,0)</f>
        <v>SERVET KAPLAN</v>
      </c>
      <c r="E60" s="6"/>
      <c r="F60" s="6" t="s">
        <v>1718</v>
      </c>
      <c r="G60" s="6" t="s">
        <v>22</v>
      </c>
      <c r="H60" s="6" t="s">
        <v>34</v>
      </c>
      <c r="I60" s="6">
        <v>1462</v>
      </c>
      <c r="J60" s="6">
        <v>680</v>
      </c>
      <c r="K60" s="6">
        <v>2</v>
      </c>
      <c r="L60" s="10">
        <f t="shared" si="1"/>
        <v>1.9883200000000001</v>
      </c>
      <c r="M60" s="6" t="s">
        <v>103</v>
      </c>
      <c r="N60" s="6"/>
      <c r="O60" s="6"/>
      <c r="P60" s="17" t="s">
        <v>54</v>
      </c>
      <c r="Q60" s="17" t="s">
        <v>54</v>
      </c>
      <c r="R60" s="17"/>
    </row>
    <row r="61" spans="1:18" s="16" customFormat="1" ht="31.95" customHeight="1" x14ac:dyDescent="0.3">
      <c r="A61" s="7">
        <v>46083.574097222219</v>
      </c>
      <c r="B61" s="6" t="s">
        <v>5</v>
      </c>
      <c r="C61" s="6"/>
      <c r="D61" s="6" t="str">
        <f>VLOOKUP(B61,'Veri doğrulama'!$D$6:$F$13,2,0)</f>
        <v>MEHMET ÖZEN</v>
      </c>
      <c r="E61" s="6"/>
      <c r="F61" s="6" t="s">
        <v>1717</v>
      </c>
      <c r="G61" s="6" t="s">
        <v>111</v>
      </c>
      <c r="H61" s="6" t="s">
        <v>34</v>
      </c>
      <c r="I61" s="6">
        <v>1300</v>
      </c>
      <c r="J61" s="6">
        <v>325</v>
      </c>
      <c r="K61" s="6">
        <v>1</v>
      </c>
      <c r="L61" s="10">
        <f t="shared" si="1"/>
        <v>0.42249999999999999</v>
      </c>
      <c r="M61" s="6"/>
      <c r="N61" s="6"/>
      <c r="O61" s="6" t="s">
        <v>1715</v>
      </c>
      <c r="P61" s="17" t="s">
        <v>54</v>
      </c>
      <c r="Q61" s="17" t="s">
        <v>54</v>
      </c>
      <c r="R61" s="17"/>
    </row>
    <row r="62" spans="1:18" s="16" customFormat="1" ht="31.95" customHeight="1" x14ac:dyDescent="0.3">
      <c r="A62" s="7">
        <v>46083.573171296295</v>
      </c>
      <c r="B62" s="6" t="s">
        <v>5</v>
      </c>
      <c r="C62" s="6"/>
      <c r="D62" s="6" t="str">
        <f>VLOOKUP(B62,'Veri doğrulama'!$D$6:$F$13,2,0)</f>
        <v>MEHMET ÖZEN</v>
      </c>
      <c r="E62" s="6"/>
      <c r="F62" s="6" t="s">
        <v>1716</v>
      </c>
      <c r="G62" s="6" t="s">
        <v>111</v>
      </c>
      <c r="H62" s="6" t="s">
        <v>34</v>
      </c>
      <c r="I62" s="6">
        <v>761</v>
      </c>
      <c r="J62" s="6">
        <v>306</v>
      </c>
      <c r="K62" s="6">
        <v>4</v>
      </c>
      <c r="L62" s="10">
        <f t="shared" si="1"/>
        <v>0.93146399999999996</v>
      </c>
      <c r="M62" s="6"/>
      <c r="N62" s="6"/>
      <c r="O62" s="6" t="s">
        <v>1715</v>
      </c>
      <c r="P62" s="17" t="s">
        <v>54</v>
      </c>
      <c r="Q62" s="17" t="s">
        <v>54</v>
      </c>
      <c r="R62" s="17"/>
    </row>
    <row r="63" spans="1:18" s="16" customFormat="1" ht="31.95" customHeight="1" x14ac:dyDescent="0.3">
      <c r="A63" s="7">
        <v>46083.571898148148</v>
      </c>
      <c r="B63" s="6" t="s">
        <v>5</v>
      </c>
      <c r="C63" s="6"/>
      <c r="D63" s="6" t="str">
        <f>VLOOKUP(B63,'Veri doğrulama'!$D$6:$F$13,2,0)</f>
        <v>MEHMET ÖZEN</v>
      </c>
      <c r="E63" s="6"/>
      <c r="F63" s="6" t="s">
        <v>1714</v>
      </c>
      <c r="G63" s="6" t="s">
        <v>111</v>
      </c>
      <c r="H63" s="6" t="s">
        <v>34</v>
      </c>
      <c r="I63" s="6">
        <v>700</v>
      </c>
      <c r="J63" s="6">
        <v>762</v>
      </c>
      <c r="K63" s="6">
        <v>2</v>
      </c>
      <c r="L63" s="10">
        <f t="shared" si="1"/>
        <v>1.0668</v>
      </c>
      <c r="M63" s="6"/>
      <c r="N63" s="6"/>
      <c r="O63" s="6" t="s">
        <v>1715</v>
      </c>
      <c r="P63" s="17" t="s">
        <v>54</v>
      </c>
      <c r="Q63" s="17" t="s">
        <v>54</v>
      </c>
      <c r="R63" s="17"/>
    </row>
    <row r="64" spans="1:18" s="16" customFormat="1" ht="31.95" customHeight="1" x14ac:dyDescent="0.3">
      <c r="A64" s="7">
        <v>46083.452523148146</v>
      </c>
      <c r="B64" s="6" t="s">
        <v>5</v>
      </c>
      <c r="C64" s="6"/>
      <c r="D64" s="6" t="str">
        <f>VLOOKUP(B64,'Veri doğrulama'!$D$6:$F$13,2,0)</f>
        <v>MEHMET ÖZEN</v>
      </c>
      <c r="E64" s="6" t="s">
        <v>1713</v>
      </c>
      <c r="F64" s="6" t="s">
        <v>1112</v>
      </c>
      <c r="G64" s="6" t="s">
        <v>16</v>
      </c>
      <c r="H64" s="6" t="s">
        <v>34</v>
      </c>
      <c r="I64" s="6">
        <v>1400</v>
      </c>
      <c r="J64" s="6">
        <v>1400</v>
      </c>
      <c r="K64" s="6">
        <v>1</v>
      </c>
      <c r="L64" s="10">
        <f t="shared" si="1"/>
        <v>1.96</v>
      </c>
      <c r="M64" s="6" t="s">
        <v>102</v>
      </c>
      <c r="N64" s="6"/>
      <c r="O64" s="6"/>
      <c r="P64" s="17" t="s">
        <v>54</v>
      </c>
      <c r="Q64" s="17" t="s">
        <v>54</v>
      </c>
      <c r="R64" s="17"/>
    </row>
    <row r="65" spans="1:18" s="16" customFormat="1" ht="31.95" customHeight="1" x14ac:dyDescent="0.3">
      <c r="A65" s="7">
        <v>46083.435046296298</v>
      </c>
      <c r="B65" s="6" t="s">
        <v>5</v>
      </c>
      <c r="C65" s="6" t="s">
        <v>1674</v>
      </c>
      <c r="D65" s="6" t="str">
        <f>VLOOKUP(B65,'Veri doğrulama'!$D$6:$F$13,2,0)</f>
        <v>MEHMET ÖZEN</v>
      </c>
      <c r="E65" s="6" t="s">
        <v>1711</v>
      </c>
      <c r="F65" s="6" t="s">
        <v>1712</v>
      </c>
      <c r="G65" s="6" t="s">
        <v>27</v>
      </c>
      <c r="H65" s="6" t="s">
        <v>35</v>
      </c>
      <c r="I65" s="6">
        <v>693</v>
      </c>
      <c r="J65" s="6">
        <v>849</v>
      </c>
      <c r="K65" s="6">
        <v>1</v>
      </c>
      <c r="L65" s="10">
        <f t="shared" si="1"/>
        <v>0.58835700000000002</v>
      </c>
      <c r="M65" s="6" t="s">
        <v>43</v>
      </c>
      <c r="N65" s="6"/>
      <c r="O65" s="6"/>
      <c r="P65" s="17" t="s">
        <v>54</v>
      </c>
      <c r="Q65" s="17" t="s">
        <v>54</v>
      </c>
      <c r="R65" s="17"/>
    </row>
    <row r="66" spans="1:18" s="16" customFormat="1" ht="31.95" customHeight="1" x14ac:dyDescent="0.3">
      <c r="A66" s="7">
        <v>46080.653587962966</v>
      </c>
      <c r="B66" s="6" t="s">
        <v>4</v>
      </c>
      <c r="C66" s="6" t="s">
        <v>1675</v>
      </c>
      <c r="D66" s="6" t="str">
        <f>VLOOKUP(B66,'Veri doğrulama'!$D$6:$F$13,2,0)</f>
        <v>MEHMET YAZICI</v>
      </c>
      <c r="E66" s="6"/>
      <c r="F66" s="6" t="s">
        <v>165</v>
      </c>
      <c r="G66" s="6" t="s">
        <v>17</v>
      </c>
      <c r="H66" s="6" t="s">
        <v>34</v>
      </c>
      <c r="I66" s="6">
        <v>1400</v>
      </c>
      <c r="J66" s="6">
        <v>1400</v>
      </c>
      <c r="K66" s="6">
        <v>1</v>
      </c>
      <c r="L66" s="10">
        <f t="shared" si="1"/>
        <v>1.96</v>
      </c>
      <c r="M66" s="6" t="s">
        <v>102</v>
      </c>
      <c r="N66" s="6" t="s">
        <v>159</v>
      </c>
      <c r="O66" s="6"/>
      <c r="P66" s="17" t="s">
        <v>54</v>
      </c>
      <c r="Q66" s="17" t="s">
        <v>54</v>
      </c>
      <c r="R66" s="17"/>
    </row>
    <row r="67" spans="1:18" s="16" customFormat="1" ht="31.95" customHeight="1" x14ac:dyDescent="0.3">
      <c r="A67" s="7">
        <v>46080.652986111112</v>
      </c>
      <c r="B67" s="6" t="s">
        <v>4</v>
      </c>
      <c r="C67" s="6" t="s">
        <v>1675</v>
      </c>
      <c r="D67" s="6" t="str">
        <f>VLOOKUP(B67,'Veri doğrulama'!$D$6:$F$13,2,0)</f>
        <v>MEHMET YAZICI</v>
      </c>
      <c r="E67" s="6"/>
      <c r="F67" s="6" t="s">
        <v>124</v>
      </c>
      <c r="G67" s="6" t="s">
        <v>17</v>
      </c>
      <c r="H67" s="6" t="s">
        <v>34</v>
      </c>
      <c r="I67" s="6">
        <v>264</v>
      </c>
      <c r="J67" s="6">
        <v>499</v>
      </c>
      <c r="K67" s="6">
        <v>2</v>
      </c>
      <c r="L67" s="10">
        <f t="shared" si="1"/>
        <v>0.26347199999999998</v>
      </c>
      <c r="M67" s="6" t="s">
        <v>75</v>
      </c>
      <c r="N67" s="6" t="s">
        <v>159</v>
      </c>
      <c r="O67" s="6" t="s">
        <v>1710</v>
      </c>
      <c r="P67" s="17" t="s">
        <v>54</v>
      </c>
      <c r="Q67" s="17" t="s">
        <v>54</v>
      </c>
      <c r="R67" s="17"/>
    </row>
    <row r="68" spans="1:18" s="16" customFormat="1" ht="31.95" customHeight="1" x14ac:dyDescent="0.3">
      <c r="A68" s="7">
        <v>46080.647488425922</v>
      </c>
      <c r="B68" s="6" t="s">
        <v>5</v>
      </c>
      <c r="C68" s="6" t="s">
        <v>1672</v>
      </c>
      <c r="D68" s="6" t="str">
        <f>VLOOKUP(B68,'Veri doğrulama'!$D$6:$F$13,2,0)</f>
        <v>MEHMET ÖZEN</v>
      </c>
      <c r="E68" s="6">
        <v>27158</v>
      </c>
      <c r="F68" s="6" t="s">
        <v>1709</v>
      </c>
      <c r="G68" s="6" t="s">
        <v>16</v>
      </c>
      <c r="H68" s="6" t="s">
        <v>34</v>
      </c>
      <c r="I68" s="6">
        <v>1150</v>
      </c>
      <c r="J68" s="6">
        <v>470</v>
      </c>
      <c r="K68" s="6">
        <v>1</v>
      </c>
      <c r="L68" s="10">
        <f t="shared" si="1"/>
        <v>0.54049999999999998</v>
      </c>
      <c r="M68" s="6" t="s">
        <v>103</v>
      </c>
      <c r="N68" s="6"/>
      <c r="O68" s="6"/>
      <c r="P68" s="17" t="s">
        <v>54</v>
      </c>
      <c r="Q68" s="17" t="s">
        <v>54</v>
      </c>
      <c r="R68" s="17"/>
    </row>
    <row r="69" spans="1:18" s="16" customFormat="1" ht="31.95" customHeight="1" x14ac:dyDescent="0.3">
      <c r="A69" s="7">
        <v>46080.638275462959</v>
      </c>
      <c r="B69" s="6" t="s">
        <v>5</v>
      </c>
      <c r="C69" s="6" t="s">
        <v>1672</v>
      </c>
      <c r="D69" s="6" t="str">
        <f>VLOOKUP(B69,'Veri doğrulama'!$D$6:$F$13,2,0)</f>
        <v>MEHMET ÖZEN</v>
      </c>
      <c r="E69" s="6">
        <v>27217</v>
      </c>
      <c r="F69" s="6" t="s">
        <v>1708</v>
      </c>
      <c r="G69" s="6" t="s">
        <v>1497</v>
      </c>
      <c r="H69" s="6" t="s">
        <v>35</v>
      </c>
      <c r="I69" s="6">
        <v>650</v>
      </c>
      <c r="J69" s="6">
        <v>500</v>
      </c>
      <c r="K69" s="6">
        <v>1</v>
      </c>
      <c r="L69" s="10">
        <f t="shared" si="1"/>
        <v>0.32500000000000001</v>
      </c>
      <c r="M69" s="6" t="s">
        <v>156</v>
      </c>
      <c r="N69" s="6"/>
      <c r="O69" s="6"/>
      <c r="P69" s="17" t="s">
        <v>54</v>
      </c>
      <c r="Q69" s="17" t="s">
        <v>54</v>
      </c>
      <c r="R69" s="17"/>
    </row>
    <row r="70" spans="1:18" s="16" customFormat="1" ht="31.95" customHeight="1" x14ac:dyDescent="0.3">
      <c r="A70" s="7">
        <v>46080.589861111112</v>
      </c>
      <c r="B70" s="6" t="s">
        <v>5</v>
      </c>
      <c r="C70" s="6"/>
      <c r="D70" s="6" t="str">
        <f>VLOOKUP(B70,'Veri doğrulama'!$D$6:$F$13,2,0)</f>
        <v>MEHMET ÖZEN</v>
      </c>
      <c r="E70" s="6"/>
      <c r="F70" s="6" t="s">
        <v>1707</v>
      </c>
      <c r="G70" s="6" t="s">
        <v>14</v>
      </c>
      <c r="H70" s="6" t="s">
        <v>34</v>
      </c>
      <c r="I70" s="6">
        <v>2600</v>
      </c>
      <c r="J70" s="6">
        <v>300</v>
      </c>
      <c r="K70" s="6">
        <v>1</v>
      </c>
      <c r="L70" s="10">
        <f t="shared" si="1"/>
        <v>0.78</v>
      </c>
      <c r="M70" s="6" t="s">
        <v>37</v>
      </c>
      <c r="N70" s="6"/>
      <c r="O70" s="6"/>
      <c r="P70" s="17" t="s">
        <v>54</v>
      </c>
      <c r="Q70" s="17" t="s">
        <v>54</v>
      </c>
      <c r="R70" s="17"/>
    </row>
    <row r="71" spans="1:18" s="16" customFormat="1" ht="31.95" customHeight="1" x14ac:dyDescent="0.3">
      <c r="A71" s="7">
        <v>46080.573912037034</v>
      </c>
      <c r="B71" s="6" t="s">
        <v>5</v>
      </c>
      <c r="C71" s="6" t="s">
        <v>1672</v>
      </c>
      <c r="D71" s="6" t="str">
        <f>VLOOKUP(B71,'Veri doğrulama'!$D$6:$F$13,2,0)</f>
        <v>MEHMET ÖZEN</v>
      </c>
      <c r="E71" s="6">
        <v>27070</v>
      </c>
      <c r="F71" s="6" t="s">
        <v>1705</v>
      </c>
      <c r="G71" s="6" t="s">
        <v>26</v>
      </c>
      <c r="H71" s="6" t="s">
        <v>34</v>
      </c>
      <c r="I71" s="6">
        <v>389</v>
      </c>
      <c r="J71" s="6">
        <v>384</v>
      </c>
      <c r="K71" s="6">
        <v>1</v>
      </c>
      <c r="L71" s="10">
        <f t="shared" si="1"/>
        <v>0.14937600000000001</v>
      </c>
      <c r="M71" s="6" t="s">
        <v>596</v>
      </c>
      <c r="N71" s="6"/>
      <c r="O71" s="6" t="s">
        <v>1706</v>
      </c>
      <c r="P71" s="17" t="s">
        <v>54</v>
      </c>
      <c r="Q71" s="17" t="s">
        <v>54</v>
      </c>
      <c r="R71" s="17"/>
    </row>
    <row r="72" spans="1:18" s="16" customFormat="1" ht="31.95" customHeight="1" x14ac:dyDescent="0.3">
      <c r="A72" s="7">
        <v>46080.417118055557</v>
      </c>
      <c r="B72" s="6" t="s">
        <v>4</v>
      </c>
      <c r="C72" s="6" t="s">
        <v>1673</v>
      </c>
      <c r="D72" s="6" t="str">
        <f>VLOOKUP(B72,'Veri doğrulama'!$D$6:$F$13,2,0)</f>
        <v>MEHMET YAZICI</v>
      </c>
      <c r="E72" s="6"/>
      <c r="F72" s="6" t="s">
        <v>1703</v>
      </c>
      <c r="G72" s="6" t="s">
        <v>1392</v>
      </c>
      <c r="H72" s="6" t="s">
        <v>34</v>
      </c>
      <c r="I72" s="6">
        <v>260</v>
      </c>
      <c r="J72" s="6">
        <v>150</v>
      </c>
      <c r="K72" s="6">
        <v>134</v>
      </c>
      <c r="L72" s="10">
        <f t="shared" ref="L72:L135" si="2">I72*J72/1000000*K72</f>
        <v>5.226</v>
      </c>
      <c r="M72" s="6" t="s">
        <v>41</v>
      </c>
      <c r="N72" s="6" t="s">
        <v>159</v>
      </c>
      <c r="O72" s="6" t="s">
        <v>1704</v>
      </c>
      <c r="P72" s="17" t="s">
        <v>54</v>
      </c>
      <c r="Q72" s="17" t="s">
        <v>54</v>
      </c>
      <c r="R72" s="17"/>
    </row>
    <row r="73" spans="1:18" s="16" customFormat="1" ht="31.95" customHeight="1" x14ac:dyDescent="0.3">
      <c r="A73" s="7">
        <v>46080.41578703704</v>
      </c>
      <c r="B73" s="6" t="s">
        <v>4</v>
      </c>
      <c r="C73" s="6" t="s">
        <v>1675</v>
      </c>
      <c r="D73" s="6" t="str">
        <f>VLOOKUP(B73,'Veri doğrulama'!$D$6:$F$13,2,0)</f>
        <v>MEHMET YAZICI</v>
      </c>
      <c r="E73" s="6"/>
      <c r="F73" s="6" t="s">
        <v>1701</v>
      </c>
      <c r="G73" s="6" t="s">
        <v>1392</v>
      </c>
      <c r="H73" s="6" t="s">
        <v>34</v>
      </c>
      <c r="I73" s="6">
        <v>500</v>
      </c>
      <c r="J73" s="6">
        <v>1800</v>
      </c>
      <c r="K73" s="6">
        <v>134</v>
      </c>
      <c r="L73" s="10">
        <f t="shared" si="2"/>
        <v>120.60000000000001</v>
      </c>
      <c r="M73" s="6" t="s">
        <v>41</v>
      </c>
      <c r="N73" s="6" t="s">
        <v>159</v>
      </c>
      <c r="O73" s="6" t="s">
        <v>1702</v>
      </c>
      <c r="P73" s="17" t="s">
        <v>54</v>
      </c>
      <c r="Q73" s="17" t="s">
        <v>54</v>
      </c>
      <c r="R73" s="17"/>
    </row>
    <row r="74" spans="1:18" s="16" customFormat="1" ht="31.95" customHeight="1" x14ac:dyDescent="0.3">
      <c r="A74" s="7">
        <v>46080.414490740739</v>
      </c>
      <c r="B74" s="6" t="s">
        <v>4</v>
      </c>
      <c r="C74" s="6" t="s">
        <v>1676</v>
      </c>
      <c r="D74" s="6" t="str">
        <f>VLOOKUP(B74,'Veri doğrulama'!$D$6:$F$13,2,0)</f>
        <v>MEHMET YAZICI</v>
      </c>
      <c r="E74" s="6">
        <v>27207</v>
      </c>
      <c r="F74" s="6" t="s">
        <v>1198</v>
      </c>
      <c r="G74" s="6" t="s">
        <v>24</v>
      </c>
      <c r="H74" s="6" t="s">
        <v>34</v>
      </c>
      <c r="I74" s="6">
        <v>556</v>
      </c>
      <c r="J74" s="6">
        <v>450</v>
      </c>
      <c r="K74" s="6">
        <v>1</v>
      </c>
      <c r="L74" s="10">
        <f t="shared" si="2"/>
        <v>0.25019999999999998</v>
      </c>
      <c r="M74" s="6" t="s">
        <v>103</v>
      </c>
      <c r="N74" s="6" t="s">
        <v>385</v>
      </c>
      <c r="O74" s="6"/>
      <c r="P74" s="17" t="s">
        <v>54</v>
      </c>
      <c r="Q74" s="17" t="s">
        <v>54</v>
      </c>
      <c r="R74" s="17"/>
    </row>
    <row r="75" spans="1:18" s="16" customFormat="1" ht="31.95" customHeight="1" x14ac:dyDescent="0.3">
      <c r="A75" s="7">
        <v>46080.398715277777</v>
      </c>
      <c r="B75" s="6" t="s">
        <v>7</v>
      </c>
      <c r="C75" s="6"/>
      <c r="D75" s="6" t="str">
        <f>VLOOKUP(B75,'Veri doğrulama'!$D$6:$F$13,2,0)</f>
        <v>SIDDIK KAPLAN</v>
      </c>
      <c r="E75" s="6"/>
      <c r="F75" s="6" t="s">
        <v>1700</v>
      </c>
      <c r="G75" s="6" t="s">
        <v>1653</v>
      </c>
      <c r="H75" s="6" t="s">
        <v>34</v>
      </c>
      <c r="I75" s="6">
        <v>1400</v>
      </c>
      <c r="J75" s="6">
        <v>800</v>
      </c>
      <c r="K75" s="6">
        <v>1</v>
      </c>
      <c r="L75" s="10">
        <f t="shared" si="2"/>
        <v>1.1200000000000001</v>
      </c>
      <c r="M75" s="6" t="s">
        <v>252</v>
      </c>
      <c r="N75" s="6"/>
      <c r="O75" s="6"/>
      <c r="P75" s="17" t="s">
        <v>54</v>
      </c>
      <c r="Q75" s="17" t="s">
        <v>54</v>
      </c>
      <c r="R75" s="17"/>
    </row>
    <row r="76" spans="1:18" s="16" customFormat="1" ht="31.95" customHeight="1" x14ac:dyDescent="0.3">
      <c r="A76" s="7">
        <v>46079.652569444443</v>
      </c>
      <c r="B76" s="6" t="s">
        <v>5</v>
      </c>
      <c r="C76" s="6" t="s">
        <v>1672</v>
      </c>
      <c r="D76" s="6" t="str">
        <f>VLOOKUP(B76,'Veri doğrulama'!$D$6:$F$13,2,0)</f>
        <v>MEHMET ÖZEN</v>
      </c>
      <c r="E76" s="6">
        <v>26859</v>
      </c>
      <c r="F76" s="6" t="s">
        <v>1698</v>
      </c>
      <c r="G76" s="6" t="s">
        <v>14</v>
      </c>
      <c r="H76" s="6" t="s">
        <v>35</v>
      </c>
      <c r="I76" s="6">
        <v>710</v>
      </c>
      <c r="J76" s="6">
        <v>849</v>
      </c>
      <c r="K76" s="6">
        <v>2</v>
      </c>
      <c r="L76" s="10">
        <f t="shared" si="2"/>
        <v>1.2055800000000001</v>
      </c>
      <c r="M76" s="6" t="s">
        <v>102</v>
      </c>
      <c r="N76" s="6"/>
      <c r="O76" s="6" t="s">
        <v>1699</v>
      </c>
      <c r="P76" s="17" t="s">
        <v>54</v>
      </c>
      <c r="Q76" s="17" t="s">
        <v>54</v>
      </c>
      <c r="R76" s="17"/>
    </row>
    <row r="77" spans="1:18" s="16" customFormat="1" ht="31.95" customHeight="1" x14ac:dyDescent="0.3">
      <c r="A77" s="7">
        <v>46079.617372685185</v>
      </c>
      <c r="B77" s="6" t="s">
        <v>5</v>
      </c>
      <c r="C77" s="6" t="s">
        <v>1672</v>
      </c>
      <c r="D77" s="6" t="str">
        <f>VLOOKUP(B77,'Veri doğrulama'!$D$6:$F$13,2,0)</f>
        <v>MEHMET ÖZEN</v>
      </c>
      <c r="E77" s="6"/>
      <c r="F77" s="6" t="s">
        <v>66</v>
      </c>
      <c r="G77" s="6" t="s">
        <v>15</v>
      </c>
      <c r="H77" s="6" t="s">
        <v>35</v>
      </c>
      <c r="I77" s="6">
        <v>710</v>
      </c>
      <c r="J77" s="6">
        <v>549</v>
      </c>
      <c r="K77" s="6">
        <v>1</v>
      </c>
      <c r="L77" s="10">
        <f t="shared" si="2"/>
        <v>0.38979000000000003</v>
      </c>
      <c r="M77" s="6" t="s">
        <v>102</v>
      </c>
      <c r="N77" s="6"/>
      <c r="O77" s="6"/>
      <c r="P77" s="17" t="s">
        <v>54</v>
      </c>
      <c r="Q77" s="17" t="s">
        <v>54</v>
      </c>
      <c r="R77" s="17"/>
    </row>
    <row r="78" spans="1:18" s="16" customFormat="1" ht="31.95" customHeight="1" x14ac:dyDescent="0.3">
      <c r="A78" s="7">
        <v>46079.585185185184</v>
      </c>
      <c r="B78" s="6" t="s">
        <v>5</v>
      </c>
      <c r="C78" s="6" t="s">
        <v>1672</v>
      </c>
      <c r="D78" s="6" t="str">
        <f>VLOOKUP(B78,'Veri doğrulama'!$D$6:$F$13,2,0)</f>
        <v>MEHMET ÖZEN</v>
      </c>
      <c r="E78" s="6"/>
      <c r="F78" s="6" t="s">
        <v>1697</v>
      </c>
      <c r="G78" s="6" t="s">
        <v>15</v>
      </c>
      <c r="H78" s="6" t="s">
        <v>35</v>
      </c>
      <c r="I78" s="6">
        <v>710</v>
      </c>
      <c r="J78" s="6">
        <v>549</v>
      </c>
      <c r="K78" s="6">
        <v>1</v>
      </c>
      <c r="L78" s="10">
        <f t="shared" si="2"/>
        <v>0.38979000000000003</v>
      </c>
      <c r="M78" s="6" t="s">
        <v>103</v>
      </c>
      <c r="N78" s="6"/>
      <c r="O78" s="6"/>
      <c r="P78" s="17" t="s">
        <v>54</v>
      </c>
      <c r="Q78" s="17" t="s">
        <v>54</v>
      </c>
      <c r="R78" s="17"/>
    </row>
    <row r="79" spans="1:18" s="16" customFormat="1" ht="31.95" customHeight="1" x14ac:dyDescent="0.3">
      <c r="A79" s="7">
        <v>46079.459236111114</v>
      </c>
      <c r="B79" s="6" t="s">
        <v>5</v>
      </c>
      <c r="C79" s="6"/>
      <c r="D79" s="6" t="str">
        <f>VLOOKUP(B79,'Veri doğrulama'!$D$6:$F$13,2,0)</f>
        <v>MEHMET ÖZEN</v>
      </c>
      <c r="E79" s="6"/>
      <c r="F79" s="6" t="s">
        <v>283</v>
      </c>
      <c r="G79" s="6" t="s">
        <v>22</v>
      </c>
      <c r="H79" s="6" t="s">
        <v>34</v>
      </c>
      <c r="I79" s="6">
        <v>698</v>
      </c>
      <c r="J79" s="6">
        <v>447</v>
      </c>
      <c r="K79" s="6">
        <v>5</v>
      </c>
      <c r="L79" s="10">
        <f t="shared" si="2"/>
        <v>1.56003</v>
      </c>
      <c r="M79" s="6" t="s">
        <v>103</v>
      </c>
      <c r="N79" s="6"/>
      <c r="O79" s="6" t="s">
        <v>1696</v>
      </c>
      <c r="P79" s="17" t="s">
        <v>54</v>
      </c>
      <c r="Q79" s="17" t="s">
        <v>54</v>
      </c>
      <c r="R79" s="17"/>
    </row>
    <row r="80" spans="1:18" s="16" customFormat="1" ht="31.95" customHeight="1" x14ac:dyDescent="0.3">
      <c r="A80" s="7">
        <v>46079.441689814812</v>
      </c>
      <c r="B80" s="6" t="s">
        <v>4</v>
      </c>
      <c r="C80" s="6" t="s">
        <v>1675</v>
      </c>
      <c r="D80" s="6" t="str">
        <f>VLOOKUP(B80,'Veri doğrulama'!$D$6:$F$13,2,0)</f>
        <v>MEHMET YAZICI</v>
      </c>
      <c r="E80" s="6">
        <v>27071</v>
      </c>
      <c r="F80" s="6" t="s">
        <v>165</v>
      </c>
      <c r="G80" s="6" t="s">
        <v>17</v>
      </c>
      <c r="H80" s="6" t="s">
        <v>34</v>
      </c>
      <c r="I80" s="6">
        <v>1400</v>
      </c>
      <c r="J80" s="6">
        <v>1400</v>
      </c>
      <c r="K80" s="6">
        <v>1</v>
      </c>
      <c r="L80" s="10">
        <f t="shared" si="2"/>
        <v>1.96</v>
      </c>
      <c r="M80" s="6" t="s">
        <v>75</v>
      </c>
      <c r="N80" s="6" t="s">
        <v>159</v>
      </c>
      <c r="O80" s="6"/>
      <c r="P80" s="17" t="s">
        <v>54</v>
      </c>
      <c r="Q80" s="17" t="s">
        <v>54</v>
      </c>
      <c r="R80" s="17"/>
    </row>
    <row r="81" spans="1:18" s="16" customFormat="1" ht="31.95" customHeight="1" x14ac:dyDescent="0.3">
      <c r="A81" s="7">
        <v>46079.441018518519</v>
      </c>
      <c r="B81" s="6" t="s">
        <v>4</v>
      </c>
      <c r="C81" s="6" t="s">
        <v>1675</v>
      </c>
      <c r="D81" s="6" t="str">
        <f>VLOOKUP(B81,'Veri doğrulama'!$D$6:$F$13,2,0)</f>
        <v>MEHMET YAZICI</v>
      </c>
      <c r="E81" s="6">
        <v>27070</v>
      </c>
      <c r="F81" s="6" t="s">
        <v>1695</v>
      </c>
      <c r="G81" s="6" t="s">
        <v>17</v>
      </c>
      <c r="H81" s="6" t="s">
        <v>34</v>
      </c>
      <c r="I81" s="6">
        <v>600</v>
      </c>
      <c r="J81" s="6">
        <v>354</v>
      </c>
      <c r="K81" s="6">
        <v>1</v>
      </c>
      <c r="L81" s="10">
        <f t="shared" si="2"/>
        <v>0.21240000000000001</v>
      </c>
      <c r="M81" s="6" t="s">
        <v>75</v>
      </c>
      <c r="N81" s="6" t="s">
        <v>159</v>
      </c>
      <c r="O81" s="6"/>
      <c r="P81" s="17" t="s">
        <v>54</v>
      </c>
      <c r="Q81" s="17" t="s">
        <v>54</v>
      </c>
      <c r="R81" s="17"/>
    </row>
    <row r="82" spans="1:18" s="16" customFormat="1" ht="31.95" customHeight="1" x14ac:dyDescent="0.3">
      <c r="A82" s="7">
        <v>46079.440370370372</v>
      </c>
      <c r="B82" s="6" t="s">
        <v>4</v>
      </c>
      <c r="C82" s="6" t="s">
        <v>1675</v>
      </c>
      <c r="D82" s="6" t="str">
        <f>VLOOKUP(B82,'Veri doğrulama'!$D$6:$F$13,2,0)</f>
        <v>MEHMET YAZICI</v>
      </c>
      <c r="E82" s="6">
        <v>27166</v>
      </c>
      <c r="F82" s="6" t="s">
        <v>1693</v>
      </c>
      <c r="G82" s="6" t="s">
        <v>17</v>
      </c>
      <c r="H82" s="6" t="s">
        <v>34</v>
      </c>
      <c r="I82" s="6">
        <v>718</v>
      </c>
      <c r="J82" s="6">
        <v>123</v>
      </c>
      <c r="K82" s="6">
        <v>1</v>
      </c>
      <c r="L82" s="10">
        <f t="shared" si="2"/>
        <v>8.8314000000000004E-2</v>
      </c>
      <c r="M82" s="6" t="s">
        <v>103</v>
      </c>
      <c r="N82" s="6" t="s">
        <v>159</v>
      </c>
      <c r="O82" s="6" t="s">
        <v>1694</v>
      </c>
      <c r="P82" s="17" t="s">
        <v>54</v>
      </c>
      <c r="Q82" s="17" t="s">
        <v>54</v>
      </c>
      <c r="R82" s="17"/>
    </row>
    <row r="83" spans="1:18" s="16" customFormat="1" ht="31.95" customHeight="1" x14ac:dyDescent="0.3">
      <c r="A83" s="7">
        <v>46079.439513888887</v>
      </c>
      <c r="B83" s="6" t="s">
        <v>4</v>
      </c>
      <c r="C83" s="6" t="s">
        <v>1676</v>
      </c>
      <c r="D83" s="6" t="str">
        <f>VLOOKUP(B83,'Veri doğrulama'!$D$6:$F$13,2,0)</f>
        <v>MEHMET YAZICI</v>
      </c>
      <c r="E83" s="6">
        <v>27070</v>
      </c>
      <c r="F83" s="6" t="s">
        <v>750</v>
      </c>
      <c r="G83" s="6" t="s">
        <v>17</v>
      </c>
      <c r="H83" s="6" t="s">
        <v>34</v>
      </c>
      <c r="I83" s="6">
        <v>2386</v>
      </c>
      <c r="J83" s="6">
        <v>336</v>
      </c>
      <c r="K83" s="6">
        <v>1</v>
      </c>
      <c r="L83" s="10">
        <f t="shared" si="2"/>
        <v>0.80169599999999996</v>
      </c>
      <c r="M83" s="6" t="s">
        <v>103</v>
      </c>
      <c r="N83" s="6" t="s">
        <v>159</v>
      </c>
      <c r="O83" s="6" t="s">
        <v>1692</v>
      </c>
      <c r="P83" s="17" t="s">
        <v>54</v>
      </c>
      <c r="Q83" s="17" t="s">
        <v>54</v>
      </c>
      <c r="R83" s="17"/>
    </row>
    <row r="84" spans="1:18" s="16" customFormat="1" ht="31.95" customHeight="1" x14ac:dyDescent="0.3">
      <c r="A84" s="7">
        <v>46079.435937499999</v>
      </c>
      <c r="B84" s="6" t="s">
        <v>4</v>
      </c>
      <c r="C84" s="6" t="s">
        <v>1675</v>
      </c>
      <c r="D84" s="6" t="str">
        <f>VLOOKUP(B84,'Veri doğrulama'!$D$6:$F$13,2,0)</f>
        <v>MEHMET YAZICI</v>
      </c>
      <c r="E84" s="6"/>
      <c r="F84" s="6" t="s">
        <v>845</v>
      </c>
      <c r="G84" s="6" t="s">
        <v>16</v>
      </c>
      <c r="H84" s="6" t="s">
        <v>35</v>
      </c>
      <c r="I84" s="6">
        <v>900</v>
      </c>
      <c r="J84" s="6">
        <v>600</v>
      </c>
      <c r="K84" s="6">
        <v>1</v>
      </c>
      <c r="L84" s="10">
        <f t="shared" si="2"/>
        <v>0.54</v>
      </c>
      <c r="M84" s="6" t="s">
        <v>103</v>
      </c>
      <c r="N84" s="6" t="s">
        <v>159</v>
      </c>
      <c r="O84" s="6"/>
      <c r="P84" s="17" t="s">
        <v>54</v>
      </c>
      <c r="Q84" s="17" t="s">
        <v>54</v>
      </c>
      <c r="R84" s="17"/>
    </row>
    <row r="85" spans="1:18" s="16" customFormat="1" ht="31.95" customHeight="1" x14ac:dyDescent="0.3">
      <c r="A85" s="7">
        <v>46079.427372685182</v>
      </c>
      <c r="B85" s="6" t="s">
        <v>5</v>
      </c>
      <c r="C85" s="6" t="s">
        <v>1672</v>
      </c>
      <c r="D85" s="6" t="str">
        <f>VLOOKUP(B85,'Veri doğrulama'!$D$6:$F$13,2,0)</f>
        <v>MEHMET ÖZEN</v>
      </c>
      <c r="E85" s="6">
        <v>27096</v>
      </c>
      <c r="F85" s="6" t="s">
        <v>895</v>
      </c>
      <c r="G85" s="6" t="s">
        <v>19</v>
      </c>
      <c r="H85" s="6" t="s">
        <v>34</v>
      </c>
      <c r="I85" s="6">
        <v>698</v>
      </c>
      <c r="J85" s="6">
        <v>435</v>
      </c>
      <c r="K85" s="6">
        <v>1</v>
      </c>
      <c r="L85" s="10">
        <f t="shared" si="2"/>
        <v>0.30363000000000001</v>
      </c>
      <c r="M85" s="6" t="s">
        <v>103</v>
      </c>
      <c r="N85" s="6"/>
      <c r="O85" s="6"/>
      <c r="P85" s="17" t="s">
        <v>54</v>
      </c>
      <c r="Q85" s="17" t="s">
        <v>54</v>
      </c>
      <c r="R85" s="17"/>
    </row>
    <row r="86" spans="1:18" s="16" customFormat="1" ht="31.95" customHeight="1" x14ac:dyDescent="0.3">
      <c r="A86" s="7">
        <v>46079.426736111112</v>
      </c>
      <c r="B86" s="6" t="s">
        <v>5</v>
      </c>
      <c r="C86" s="6" t="s">
        <v>1672</v>
      </c>
      <c r="D86" s="6" t="str">
        <f>VLOOKUP(B86,'Veri doğrulama'!$D$6:$F$13,2,0)</f>
        <v>MEHMET ÖZEN</v>
      </c>
      <c r="E86" s="6">
        <v>27086</v>
      </c>
      <c r="F86" s="6" t="s">
        <v>351</v>
      </c>
      <c r="G86" s="6" t="s">
        <v>19</v>
      </c>
      <c r="H86" s="6" t="s">
        <v>34</v>
      </c>
      <c r="I86" s="6">
        <v>339</v>
      </c>
      <c r="J86" s="6">
        <v>320</v>
      </c>
      <c r="K86" s="6">
        <v>1</v>
      </c>
      <c r="L86" s="10">
        <f t="shared" si="2"/>
        <v>0.10847999999999999</v>
      </c>
      <c r="M86" s="6" t="s">
        <v>75</v>
      </c>
      <c r="N86" s="6"/>
      <c r="O86" s="6"/>
      <c r="P86" s="17" t="s">
        <v>54</v>
      </c>
      <c r="Q86" s="17" t="s">
        <v>54</v>
      </c>
      <c r="R86" s="17"/>
    </row>
    <row r="87" spans="1:18" s="16" customFormat="1" ht="31.95" customHeight="1" x14ac:dyDescent="0.3">
      <c r="A87" s="7">
        <v>46079.425983796296</v>
      </c>
      <c r="B87" s="6" t="s">
        <v>5</v>
      </c>
      <c r="C87" s="6" t="s">
        <v>1672</v>
      </c>
      <c r="D87" s="6" t="str">
        <f>VLOOKUP(B87,'Veri doğrulama'!$D$6:$F$13,2,0)</f>
        <v>MEHMET ÖZEN</v>
      </c>
      <c r="E87" s="6">
        <v>27086</v>
      </c>
      <c r="F87" s="6" t="s">
        <v>1615</v>
      </c>
      <c r="G87" s="6" t="s">
        <v>19</v>
      </c>
      <c r="H87" s="6" t="s">
        <v>34</v>
      </c>
      <c r="I87" s="6">
        <v>2600</v>
      </c>
      <c r="J87" s="6">
        <v>300</v>
      </c>
      <c r="K87" s="6">
        <v>1</v>
      </c>
      <c r="L87" s="10">
        <f t="shared" si="2"/>
        <v>0.78</v>
      </c>
      <c r="M87" s="6" t="s">
        <v>103</v>
      </c>
      <c r="N87" s="6"/>
      <c r="O87" s="6"/>
      <c r="P87" s="17" t="s">
        <v>54</v>
      </c>
      <c r="Q87" s="17" t="s">
        <v>54</v>
      </c>
      <c r="R87" s="17"/>
    </row>
    <row r="88" spans="1:18" s="16" customFormat="1" ht="31.95" customHeight="1" x14ac:dyDescent="0.3">
      <c r="A88" s="7">
        <v>46079.374166666668</v>
      </c>
      <c r="B88" s="6" t="s">
        <v>5</v>
      </c>
      <c r="C88" s="6" t="s">
        <v>1674</v>
      </c>
      <c r="D88" s="6" t="str">
        <f>VLOOKUP(B88,'Veri doğrulama'!$D$6:$F$13,2,0)</f>
        <v>MEHMET ÖZEN</v>
      </c>
      <c r="E88" s="6"/>
      <c r="F88" s="6" t="s">
        <v>1691</v>
      </c>
      <c r="G88" s="6" t="s">
        <v>18</v>
      </c>
      <c r="H88" s="6" t="s">
        <v>34</v>
      </c>
      <c r="I88" s="6">
        <v>1200</v>
      </c>
      <c r="J88" s="6">
        <v>1400</v>
      </c>
      <c r="K88" s="6">
        <v>1</v>
      </c>
      <c r="L88" s="10">
        <f t="shared" si="2"/>
        <v>1.68</v>
      </c>
      <c r="M88" s="6" t="s">
        <v>103</v>
      </c>
      <c r="N88" s="6"/>
      <c r="O88" s="6"/>
      <c r="P88" s="17" t="s">
        <v>54</v>
      </c>
      <c r="Q88" s="17" t="s">
        <v>54</v>
      </c>
      <c r="R88" s="17"/>
    </row>
    <row r="89" spans="1:18" s="16" customFormat="1" ht="31.95" customHeight="1" x14ac:dyDescent="0.3">
      <c r="A89" s="7">
        <v>46079.373657407406</v>
      </c>
      <c r="B89" s="6" t="s">
        <v>5</v>
      </c>
      <c r="C89" s="6" t="s">
        <v>1674</v>
      </c>
      <c r="D89" s="6" t="str">
        <f>VLOOKUP(B89,'Veri doğrulama'!$D$6:$F$13,2,0)</f>
        <v>MEHMET ÖZEN</v>
      </c>
      <c r="E89" s="6"/>
      <c r="F89" s="6" t="s">
        <v>1690</v>
      </c>
      <c r="G89" s="6" t="s">
        <v>16</v>
      </c>
      <c r="H89" s="6" t="s">
        <v>34</v>
      </c>
      <c r="I89" s="6">
        <v>1200</v>
      </c>
      <c r="J89" s="6">
        <v>1400</v>
      </c>
      <c r="K89" s="6">
        <v>5</v>
      </c>
      <c r="L89" s="10">
        <f t="shared" si="2"/>
        <v>8.4</v>
      </c>
      <c r="M89" s="6" t="s">
        <v>103</v>
      </c>
      <c r="N89" s="6"/>
      <c r="O89" s="6"/>
      <c r="P89" s="17" t="s">
        <v>54</v>
      </c>
      <c r="Q89" s="17" t="s">
        <v>54</v>
      </c>
      <c r="R89" s="17"/>
    </row>
    <row r="90" spans="1:18" s="16" customFormat="1" ht="31.95" customHeight="1" x14ac:dyDescent="0.3">
      <c r="A90" s="7">
        <v>46079.37059027778</v>
      </c>
      <c r="B90" s="6" t="s">
        <v>7</v>
      </c>
      <c r="C90" s="6"/>
      <c r="D90" s="6" t="str">
        <f>VLOOKUP(B90,'Veri doğrulama'!$D$6:$F$13,2,0)</f>
        <v>SIDDIK KAPLAN</v>
      </c>
      <c r="E90" s="6"/>
      <c r="F90" s="6" t="s">
        <v>1689</v>
      </c>
      <c r="G90" s="6" t="s">
        <v>1010</v>
      </c>
      <c r="H90" s="6" t="s">
        <v>33</v>
      </c>
      <c r="I90" s="6">
        <v>1987</v>
      </c>
      <c r="J90" s="6">
        <v>493</v>
      </c>
      <c r="K90" s="6">
        <v>1</v>
      </c>
      <c r="L90" s="10">
        <f t="shared" si="2"/>
        <v>0.97959099999999999</v>
      </c>
      <c r="M90" s="6" t="s">
        <v>156</v>
      </c>
      <c r="N90" s="6"/>
      <c r="O90" s="6"/>
      <c r="P90" s="17" t="s">
        <v>54</v>
      </c>
      <c r="Q90" s="17" t="s">
        <v>54</v>
      </c>
      <c r="R90" s="17"/>
    </row>
    <row r="91" spans="1:18" s="16" customFormat="1" ht="31.95" customHeight="1" x14ac:dyDescent="0.3">
      <c r="A91" s="7">
        <v>46078.586354166669</v>
      </c>
      <c r="B91" s="6" t="s">
        <v>4</v>
      </c>
      <c r="C91" s="6" t="s">
        <v>1675</v>
      </c>
      <c r="D91" s="6" t="str">
        <f>VLOOKUP(B91,'Veri doğrulama'!$D$6:$F$13,2,0)</f>
        <v>MEHMET YAZICI</v>
      </c>
      <c r="E91" s="6">
        <v>27096</v>
      </c>
      <c r="F91" s="6" t="s">
        <v>116</v>
      </c>
      <c r="G91" s="6" t="s">
        <v>19</v>
      </c>
      <c r="H91" s="6" t="s">
        <v>34</v>
      </c>
      <c r="I91" s="6">
        <v>2600</v>
      </c>
      <c r="J91" s="6">
        <v>300</v>
      </c>
      <c r="K91" s="6">
        <v>1</v>
      </c>
      <c r="L91" s="10">
        <f t="shared" si="2"/>
        <v>0.78</v>
      </c>
      <c r="M91" s="6" t="s">
        <v>102</v>
      </c>
      <c r="N91" s="6" t="s">
        <v>159</v>
      </c>
      <c r="O91" s="6"/>
      <c r="P91" s="17" t="s">
        <v>54</v>
      </c>
      <c r="Q91" s="17" t="s">
        <v>54</v>
      </c>
      <c r="R91" s="17"/>
    </row>
    <row r="92" spans="1:18" s="16" customFormat="1" ht="31.95" customHeight="1" x14ac:dyDescent="0.3">
      <c r="A92" s="7">
        <v>46078.584583333337</v>
      </c>
      <c r="B92" s="6" t="s">
        <v>4</v>
      </c>
      <c r="C92" s="6" t="s">
        <v>1676</v>
      </c>
      <c r="D92" s="6" t="str">
        <f>VLOOKUP(B92,'Veri doğrulama'!$D$6:$F$13,2,0)</f>
        <v>MEHMET YAZICI</v>
      </c>
      <c r="E92" s="6"/>
      <c r="F92" s="6" t="s">
        <v>210</v>
      </c>
      <c r="G92" s="6" t="s">
        <v>14</v>
      </c>
      <c r="H92" s="6" t="s">
        <v>35</v>
      </c>
      <c r="I92" s="6">
        <v>849</v>
      </c>
      <c r="J92" s="6">
        <v>710</v>
      </c>
      <c r="K92" s="6">
        <v>1</v>
      </c>
      <c r="L92" s="10">
        <f t="shared" si="2"/>
        <v>0.60279000000000005</v>
      </c>
      <c r="M92" s="6" t="s">
        <v>103</v>
      </c>
      <c r="N92" s="6" t="s">
        <v>385</v>
      </c>
      <c r="O92" s="6"/>
      <c r="P92" s="17" t="s">
        <v>54</v>
      </c>
      <c r="Q92" s="17" t="s">
        <v>54</v>
      </c>
      <c r="R92" s="17"/>
    </row>
    <row r="93" spans="1:18" s="16" customFormat="1" ht="31.95" customHeight="1" x14ac:dyDescent="0.3">
      <c r="A93" s="7">
        <v>46078.495266203703</v>
      </c>
      <c r="B93" s="6" t="s">
        <v>5</v>
      </c>
      <c r="C93" s="6" t="s">
        <v>1672</v>
      </c>
      <c r="D93" s="6" t="str">
        <f>VLOOKUP(B93,'Veri doğrulama'!$D$6:$F$13,2,0)</f>
        <v>MEHMET ÖZEN</v>
      </c>
      <c r="E93" s="6"/>
      <c r="F93" s="6" t="s">
        <v>611</v>
      </c>
      <c r="G93" s="6" t="s">
        <v>27</v>
      </c>
      <c r="H93" s="6" t="s">
        <v>34</v>
      </c>
      <c r="I93" s="6">
        <v>817</v>
      </c>
      <c r="J93" s="6">
        <v>400</v>
      </c>
      <c r="K93" s="6">
        <v>1</v>
      </c>
      <c r="L93" s="10">
        <f t="shared" si="2"/>
        <v>0.32679999999999998</v>
      </c>
      <c r="M93" s="6" t="s">
        <v>42</v>
      </c>
      <c r="N93" s="6"/>
      <c r="O93" s="6"/>
      <c r="P93" s="17" t="s">
        <v>54</v>
      </c>
      <c r="Q93" s="17" t="s">
        <v>54</v>
      </c>
      <c r="R93" s="17"/>
    </row>
    <row r="94" spans="1:18" s="16" customFormat="1" ht="31.95" customHeight="1" x14ac:dyDescent="0.3">
      <c r="A94" s="7">
        <v>46078.493981481479</v>
      </c>
      <c r="B94" s="6" t="s">
        <v>5</v>
      </c>
      <c r="C94" s="6" t="s">
        <v>1672</v>
      </c>
      <c r="D94" s="6" t="str">
        <f>VLOOKUP(B94,'Veri doğrulama'!$D$6:$F$13,2,0)</f>
        <v>MEHMET ÖZEN</v>
      </c>
      <c r="E94" s="6"/>
      <c r="F94" s="6" t="s">
        <v>1280</v>
      </c>
      <c r="G94" s="6" t="s">
        <v>1497</v>
      </c>
      <c r="H94" s="6" t="s">
        <v>35</v>
      </c>
      <c r="I94" s="6">
        <v>2000</v>
      </c>
      <c r="J94" s="6">
        <v>900</v>
      </c>
      <c r="K94" s="6">
        <v>1</v>
      </c>
      <c r="L94" s="10">
        <f t="shared" si="2"/>
        <v>1.8</v>
      </c>
      <c r="M94" s="6" t="s">
        <v>156</v>
      </c>
      <c r="N94" s="6"/>
      <c r="O94" s="6"/>
      <c r="P94" s="17" t="s">
        <v>54</v>
      </c>
      <c r="Q94" s="17" t="s">
        <v>54</v>
      </c>
      <c r="R94" s="17"/>
    </row>
    <row r="95" spans="1:18" s="16" customFormat="1" ht="31.95" customHeight="1" x14ac:dyDescent="0.3">
      <c r="A95" s="7">
        <v>46077.674907407411</v>
      </c>
      <c r="B95" s="6" t="s">
        <v>5</v>
      </c>
      <c r="C95" s="6" t="s">
        <v>1672</v>
      </c>
      <c r="D95" s="6" t="str">
        <f>VLOOKUP(B95,'Veri doğrulama'!$D$6:$F$13,2,0)</f>
        <v>MEHMET ÖZEN</v>
      </c>
      <c r="E95" s="6"/>
      <c r="F95" s="6" t="s">
        <v>611</v>
      </c>
      <c r="G95" s="6" t="s">
        <v>27</v>
      </c>
      <c r="H95" s="6" t="s">
        <v>34</v>
      </c>
      <c r="I95" s="6">
        <v>817</v>
      </c>
      <c r="J95" s="6">
        <v>400</v>
      </c>
      <c r="K95" s="6">
        <v>1</v>
      </c>
      <c r="L95" s="10">
        <f t="shared" si="2"/>
        <v>0.32679999999999998</v>
      </c>
      <c r="M95" s="6" t="s">
        <v>42</v>
      </c>
      <c r="N95" s="6"/>
      <c r="O95" s="6"/>
      <c r="P95" s="17" t="s">
        <v>54</v>
      </c>
      <c r="Q95" s="17" t="s">
        <v>54</v>
      </c>
      <c r="R95" s="17"/>
    </row>
    <row r="96" spans="1:18" s="16" customFormat="1" ht="31.95" customHeight="1" x14ac:dyDescent="0.3">
      <c r="A96" s="7">
        <v>46077.62605324074</v>
      </c>
      <c r="B96" s="6" t="s">
        <v>5</v>
      </c>
      <c r="C96" s="6" t="s">
        <v>1672</v>
      </c>
      <c r="D96" s="6" t="str">
        <f>VLOOKUP(B96,'Veri doğrulama'!$D$6:$F$13,2,0)</f>
        <v>MEHMET ÖZEN</v>
      </c>
      <c r="E96" s="6">
        <v>26859</v>
      </c>
      <c r="F96" s="6" t="s">
        <v>1688</v>
      </c>
      <c r="G96" s="6" t="s">
        <v>27</v>
      </c>
      <c r="H96" s="6" t="s">
        <v>35</v>
      </c>
      <c r="I96" s="6">
        <v>1600</v>
      </c>
      <c r="J96" s="6">
        <v>390</v>
      </c>
      <c r="K96" s="6">
        <v>1</v>
      </c>
      <c r="L96" s="10">
        <f t="shared" si="2"/>
        <v>0.624</v>
      </c>
      <c r="M96" s="6" t="s">
        <v>103</v>
      </c>
      <c r="N96" s="6"/>
      <c r="O96" s="6"/>
      <c r="P96" s="17" t="s">
        <v>54</v>
      </c>
      <c r="Q96" s="17" t="s">
        <v>54</v>
      </c>
      <c r="R96" s="17"/>
    </row>
    <row r="97" spans="1:18" s="16" customFormat="1" ht="31.95" customHeight="1" x14ac:dyDescent="0.3">
      <c r="A97" s="7">
        <v>46077.589780092596</v>
      </c>
      <c r="B97" s="6" t="s">
        <v>7</v>
      </c>
      <c r="C97" s="6"/>
      <c r="D97" s="6" t="str">
        <f>VLOOKUP(B97,'Veri doğrulama'!$D$6:$F$13,2,0)</f>
        <v>SIDDIK KAPLAN</v>
      </c>
      <c r="E97" s="6"/>
      <c r="F97" s="6" t="s">
        <v>1687</v>
      </c>
      <c r="G97" s="6" t="s">
        <v>1010</v>
      </c>
      <c r="H97" s="6" t="s">
        <v>34</v>
      </c>
      <c r="I97" s="6">
        <v>1786</v>
      </c>
      <c r="J97" s="6">
        <v>600</v>
      </c>
      <c r="K97" s="6">
        <v>1</v>
      </c>
      <c r="L97" s="10">
        <f t="shared" si="2"/>
        <v>1.0716000000000001</v>
      </c>
      <c r="M97" s="6" t="s">
        <v>156</v>
      </c>
      <c r="N97" s="6"/>
      <c r="O97" s="6"/>
      <c r="P97" s="17" t="s">
        <v>54</v>
      </c>
      <c r="Q97" s="17" t="s">
        <v>54</v>
      </c>
      <c r="R97" s="17"/>
    </row>
    <row r="98" spans="1:18" s="16" customFormat="1" ht="31.95" customHeight="1" x14ac:dyDescent="0.3">
      <c r="A98" s="7">
        <v>46077.517407407409</v>
      </c>
      <c r="B98" s="6" t="s">
        <v>4</v>
      </c>
      <c r="C98" s="6" t="s">
        <v>1675</v>
      </c>
      <c r="D98" s="6" t="str">
        <f>VLOOKUP(B98,'Veri doğrulama'!$D$6:$F$13,2,0)</f>
        <v>MEHMET YAZICI</v>
      </c>
      <c r="E98" s="6">
        <v>914</v>
      </c>
      <c r="F98" s="6" t="s">
        <v>1686</v>
      </c>
      <c r="G98" s="6" t="s">
        <v>16</v>
      </c>
      <c r="H98" s="6" t="s">
        <v>34</v>
      </c>
      <c r="I98" s="6">
        <v>763</v>
      </c>
      <c r="J98" s="6">
        <v>130</v>
      </c>
      <c r="K98" s="6">
        <v>1</v>
      </c>
      <c r="L98" s="10">
        <f t="shared" si="2"/>
        <v>9.919E-2</v>
      </c>
      <c r="M98" s="6" t="s">
        <v>75</v>
      </c>
      <c r="N98" s="6" t="s">
        <v>159</v>
      </c>
      <c r="O98" s="6"/>
      <c r="P98" s="17" t="s">
        <v>54</v>
      </c>
      <c r="Q98" s="17" t="s">
        <v>54</v>
      </c>
      <c r="R98" s="17"/>
    </row>
    <row r="99" spans="1:18" s="16" customFormat="1" ht="31.95" customHeight="1" x14ac:dyDescent="0.3">
      <c r="A99" s="7">
        <v>46077.514768518522</v>
      </c>
      <c r="B99" s="6" t="s">
        <v>4</v>
      </c>
      <c r="C99" s="6" t="s">
        <v>1676</v>
      </c>
      <c r="D99" s="6" t="str">
        <f>VLOOKUP(B99,'Veri doğrulama'!$D$6:$F$13,2,0)</f>
        <v>MEHMET YAZICI</v>
      </c>
      <c r="E99" s="6"/>
      <c r="F99" s="6" t="s">
        <v>1684</v>
      </c>
      <c r="G99" s="6" t="s">
        <v>20</v>
      </c>
      <c r="H99" s="6" t="s">
        <v>34</v>
      </c>
      <c r="I99" s="6">
        <v>860</v>
      </c>
      <c r="J99" s="6">
        <v>340</v>
      </c>
      <c r="K99" s="6">
        <v>1</v>
      </c>
      <c r="L99" s="10">
        <f t="shared" si="2"/>
        <v>0.29239999999999999</v>
      </c>
      <c r="M99" s="6" t="s">
        <v>596</v>
      </c>
      <c r="N99" s="6" t="s">
        <v>385</v>
      </c>
      <c r="O99" s="6" t="s">
        <v>1685</v>
      </c>
      <c r="P99" s="17" t="s">
        <v>54</v>
      </c>
      <c r="Q99" s="17" t="s">
        <v>54</v>
      </c>
      <c r="R99" s="17"/>
    </row>
    <row r="100" spans="1:18" s="16" customFormat="1" ht="31.95" customHeight="1" x14ac:dyDescent="0.3">
      <c r="A100" s="7">
        <v>46077.512511574074</v>
      </c>
      <c r="B100" s="6" t="s">
        <v>4</v>
      </c>
      <c r="C100" s="6" t="s">
        <v>1676</v>
      </c>
      <c r="D100" s="6" t="str">
        <f>VLOOKUP(B100,'Veri doğrulama'!$D$6:$F$13,2,0)</f>
        <v>MEHMET YAZICI</v>
      </c>
      <c r="E100" s="6">
        <v>914</v>
      </c>
      <c r="F100" s="6" t="s">
        <v>1683</v>
      </c>
      <c r="G100" s="6" t="s">
        <v>16</v>
      </c>
      <c r="H100" s="6" t="s">
        <v>34</v>
      </c>
      <c r="I100" s="6">
        <v>763</v>
      </c>
      <c r="J100" s="6">
        <v>338</v>
      </c>
      <c r="K100" s="6">
        <v>1</v>
      </c>
      <c r="L100" s="10">
        <f t="shared" si="2"/>
        <v>0.25789400000000001</v>
      </c>
      <c r="M100" s="6" t="s">
        <v>103</v>
      </c>
      <c r="N100" s="6" t="s">
        <v>385</v>
      </c>
      <c r="O100" s="6"/>
      <c r="P100" s="17" t="s">
        <v>54</v>
      </c>
      <c r="Q100" s="17" t="s">
        <v>54</v>
      </c>
      <c r="R100" s="17"/>
    </row>
    <row r="101" spans="1:18" s="16" customFormat="1" ht="31.95" customHeight="1" x14ac:dyDescent="0.3">
      <c r="A101" s="7">
        <v>46077.465810185182</v>
      </c>
      <c r="B101" s="6" t="s">
        <v>7</v>
      </c>
      <c r="C101" s="6"/>
      <c r="D101" s="6" t="str">
        <f>VLOOKUP(B101,'Veri doğrulama'!$D$6:$F$13,2,0)</f>
        <v>SIDDIK KAPLAN</v>
      </c>
      <c r="E101" s="6"/>
      <c r="F101" s="6" t="s">
        <v>1576</v>
      </c>
      <c r="G101" s="6" t="s">
        <v>18</v>
      </c>
      <c r="H101" s="6" t="s">
        <v>34</v>
      </c>
      <c r="I101" s="6">
        <v>2386</v>
      </c>
      <c r="J101" s="6">
        <v>336</v>
      </c>
      <c r="K101" s="6">
        <v>1</v>
      </c>
      <c r="L101" s="10">
        <f t="shared" si="2"/>
        <v>0.80169599999999996</v>
      </c>
      <c r="M101" s="6" t="s">
        <v>596</v>
      </c>
      <c r="N101" s="6"/>
      <c r="O101" s="6"/>
      <c r="P101" s="17" t="s">
        <v>54</v>
      </c>
      <c r="Q101" s="17" t="s">
        <v>54</v>
      </c>
      <c r="R101" s="17"/>
    </row>
    <row r="102" spans="1:18" s="16" customFormat="1" ht="31.95" customHeight="1" x14ac:dyDescent="0.3">
      <c r="A102" s="7">
        <v>46077.461099537039</v>
      </c>
      <c r="B102" s="6" t="s">
        <v>5</v>
      </c>
      <c r="C102" s="6" t="s">
        <v>1671</v>
      </c>
      <c r="D102" s="6" t="str">
        <f>VLOOKUP(B102,'Veri doğrulama'!$D$6:$F$13,2,0)</f>
        <v>MEHMET ÖZEN</v>
      </c>
      <c r="E102" s="6"/>
      <c r="F102" s="6" t="s">
        <v>1682</v>
      </c>
      <c r="G102" s="6" t="s">
        <v>16</v>
      </c>
      <c r="H102" s="6" t="s">
        <v>34</v>
      </c>
      <c r="I102" s="6">
        <v>1400</v>
      </c>
      <c r="J102" s="6">
        <v>800</v>
      </c>
      <c r="K102" s="6">
        <v>1</v>
      </c>
      <c r="L102" s="10">
        <f t="shared" si="2"/>
        <v>1.1200000000000001</v>
      </c>
      <c r="M102" s="6" t="s">
        <v>43</v>
      </c>
      <c r="N102" s="6" t="s">
        <v>557</v>
      </c>
      <c r="O102" s="6"/>
      <c r="P102" s="17" t="s">
        <v>54</v>
      </c>
      <c r="Q102" s="17" t="s">
        <v>54</v>
      </c>
      <c r="R102" s="17"/>
    </row>
    <row r="103" spans="1:18" s="16" customFormat="1" ht="31.95" customHeight="1" x14ac:dyDescent="0.3">
      <c r="A103" s="7">
        <v>46077.422893518517</v>
      </c>
      <c r="B103" s="6" t="s">
        <v>5</v>
      </c>
      <c r="C103" s="6" t="s">
        <v>1674</v>
      </c>
      <c r="D103" s="6" t="str">
        <f>VLOOKUP(B103,'Veri doğrulama'!$D$6:$F$13,2,0)</f>
        <v>MEHMET ÖZEN</v>
      </c>
      <c r="E103" s="6"/>
      <c r="F103" s="6" t="s">
        <v>1681</v>
      </c>
      <c r="G103" s="6" t="s">
        <v>22</v>
      </c>
      <c r="H103" s="6" t="s">
        <v>34</v>
      </c>
      <c r="I103" s="6">
        <v>1500</v>
      </c>
      <c r="J103" s="6">
        <v>480</v>
      </c>
      <c r="K103" s="6">
        <v>3</v>
      </c>
      <c r="L103" s="10">
        <f t="shared" si="2"/>
        <v>2.16</v>
      </c>
      <c r="M103" s="6" t="s">
        <v>103</v>
      </c>
      <c r="N103" s="6" t="s">
        <v>468</v>
      </c>
      <c r="O103" s="6"/>
      <c r="P103" s="17" t="s">
        <v>54</v>
      </c>
      <c r="Q103" s="17" t="s">
        <v>54</v>
      </c>
      <c r="R103" s="17"/>
    </row>
    <row r="104" spans="1:18" s="16" customFormat="1" ht="30" customHeight="1" x14ac:dyDescent="0.3">
      <c r="A104" s="7">
        <v>46077.417743055557</v>
      </c>
      <c r="B104" s="6" t="s">
        <v>4</v>
      </c>
      <c r="C104" s="6" t="s">
        <v>1676</v>
      </c>
      <c r="D104" s="6" t="str">
        <f>VLOOKUP(B104,'Veri doğrulama'!$D$6:$F$13,2,0)</f>
        <v>MEHMET YAZICI</v>
      </c>
      <c r="E104" s="6"/>
      <c r="F104" s="6" t="s">
        <v>1680</v>
      </c>
      <c r="G104" s="6" t="s">
        <v>27</v>
      </c>
      <c r="H104" s="6" t="s">
        <v>34</v>
      </c>
      <c r="I104" s="6">
        <v>1130</v>
      </c>
      <c r="J104" s="6">
        <v>397</v>
      </c>
      <c r="K104" s="6">
        <v>1</v>
      </c>
      <c r="L104" s="10">
        <f t="shared" si="2"/>
        <v>0.44861000000000001</v>
      </c>
      <c r="M104" s="6" t="s">
        <v>103</v>
      </c>
      <c r="N104" s="6" t="s">
        <v>385</v>
      </c>
      <c r="O104" s="6"/>
      <c r="P104" s="17" t="s">
        <v>54</v>
      </c>
      <c r="Q104" s="17" t="s">
        <v>54</v>
      </c>
      <c r="R104" s="17"/>
    </row>
    <row r="105" spans="1:18" s="16" customFormat="1" ht="30" customHeight="1" x14ac:dyDescent="0.3">
      <c r="A105" s="7">
        <v>46077.417222222219</v>
      </c>
      <c r="B105" s="6" t="s">
        <v>4</v>
      </c>
      <c r="C105" s="6" t="s">
        <v>1676</v>
      </c>
      <c r="D105" s="6" t="str">
        <f>VLOOKUP(B105,'Veri doğrulama'!$D$6:$F$13,2,0)</f>
        <v>MEHMET YAZICI</v>
      </c>
      <c r="E105" s="6"/>
      <c r="F105" s="6" t="s">
        <v>1679</v>
      </c>
      <c r="G105" s="6" t="s">
        <v>27</v>
      </c>
      <c r="H105" s="6" t="s">
        <v>34</v>
      </c>
      <c r="I105" s="6">
        <v>739</v>
      </c>
      <c r="J105" s="6">
        <v>300</v>
      </c>
      <c r="K105" s="6">
        <v>2</v>
      </c>
      <c r="L105" s="10">
        <f t="shared" si="2"/>
        <v>0.44340000000000002</v>
      </c>
      <c r="M105" s="6" t="s">
        <v>102</v>
      </c>
      <c r="N105" s="6" t="s">
        <v>385</v>
      </c>
      <c r="O105" s="6"/>
      <c r="P105" s="17" t="s">
        <v>54</v>
      </c>
      <c r="Q105" s="17" t="s">
        <v>54</v>
      </c>
      <c r="R105" s="17"/>
    </row>
    <row r="106" spans="1:18" s="16" customFormat="1" ht="30" customHeight="1" x14ac:dyDescent="0.3">
      <c r="A106" s="7">
        <v>46077.412499999999</v>
      </c>
      <c r="B106" s="6" t="s">
        <v>4</v>
      </c>
      <c r="C106" s="6" t="s">
        <v>1676</v>
      </c>
      <c r="D106" s="6" t="str">
        <f>VLOOKUP(B106,'Veri doğrulama'!$D$6:$F$13,2,0)</f>
        <v>MEHMET YAZICI</v>
      </c>
      <c r="E106" s="6"/>
      <c r="F106" s="6" t="s">
        <v>1678</v>
      </c>
      <c r="G106" s="6" t="s">
        <v>27</v>
      </c>
      <c r="H106" s="6" t="s">
        <v>34</v>
      </c>
      <c r="I106" s="6">
        <v>367</v>
      </c>
      <c r="J106" s="6">
        <v>367</v>
      </c>
      <c r="K106" s="6">
        <v>1</v>
      </c>
      <c r="L106" s="10">
        <f t="shared" si="2"/>
        <v>0.134689</v>
      </c>
      <c r="M106" s="6" t="s">
        <v>103</v>
      </c>
      <c r="N106" s="6" t="s">
        <v>385</v>
      </c>
      <c r="O106" s="6"/>
      <c r="P106" s="17" t="s">
        <v>54</v>
      </c>
      <c r="Q106" s="17" t="s">
        <v>54</v>
      </c>
      <c r="R106" s="17"/>
    </row>
    <row r="107" spans="1:18" s="16" customFormat="1" ht="30" customHeight="1" x14ac:dyDescent="0.3">
      <c r="A107" s="7">
        <v>46077.357048611113</v>
      </c>
      <c r="B107" s="6" t="s">
        <v>5</v>
      </c>
      <c r="C107" s="6"/>
      <c r="D107" s="6" t="str">
        <f>VLOOKUP(B107,'Veri doğrulama'!D6:E13,2,0)</f>
        <v>MEHMET ÖZEN</v>
      </c>
      <c r="E107" s="6" t="s">
        <v>1667</v>
      </c>
      <c r="F107" s="6" t="s">
        <v>700</v>
      </c>
      <c r="G107" s="6" t="s">
        <v>19</v>
      </c>
      <c r="H107" s="6" t="s">
        <v>34</v>
      </c>
      <c r="I107" s="6">
        <v>2200</v>
      </c>
      <c r="J107" s="6">
        <v>900</v>
      </c>
      <c r="K107" s="6">
        <v>1</v>
      </c>
      <c r="L107" s="10">
        <f t="shared" si="2"/>
        <v>1.98</v>
      </c>
      <c r="M107" s="6" t="s">
        <v>102</v>
      </c>
      <c r="N107" s="6"/>
      <c r="O107" s="6"/>
      <c r="P107" s="17" t="s">
        <v>54</v>
      </c>
      <c r="Q107" s="17" t="s">
        <v>54</v>
      </c>
      <c r="R107" s="17"/>
    </row>
    <row r="108" spans="1:18" s="16" customFormat="1" ht="30" customHeight="1" x14ac:dyDescent="0.3">
      <c r="A108" s="7">
        <v>46077.356226851851</v>
      </c>
      <c r="B108" s="6" t="s">
        <v>5</v>
      </c>
      <c r="C108" s="6"/>
      <c r="D108" s="6" t="str">
        <f>VLOOKUP(B108,'Veri doğrulama'!D6:E13,2,0)</f>
        <v>MEHMET ÖZEN</v>
      </c>
      <c r="E108" s="6"/>
      <c r="F108" s="6" t="s">
        <v>1492</v>
      </c>
      <c r="G108" s="6" t="s">
        <v>19</v>
      </c>
      <c r="H108" s="6" t="s">
        <v>34</v>
      </c>
      <c r="I108" s="6">
        <v>2400</v>
      </c>
      <c r="J108" s="6">
        <v>1100</v>
      </c>
      <c r="K108" s="6">
        <v>1</v>
      </c>
      <c r="L108" s="10">
        <f t="shared" si="2"/>
        <v>2.64</v>
      </c>
      <c r="M108" s="6" t="s">
        <v>102</v>
      </c>
      <c r="N108" s="6"/>
      <c r="O108" s="6"/>
      <c r="P108" s="17" t="s">
        <v>54</v>
      </c>
      <c r="Q108" s="17" t="s">
        <v>54</v>
      </c>
      <c r="R108" s="17"/>
    </row>
    <row r="109" spans="1:18" s="16" customFormat="1" ht="30" customHeight="1" x14ac:dyDescent="0.3">
      <c r="A109" s="7">
        <v>46076.695555555554</v>
      </c>
      <c r="B109" s="6" t="s">
        <v>4</v>
      </c>
      <c r="C109" s="6"/>
      <c r="D109" s="6" t="str">
        <f>VLOOKUP(B109,'Veri doğrulama'!D6:E13,2,0)</f>
        <v>MEHMET YAZICI</v>
      </c>
      <c r="E109" s="6"/>
      <c r="F109" s="6" t="s">
        <v>1661</v>
      </c>
      <c r="G109" s="6" t="s">
        <v>18</v>
      </c>
      <c r="H109" s="6" t="s">
        <v>34</v>
      </c>
      <c r="I109" s="6">
        <v>410</v>
      </c>
      <c r="J109" s="6">
        <v>500</v>
      </c>
      <c r="K109" s="6">
        <v>8</v>
      </c>
      <c r="L109" s="10">
        <f t="shared" si="2"/>
        <v>1.64</v>
      </c>
      <c r="M109" s="6" t="s">
        <v>1563</v>
      </c>
      <c r="N109" s="6" t="s">
        <v>159</v>
      </c>
      <c r="O109" s="6" t="s">
        <v>1666</v>
      </c>
      <c r="P109" s="17" t="s">
        <v>54</v>
      </c>
      <c r="Q109" s="17" t="s">
        <v>54</v>
      </c>
      <c r="R109" s="17"/>
    </row>
    <row r="110" spans="1:18" s="16" customFormat="1" ht="30" customHeight="1" x14ac:dyDescent="0.3">
      <c r="A110" s="7">
        <v>46076.694236111114</v>
      </c>
      <c r="B110" s="6" t="s">
        <v>4</v>
      </c>
      <c r="C110" s="6"/>
      <c r="D110" s="6" t="str">
        <f>VLOOKUP(B110,'Veri doğrulama'!D6:E13,2,0)</f>
        <v>MEHMET YAZICI</v>
      </c>
      <c r="E110" s="6"/>
      <c r="F110" s="6" t="s">
        <v>1664</v>
      </c>
      <c r="G110" s="6" t="s">
        <v>18</v>
      </c>
      <c r="H110" s="6" t="s">
        <v>34</v>
      </c>
      <c r="I110" s="6">
        <v>575</v>
      </c>
      <c r="J110" s="6">
        <v>415</v>
      </c>
      <c r="K110" s="6">
        <v>12</v>
      </c>
      <c r="L110" s="10">
        <f t="shared" si="2"/>
        <v>2.8635000000000002</v>
      </c>
      <c r="M110" s="6" t="s">
        <v>1563</v>
      </c>
      <c r="N110" s="6" t="s">
        <v>159</v>
      </c>
      <c r="O110" s="6" t="s">
        <v>1665</v>
      </c>
      <c r="P110" s="17" t="s">
        <v>54</v>
      </c>
      <c r="Q110" s="17" t="s">
        <v>54</v>
      </c>
      <c r="R110" s="17"/>
    </row>
    <row r="111" spans="1:18" s="16" customFormat="1" ht="30" customHeight="1" x14ac:dyDescent="0.3">
      <c r="A111" s="7">
        <v>46076.597222222219</v>
      </c>
      <c r="B111" s="6" t="s">
        <v>5</v>
      </c>
      <c r="C111" s="6"/>
      <c r="D111" s="6" t="str">
        <f>VLOOKUP(B111,'Veri doğrulama'!D6:E13,2,0)</f>
        <v>MEHMET ÖZEN</v>
      </c>
      <c r="E111" s="6" t="s">
        <v>1663</v>
      </c>
      <c r="F111" s="6" t="s">
        <v>80</v>
      </c>
      <c r="G111" s="6" t="s">
        <v>15</v>
      </c>
      <c r="H111" s="6" t="s">
        <v>34</v>
      </c>
      <c r="I111" s="6">
        <v>1800</v>
      </c>
      <c r="J111" s="6">
        <v>800</v>
      </c>
      <c r="K111" s="6">
        <v>1</v>
      </c>
      <c r="L111" s="10">
        <f t="shared" si="2"/>
        <v>1.44</v>
      </c>
      <c r="M111" s="6" t="s">
        <v>102</v>
      </c>
      <c r="N111" s="6"/>
      <c r="O111" s="6"/>
      <c r="P111" s="17" t="s">
        <v>54</v>
      </c>
      <c r="Q111" s="17" t="s">
        <v>54</v>
      </c>
      <c r="R111" s="17"/>
    </row>
    <row r="112" spans="1:18" s="16" customFormat="1" ht="30" customHeight="1" x14ac:dyDescent="0.3">
      <c r="A112" s="7">
        <v>46076.557222222225</v>
      </c>
      <c r="B112" s="6" t="s">
        <v>4</v>
      </c>
      <c r="C112" s="6"/>
      <c r="D112" s="6" t="str">
        <f>VLOOKUP(B112,'Veri doğrulama'!D6:E13,2,0)</f>
        <v>MEHMET YAZICI</v>
      </c>
      <c r="E112" s="6"/>
      <c r="F112" s="6" t="s">
        <v>80</v>
      </c>
      <c r="G112" s="6" t="s">
        <v>15</v>
      </c>
      <c r="H112" s="6" t="s">
        <v>34</v>
      </c>
      <c r="I112" s="6">
        <v>1400</v>
      </c>
      <c r="J112" s="6">
        <v>800</v>
      </c>
      <c r="K112" s="6">
        <v>1</v>
      </c>
      <c r="L112" s="10">
        <f t="shared" si="2"/>
        <v>1.1200000000000001</v>
      </c>
      <c r="M112" s="6" t="s">
        <v>103</v>
      </c>
      <c r="N112" s="6"/>
      <c r="O112" s="6"/>
      <c r="P112" s="17" t="s">
        <v>54</v>
      </c>
      <c r="Q112" s="17" t="s">
        <v>54</v>
      </c>
      <c r="R112" s="17"/>
    </row>
    <row r="113" spans="1:18" s="16" customFormat="1" ht="30" customHeight="1" x14ac:dyDescent="0.3">
      <c r="A113" s="7">
        <v>46076.556909722225</v>
      </c>
      <c r="B113" s="6" t="s">
        <v>4</v>
      </c>
      <c r="C113" s="6"/>
      <c r="D113" s="6" t="str">
        <f>VLOOKUP(B113,'Veri doğrulama'!D6:E13,2,0)</f>
        <v>MEHMET YAZICI</v>
      </c>
      <c r="E113" s="6"/>
      <c r="F113" s="6" t="s">
        <v>80</v>
      </c>
      <c r="G113" s="6" t="s">
        <v>16</v>
      </c>
      <c r="H113" s="6" t="s">
        <v>34</v>
      </c>
      <c r="I113" s="6">
        <v>1400</v>
      </c>
      <c r="J113" s="6">
        <v>800</v>
      </c>
      <c r="K113" s="6">
        <v>1</v>
      </c>
      <c r="L113" s="10">
        <f t="shared" si="2"/>
        <v>1.1200000000000001</v>
      </c>
      <c r="M113" s="6" t="s">
        <v>102</v>
      </c>
      <c r="N113" s="6"/>
      <c r="O113" s="6"/>
      <c r="P113" s="17" t="s">
        <v>54</v>
      </c>
      <c r="Q113" s="17" t="s">
        <v>54</v>
      </c>
      <c r="R113" s="17"/>
    </row>
    <row r="114" spans="1:18" s="16" customFormat="1" ht="30" customHeight="1" x14ac:dyDescent="0.3">
      <c r="A114" s="7">
        <v>46076.478414351855</v>
      </c>
      <c r="B114" s="6" t="s">
        <v>5</v>
      </c>
      <c r="C114" s="6"/>
      <c r="D114" s="6" t="str">
        <f>VLOOKUP(B114,'Veri doğrulama'!D6:E13,2,0)</f>
        <v>MEHMET ÖZEN</v>
      </c>
      <c r="E114" s="6"/>
      <c r="F114" s="6" t="s">
        <v>1661</v>
      </c>
      <c r="G114" s="6" t="s">
        <v>18</v>
      </c>
      <c r="H114" s="6" t="s">
        <v>34</v>
      </c>
      <c r="I114" s="6">
        <v>500</v>
      </c>
      <c r="J114" s="6">
        <v>410</v>
      </c>
      <c r="K114" s="6">
        <v>1</v>
      </c>
      <c r="L114" s="10">
        <f t="shared" si="2"/>
        <v>0.20499999999999999</v>
      </c>
      <c r="M114" s="6" t="s">
        <v>102</v>
      </c>
      <c r="N114" s="6"/>
      <c r="O114" s="6" t="s">
        <v>1662</v>
      </c>
      <c r="P114" s="17" t="s">
        <v>54</v>
      </c>
      <c r="Q114" s="17" t="s">
        <v>54</v>
      </c>
      <c r="R114" s="17"/>
    </row>
    <row r="115" spans="1:18" s="16" customFormat="1" ht="30" customHeight="1" x14ac:dyDescent="0.3">
      <c r="A115" s="7">
        <v>46076.421527777777</v>
      </c>
      <c r="B115" s="6" t="s">
        <v>4</v>
      </c>
      <c r="C115" s="6"/>
      <c r="D115" s="6" t="str">
        <f>VLOOKUP(B115,'Veri doğrulama'!D6:E13,2,0)</f>
        <v>MEHMET YAZICI</v>
      </c>
      <c r="E115" s="6"/>
      <c r="F115" s="6" t="s">
        <v>1660</v>
      </c>
      <c r="G115" s="6" t="s">
        <v>27</v>
      </c>
      <c r="H115" s="6" t="s">
        <v>35</v>
      </c>
      <c r="I115" s="6">
        <v>126</v>
      </c>
      <c r="J115" s="6">
        <v>638</v>
      </c>
      <c r="K115" s="6">
        <v>1</v>
      </c>
      <c r="L115" s="10">
        <f t="shared" si="2"/>
        <v>8.0388000000000001E-2</v>
      </c>
      <c r="M115" s="6" t="s">
        <v>75</v>
      </c>
      <c r="N115" s="6" t="s">
        <v>667</v>
      </c>
      <c r="O115" s="6"/>
      <c r="P115" s="17" t="s">
        <v>54</v>
      </c>
      <c r="Q115" s="17" t="s">
        <v>54</v>
      </c>
      <c r="R115" s="17"/>
    </row>
    <row r="116" spans="1:18" s="16" customFormat="1" ht="30" customHeight="1" x14ac:dyDescent="0.3">
      <c r="A116" s="7">
        <v>46076.402268518519</v>
      </c>
      <c r="B116" s="6" t="s">
        <v>5</v>
      </c>
      <c r="C116" s="6"/>
      <c r="D116" s="6" t="str">
        <f>VLOOKUP(B116,'Veri doğrulama'!D6:E13,2,0)</f>
        <v>MEHMET ÖZEN</v>
      </c>
      <c r="E116" s="6">
        <v>27052</v>
      </c>
      <c r="F116" s="6" t="s">
        <v>1659</v>
      </c>
      <c r="G116" s="6" t="s">
        <v>1497</v>
      </c>
      <c r="H116" s="6" t="s">
        <v>35</v>
      </c>
      <c r="I116" s="6">
        <v>499</v>
      </c>
      <c r="J116" s="6">
        <v>410</v>
      </c>
      <c r="K116" s="6">
        <v>2</v>
      </c>
      <c r="L116" s="10">
        <f t="shared" si="2"/>
        <v>0.40917999999999999</v>
      </c>
      <c r="M116" s="6" t="s">
        <v>596</v>
      </c>
      <c r="N116" s="6"/>
      <c r="O116" s="6"/>
      <c r="P116" s="17" t="s">
        <v>54</v>
      </c>
      <c r="Q116" s="17" t="s">
        <v>54</v>
      </c>
      <c r="R116" s="17"/>
    </row>
    <row r="117" spans="1:18" s="16" customFormat="1" ht="30" customHeight="1" x14ac:dyDescent="0.3">
      <c r="A117" s="7">
        <v>46076.389502314814</v>
      </c>
      <c r="B117" s="6" t="s">
        <v>7</v>
      </c>
      <c r="C117" s="6"/>
      <c r="D117" s="6" t="str">
        <f>VLOOKUP(B117,'Veri doğrulama'!D6:E13,2,0)</f>
        <v>SIDDIK KAPLAN</v>
      </c>
      <c r="E117" s="6"/>
      <c r="F117" s="6" t="s">
        <v>1658</v>
      </c>
      <c r="G117" s="6" t="s">
        <v>16</v>
      </c>
      <c r="H117" s="6" t="s">
        <v>34</v>
      </c>
      <c r="I117" s="6">
        <v>1800</v>
      </c>
      <c r="J117" s="6">
        <v>800</v>
      </c>
      <c r="K117" s="6">
        <v>1</v>
      </c>
      <c r="L117" s="10">
        <f t="shared" si="2"/>
        <v>1.44</v>
      </c>
      <c r="M117" s="6" t="s">
        <v>43</v>
      </c>
      <c r="N117" s="6"/>
      <c r="O117" s="6"/>
      <c r="P117" s="17" t="s">
        <v>54</v>
      </c>
      <c r="Q117" s="17" t="s">
        <v>54</v>
      </c>
      <c r="R117" s="17"/>
    </row>
    <row r="118" spans="1:18" s="16" customFormat="1" ht="30" customHeight="1" x14ac:dyDescent="0.3">
      <c r="A118" s="7">
        <v>46076.385081018518</v>
      </c>
      <c r="B118" s="6" t="s">
        <v>5</v>
      </c>
      <c r="C118" s="6"/>
      <c r="D118" s="6" t="str">
        <f>VLOOKUP(B118,'Veri doğrulama'!D6:E13,2,0)</f>
        <v>MEHMET ÖZEN</v>
      </c>
      <c r="E118" s="6"/>
      <c r="F118" s="6" t="s">
        <v>1657</v>
      </c>
      <c r="G118" s="6" t="s">
        <v>16</v>
      </c>
      <c r="H118" s="6" t="s">
        <v>34</v>
      </c>
      <c r="I118" s="6">
        <v>448</v>
      </c>
      <c r="J118" s="6">
        <v>353</v>
      </c>
      <c r="K118" s="6">
        <v>8</v>
      </c>
      <c r="L118" s="10">
        <f t="shared" si="2"/>
        <v>1.2651520000000001</v>
      </c>
      <c r="M118" s="6" t="s">
        <v>103</v>
      </c>
      <c r="N118" s="6"/>
      <c r="O118" s="6"/>
      <c r="P118" s="17" t="s">
        <v>54</v>
      </c>
      <c r="Q118" s="17" t="s">
        <v>54</v>
      </c>
      <c r="R118" s="17"/>
    </row>
    <row r="119" spans="1:18" s="16" customFormat="1" ht="30" customHeight="1" x14ac:dyDescent="0.3">
      <c r="A119" s="7">
        <v>46076.377824074072</v>
      </c>
      <c r="B119" s="6" t="s">
        <v>4</v>
      </c>
      <c r="C119" s="6"/>
      <c r="D119" s="6" t="str">
        <f>VLOOKUP(B119,'Veri doğrulama'!D6:E13,2,0)</f>
        <v>MEHMET YAZICI</v>
      </c>
      <c r="E119" s="6"/>
      <c r="F119" s="6" t="s">
        <v>1656</v>
      </c>
      <c r="G119" s="6" t="s">
        <v>27</v>
      </c>
      <c r="H119" s="6" t="s">
        <v>35</v>
      </c>
      <c r="I119" s="6">
        <v>500</v>
      </c>
      <c r="J119" s="6">
        <v>550</v>
      </c>
      <c r="K119" s="6">
        <v>1</v>
      </c>
      <c r="L119" s="10">
        <f t="shared" si="2"/>
        <v>0.27500000000000002</v>
      </c>
      <c r="M119" s="6" t="s">
        <v>102</v>
      </c>
      <c r="N119" s="6" t="s">
        <v>761</v>
      </c>
      <c r="O119" s="6"/>
      <c r="P119" s="17" t="s">
        <v>54</v>
      </c>
      <c r="Q119" s="17" t="s">
        <v>54</v>
      </c>
      <c r="R119" s="17"/>
    </row>
    <row r="120" spans="1:18" s="16" customFormat="1" ht="30" customHeight="1" x14ac:dyDescent="0.3">
      <c r="A120" s="7">
        <v>46076.345034722224</v>
      </c>
      <c r="B120" s="6" t="s">
        <v>4</v>
      </c>
      <c r="C120" s="6"/>
      <c r="D120" s="6" t="str">
        <f>VLOOKUP(B120,'Veri doğrulama'!D6:E13,2,0)</f>
        <v>MEHMET YAZICI</v>
      </c>
      <c r="E120" s="6"/>
      <c r="F120" s="6" t="s">
        <v>1655</v>
      </c>
      <c r="G120" s="6" t="s">
        <v>15</v>
      </c>
      <c r="H120" s="6" t="s">
        <v>35</v>
      </c>
      <c r="I120" s="6">
        <v>866</v>
      </c>
      <c r="J120" s="6">
        <v>411</v>
      </c>
      <c r="K120" s="6">
        <v>1</v>
      </c>
      <c r="L120" s="10">
        <f t="shared" si="2"/>
        <v>0.35592600000000002</v>
      </c>
      <c r="M120" s="6" t="s">
        <v>103</v>
      </c>
      <c r="N120" s="6" t="s">
        <v>761</v>
      </c>
      <c r="O120" s="6"/>
      <c r="P120" s="17" t="s">
        <v>54</v>
      </c>
      <c r="Q120" s="17" t="s">
        <v>54</v>
      </c>
      <c r="R120" s="17"/>
    </row>
    <row r="121" spans="1:18" s="16" customFormat="1" ht="30" customHeight="1" x14ac:dyDescent="0.3">
      <c r="A121" s="7">
        <v>46073.466145833336</v>
      </c>
      <c r="B121" s="6" t="s">
        <v>81</v>
      </c>
      <c r="C121" s="6"/>
      <c r="D121" s="6" t="str">
        <f>VLOOKUP(B121,'Veri doğrulama'!D6:E13,2,0)</f>
        <v>İBRAHİM ÇELİK</v>
      </c>
      <c r="E121" s="6">
        <v>25668</v>
      </c>
      <c r="F121" s="6" t="s">
        <v>1652</v>
      </c>
      <c r="G121" s="6" t="s">
        <v>1653</v>
      </c>
      <c r="H121" s="6" t="s">
        <v>34</v>
      </c>
      <c r="I121" s="6">
        <v>1815</v>
      </c>
      <c r="J121" s="6">
        <v>497</v>
      </c>
      <c r="K121" s="6">
        <v>1</v>
      </c>
      <c r="L121" s="10">
        <f t="shared" si="2"/>
        <v>0.90205500000000005</v>
      </c>
      <c r="M121" s="6" t="s">
        <v>43</v>
      </c>
      <c r="N121" s="6" t="s">
        <v>1409</v>
      </c>
      <c r="O121" s="6" t="s">
        <v>1654</v>
      </c>
      <c r="P121" s="17" t="s">
        <v>54</v>
      </c>
      <c r="Q121" s="17" t="s">
        <v>54</v>
      </c>
      <c r="R121" s="17"/>
    </row>
    <row r="122" spans="1:18" s="16" customFormat="1" ht="30" customHeight="1" x14ac:dyDescent="0.3">
      <c r="A122" s="7">
        <v>46073.464641203704</v>
      </c>
      <c r="B122" s="6" t="s">
        <v>81</v>
      </c>
      <c r="C122" s="6"/>
      <c r="D122" s="6" t="str">
        <f>VLOOKUP(B122,'Veri doğrulama'!D6:E13,2,0)</f>
        <v>İBRAHİM ÇELİK</v>
      </c>
      <c r="E122" s="6"/>
      <c r="F122" s="6" t="s">
        <v>1648</v>
      </c>
      <c r="G122" s="6" t="s">
        <v>1649</v>
      </c>
      <c r="H122" s="6" t="s">
        <v>34</v>
      </c>
      <c r="I122" s="6">
        <v>796</v>
      </c>
      <c r="J122" s="6">
        <v>317</v>
      </c>
      <c r="K122" s="6">
        <v>1</v>
      </c>
      <c r="L122" s="10">
        <f t="shared" si="2"/>
        <v>0.252332</v>
      </c>
      <c r="M122" s="6" t="s">
        <v>43</v>
      </c>
      <c r="N122" s="6" t="s">
        <v>1650</v>
      </c>
      <c r="O122" s="6" t="s">
        <v>1651</v>
      </c>
      <c r="P122" s="17" t="s">
        <v>54</v>
      </c>
      <c r="Q122" s="17" t="s">
        <v>54</v>
      </c>
      <c r="R122" s="17"/>
    </row>
    <row r="123" spans="1:18" s="16" customFormat="1" ht="30" customHeight="1" x14ac:dyDescent="0.3">
      <c r="A123" s="7">
        <v>46073.419050925928</v>
      </c>
      <c r="B123" s="6" t="s">
        <v>5</v>
      </c>
      <c r="C123" s="6"/>
      <c r="D123" s="6" t="str">
        <f>VLOOKUP(B123,'Veri doğrulama'!D6:E13,2,0)</f>
        <v>MEHMET ÖZEN</v>
      </c>
      <c r="E123" s="6"/>
      <c r="F123" s="6" t="s">
        <v>700</v>
      </c>
      <c r="G123" s="6" t="s">
        <v>13</v>
      </c>
      <c r="H123" s="6" t="s">
        <v>34</v>
      </c>
      <c r="I123" s="6">
        <v>2000</v>
      </c>
      <c r="J123" s="6">
        <v>900</v>
      </c>
      <c r="K123" s="6">
        <v>1</v>
      </c>
      <c r="L123" s="10">
        <f t="shared" si="2"/>
        <v>1.8</v>
      </c>
      <c r="M123" s="6" t="s">
        <v>38</v>
      </c>
      <c r="N123" s="6"/>
      <c r="O123" s="6"/>
      <c r="P123" s="17" t="s">
        <v>54</v>
      </c>
      <c r="Q123" s="17" t="s">
        <v>54</v>
      </c>
      <c r="R123" s="17"/>
    </row>
    <row r="124" spans="1:18" s="16" customFormat="1" ht="30" customHeight="1" x14ac:dyDescent="0.3">
      <c r="A124" s="7">
        <v>46073.373298611114</v>
      </c>
      <c r="B124" s="6" t="s">
        <v>4</v>
      </c>
      <c r="C124" s="6"/>
      <c r="D124" s="6" t="str">
        <f>VLOOKUP(B124,'Veri doğrulama'!D6:E13,2,0)</f>
        <v>MEHMET YAZICI</v>
      </c>
      <c r="E124" s="6"/>
      <c r="F124" s="6" t="s">
        <v>1646</v>
      </c>
      <c r="G124" s="6" t="s">
        <v>111</v>
      </c>
      <c r="H124" s="6" t="s">
        <v>34</v>
      </c>
      <c r="I124" s="6">
        <v>1920</v>
      </c>
      <c r="J124" s="6">
        <v>375</v>
      </c>
      <c r="K124" s="6">
        <v>1</v>
      </c>
      <c r="L124" s="10">
        <f t="shared" si="2"/>
        <v>0.72</v>
      </c>
      <c r="M124" s="6" t="s">
        <v>596</v>
      </c>
      <c r="N124" s="6" t="s">
        <v>1647</v>
      </c>
      <c r="O124" s="6"/>
      <c r="P124" s="17" t="s">
        <v>54</v>
      </c>
      <c r="Q124" s="17" t="s">
        <v>54</v>
      </c>
      <c r="R124" s="17"/>
    </row>
    <row r="125" spans="1:18" s="16" customFormat="1" ht="30" customHeight="1" x14ac:dyDescent="0.3">
      <c r="A125" s="7">
        <v>46073.358518518522</v>
      </c>
      <c r="B125" s="6" t="s">
        <v>5</v>
      </c>
      <c r="C125" s="6"/>
      <c r="D125" s="6" t="str">
        <f>VLOOKUP(B125,'Veri doğrulama'!D6:E13,2,0)</f>
        <v>MEHMET ÖZEN</v>
      </c>
      <c r="E125" s="6"/>
      <c r="F125" s="6" t="s">
        <v>1645</v>
      </c>
      <c r="G125" s="6" t="s">
        <v>16</v>
      </c>
      <c r="H125" s="6" t="s">
        <v>34</v>
      </c>
      <c r="I125" s="6">
        <v>1800</v>
      </c>
      <c r="J125" s="6">
        <v>800</v>
      </c>
      <c r="K125" s="6">
        <v>1</v>
      </c>
      <c r="L125" s="10">
        <f t="shared" si="2"/>
        <v>1.44</v>
      </c>
      <c r="M125" s="6" t="s">
        <v>156</v>
      </c>
      <c r="N125" s="6" t="s">
        <v>468</v>
      </c>
      <c r="O125" s="6"/>
      <c r="P125" s="17" t="s">
        <v>54</v>
      </c>
      <c r="Q125" s="17" t="s">
        <v>54</v>
      </c>
      <c r="R125" s="17"/>
    </row>
    <row r="126" spans="1:18" s="16" customFormat="1" ht="30" customHeight="1" x14ac:dyDescent="0.3">
      <c r="A126" s="7">
        <v>46072.689652777779</v>
      </c>
      <c r="B126" s="6" t="s">
        <v>4</v>
      </c>
      <c r="C126" s="6"/>
      <c r="D126" s="6" t="str">
        <f>VLOOKUP(B126,'Veri doğrulama'!D6:E13,2,0)</f>
        <v>MEHMET YAZICI</v>
      </c>
      <c r="E126" s="6"/>
      <c r="F126" s="6" t="s">
        <v>962</v>
      </c>
      <c r="G126" s="6" t="s">
        <v>16</v>
      </c>
      <c r="H126" s="6" t="s">
        <v>34</v>
      </c>
      <c r="I126" s="6">
        <v>1100</v>
      </c>
      <c r="J126" s="6">
        <v>360</v>
      </c>
      <c r="K126" s="6">
        <v>2</v>
      </c>
      <c r="L126" s="10">
        <f t="shared" si="2"/>
        <v>0.79200000000000004</v>
      </c>
      <c r="M126" s="6" t="s">
        <v>103</v>
      </c>
      <c r="N126" s="6" t="s">
        <v>526</v>
      </c>
      <c r="O126" s="6"/>
      <c r="P126" s="17" t="s">
        <v>54</v>
      </c>
      <c r="Q126" s="17" t="s">
        <v>54</v>
      </c>
      <c r="R126" s="17"/>
    </row>
    <row r="127" spans="1:18" s="16" customFormat="1" ht="30" customHeight="1" x14ac:dyDescent="0.3">
      <c r="A127" s="7">
        <v>46072.630856481483</v>
      </c>
      <c r="B127" s="6" t="s">
        <v>5</v>
      </c>
      <c r="C127" s="6"/>
      <c r="D127" s="6" t="str">
        <f>VLOOKUP(B127,'Veri doğrulama'!D6:E13,2,0)</f>
        <v>MEHMET ÖZEN</v>
      </c>
      <c r="E127" s="6"/>
      <c r="F127" s="6" t="s">
        <v>1644</v>
      </c>
      <c r="G127" s="6" t="s">
        <v>16</v>
      </c>
      <c r="H127" s="6" t="s">
        <v>34</v>
      </c>
      <c r="I127" s="6">
        <v>1180</v>
      </c>
      <c r="J127" s="6">
        <v>550</v>
      </c>
      <c r="K127" s="6">
        <v>2</v>
      </c>
      <c r="L127" s="10">
        <f t="shared" si="2"/>
        <v>1.298</v>
      </c>
      <c r="M127" s="6" t="s">
        <v>42</v>
      </c>
      <c r="N127" s="6"/>
      <c r="O127" s="6"/>
      <c r="P127" s="17" t="s">
        <v>54</v>
      </c>
      <c r="Q127" s="17" t="s">
        <v>54</v>
      </c>
      <c r="R127" s="17"/>
    </row>
    <row r="128" spans="1:18" s="16" customFormat="1" ht="30" customHeight="1" x14ac:dyDescent="0.3">
      <c r="A128" s="7">
        <v>46072.579270833332</v>
      </c>
      <c r="B128" s="6" t="s">
        <v>5</v>
      </c>
      <c r="C128" s="6"/>
      <c r="D128" s="6" t="str">
        <f>VLOOKUP(B128,'Veri doğrulama'!D6:E13,2,0)</f>
        <v>MEHMET ÖZEN</v>
      </c>
      <c r="E128" s="6">
        <v>26989</v>
      </c>
      <c r="F128" s="6" t="s">
        <v>1643</v>
      </c>
      <c r="G128" s="6" t="s">
        <v>16</v>
      </c>
      <c r="H128" s="6" t="s">
        <v>34</v>
      </c>
      <c r="I128" s="6">
        <v>802</v>
      </c>
      <c r="J128" s="6">
        <v>387</v>
      </c>
      <c r="K128" s="6">
        <v>1</v>
      </c>
      <c r="L128" s="10">
        <f t="shared" si="2"/>
        <v>0.31037399999999998</v>
      </c>
      <c r="M128" s="6" t="s">
        <v>103</v>
      </c>
      <c r="N128" s="6"/>
      <c r="O128" s="6"/>
      <c r="P128" s="17" t="s">
        <v>54</v>
      </c>
      <c r="Q128" s="17" t="s">
        <v>54</v>
      </c>
      <c r="R128" s="17"/>
    </row>
    <row r="129" spans="1:18" s="16" customFormat="1" ht="30" customHeight="1" x14ac:dyDescent="0.3">
      <c r="A129" s="7">
        <v>46071.644652777781</v>
      </c>
      <c r="B129" s="6" t="s">
        <v>5</v>
      </c>
      <c r="C129" s="6"/>
      <c r="D129" s="6" t="str">
        <f>VLOOKUP(B129,'Veri doğrulama'!D6:E13,2,0)</f>
        <v>MEHMET ÖZEN</v>
      </c>
      <c r="E129" s="6"/>
      <c r="F129" s="6" t="s">
        <v>1641</v>
      </c>
      <c r="G129" s="6" t="s">
        <v>18</v>
      </c>
      <c r="H129" s="6" t="s">
        <v>34</v>
      </c>
      <c r="I129" s="6">
        <v>1570</v>
      </c>
      <c r="J129" s="6">
        <v>460</v>
      </c>
      <c r="K129" s="6">
        <v>3</v>
      </c>
      <c r="L129" s="10">
        <f t="shared" si="2"/>
        <v>2.1665999999999999</v>
      </c>
      <c r="M129" s="6" t="s">
        <v>38</v>
      </c>
      <c r="N129" s="6" t="s">
        <v>871</v>
      </c>
      <c r="O129" s="6" t="s">
        <v>1642</v>
      </c>
      <c r="P129" s="17" t="s">
        <v>54</v>
      </c>
      <c r="Q129" s="17" t="s">
        <v>54</v>
      </c>
      <c r="R129" s="17"/>
    </row>
    <row r="130" spans="1:18" s="16" customFormat="1" ht="30" customHeight="1" x14ac:dyDescent="0.3">
      <c r="A130" s="7">
        <v>46071.474560185183</v>
      </c>
      <c r="B130" s="6" t="s">
        <v>4</v>
      </c>
      <c r="C130" s="6"/>
      <c r="D130" s="6" t="str">
        <f>VLOOKUP(B130,'Veri doğrulama'!D6:E13,2,0)</f>
        <v>MEHMET YAZICI</v>
      </c>
      <c r="E130" s="6"/>
      <c r="F130" s="6" t="s">
        <v>1639</v>
      </c>
      <c r="G130" s="6" t="s">
        <v>111</v>
      </c>
      <c r="H130" s="6" t="s">
        <v>34</v>
      </c>
      <c r="I130" s="6">
        <v>761</v>
      </c>
      <c r="J130" s="6">
        <v>306</v>
      </c>
      <c r="K130" s="6">
        <v>5</v>
      </c>
      <c r="L130" s="10">
        <f t="shared" si="2"/>
        <v>1.1643299999999999</v>
      </c>
      <c r="M130" s="6" t="s">
        <v>43</v>
      </c>
      <c r="N130" s="6" t="s">
        <v>526</v>
      </c>
      <c r="O130" s="6" t="s">
        <v>1640</v>
      </c>
      <c r="P130" s="17" t="s">
        <v>54</v>
      </c>
      <c r="Q130" s="17" t="s">
        <v>54</v>
      </c>
      <c r="R130" s="17"/>
    </row>
    <row r="131" spans="1:18" s="16" customFormat="1" ht="30" customHeight="1" x14ac:dyDescent="0.3">
      <c r="A131" s="7">
        <v>46071.45175925926</v>
      </c>
      <c r="B131" s="6" t="s">
        <v>4</v>
      </c>
      <c r="C131" s="6"/>
      <c r="D131" s="6" t="str">
        <f>VLOOKUP(B131,'Veri doğrulama'!D6:E13,2,0)</f>
        <v>MEHMET YAZICI</v>
      </c>
      <c r="E131" s="6"/>
      <c r="F131" s="6" t="s">
        <v>1492</v>
      </c>
      <c r="G131" s="6" t="s">
        <v>19</v>
      </c>
      <c r="H131" s="6" t="s">
        <v>34</v>
      </c>
      <c r="I131" s="6">
        <v>2400</v>
      </c>
      <c r="J131" s="6">
        <v>1100</v>
      </c>
      <c r="K131" s="6">
        <v>1</v>
      </c>
      <c r="L131" s="10">
        <f t="shared" si="2"/>
        <v>2.64</v>
      </c>
      <c r="M131" s="6" t="s">
        <v>103</v>
      </c>
      <c r="N131" s="6" t="s">
        <v>385</v>
      </c>
      <c r="O131" s="6" t="s">
        <v>1638</v>
      </c>
      <c r="P131" s="17" t="s">
        <v>54</v>
      </c>
      <c r="Q131" s="17" t="s">
        <v>54</v>
      </c>
      <c r="R131" s="17"/>
    </row>
    <row r="132" spans="1:18" s="16" customFormat="1" ht="30" customHeight="1" x14ac:dyDescent="0.3">
      <c r="A132" s="7">
        <v>46070.753460648149</v>
      </c>
      <c r="B132" s="6" t="s">
        <v>5</v>
      </c>
      <c r="C132" s="6"/>
      <c r="D132" s="6" t="str">
        <f>VLOOKUP(B132,'Veri doğrulama'!D6:E13,2,0)</f>
        <v>MEHMET ÖZEN</v>
      </c>
      <c r="E132" s="6"/>
      <c r="F132" s="6" t="s">
        <v>637</v>
      </c>
      <c r="G132" s="6" t="s">
        <v>16</v>
      </c>
      <c r="H132" s="6" t="s">
        <v>34</v>
      </c>
      <c r="I132" s="6">
        <v>1815</v>
      </c>
      <c r="J132" s="6">
        <v>397</v>
      </c>
      <c r="K132" s="6">
        <v>2</v>
      </c>
      <c r="L132" s="10">
        <f t="shared" si="2"/>
        <v>1.4411099999999999</v>
      </c>
      <c r="M132" s="6" t="s">
        <v>37</v>
      </c>
      <c r="N132" s="6"/>
      <c r="O132" s="6"/>
      <c r="P132" s="17" t="s">
        <v>54</v>
      </c>
      <c r="Q132" s="17" t="s">
        <v>54</v>
      </c>
      <c r="R132" s="17"/>
    </row>
    <row r="133" spans="1:18" s="16" customFormat="1" ht="30" customHeight="1" x14ac:dyDescent="0.3">
      <c r="A133" s="7">
        <v>46070.64329861111</v>
      </c>
      <c r="B133" s="6" t="s">
        <v>5</v>
      </c>
      <c r="C133" s="6"/>
      <c r="D133" s="6" t="str">
        <f>VLOOKUP(B133,'Veri doğrulama'!D6:E13,2,0)</f>
        <v>MEHMET ÖZEN</v>
      </c>
      <c r="E133" s="6" t="s">
        <v>1636</v>
      </c>
      <c r="F133" s="6" t="s">
        <v>1637</v>
      </c>
      <c r="G133" s="6" t="s">
        <v>26</v>
      </c>
      <c r="H133" s="6" t="s">
        <v>34</v>
      </c>
      <c r="I133" s="6">
        <v>920</v>
      </c>
      <c r="J133" s="6">
        <v>520</v>
      </c>
      <c r="K133" s="6">
        <v>1</v>
      </c>
      <c r="L133" s="10">
        <f t="shared" si="2"/>
        <v>0.47839999999999999</v>
      </c>
      <c r="M133" s="6" t="s">
        <v>42</v>
      </c>
      <c r="N133" s="6"/>
      <c r="O133" s="6"/>
      <c r="P133" s="17" t="s">
        <v>54</v>
      </c>
      <c r="Q133" s="17" t="s">
        <v>54</v>
      </c>
      <c r="R133" s="17"/>
    </row>
    <row r="134" spans="1:18" s="16" customFormat="1" ht="30" customHeight="1" x14ac:dyDescent="0.3">
      <c r="A134" s="7">
        <v>46070.600717592592</v>
      </c>
      <c r="B134" s="6" t="s">
        <v>4</v>
      </c>
      <c r="C134" s="6"/>
      <c r="D134" s="6" t="str">
        <f>VLOOKUP(B134,'Veri doğrulama'!D6:E13,2,0)</f>
        <v>MEHMET YAZICI</v>
      </c>
      <c r="E134" s="6" t="s">
        <v>1633</v>
      </c>
      <c r="F134" s="6" t="s">
        <v>1634</v>
      </c>
      <c r="G134" s="6" t="s">
        <v>1010</v>
      </c>
      <c r="H134" s="6" t="s">
        <v>34</v>
      </c>
      <c r="I134" s="6">
        <v>1462</v>
      </c>
      <c r="J134" s="6">
        <v>1188</v>
      </c>
      <c r="K134" s="6">
        <v>1</v>
      </c>
      <c r="L134" s="10">
        <f t="shared" si="2"/>
        <v>1.736856</v>
      </c>
      <c r="M134" s="6" t="s">
        <v>75</v>
      </c>
      <c r="N134" s="6" t="s">
        <v>159</v>
      </c>
      <c r="O134" s="6" t="s">
        <v>1635</v>
      </c>
      <c r="P134" s="17" t="s">
        <v>54</v>
      </c>
      <c r="Q134" s="17" t="s">
        <v>54</v>
      </c>
      <c r="R134" s="17"/>
    </row>
    <row r="135" spans="1:18" s="16" customFormat="1" ht="30" customHeight="1" x14ac:dyDescent="0.3">
      <c r="A135" s="7">
        <v>46070.464212962965</v>
      </c>
      <c r="B135" s="6" t="s">
        <v>5</v>
      </c>
      <c r="C135" s="6"/>
      <c r="D135" s="6" t="str">
        <f>VLOOKUP(B135,'Veri doğrulama'!D6:E13,2,0)</f>
        <v>MEHMET ÖZEN</v>
      </c>
      <c r="E135" s="6" t="s">
        <v>1631</v>
      </c>
      <c r="F135" s="6" t="s">
        <v>1632</v>
      </c>
      <c r="G135" s="6" t="s">
        <v>26</v>
      </c>
      <c r="H135" s="6" t="s">
        <v>34</v>
      </c>
      <c r="I135" s="6">
        <v>1962</v>
      </c>
      <c r="J135" s="6">
        <v>324</v>
      </c>
      <c r="K135" s="6">
        <v>1</v>
      </c>
      <c r="L135" s="10">
        <f t="shared" si="2"/>
        <v>0.63568800000000003</v>
      </c>
      <c r="M135" s="6" t="s">
        <v>43</v>
      </c>
      <c r="N135" s="6"/>
      <c r="O135" s="6"/>
      <c r="P135" s="17" t="s">
        <v>54</v>
      </c>
      <c r="Q135" s="17" t="s">
        <v>54</v>
      </c>
      <c r="R135" s="17"/>
    </row>
    <row r="136" spans="1:18" s="16" customFormat="1" ht="30" customHeight="1" x14ac:dyDescent="0.3">
      <c r="A136" s="7">
        <v>46070.456909722219</v>
      </c>
      <c r="B136" s="6" t="s">
        <v>4</v>
      </c>
      <c r="C136" s="6"/>
      <c r="D136" s="6" t="str">
        <f>VLOOKUP(B136,'Veri doğrulama'!D6:E13,2,0)</f>
        <v>MEHMET YAZICI</v>
      </c>
      <c r="E136" s="6">
        <v>26993</v>
      </c>
      <c r="F136" s="6" t="s">
        <v>1492</v>
      </c>
      <c r="G136" s="6" t="s">
        <v>19</v>
      </c>
      <c r="H136" s="6" t="s">
        <v>34</v>
      </c>
      <c r="I136" s="6">
        <v>2400</v>
      </c>
      <c r="J136" s="6">
        <v>1100</v>
      </c>
      <c r="K136" s="6">
        <v>1</v>
      </c>
      <c r="L136" s="10">
        <f t="shared" ref="L136:L199" si="3">I136*J136/1000000*K136</f>
        <v>2.64</v>
      </c>
      <c r="M136" s="6" t="s">
        <v>102</v>
      </c>
      <c r="N136" s="6" t="s">
        <v>159</v>
      </c>
      <c r="O136" s="6"/>
      <c r="P136" s="17" t="s">
        <v>54</v>
      </c>
      <c r="Q136" s="17" t="s">
        <v>54</v>
      </c>
      <c r="R136" s="17"/>
    </row>
    <row r="137" spans="1:18" s="16" customFormat="1" ht="30" customHeight="1" x14ac:dyDescent="0.3">
      <c r="A137" s="7">
        <v>46070.411423611113</v>
      </c>
      <c r="B137" s="6" t="s">
        <v>5</v>
      </c>
      <c r="C137" s="6"/>
      <c r="D137" s="6" t="str">
        <f>VLOOKUP(B137,'Veri doğrulama'!D6:E13,2,0)</f>
        <v>MEHMET ÖZEN</v>
      </c>
      <c r="E137" s="6">
        <v>27010</v>
      </c>
      <c r="F137" s="6" t="s">
        <v>1629</v>
      </c>
      <c r="G137" s="6" t="s">
        <v>16</v>
      </c>
      <c r="H137" s="6" t="s">
        <v>34</v>
      </c>
      <c r="I137" s="6">
        <v>600</v>
      </c>
      <c r="J137" s="6">
        <v>450</v>
      </c>
      <c r="K137" s="6">
        <v>1</v>
      </c>
      <c r="L137" s="10">
        <f t="shared" si="3"/>
        <v>0.27</v>
      </c>
      <c r="M137" s="6" t="s">
        <v>39</v>
      </c>
      <c r="N137" s="6"/>
      <c r="O137" s="6" t="s">
        <v>1630</v>
      </c>
      <c r="P137" s="17" t="s">
        <v>54</v>
      </c>
      <c r="Q137" s="17" t="s">
        <v>54</v>
      </c>
      <c r="R137" s="17"/>
    </row>
    <row r="138" spans="1:18" s="16" customFormat="1" ht="30" customHeight="1" x14ac:dyDescent="0.3">
      <c r="A138" s="7">
        <v>46070.397650462961</v>
      </c>
      <c r="B138" s="6" t="s">
        <v>5</v>
      </c>
      <c r="C138" s="6"/>
      <c r="D138" s="6" t="str">
        <f>VLOOKUP(B138,'Veri doğrulama'!D6:E13,2,0)</f>
        <v>MEHMET ÖZEN</v>
      </c>
      <c r="E138" s="6">
        <v>26999</v>
      </c>
      <c r="F138" s="6" t="s">
        <v>1628</v>
      </c>
      <c r="G138" s="6" t="s">
        <v>1497</v>
      </c>
      <c r="H138" s="6" t="s">
        <v>35</v>
      </c>
      <c r="I138" s="6">
        <v>1400</v>
      </c>
      <c r="J138" s="6">
        <v>500</v>
      </c>
      <c r="K138" s="6">
        <v>1</v>
      </c>
      <c r="L138" s="10">
        <f t="shared" si="3"/>
        <v>0.7</v>
      </c>
      <c r="M138" s="6" t="s">
        <v>43</v>
      </c>
      <c r="N138" s="6"/>
      <c r="O138" s="6"/>
      <c r="P138" s="17" t="s">
        <v>54</v>
      </c>
      <c r="Q138" s="17" t="s">
        <v>54</v>
      </c>
      <c r="R138" s="17"/>
    </row>
    <row r="139" spans="1:18" s="16" customFormat="1" ht="30" customHeight="1" x14ac:dyDescent="0.3">
      <c r="A139" s="7">
        <v>46070.342974537038</v>
      </c>
      <c r="B139" s="6" t="s">
        <v>4</v>
      </c>
      <c r="C139" s="6"/>
      <c r="D139" s="6" t="str">
        <f>VLOOKUP(B139,'Veri doğrulama'!D6:E13,2,0)</f>
        <v>MEHMET YAZICI</v>
      </c>
      <c r="E139" s="6"/>
      <c r="F139" s="6" t="s">
        <v>96</v>
      </c>
      <c r="G139" s="6" t="s">
        <v>16</v>
      </c>
      <c r="H139" s="6" t="s">
        <v>34</v>
      </c>
      <c r="I139" s="6">
        <v>1200</v>
      </c>
      <c r="J139" s="6">
        <v>700</v>
      </c>
      <c r="K139" s="6">
        <v>1</v>
      </c>
      <c r="L139" s="10">
        <f t="shared" si="3"/>
        <v>0.84</v>
      </c>
      <c r="M139" s="6" t="s">
        <v>42</v>
      </c>
      <c r="N139" s="6" t="s">
        <v>159</v>
      </c>
      <c r="O139" s="6" t="s">
        <v>1627</v>
      </c>
      <c r="P139" s="17" t="s">
        <v>54</v>
      </c>
      <c r="Q139" s="17" t="s">
        <v>54</v>
      </c>
      <c r="R139" s="17"/>
    </row>
    <row r="140" spans="1:18" s="16" customFormat="1" ht="30" customHeight="1" x14ac:dyDescent="0.3">
      <c r="A140" s="7">
        <v>46069.591284722221</v>
      </c>
      <c r="B140" s="6" t="s">
        <v>5</v>
      </c>
      <c r="C140" s="6"/>
      <c r="D140" s="6" t="str">
        <f>VLOOKUP(B140,'Veri doğrulama'!D6:E13,2,0)</f>
        <v>MEHMET ÖZEN</v>
      </c>
      <c r="E140" s="6"/>
      <c r="F140" s="6" t="s">
        <v>93</v>
      </c>
      <c r="G140" s="6" t="s">
        <v>16</v>
      </c>
      <c r="H140" s="6" t="s">
        <v>34</v>
      </c>
      <c r="I140" s="6">
        <v>1300</v>
      </c>
      <c r="J140" s="6">
        <v>320</v>
      </c>
      <c r="K140" s="6">
        <v>1</v>
      </c>
      <c r="L140" s="10">
        <f t="shared" si="3"/>
        <v>0.41599999999999998</v>
      </c>
      <c r="M140" s="6" t="s">
        <v>156</v>
      </c>
      <c r="N140" s="6"/>
      <c r="O140" s="6"/>
      <c r="P140" s="17" t="s">
        <v>54</v>
      </c>
      <c r="Q140" s="17" t="s">
        <v>54</v>
      </c>
      <c r="R140" s="17"/>
    </row>
    <row r="141" spans="1:18" s="16" customFormat="1" ht="30" customHeight="1" x14ac:dyDescent="0.3">
      <c r="A141" s="7">
        <v>46069.461504629631</v>
      </c>
      <c r="B141" s="6" t="s">
        <v>5</v>
      </c>
      <c r="C141" s="6"/>
      <c r="D141" s="6" t="str">
        <f>VLOOKUP(B141,'Veri doğrulama'!D6:E13,2,0)</f>
        <v>MEHMET ÖZEN</v>
      </c>
      <c r="E141" s="6">
        <v>26928</v>
      </c>
      <c r="F141" s="6" t="s">
        <v>87</v>
      </c>
      <c r="G141" s="6" t="s">
        <v>1392</v>
      </c>
      <c r="H141" s="6" t="s">
        <v>34</v>
      </c>
      <c r="I141" s="6">
        <v>1800</v>
      </c>
      <c r="J141" s="6">
        <v>350</v>
      </c>
      <c r="K141" s="6">
        <v>1</v>
      </c>
      <c r="L141" s="10">
        <f t="shared" si="3"/>
        <v>0.63</v>
      </c>
      <c r="M141" s="6" t="s">
        <v>75</v>
      </c>
      <c r="N141" s="6"/>
      <c r="O141" s="6"/>
      <c r="P141" s="17" t="s">
        <v>54</v>
      </c>
      <c r="Q141" s="17" t="s">
        <v>54</v>
      </c>
      <c r="R141" s="17"/>
    </row>
    <row r="142" spans="1:18" s="16" customFormat="1" ht="30" customHeight="1" x14ac:dyDescent="0.3">
      <c r="A142" s="7">
        <v>46069.351331018515</v>
      </c>
      <c r="B142" s="6" t="s">
        <v>5</v>
      </c>
      <c r="C142" s="6"/>
      <c r="D142" s="6" t="str">
        <f>VLOOKUP(B142,'Veri doğrulama'!D6:E13,2,0)</f>
        <v>MEHMET ÖZEN</v>
      </c>
      <c r="E142" s="6" t="s">
        <v>1625</v>
      </c>
      <c r="F142" s="6" t="s">
        <v>1626</v>
      </c>
      <c r="G142" s="6" t="s">
        <v>1497</v>
      </c>
      <c r="H142" s="6" t="s">
        <v>34</v>
      </c>
      <c r="I142" s="6">
        <v>1800</v>
      </c>
      <c r="J142" s="6">
        <v>940</v>
      </c>
      <c r="K142" s="6">
        <v>1</v>
      </c>
      <c r="L142" s="10">
        <f t="shared" si="3"/>
        <v>1.6919999999999999</v>
      </c>
      <c r="M142" s="6" t="s">
        <v>103</v>
      </c>
      <c r="N142" s="6"/>
      <c r="O142" s="6"/>
      <c r="P142" s="17" t="s">
        <v>54</v>
      </c>
      <c r="Q142" s="17" t="s">
        <v>54</v>
      </c>
      <c r="R142" s="17"/>
    </row>
    <row r="143" spans="1:18" s="16" customFormat="1" ht="30" customHeight="1" x14ac:dyDescent="0.3">
      <c r="A143" s="7">
        <v>46066.734525462962</v>
      </c>
      <c r="B143" s="6" t="s">
        <v>5</v>
      </c>
      <c r="C143" s="6"/>
      <c r="D143" s="6" t="str">
        <f>VLOOKUP(B143,'Veri doğrulama'!D6:E13,2,0)</f>
        <v>MEHMET ÖZEN</v>
      </c>
      <c r="E143" s="6" t="s">
        <v>1622</v>
      </c>
      <c r="F143" s="6" t="s">
        <v>1623</v>
      </c>
      <c r="G143" s="6" t="s">
        <v>1392</v>
      </c>
      <c r="H143" s="6" t="s">
        <v>34</v>
      </c>
      <c r="I143" s="6">
        <v>1810</v>
      </c>
      <c r="J143" s="6">
        <v>1010</v>
      </c>
      <c r="K143" s="6">
        <v>1</v>
      </c>
      <c r="L143" s="10">
        <f t="shared" si="3"/>
        <v>1.8281000000000001</v>
      </c>
      <c r="M143" s="6" t="s">
        <v>42</v>
      </c>
      <c r="N143" s="6"/>
      <c r="O143" s="6" t="s">
        <v>1624</v>
      </c>
      <c r="P143" s="17" t="s">
        <v>54</v>
      </c>
      <c r="Q143" s="17" t="s">
        <v>54</v>
      </c>
      <c r="R143" s="17"/>
    </row>
    <row r="144" spans="1:18" s="16" customFormat="1" ht="30" customHeight="1" x14ac:dyDescent="0.3">
      <c r="A144" s="7">
        <v>46066.573229166665</v>
      </c>
      <c r="B144" s="6" t="s">
        <v>5</v>
      </c>
      <c r="C144" s="6"/>
      <c r="D144" s="6" t="str">
        <f>VLOOKUP(B144,'Veri doğrulama'!D6:E13,2,0)</f>
        <v>MEHMET ÖZEN</v>
      </c>
      <c r="E144" s="6">
        <v>26967</v>
      </c>
      <c r="F144" s="6" t="s">
        <v>1615</v>
      </c>
      <c r="G144" s="6" t="s">
        <v>19</v>
      </c>
      <c r="H144" s="6" t="s">
        <v>34</v>
      </c>
      <c r="I144" s="6">
        <v>2600</v>
      </c>
      <c r="J144" s="6">
        <v>300</v>
      </c>
      <c r="K144" s="6">
        <v>1</v>
      </c>
      <c r="L144" s="10">
        <f t="shared" si="3"/>
        <v>0.78</v>
      </c>
      <c r="M144" s="6" t="s">
        <v>103</v>
      </c>
      <c r="N144" s="6"/>
      <c r="O144" s="6"/>
      <c r="P144" s="17" t="s">
        <v>54</v>
      </c>
      <c r="Q144" s="17" t="s">
        <v>54</v>
      </c>
      <c r="R144" s="17"/>
    </row>
    <row r="145" spans="1:18" s="16" customFormat="1" ht="30" customHeight="1" x14ac:dyDescent="0.3">
      <c r="A145" s="7">
        <v>46066.572210648148</v>
      </c>
      <c r="B145" s="6" t="s">
        <v>5</v>
      </c>
      <c r="C145" s="6"/>
      <c r="D145" s="6" t="str">
        <f>VLOOKUP(B145,'Veri doğrulama'!D6:E13,2,0)</f>
        <v>MEHMET ÖZEN</v>
      </c>
      <c r="E145" s="6">
        <v>26899</v>
      </c>
      <c r="F145" s="6" t="s">
        <v>1621</v>
      </c>
      <c r="G145" s="6" t="s">
        <v>15</v>
      </c>
      <c r="H145" s="6" t="s">
        <v>34</v>
      </c>
      <c r="I145" s="6">
        <v>580</v>
      </c>
      <c r="J145" s="6">
        <v>396</v>
      </c>
      <c r="K145" s="6">
        <v>1</v>
      </c>
      <c r="L145" s="10">
        <f t="shared" si="3"/>
        <v>0.22968</v>
      </c>
      <c r="M145" s="6" t="s">
        <v>103</v>
      </c>
      <c r="N145" s="6"/>
      <c r="O145" s="6"/>
      <c r="P145" s="17" t="s">
        <v>54</v>
      </c>
      <c r="Q145" s="17" t="s">
        <v>54</v>
      </c>
      <c r="R145" s="17"/>
    </row>
    <row r="146" spans="1:18" s="16" customFormat="1" ht="30" customHeight="1" x14ac:dyDescent="0.3">
      <c r="A146" s="7">
        <v>46066.352719907409</v>
      </c>
      <c r="B146" s="6" t="s">
        <v>5</v>
      </c>
      <c r="C146" s="6"/>
      <c r="D146" s="6" t="str">
        <f>VLOOKUP(B146,'Veri doğrulama'!D6:E13,2,0)</f>
        <v>MEHMET ÖZEN</v>
      </c>
      <c r="E146" s="6"/>
      <c r="F146" s="6" t="s">
        <v>1619</v>
      </c>
      <c r="G146" s="6" t="s">
        <v>22</v>
      </c>
      <c r="H146" s="6" t="s">
        <v>34</v>
      </c>
      <c r="I146" s="6">
        <v>1500</v>
      </c>
      <c r="J146" s="6">
        <v>505</v>
      </c>
      <c r="K146" s="6">
        <v>1</v>
      </c>
      <c r="L146" s="10">
        <f t="shared" si="3"/>
        <v>0.75749999999999995</v>
      </c>
      <c r="M146" s="6" t="s">
        <v>42</v>
      </c>
      <c r="N146" s="6"/>
      <c r="O146" s="6" t="s">
        <v>1620</v>
      </c>
      <c r="P146" s="17" t="s">
        <v>54</v>
      </c>
      <c r="Q146" s="17" t="s">
        <v>54</v>
      </c>
      <c r="R146" s="17"/>
    </row>
    <row r="147" spans="1:18" s="16" customFormat="1" ht="30" customHeight="1" x14ac:dyDescent="0.3">
      <c r="A147" s="7">
        <v>46065.733425925922</v>
      </c>
      <c r="B147" s="6" t="s">
        <v>5</v>
      </c>
      <c r="C147" s="6"/>
      <c r="D147" s="6" t="str">
        <f>VLOOKUP(B147,'Veri doğrulama'!D6:E13,2,0)</f>
        <v>MEHMET ÖZEN</v>
      </c>
      <c r="E147" s="6"/>
      <c r="F147" s="6" t="s">
        <v>1617</v>
      </c>
      <c r="G147" s="6" t="s">
        <v>13</v>
      </c>
      <c r="H147" s="6" t="s">
        <v>34</v>
      </c>
      <c r="I147" s="6">
        <v>1000</v>
      </c>
      <c r="J147" s="6">
        <v>400</v>
      </c>
      <c r="K147" s="6">
        <v>4</v>
      </c>
      <c r="L147" s="10">
        <f t="shared" si="3"/>
        <v>1.6</v>
      </c>
      <c r="M147" s="6" t="s">
        <v>43</v>
      </c>
      <c r="N147" s="6" t="s">
        <v>53</v>
      </c>
      <c r="O147" s="6" t="s">
        <v>1618</v>
      </c>
      <c r="P147" s="17" t="s">
        <v>54</v>
      </c>
      <c r="Q147" s="17" t="s">
        <v>54</v>
      </c>
      <c r="R147" s="17"/>
    </row>
    <row r="148" spans="1:18" s="16" customFormat="1" ht="30" customHeight="1" x14ac:dyDescent="0.3">
      <c r="A148" s="7">
        <v>46065.657118055555</v>
      </c>
      <c r="B148" s="6" t="s">
        <v>5</v>
      </c>
      <c r="C148" s="6"/>
      <c r="D148" s="6" t="str">
        <f>VLOOKUP(B148,'Veri doğrulama'!D6:E13,2,0)</f>
        <v>MEHMET ÖZEN</v>
      </c>
      <c r="E148" s="6">
        <v>26958</v>
      </c>
      <c r="F148" s="6" t="s">
        <v>1616</v>
      </c>
      <c r="G148" s="6" t="s">
        <v>19</v>
      </c>
      <c r="H148" s="6" t="s">
        <v>34</v>
      </c>
      <c r="I148" s="6">
        <v>535</v>
      </c>
      <c r="J148" s="6">
        <v>393</v>
      </c>
      <c r="K148" s="6">
        <v>1</v>
      </c>
      <c r="L148" s="10">
        <f t="shared" si="3"/>
        <v>0.210255</v>
      </c>
      <c r="M148" s="6" t="s">
        <v>103</v>
      </c>
      <c r="N148" s="6"/>
      <c r="O148" s="6"/>
      <c r="P148" s="17" t="s">
        <v>54</v>
      </c>
      <c r="Q148" s="17" t="s">
        <v>54</v>
      </c>
      <c r="R148" s="17"/>
    </row>
    <row r="149" spans="1:18" s="16" customFormat="1" ht="30" customHeight="1" x14ac:dyDescent="0.3">
      <c r="A149" s="7">
        <v>46065.585960648146</v>
      </c>
      <c r="B149" s="6" t="s">
        <v>5</v>
      </c>
      <c r="C149" s="6"/>
      <c r="D149" s="6" t="str">
        <f>VLOOKUP(B149,'Veri doğrulama'!D6:E13,2,0)</f>
        <v>MEHMET ÖZEN</v>
      </c>
      <c r="E149" s="6">
        <v>26933</v>
      </c>
      <c r="F149" s="6" t="s">
        <v>1615</v>
      </c>
      <c r="G149" s="6" t="s">
        <v>14</v>
      </c>
      <c r="H149" s="6" t="s">
        <v>34</v>
      </c>
      <c r="I149" s="6">
        <v>2600</v>
      </c>
      <c r="J149" s="6">
        <v>300</v>
      </c>
      <c r="K149" s="6">
        <v>1</v>
      </c>
      <c r="L149" s="10">
        <f t="shared" si="3"/>
        <v>0.78</v>
      </c>
      <c r="M149" s="6" t="s">
        <v>103</v>
      </c>
      <c r="N149" s="6"/>
      <c r="O149" s="6"/>
      <c r="P149" s="17" t="s">
        <v>54</v>
      </c>
      <c r="Q149" s="17" t="s">
        <v>54</v>
      </c>
      <c r="R149" s="17"/>
    </row>
    <row r="150" spans="1:18" s="16" customFormat="1" ht="30" customHeight="1" x14ac:dyDescent="0.3">
      <c r="A150" s="7">
        <v>46065.481724537036</v>
      </c>
      <c r="B150" s="6" t="s">
        <v>5</v>
      </c>
      <c r="C150" s="6"/>
      <c r="D150" s="6" t="str">
        <f>VLOOKUP(B150,'Veri doğrulama'!D6:E13,2,0)</f>
        <v>MEHMET ÖZEN</v>
      </c>
      <c r="E150" s="6"/>
      <c r="F150" s="6" t="s">
        <v>1614</v>
      </c>
      <c r="G150" s="6" t="s">
        <v>18</v>
      </c>
      <c r="H150" s="6" t="s">
        <v>34</v>
      </c>
      <c r="I150" s="6">
        <v>1200</v>
      </c>
      <c r="J150" s="6">
        <v>1400</v>
      </c>
      <c r="K150" s="6">
        <v>1</v>
      </c>
      <c r="L150" s="10">
        <f t="shared" si="3"/>
        <v>1.68</v>
      </c>
      <c r="M150" s="6" t="s">
        <v>102</v>
      </c>
      <c r="N150" s="6"/>
      <c r="O150" s="6"/>
      <c r="P150" s="17" t="s">
        <v>54</v>
      </c>
      <c r="Q150" s="17" t="s">
        <v>54</v>
      </c>
      <c r="R150" s="17"/>
    </row>
    <row r="151" spans="1:18" s="16" customFormat="1" ht="30" customHeight="1" x14ac:dyDescent="0.3">
      <c r="A151" s="7">
        <v>46065.33222222222</v>
      </c>
      <c r="B151" s="6" t="s">
        <v>4</v>
      </c>
      <c r="C151" s="6"/>
      <c r="D151" s="6" t="str">
        <f>VLOOKUP(B151,'Veri doğrulama'!D6:E13,2,0)</f>
        <v>MEHMET YAZICI</v>
      </c>
      <c r="E151" s="6"/>
      <c r="F151" s="6" t="s">
        <v>165</v>
      </c>
      <c r="G151" s="6" t="s">
        <v>16</v>
      </c>
      <c r="H151" s="6" t="s">
        <v>34</v>
      </c>
      <c r="I151" s="6">
        <v>1400</v>
      </c>
      <c r="J151" s="6">
        <v>1200</v>
      </c>
      <c r="K151" s="6">
        <v>1</v>
      </c>
      <c r="L151" s="10">
        <f t="shared" si="3"/>
        <v>1.68</v>
      </c>
      <c r="M151" s="6" t="s">
        <v>75</v>
      </c>
      <c r="N151" s="6" t="s">
        <v>526</v>
      </c>
      <c r="O151" s="6"/>
      <c r="P151" s="17" t="s">
        <v>54</v>
      </c>
      <c r="Q151" s="17" t="s">
        <v>54</v>
      </c>
      <c r="R151" s="17"/>
    </row>
    <row r="152" spans="1:18" s="16" customFormat="1" ht="30" customHeight="1" x14ac:dyDescent="0.3">
      <c r="A152" s="7">
        <v>46064.70484953704</v>
      </c>
      <c r="B152" s="6" t="s">
        <v>7</v>
      </c>
      <c r="C152" s="6"/>
      <c r="D152" s="6" t="str">
        <f>VLOOKUP(B152,'Veri doğrulama'!D6:E13,2,0)</f>
        <v>SIDDIK KAPLAN</v>
      </c>
      <c r="E152" s="6"/>
      <c r="F152" s="6" t="s">
        <v>1217</v>
      </c>
      <c r="G152" s="6" t="s">
        <v>13</v>
      </c>
      <c r="H152" s="6" t="s">
        <v>34</v>
      </c>
      <c r="I152" s="6">
        <v>1887</v>
      </c>
      <c r="J152" s="6">
        <v>360</v>
      </c>
      <c r="K152" s="6">
        <v>1</v>
      </c>
      <c r="L152" s="10">
        <f t="shared" si="3"/>
        <v>0.67932000000000003</v>
      </c>
      <c r="M152" s="6" t="s">
        <v>43</v>
      </c>
      <c r="N152" s="6"/>
      <c r="O152" s="6"/>
      <c r="P152" s="17" t="s">
        <v>54</v>
      </c>
      <c r="Q152" s="17" t="s">
        <v>54</v>
      </c>
      <c r="R152" s="17"/>
    </row>
    <row r="153" spans="1:18" s="16" customFormat="1" ht="30" customHeight="1" x14ac:dyDescent="0.3">
      <c r="A153" s="7">
        <v>46064.368472222224</v>
      </c>
      <c r="B153" s="6" t="s">
        <v>5</v>
      </c>
      <c r="C153" s="6"/>
      <c r="D153" s="6" t="str">
        <f>VLOOKUP(B153,'Veri doğrulama'!D6:E13,2,0)</f>
        <v>MEHMET ÖZEN</v>
      </c>
      <c r="E153" s="6">
        <v>26859</v>
      </c>
      <c r="F153" s="6" t="s">
        <v>1613</v>
      </c>
      <c r="G153" s="6" t="s">
        <v>13</v>
      </c>
      <c r="H153" s="6" t="s">
        <v>34</v>
      </c>
      <c r="I153" s="6">
        <v>820</v>
      </c>
      <c r="J153" s="6">
        <v>432</v>
      </c>
      <c r="K153" s="6">
        <v>1</v>
      </c>
      <c r="L153" s="10">
        <f t="shared" si="3"/>
        <v>0.35424</v>
      </c>
      <c r="M153" s="6" t="s">
        <v>103</v>
      </c>
      <c r="N153" s="6" t="s">
        <v>5</v>
      </c>
      <c r="O153" s="6"/>
      <c r="P153" s="17" t="s">
        <v>54</v>
      </c>
      <c r="Q153" s="17" t="s">
        <v>54</v>
      </c>
      <c r="R153" s="17"/>
    </row>
    <row r="154" spans="1:18" s="16" customFormat="1" ht="30" customHeight="1" x14ac:dyDescent="0.3">
      <c r="A154" s="7">
        <v>46064.365266203706</v>
      </c>
      <c r="B154" s="6" t="s">
        <v>5</v>
      </c>
      <c r="C154" s="6"/>
      <c r="D154" s="6" t="str">
        <f>VLOOKUP(B154,'Veri doğrulama'!D6:E13,2,0)</f>
        <v>MEHMET ÖZEN</v>
      </c>
      <c r="E154" s="6" t="s">
        <v>1611</v>
      </c>
      <c r="F154" s="6" t="s">
        <v>1612</v>
      </c>
      <c r="G154" s="6" t="s">
        <v>15</v>
      </c>
      <c r="H154" s="6" t="s">
        <v>34</v>
      </c>
      <c r="I154" s="6">
        <v>1700</v>
      </c>
      <c r="J154" s="6">
        <v>1100</v>
      </c>
      <c r="K154" s="6">
        <v>1</v>
      </c>
      <c r="L154" s="10">
        <f t="shared" si="3"/>
        <v>1.87</v>
      </c>
      <c r="M154" s="6" t="s">
        <v>102</v>
      </c>
      <c r="N154" s="6"/>
      <c r="O154" s="6"/>
      <c r="P154" s="17" t="s">
        <v>54</v>
      </c>
      <c r="Q154" s="17" t="s">
        <v>54</v>
      </c>
      <c r="R154" s="17"/>
    </row>
    <row r="155" spans="1:18" s="16" customFormat="1" ht="30" customHeight="1" x14ac:dyDescent="0.3">
      <c r="A155" s="7">
        <v>46064.3594212963</v>
      </c>
      <c r="B155" s="6" t="s">
        <v>4</v>
      </c>
      <c r="C155" s="6"/>
      <c r="D155" s="6" t="str">
        <f>VLOOKUP(B155,'Veri doğrulama'!D6:E13,2,0)</f>
        <v>MEHMET YAZICI</v>
      </c>
      <c r="E155" s="6"/>
      <c r="F155" s="6" t="s">
        <v>1297</v>
      </c>
      <c r="G155" s="6" t="s">
        <v>19</v>
      </c>
      <c r="H155" s="6" t="s">
        <v>34</v>
      </c>
      <c r="I155" s="6">
        <v>730</v>
      </c>
      <c r="J155" s="6">
        <v>252</v>
      </c>
      <c r="K155" s="6">
        <v>1</v>
      </c>
      <c r="L155" s="10">
        <f t="shared" si="3"/>
        <v>0.18396000000000001</v>
      </c>
      <c r="M155" s="6" t="s">
        <v>102</v>
      </c>
      <c r="N155" s="6" t="s">
        <v>159</v>
      </c>
      <c r="O155" s="6"/>
      <c r="P155" s="17" t="s">
        <v>54</v>
      </c>
      <c r="Q155" s="17" t="s">
        <v>54</v>
      </c>
      <c r="R155" s="17"/>
    </row>
    <row r="156" spans="1:18" s="16" customFormat="1" ht="30" customHeight="1" x14ac:dyDescent="0.3">
      <c r="A156" s="7">
        <v>46064.358865740738</v>
      </c>
      <c r="B156" s="6" t="s">
        <v>4</v>
      </c>
      <c r="C156" s="6"/>
      <c r="D156" s="6" t="str">
        <f>VLOOKUP(B156,'Veri doğrulama'!D6:E13,2,0)</f>
        <v>MEHMET YAZICI</v>
      </c>
      <c r="E156" s="6"/>
      <c r="F156" s="6" t="s">
        <v>1045</v>
      </c>
      <c r="G156" s="6" t="s">
        <v>16</v>
      </c>
      <c r="H156" s="6" t="s">
        <v>34</v>
      </c>
      <c r="I156" s="6">
        <v>1815</v>
      </c>
      <c r="J156" s="6">
        <v>397</v>
      </c>
      <c r="K156" s="6">
        <v>1</v>
      </c>
      <c r="L156" s="10">
        <f t="shared" si="3"/>
        <v>0.72055499999999995</v>
      </c>
      <c r="M156" s="6" t="s">
        <v>103</v>
      </c>
      <c r="N156" s="6" t="s">
        <v>1610</v>
      </c>
      <c r="O156" s="6"/>
      <c r="P156" s="17" t="s">
        <v>54</v>
      </c>
      <c r="Q156" s="17" t="s">
        <v>54</v>
      </c>
      <c r="R156" s="17"/>
    </row>
    <row r="157" spans="1:18" s="16" customFormat="1" ht="30" customHeight="1" x14ac:dyDescent="0.3">
      <c r="A157" s="7">
        <v>46064.338437500002</v>
      </c>
      <c r="B157" s="6" t="s">
        <v>5</v>
      </c>
      <c r="C157" s="6"/>
      <c r="D157" s="6" t="str">
        <f>VLOOKUP(B157,'Veri doğrulama'!D6:E13,2,0)</f>
        <v>MEHMET ÖZEN</v>
      </c>
      <c r="E157" s="6" t="s">
        <v>1608</v>
      </c>
      <c r="F157" s="6" t="s">
        <v>1609</v>
      </c>
      <c r="G157" s="6" t="s">
        <v>15</v>
      </c>
      <c r="H157" s="6" t="s">
        <v>34</v>
      </c>
      <c r="I157" s="6">
        <v>1400</v>
      </c>
      <c r="J157" s="6">
        <v>1600</v>
      </c>
      <c r="K157" s="6">
        <v>1</v>
      </c>
      <c r="L157" s="10">
        <f t="shared" si="3"/>
        <v>2.2400000000000002</v>
      </c>
      <c r="M157" s="6" t="s">
        <v>156</v>
      </c>
      <c r="N157" s="6"/>
      <c r="O157" s="6"/>
      <c r="P157" s="17" t="s">
        <v>54</v>
      </c>
      <c r="Q157" s="17" t="s">
        <v>54</v>
      </c>
      <c r="R157" s="17"/>
    </row>
    <row r="158" spans="1:18" s="16" customFormat="1" ht="30" customHeight="1" x14ac:dyDescent="0.3">
      <c r="A158" s="7">
        <v>46063.704525462963</v>
      </c>
      <c r="B158" s="6" t="s">
        <v>7</v>
      </c>
      <c r="C158" s="6"/>
      <c r="D158" s="6" t="str">
        <f>VLOOKUP(B158,'Veri doğrulama'!D6:E13,2,0)</f>
        <v>SIDDIK KAPLAN</v>
      </c>
      <c r="E158" s="6"/>
      <c r="F158" s="6" t="s">
        <v>1607</v>
      </c>
      <c r="G158" s="6" t="s">
        <v>15</v>
      </c>
      <c r="H158" s="6" t="s">
        <v>34</v>
      </c>
      <c r="I158" s="6">
        <v>1600</v>
      </c>
      <c r="J158" s="6">
        <v>800</v>
      </c>
      <c r="K158" s="6">
        <v>1</v>
      </c>
      <c r="L158" s="10">
        <f t="shared" si="3"/>
        <v>1.28</v>
      </c>
      <c r="M158" s="6" t="s">
        <v>43</v>
      </c>
      <c r="N158" s="6"/>
      <c r="O158" s="6"/>
      <c r="P158" s="17" t="s">
        <v>54</v>
      </c>
      <c r="Q158" s="17" t="s">
        <v>54</v>
      </c>
      <c r="R158" s="17"/>
    </row>
    <row r="159" spans="1:18" s="16" customFormat="1" ht="30" customHeight="1" x14ac:dyDescent="0.3">
      <c r="A159" s="7">
        <v>46063.45416666667</v>
      </c>
      <c r="B159" s="6" t="s">
        <v>5</v>
      </c>
      <c r="C159" s="6"/>
      <c r="D159" s="6" t="str">
        <f>VLOOKUP(B159,'Veri doğrulama'!D6:E13,2,0)</f>
        <v>MEHMET ÖZEN</v>
      </c>
      <c r="E159" s="6"/>
      <c r="F159" s="6" t="s">
        <v>1606</v>
      </c>
      <c r="G159" s="6" t="s">
        <v>24</v>
      </c>
      <c r="H159" s="6" t="s">
        <v>34</v>
      </c>
      <c r="I159" s="6">
        <v>640</v>
      </c>
      <c r="J159" s="6">
        <v>467</v>
      </c>
      <c r="K159" s="6">
        <v>1</v>
      </c>
      <c r="L159" s="10">
        <f t="shared" si="3"/>
        <v>0.29887999999999998</v>
      </c>
      <c r="M159" s="6" t="s">
        <v>155</v>
      </c>
      <c r="N159" s="6"/>
      <c r="O159" s="6"/>
      <c r="P159" s="17" t="s">
        <v>54</v>
      </c>
      <c r="Q159" s="17" t="s">
        <v>54</v>
      </c>
      <c r="R159" s="17"/>
    </row>
    <row r="160" spans="1:18" s="16" customFormat="1" ht="30" customHeight="1" x14ac:dyDescent="0.3">
      <c r="A160" s="7">
        <v>46063.37908564815</v>
      </c>
      <c r="B160" s="6" t="s">
        <v>5</v>
      </c>
      <c r="C160" s="6"/>
      <c r="D160" s="6" t="str">
        <f>VLOOKUP(B160,'Veri doğrulama'!D6:E13,2,0)</f>
        <v>MEHMET ÖZEN</v>
      </c>
      <c r="E160" s="6"/>
      <c r="F160" s="6" t="s">
        <v>1605</v>
      </c>
      <c r="G160" s="6" t="s">
        <v>16</v>
      </c>
      <c r="H160" s="6" t="s">
        <v>34</v>
      </c>
      <c r="I160" s="6">
        <v>2000</v>
      </c>
      <c r="J160" s="6">
        <v>1000</v>
      </c>
      <c r="K160" s="6">
        <v>1</v>
      </c>
      <c r="L160" s="10">
        <f t="shared" si="3"/>
        <v>2</v>
      </c>
      <c r="M160" s="6" t="s">
        <v>103</v>
      </c>
      <c r="N160" s="6"/>
      <c r="O160" s="6"/>
      <c r="P160" s="17" t="s">
        <v>54</v>
      </c>
      <c r="Q160" s="17" t="s">
        <v>54</v>
      </c>
      <c r="R160" s="17"/>
    </row>
    <row r="161" spans="1:18" s="16" customFormat="1" ht="30" customHeight="1" x14ac:dyDescent="0.3">
      <c r="A161" s="7">
        <v>46062.752013888887</v>
      </c>
      <c r="B161" s="6" t="s">
        <v>5</v>
      </c>
      <c r="C161" s="6"/>
      <c r="D161" s="6" t="str">
        <f>VLOOKUP(B161,'Veri doğrulama'!D6:E13,2,0)</f>
        <v>MEHMET ÖZEN</v>
      </c>
      <c r="E161" s="6" t="s">
        <v>1603</v>
      </c>
      <c r="F161" s="6" t="s">
        <v>1604</v>
      </c>
      <c r="G161" s="6" t="s">
        <v>18</v>
      </c>
      <c r="H161" s="6" t="s">
        <v>34</v>
      </c>
      <c r="I161" s="6">
        <v>1600</v>
      </c>
      <c r="J161" s="6">
        <v>557</v>
      </c>
      <c r="K161" s="6">
        <v>3</v>
      </c>
      <c r="L161" s="10">
        <f t="shared" si="3"/>
        <v>2.6736</v>
      </c>
      <c r="M161" s="6" t="s">
        <v>43</v>
      </c>
      <c r="N161" s="6"/>
      <c r="O161" s="6"/>
      <c r="P161" s="17" t="s">
        <v>54</v>
      </c>
      <c r="Q161" s="17" t="s">
        <v>54</v>
      </c>
      <c r="R161" s="17"/>
    </row>
    <row r="162" spans="1:18" s="16" customFormat="1" ht="30" customHeight="1" x14ac:dyDescent="0.3">
      <c r="A162" s="7">
        <v>46062.749513888892</v>
      </c>
      <c r="B162" s="6" t="s">
        <v>5</v>
      </c>
      <c r="C162" s="6"/>
      <c r="D162" s="6" t="str">
        <f>VLOOKUP(B162,'Veri doğrulama'!D6:E13,2,0)</f>
        <v>MEHMET ÖZEN</v>
      </c>
      <c r="E162" s="6" t="s">
        <v>1601</v>
      </c>
      <c r="F162" s="6" t="s">
        <v>1602</v>
      </c>
      <c r="G162" s="6" t="s">
        <v>19</v>
      </c>
      <c r="H162" s="6" t="s">
        <v>34</v>
      </c>
      <c r="I162" s="6">
        <v>1400</v>
      </c>
      <c r="J162" s="6">
        <v>940</v>
      </c>
      <c r="K162" s="6">
        <v>1</v>
      </c>
      <c r="L162" s="10">
        <f t="shared" si="3"/>
        <v>1.3160000000000001</v>
      </c>
      <c r="M162" s="6" t="s">
        <v>103</v>
      </c>
      <c r="N162" s="6"/>
      <c r="O162" s="6"/>
      <c r="P162" s="17" t="s">
        <v>54</v>
      </c>
      <c r="Q162" s="17" t="s">
        <v>54</v>
      </c>
      <c r="R162" s="17"/>
    </row>
    <row r="163" spans="1:18" s="16" customFormat="1" ht="30" customHeight="1" x14ac:dyDescent="0.3">
      <c r="A163" s="7">
        <v>46062.716886574075</v>
      </c>
      <c r="B163" s="6" t="s">
        <v>5</v>
      </c>
      <c r="C163" s="6"/>
      <c r="D163" s="6" t="str">
        <f>VLOOKUP(B163,'Veri doğrulama'!D6:E13,2,0)</f>
        <v>MEHMET ÖZEN</v>
      </c>
      <c r="E163" s="6" t="s">
        <v>1600</v>
      </c>
      <c r="F163" s="6" t="s">
        <v>1599</v>
      </c>
      <c r="G163" s="6" t="s">
        <v>18</v>
      </c>
      <c r="H163" s="6" t="s">
        <v>34</v>
      </c>
      <c r="I163" s="6">
        <v>2000</v>
      </c>
      <c r="J163" s="6">
        <v>550</v>
      </c>
      <c r="K163" s="6">
        <v>1</v>
      </c>
      <c r="L163" s="10">
        <f t="shared" si="3"/>
        <v>1.1000000000000001</v>
      </c>
      <c r="M163" s="6" t="s">
        <v>103</v>
      </c>
      <c r="N163" s="6"/>
      <c r="O163" s="6"/>
      <c r="P163" s="17" t="s">
        <v>54</v>
      </c>
      <c r="Q163" s="17" t="s">
        <v>54</v>
      </c>
      <c r="R163" s="17"/>
    </row>
    <row r="164" spans="1:18" s="16" customFormat="1" ht="30" customHeight="1" x14ac:dyDescent="0.3">
      <c r="A164" s="7">
        <v>46062.494953703703</v>
      </c>
      <c r="B164" s="6" t="s">
        <v>5</v>
      </c>
      <c r="C164" s="6"/>
      <c r="D164" s="6" t="str">
        <f>VLOOKUP(B164,'Veri doğrulama'!D6:E13,2,0)</f>
        <v>MEHMET ÖZEN</v>
      </c>
      <c r="E164" s="6" t="s">
        <v>1597</v>
      </c>
      <c r="F164" s="6" t="s">
        <v>1598</v>
      </c>
      <c r="G164" s="6" t="s">
        <v>18</v>
      </c>
      <c r="H164" s="6" t="s">
        <v>34</v>
      </c>
      <c r="I164" s="6">
        <v>318</v>
      </c>
      <c r="J164" s="6">
        <v>295</v>
      </c>
      <c r="K164" s="6">
        <v>1</v>
      </c>
      <c r="L164" s="10">
        <f t="shared" si="3"/>
        <v>9.3810000000000004E-2</v>
      </c>
      <c r="M164" s="6" t="s">
        <v>156</v>
      </c>
      <c r="N164" s="6"/>
      <c r="O164" s="6"/>
      <c r="P164" s="17" t="s">
        <v>54</v>
      </c>
      <c r="Q164" s="17" t="s">
        <v>54</v>
      </c>
      <c r="R164" s="17"/>
    </row>
    <row r="165" spans="1:18" s="16" customFormat="1" ht="30" customHeight="1" x14ac:dyDescent="0.3">
      <c r="A165" s="7">
        <v>46062.488611111112</v>
      </c>
      <c r="B165" s="6" t="s">
        <v>5</v>
      </c>
      <c r="C165" s="6"/>
      <c r="D165" s="6" t="s">
        <v>53</v>
      </c>
      <c r="E165" s="6" t="s">
        <v>1597</v>
      </c>
      <c r="F165" s="6" t="s">
        <v>1077</v>
      </c>
      <c r="G165" s="6" t="s">
        <v>18</v>
      </c>
      <c r="H165" s="6" t="s">
        <v>34</v>
      </c>
      <c r="I165" s="6">
        <v>2386</v>
      </c>
      <c r="J165" s="6">
        <v>350</v>
      </c>
      <c r="K165" s="6">
        <v>1</v>
      </c>
      <c r="L165" s="10">
        <f t="shared" si="3"/>
        <v>0.83509999999999995</v>
      </c>
      <c r="M165" s="6" t="s">
        <v>103</v>
      </c>
      <c r="N165" s="6"/>
      <c r="O165" s="6"/>
      <c r="P165" s="17" t="s">
        <v>54</v>
      </c>
      <c r="Q165" s="17" t="s">
        <v>54</v>
      </c>
      <c r="R165" s="17"/>
    </row>
    <row r="166" spans="1:18" s="16" customFormat="1" ht="30" customHeight="1" x14ac:dyDescent="0.3">
      <c r="A166" s="7">
        <v>46059.701481481483</v>
      </c>
      <c r="B166" s="6" t="s">
        <v>5</v>
      </c>
      <c r="C166" s="6"/>
      <c r="D166" s="6" t="str">
        <f>VLOOKUP(B166,'Veri doğrulama'!D6:E13,2,0)</f>
        <v>MEHMET ÖZEN</v>
      </c>
      <c r="E166" s="6"/>
      <c r="F166" s="6" t="s">
        <v>1596</v>
      </c>
      <c r="G166" s="6" t="s">
        <v>24</v>
      </c>
      <c r="H166" s="6" t="s">
        <v>34</v>
      </c>
      <c r="I166" s="6">
        <v>1990</v>
      </c>
      <c r="J166" s="6">
        <v>840</v>
      </c>
      <c r="K166" s="6">
        <v>1</v>
      </c>
      <c r="L166" s="10">
        <f t="shared" si="3"/>
        <v>1.6716</v>
      </c>
      <c r="M166" s="6" t="s">
        <v>156</v>
      </c>
      <c r="N166" s="6"/>
      <c r="O166" s="6"/>
      <c r="P166" s="17" t="s">
        <v>54</v>
      </c>
      <c r="Q166" s="17" t="s">
        <v>54</v>
      </c>
      <c r="R166" s="17"/>
    </row>
    <row r="167" spans="1:18" s="16" customFormat="1" ht="30" customHeight="1" x14ac:dyDescent="0.3">
      <c r="A167" s="7">
        <v>46058.593564814815</v>
      </c>
      <c r="B167" s="6" t="s">
        <v>5</v>
      </c>
      <c r="C167" s="6"/>
      <c r="D167" s="6" t="str">
        <f>VLOOKUP(B167,'Veri doğrulama'!D6:E13,2,0)</f>
        <v>MEHMET ÖZEN</v>
      </c>
      <c r="E167" s="6"/>
      <c r="F167" s="6" t="s">
        <v>1595</v>
      </c>
      <c r="G167" s="6" t="s">
        <v>15</v>
      </c>
      <c r="H167" s="6" t="s">
        <v>34</v>
      </c>
      <c r="I167" s="6">
        <v>1600</v>
      </c>
      <c r="J167" s="6">
        <v>800</v>
      </c>
      <c r="K167" s="6">
        <v>1</v>
      </c>
      <c r="L167" s="10">
        <f t="shared" si="3"/>
        <v>1.28</v>
      </c>
      <c r="M167" s="6" t="s">
        <v>156</v>
      </c>
      <c r="N167" s="6"/>
      <c r="O167" s="6"/>
      <c r="P167" s="17" t="s">
        <v>54</v>
      </c>
      <c r="Q167" s="17" t="s">
        <v>54</v>
      </c>
      <c r="R167" s="17"/>
    </row>
    <row r="168" spans="1:18" s="16" customFormat="1" ht="30" customHeight="1" x14ac:dyDescent="0.3">
      <c r="A168" s="7">
        <v>46058.57608796296</v>
      </c>
      <c r="B168" s="6" t="s">
        <v>5</v>
      </c>
      <c r="C168" s="6"/>
      <c r="D168" s="6" t="str">
        <f>VLOOKUP(B168,'Veri doğrulama'!D6:E13,2,0)</f>
        <v>MEHMET ÖZEN</v>
      </c>
      <c r="E168" s="6">
        <v>26752</v>
      </c>
      <c r="F168" s="6" t="s">
        <v>1594</v>
      </c>
      <c r="G168" s="6" t="s">
        <v>17</v>
      </c>
      <c r="H168" s="6" t="s">
        <v>34</v>
      </c>
      <c r="I168" s="6">
        <v>650</v>
      </c>
      <c r="J168" s="6">
        <v>500</v>
      </c>
      <c r="K168" s="6">
        <v>1</v>
      </c>
      <c r="L168" s="10">
        <f t="shared" si="3"/>
        <v>0.32500000000000001</v>
      </c>
      <c r="M168" s="6" t="s">
        <v>75</v>
      </c>
      <c r="N168" s="6"/>
      <c r="O168" s="6"/>
      <c r="P168" s="17" t="s">
        <v>54</v>
      </c>
      <c r="Q168" s="17" t="s">
        <v>54</v>
      </c>
      <c r="R168" s="17"/>
    </row>
    <row r="169" spans="1:18" s="16" customFormat="1" ht="30" customHeight="1" x14ac:dyDescent="0.3">
      <c r="A169" s="7">
        <v>46057.699421296296</v>
      </c>
      <c r="B169" s="6" t="s">
        <v>5</v>
      </c>
      <c r="C169" s="6"/>
      <c r="D169" s="6" t="str">
        <f>VLOOKUP(B169,'Veri doğrulama'!D6:E13,2,0)</f>
        <v>MEHMET ÖZEN</v>
      </c>
      <c r="E169" s="6"/>
      <c r="F169" s="6" t="s">
        <v>1571</v>
      </c>
      <c r="G169" s="6" t="s">
        <v>24</v>
      </c>
      <c r="H169" s="6" t="s">
        <v>34</v>
      </c>
      <c r="I169" s="6">
        <v>556</v>
      </c>
      <c r="J169" s="6">
        <v>539</v>
      </c>
      <c r="K169" s="6">
        <v>1</v>
      </c>
      <c r="L169" s="10">
        <f t="shared" si="3"/>
        <v>0.29968400000000001</v>
      </c>
      <c r="M169" s="6" t="s">
        <v>156</v>
      </c>
      <c r="N169" s="6"/>
      <c r="O169" s="6"/>
      <c r="P169" s="17" t="s">
        <v>54</v>
      </c>
      <c r="Q169" s="17" t="s">
        <v>54</v>
      </c>
      <c r="R169" s="17"/>
    </row>
    <row r="170" spans="1:18" s="16" customFormat="1" ht="30" customHeight="1" x14ac:dyDescent="0.3">
      <c r="A170" s="7">
        <v>46057.697557870371</v>
      </c>
      <c r="B170" s="6" t="s">
        <v>5</v>
      </c>
      <c r="C170" s="6"/>
      <c r="D170" s="6" t="str">
        <f>VLOOKUP(B170,'Veri doğrulama'!D6:E13,2,0)</f>
        <v>MEHMET ÖZEN</v>
      </c>
      <c r="E170" s="6"/>
      <c r="F170" s="6" t="s">
        <v>1593</v>
      </c>
      <c r="G170" s="6" t="s">
        <v>16</v>
      </c>
      <c r="H170" s="6" t="s">
        <v>34</v>
      </c>
      <c r="I170" s="6">
        <v>700</v>
      </c>
      <c r="J170" s="6">
        <v>397</v>
      </c>
      <c r="K170" s="6">
        <v>1</v>
      </c>
      <c r="L170" s="10">
        <f t="shared" si="3"/>
        <v>0.27789999999999998</v>
      </c>
      <c r="M170" s="6" t="s">
        <v>103</v>
      </c>
      <c r="N170" s="6"/>
      <c r="O170" s="6"/>
      <c r="P170" s="17" t="s">
        <v>54</v>
      </c>
      <c r="Q170" s="17" t="s">
        <v>54</v>
      </c>
      <c r="R170" s="17"/>
    </row>
    <row r="171" spans="1:18" s="16" customFormat="1" ht="30" customHeight="1" x14ac:dyDescent="0.3">
      <c r="A171" s="7">
        <v>46057.645891203705</v>
      </c>
      <c r="B171" s="6" t="s">
        <v>5</v>
      </c>
      <c r="C171" s="6"/>
      <c r="D171" s="6" t="str">
        <f>VLOOKUP(B171,'Veri doğrulama'!D6:E13,2,0)</f>
        <v>MEHMET ÖZEN</v>
      </c>
      <c r="E171" s="6"/>
      <c r="F171" s="6" t="s">
        <v>1591</v>
      </c>
      <c r="G171" s="6" t="s">
        <v>18</v>
      </c>
      <c r="H171" s="6" t="s">
        <v>34</v>
      </c>
      <c r="I171" s="6">
        <v>2200</v>
      </c>
      <c r="J171" s="6">
        <v>940</v>
      </c>
      <c r="K171" s="6">
        <v>1</v>
      </c>
      <c r="L171" s="10">
        <f t="shared" si="3"/>
        <v>2.0680000000000001</v>
      </c>
      <c r="M171" s="6" t="s">
        <v>43</v>
      </c>
      <c r="N171" s="6" t="s">
        <v>53</v>
      </c>
      <c r="O171" s="6" t="s">
        <v>1592</v>
      </c>
      <c r="P171" s="17" t="s">
        <v>54</v>
      </c>
      <c r="Q171" s="17" t="s">
        <v>54</v>
      </c>
      <c r="R171" s="17"/>
    </row>
    <row r="172" spans="1:18" s="16" customFormat="1" ht="30" customHeight="1" x14ac:dyDescent="0.3">
      <c r="A172" s="7">
        <v>46057.357847222222</v>
      </c>
      <c r="B172" s="6" t="s">
        <v>7</v>
      </c>
      <c r="C172" s="6"/>
      <c r="D172" s="6" t="str">
        <f>VLOOKUP(B172,'Veri doğrulama'!D6:E13,2,0)</f>
        <v>SIDDIK KAPLAN</v>
      </c>
      <c r="E172" s="6"/>
      <c r="F172" s="6" t="s">
        <v>1590</v>
      </c>
      <c r="G172" s="6" t="s">
        <v>13</v>
      </c>
      <c r="H172" s="6" t="s">
        <v>34</v>
      </c>
      <c r="I172" s="6">
        <v>1400</v>
      </c>
      <c r="J172" s="6">
        <v>1200</v>
      </c>
      <c r="K172" s="6">
        <v>1</v>
      </c>
      <c r="L172" s="10">
        <f t="shared" si="3"/>
        <v>1.68</v>
      </c>
      <c r="M172" s="6" t="s">
        <v>43</v>
      </c>
      <c r="N172" s="6"/>
      <c r="O172" s="6"/>
      <c r="P172" s="17" t="s">
        <v>54</v>
      </c>
      <c r="Q172" s="17" t="s">
        <v>54</v>
      </c>
      <c r="R172" s="17"/>
    </row>
    <row r="173" spans="1:18" s="16" customFormat="1" ht="30" customHeight="1" x14ac:dyDescent="0.3">
      <c r="A173" s="7">
        <v>46057.346701388888</v>
      </c>
      <c r="B173" s="6" t="s">
        <v>5</v>
      </c>
      <c r="C173" s="6"/>
      <c r="D173" s="6" t="str">
        <f>VLOOKUP(B173,'Veri doğrulama'!D6:E13,2,0)</f>
        <v>MEHMET ÖZEN</v>
      </c>
      <c r="E173" s="6"/>
      <c r="F173" s="6" t="s">
        <v>1589</v>
      </c>
      <c r="G173" s="6" t="s">
        <v>16</v>
      </c>
      <c r="H173" s="6" t="s">
        <v>34</v>
      </c>
      <c r="I173" s="6">
        <v>539</v>
      </c>
      <c r="J173" s="6">
        <v>393</v>
      </c>
      <c r="K173" s="6">
        <v>1</v>
      </c>
      <c r="L173" s="10">
        <f t="shared" si="3"/>
        <v>0.21182699999999999</v>
      </c>
      <c r="M173" s="6" t="s">
        <v>156</v>
      </c>
      <c r="N173" s="6"/>
      <c r="O173" s="6"/>
      <c r="P173" s="17" t="s">
        <v>54</v>
      </c>
      <c r="Q173" s="17" t="s">
        <v>54</v>
      </c>
      <c r="R173" s="17"/>
    </row>
    <row r="174" spans="1:18" s="16" customFormat="1" ht="30" customHeight="1" x14ac:dyDescent="0.3">
      <c r="A174" s="7">
        <v>46056.642210648148</v>
      </c>
      <c r="B174" s="6" t="s">
        <v>6</v>
      </c>
      <c r="C174" s="6"/>
      <c r="D174" s="6" t="str">
        <f>VLOOKUP(B174,'Veri doğrulama'!D6:E13,2,0)</f>
        <v>SERVET KAPLAN</v>
      </c>
      <c r="E174" s="6"/>
      <c r="F174" s="6" t="s">
        <v>197</v>
      </c>
      <c r="G174" s="6" t="s">
        <v>24</v>
      </c>
      <c r="H174" s="6" t="s">
        <v>34</v>
      </c>
      <c r="I174" s="6">
        <v>1120</v>
      </c>
      <c r="J174" s="6">
        <v>530</v>
      </c>
      <c r="K174" s="6">
        <v>1</v>
      </c>
      <c r="L174" s="10">
        <f t="shared" si="3"/>
        <v>0.59360000000000002</v>
      </c>
      <c r="M174" s="6" t="s">
        <v>43</v>
      </c>
      <c r="N174" s="6"/>
      <c r="O174" s="6"/>
      <c r="P174" s="17" t="s">
        <v>54</v>
      </c>
      <c r="Q174" s="17" t="s">
        <v>54</v>
      </c>
      <c r="R174" s="17"/>
    </row>
    <row r="175" spans="1:18" s="16" customFormat="1" ht="30" customHeight="1" x14ac:dyDescent="0.3">
      <c r="A175" s="7">
        <v>46056.641759259262</v>
      </c>
      <c r="B175" s="6" t="s">
        <v>6</v>
      </c>
      <c r="C175" s="6"/>
      <c r="D175" s="6" t="str">
        <f>VLOOKUP(B175,'Veri doğrulama'!D6:E13,2,0)</f>
        <v>SERVET KAPLAN</v>
      </c>
      <c r="E175" s="6"/>
      <c r="F175" s="6" t="s">
        <v>197</v>
      </c>
      <c r="G175" s="6" t="s">
        <v>18</v>
      </c>
      <c r="H175" s="6" t="s">
        <v>34</v>
      </c>
      <c r="I175" s="6">
        <v>2220</v>
      </c>
      <c r="J175" s="6">
        <v>970</v>
      </c>
      <c r="K175" s="6">
        <v>1</v>
      </c>
      <c r="L175" s="10">
        <f t="shared" si="3"/>
        <v>2.1534</v>
      </c>
      <c r="M175" s="6" t="s">
        <v>43</v>
      </c>
      <c r="N175" s="6"/>
      <c r="O175" s="6"/>
      <c r="P175" s="17" t="s">
        <v>54</v>
      </c>
      <c r="Q175" s="17" t="s">
        <v>54</v>
      </c>
      <c r="R175" s="17"/>
    </row>
    <row r="176" spans="1:18" s="16" customFormat="1" ht="30" customHeight="1" x14ac:dyDescent="0.3">
      <c r="A176" s="7">
        <v>46056.465173611112</v>
      </c>
      <c r="B176" s="6" t="s">
        <v>7</v>
      </c>
      <c r="C176" s="6"/>
      <c r="D176" s="6" t="str">
        <f>VLOOKUP(B176,'Veri doğrulama'!D6:E13,2,0)</f>
        <v>SIDDIK KAPLAN</v>
      </c>
      <c r="E176" s="6"/>
      <c r="F176" s="6" t="s">
        <v>1588</v>
      </c>
      <c r="G176" s="6" t="s">
        <v>1004</v>
      </c>
      <c r="H176" s="6" t="s">
        <v>34</v>
      </c>
      <c r="I176" s="6">
        <v>1500</v>
      </c>
      <c r="J176" s="6">
        <v>700</v>
      </c>
      <c r="K176" s="6">
        <v>1</v>
      </c>
      <c r="L176" s="10">
        <f t="shared" si="3"/>
        <v>1.05</v>
      </c>
      <c r="M176" s="6" t="s">
        <v>43</v>
      </c>
      <c r="N176" s="6"/>
      <c r="O176" s="6"/>
      <c r="P176" s="17" t="s">
        <v>54</v>
      </c>
      <c r="Q176" s="17" t="s">
        <v>54</v>
      </c>
      <c r="R176" s="17"/>
    </row>
    <row r="177" spans="1:18" s="16" customFormat="1" ht="30" customHeight="1" x14ac:dyDescent="0.3">
      <c r="A177" s="7">
        <v>46055.745856481481</v>
      </c>
      <c r="B177" s="6" t="s">
        <v>7</v>
      </c>
      <c r="C177" s="6"/>
      <c r="D177" s="6" t="str">
        <f>VLOOKUP(B177,'Veri doğrulama'!D6:E13,2,0)</f>
        <v>SIDDIK KAPLAN</v>
      </c>
      <c r="E177" s="6"/>
      <c r="F177" s="6" t="s">
        <v>1239</v>
      </c>
      <c r="G177" s="6" t="s">
        <v>1392</v>
      </c>
      <c r="H177" s="6" t="s">
        <v>34</v>
      </c>
      <c r="I177" s="6">
        <v>762</v>
      </c>
      <c r="J177" s="6">
        <v>395</v>
      </c>
      <c r="K177" s="6">
        <v>1</v>
      </c>
      <c r="L177" s="10">
        <f t="shared" si="3"/>
        <v>0.30098999999999998</v>
      </c>
      <c r="M177" s="6" t="s">
        <v>43</v>
      </c>
      <c r="N177" s="6"/>
      <c r="O177" s="6"/>
      <c r="P177" s="17" t="s">
        <v>54</v>
      </c>
      <c r="Q177" s="17" t="s">
        <v>54</v>
      </c>
      <c r="R177" s="17"/>
    </row>
    <row r="178" spans="1:18" s="16" customFormat="1" ht="30" customHeight="1" x14ac:dyDescent="0.3">
      <c r="A178" s="7">
        <v>46055.718182870369</v>
      </c>
      <c r="B178" s="6" t="s">
        <v>5</v>
      </c>
      <c r="C178" s="6"/>
      <c r="D178" s="6" t="str">
        <f>VLOOKUP(B178,'Veri doğrulama'!D6:E13,2,0)</f>
        <v>MEHMET ÖZEN</v>
      </c>
      <c r="E178" s="6" t="s">
        <v>1586</v>
      </c>
      <c r="F178" s="6" t="s">
        <v>1587</v>
      </c>
      <c r="G178" s="6" t="s">
        <v>21</v>
      </c>
      <c r="H178" s="6" t="s">
        <v>34</v>
      </c>
      <c r="I178" s="6">
        <v>2260</v>
      </c>
      <c r="J178" s="6">
        <v>497</v>
      </c>
      <c r="K178" s="6">
        <v>1</v>
      </c>
      <c r="L178" s="10">
        <f t="shared" si="3"/>
        <v>1.1232200000000001</v>
      </c>
      <c r="M178" s="6" t="s">
        <v>42</v>
      </c>
      <c r="N178" s="6"/>
      <c r="O178" s="6"/>
      <c r="P178" s="17" t="s">
        <v>54</v>
      </c>
      <c r="Q178" s="17" t="s">
        <v>54</v>
      </c>
      <c r="R178" s="17"/>
    </row>
    <row r="179" spans="1:18" s="16" customFormat="1" ht="30" customHeight="1" x14ac:dyDescent="0.3">
      <c r="A179" s="7">
        <v>46055.570543981485</v>
      </c>
      <c r="B179" s="6" t="s">
        <v>7</v>
      </c>
      <c r="C179" s="6"/>
      <c r="D179" s="6" t="str">
        <f>VLOOKUP(B179,'Veri doğrulama'!D6:E13,2,0)</f>
        <v>SIDDIK KAPLAN</v>
      </c>
      <c r="E179" s="6"/>
      <c r="F179" s="6" t="s">
        <v>1585</v>
      </c>
      <c r="G179" s="6" t="s">
        <v>15</v>
      </c>
      <c r="H179" s="6" t="s">
        <v>34</v>
      </c>
      <c r="I179" s="6">
        <v>1800</v>
      </c>
      <c r="J179" s="6">
        <v>800</v>
      </c>
      <c r="K179" s="6">
        <v>1</v>
      </c>
      <c r="L179" s="10">
        <f t="shared" si="3"/>
        <v>1.44</v>
      </c>
      <c r="M179" s="6" t="s">
        <v>156</v>
      </c>
      <c r="N179" s="6"/>
      <c r="O179" s="6"/>
      <c r="P179" s="17" t="s">
        <v>54</v>
      </c>
      <c r="Q179" s="17" t="s">
        <v>54</v>
      </c>
      <c r="R179" s="17"/>
    </row>
    <row r="180" spans="1:18" s="16" customFormat="1" ht="30" customHeight="1" x14ac:dyDescent="0.3">
      <c r="A180" s="7">
        <v>46055.353402777779</v>
      </c>
      <c r="B180" s="6" t="s">
        <v>81</v>
      </c>
      <c r="C180" s="6"/>
      <c r="D180" s="6" t="str">
        <f>VLOOKUP(B180,'Veri doğrulama'!D6:E13,2,0)</f>
        <v>İBRAHİM ÇELİK</v>
      </c>
      <c r="E180" s="6"/>
      <c r="F180" s="6" t="s">
        <v>1582</v>
      </c>
      <c r="G180" s="6" t="s">
        <v>1497</v>
      </c>
      <c r="H180" s="6" t="s">
        <v>34</v>
      </c>
      <c r="I180" s="6">
        <v>1969</v>
      </c>
      <c r="J180" s="6">
        <v>789</v>
      </c>
      <c r="K180" s="6">
        <v>4</v>
      </c>
      <c r="L180" s="10">
        <f t="shared" si="3"/>
        <v>6.2141640000000002</v>
      </c>
      <c r="M180" s="6" t="s">
        <v>41</v>
      </c>
      <c r="N180" s="6" t="s">
        <v>1583</v>
      </c>
      <c r="O180" s="6" t="s">
        <v>1584</v>
      </c>
      <c r="P180" s="17" t="s">
        <v>54</v>
      </c>
      <c r="Q180" s="17" t="s">
        <v>54</v>
      </c>
      <c r="R180" s="17"/>
    </row>
    <row r="181" spans="1:18" s="16" customFormat="1" ht="30" customHeight="1" x14ac:dyDescent="0.3">
      <c r="A181" s="7">
        <v>46052.595219907409</v>
      </c>
      <c r="B181" s="6" t="s">
        <v>5</v>
      </c>
      <c r="C181" s="6"/>
      <c r="D181" s="6" t="str">
        <f>VLOOKUP(B181,'Veri doğrulama'!D6:E13,2,0)</f>
        <v>MEHMET ÖZEN</v>
      </c>
      <c r="E181" s="6"/>
      <c r="F181" s="6" t="s">
        <v>565</v>
      </c>
      <c r="G181" s="6" t="s">
        <v>16</v>
      </c>
      <c r="H181" s="6" t="s">
        <v>34</v>
      </c>
      <c r="I181" s="6">
        <v>800</v>
      </c>
      <c r="J181" s="6">
        <v>360</v>
      </c>
      <c r="K181" s="6">
        <v>1</v>
      </c>
      <c r="L181" s="10">
        <f t="shared" si="3"/>
        <v>0.28799999999999998</v>
      </c>
      <c r="M181" s="6" t="s">
        <v>103</v>
      </c>
      <c r="N181" s="6"/>
      <c r="O181" s="6"/>
      <c r="P181" s="17" t="s">
        <v>54</v>
      </c>
      <c r="Q181" s="17" t="s">
        <v>54</v>
      </c>
      <c r="R181" s="17"/>
    </row>
    <row r="182" spans="1:18" s="16" customFormat="1" ht="30" customHeight="1" x14ac:dyDescent="0.3">
      <c r="A182" s="7">
        <v>46052.471932870372</v>
      </c>
      <c r="B182" s="6" t="s">
        <v>5</v>
      </c>
      <c r="C182" s="6"/>
      <c r="D182" s="6" t="str">
        <f>VLOOKUP(B182,'Veri doğrulama'!D6:E13,2,0)</f>
        <v>MEHMET ÖZEN</v>
      </c>
      <c r="E182" s="6"/>
      <c r="F182" s="6" t="s">
        <v>1581</v>
      </c>
      <c r="G182" s="6" t="s">
        <v>26</v>
      </c>
      <c r="H182" s="6" t="s">
        <v>34</v>
      </c>
      <c r="I182" s="6">
        <v>672</v>
      </c>
      <c r="J182" s="6">
        <v>445</v>
      </c>
      <c r="K182" s="6">
        <v>1</v>
      </c>
      <c r="L182" s="10">
        <f t="shared" si="3"/>
        <v>0.29903999999999997</v>
      </c>
      <c r="M182" s="6" t="s">
        <v>42</v>
      </c>
      <c r="N182" s="6"/>
      <c r="O182" s="6"/>
      <c r="P182" s="17" t="s">
        <v>54</v>
      </c>
      <c r="Q182" s="17" t="s">
        <v>54</v>
      </c>
      <c r="R182" s="17"/>
    </row>
    <row r="183" spans="1:18" s="16" customFormat="1" ht="30" customHeight="1" x14ac:dyDescent="0.3">
      <c r="A183" s="7">
        <v>46051.693148148152</v>
      </c>
      <c r="B183" s="6" t="s">
        <v>5</v>
      </c>
      <c r="C183" s="6"/>
      <c r="D183" s="6" t="str">
        <f>VLOOKUP(B183,'Veri doğrulama'!D6:E13,2,0)</f>
        <v>MEHMET ÖZEN</v>
      </c>
      <c r="E183" s="6" t="s">
        <v>1579</v>
      </c>
      <c r="F183" s="6" t="s">
        <v>1580</v>
      </c>
      <c r="G183" s="6" t="s">
        <v>16</v>
      </c>
      <c r="H183" s="6" t="s">
        <v>34</v>
      </c>
      <c r="I183" s="6">
        <v>2002</v>
      </c>
      <c r="J183" s="6">
        <v>1002</v>
      </c>
      <c r="K183" s="6">
        <v>1</v>
      </c>
      <c r="L183" s="10">
        <f t="shared" si="3"/>
        <v>2.0060039999999999</v>
      </c>
      <c r="M183" s="6" t="s">
        <v>102</v>
      </c>
      <c r="N183" s="6"/>
      <c r="O183" s="6"/>
      <c r="P183" s="17" t="s">
        <v>54</v>
      </c>
      <c r="Q183" s="17" t="s">
        <v>54</v>
      </c>
      <c r="R183" s="17"/>
    </row>
    <row r="184" spans="1:18" s="16" customFormat="1" ht="30" customHeight="1" x14ac:dyDescent="0.3">
      <c r="A184" s="7">
        <v>46051.447685185187</v>
      </c>
      <c r="B184" s="6" t="s">
        <v>4</v>
      </c>
      <c r="C184" s="6"/>
      <c r="D184" s="6" t="str">
        <f>VLOOKUP(B184,'Veri doğrulama'!D6:E13,2,0)</f>
        <v>MEHMET YAZICI</v>
      </c>
      <c r="E184" s="6">
        <v>26708</v>
      </c>
      <c r="F184" s="6" t="s">
        <v>1577</v>
      </c>
      <c r="G184" s="6" t="s">
        <v>26</v>
      </c>
      <c r="H184" s="6" t="s">
        <v>34</v>
      </c>
      <c r="I184" s="6">
        <v>447</v>
      </c>
      <c r="J184" s="6">
        <v>264</v>
      </c>
      <c r="K184" s="6">
        <v>2</v>
      </c>
      <c r="L184" s="10">
        <f t="shared" si="3"/>
        <v>0.236016</v>
      </c>
      <c r="M184" s="6" t="s">
        <v>43</v>
      </c>
      <c r="N184" s="6" t="s">
        <v>159</v>
      </c>
      <c r="O184" s="6" t="s">
        <v>1578</v>
      </c>
      <c r="P184" s="17" t="s">
        <v>54</v>
      </c>
      <c r="Q184" s="17" t="s">
        <v>54</v>
      </c>
      <c r="R184" s="17"/>
    </row>
    <row r="185" spans="1:18" s="16" customFormat="1" ht="30" customHeight="1" x14ac:dyDescent="0.3">
      <c r="A185" s="7">
        <v>46050.751342592594</v>
      </c>
      <c r="B185" s="6" t="s">
        <v>7</v>
      </c>
      <c r="C185" s="6"/>
      <c r="D185" s="6" t="str">
        <f>VLOOKUP(B185,'Veri doğrulama'!D6:E13,2,0)</f>
        <v>SIDDIK KAPLAN</v>
      </c>
      <c r="E185" s="6"/>
      <c r="F185" s="6" t="s">
        <v>1576</v>
      </c>
      <c r="G185" s="6" t="s">
        <v>17</v>
      </c>
      <c r="H185" s="6" t="s">
        <v>34</v>
      </c>
      <c r="I185" s="6">
        <v>2386</v>
      </c>
      <c r="J185" s="6">
        <v>336</v>
      </c>
      <c r="K185" s="6">
        <v>1</v>
      </c>
      <c r="L185" s="10">
        <f t="shared" si="3"/>
        <v>0.80169599999999996</v>
      </c>
      <c r="M185" s="6" t="s">
        <v>43</v>
      </c>
      <c r="N185" s="6"/>
      <c r="O185" s="6"/>
      <c r="P185" s="17" t="s">
        <v>54</v>
      </c>
      <c r="Q185" s="17" t="s">
        <v>54</v>
      </c>
      <c r="R185" s="17"/>
    </row>
    <row r="186" spans="1:18" s="16" customFormat="1" ht="30" customHeight="1" x14ac:dyDescent="0.3">
      <c r="A186" s="7">
        <v>46050.681423611109</v>
      </c>
      <c r="B186" s="6" t="s">
        <v>5</v>
      </c>
      <c r="C186" s="6"/>
      <c r="D186" s="6" t="str">
        <f>VLOOKUP(B186,'Veri doğrulama'!D6:E13,2,0)</f>
        <v>MEHMET ÖZEN</v>
      </c>
      <c r="E186" s="6"/>
      <c r="F186" s="6" t="s">
        <v>1574</v>
      </c>
      <c r="G186" s="6" t="s">
        <v>17</v>
      </c>
      <c r="H186" s="6" t="s">
        <v>35</v>
      </c>
      <c r="I186" s="6">
        <v>1900</v>
      </c>
      <c r="J186" s="6">
        <v>1380</v>
      </c>
      <c r="K186" s="6">
        <v>1</v>
      </c>
      <c r="L186" s="10">
        <f t="shared" si="3"/>
        <v>2.6219999999999999</v>
      </c>
      <c r="M186" s="6" t="s">
        <v>156</v>
      </c>
      <c r="N186" s="6" t="s">
        <v>1575</v>
      </c>
      <c r="O186" s="6"/>
      <c r="P186" s="17" t="s">
        <v>54</v>
      </c>
      <c r="Q186" s="17" t="s">
        <v>54</v>
      </c>
      <c r="R186" s="17"/>
    </row>
    <row r="187" spans="1:18" s="16" customFormat="1" ht="30" customHeight="1" x14ac:dyDescent="0.3">
      <c r="A187" s="7">
        <v>46050.636412037034</v>
      </c>
      <c r="B187" s="6" t="s">
        <v>5</v>
      </c>
      <c r="C187" s="6"/>
      <c r="D187" s="6" t="str">
        <f>VLOOKUP(B187,'Veri doğrulama'!D6:E13,2,0)</f>
        <v>MEHMET ÖZEN</v>
      </c>
      <c r="E187" s="6" t="s">
        <v>1572</v>
      </c>
      <c r="F187" s="6" t="s">
        <v>1573</v>
      </c>
      <c r="G187" s="6" t="s">
        <v>16</v>
      </c>
      <c r="H187" s="6" t="s">
        <v>34</v>
      </c>
      <c r="I187" s="6">
        <v>557</v>
      </c>
      <c r="J187" s="6">
        <v>450</v>
      </c>
      <c r="K187" s="6">
        <v>1</v>
      </c>
      <c r="L187" s="10">
        <f t="shared" si="3"/>
        <v>0.25064999999999998</v>
      </c>
      <c r="M187" s="6" t="s">
        <v>103</v>
      </c>
      <c r="N187" s="6"/>
      <c r="O187" s="6"/>
      <c r="P187" s="17" t="s">
        <v>54</v>
      </c>
      <c r="Q187" s="17" t="s">
        <v>54</v>
      </c>
      <c r="R187" s="17"/>
    </row>
    <row r="188" spans="1:18" s="16" customFormat="1" ht="30" customHeight="1" x14ac:dyDescent="0.3">
      <c r="A188" s="7">
        <v>46050.505173611113</v>
      </c>
      <c r="B188" s="6" t="s">
        <v>5</v>
      </c>
      <c r="C188" s="6"/>
      <c r="D188" s="6" t="str">
        <f>VLOOKUP(B188,'Veri doğrulama'!D6:E13,2,0)</f>
        <v>MEHMET ÖZEN</v>
      </c>
      <c r="E188" s="6"/>
      <c r="F188" s="6" t="s">
        <v>1571</v>
      </c>
      <c r="G188" s="6" t="s">
        <v>16</v>
      </c>
      <c r="H188" s="6" t="s">
        <v>34</v>
      </c>
      <c r="I188" s="6">
        <v>556</v>
      </c>
      <c r="J188" s="6">
        <v>539</v>
      </c>
      <c r="K188" s="6">
        <v>4</v>
      </c>
      <c r="L188" s="10">
        <f t="shared" si="3"/>
        <v>1.198736</v>
      </c>
      <c r="M188" s="6" t="s">
        <v>43</v>
      </c>
      <c r="N188" s="6"/>
      <c r="O188" s="6"/>
      <c r="P188" s="17" t="s">
        <v>54</v>
      </c>
      <c r="Q188" s="17" t="s">
        <v>54</v>
      </c>
      <c r="R188" s="17"/>
    </row>
    <row r="189" spans="1:18" s="16" customFormat="1" ht="30" customHeight="1" x14ac:dyDescent="0.3">
      <c r="A189" s="7">
        <v>46050.496215277781</v>
      </c>
      <c r="B189" s="6" t="s">
        <v>4</v>
      </c>
      <c r="C189" s="6"/>
      <c r="D189" s="6" t="str">
        <f>VLOOKUP(B189,'Veri doğrulama'!D6:E13,2,0)</f>
        <v>MEHMET YAZICI</v>
      </c>
      <c r="E189" s="6">
        <v>26708</v>
      </c>
      <c r="F189" s="6" t="s">
        <v>1570</v>
      </c>
      <c r="G189" s="6" t="s">
        <v>17</v>
      </c>
      <c r="H189" s="6" t="s">
        <v>34</v>
      </c>
      <c r="I189" s="6">
        <v>730</v>
      </c>
      <c r="J189" s="6">
        <v>252</v>
      </c>
      <c r="K189" s="6">
        <v>1</v>
      </c>
      <c r="L189" s="10">
        <f t="shared" si="3"/>
        <v>0.18396000000000001</v>
      </c>
      <c r="M189" s="6" t="s">
        <v>102</v>
      </c>
      <c r="N189" s="6" t="s">
        <v>159</v>
      </c>
      <c r="O189" s="6"/>
      <c r="P189" s="17" t="s">
        <v>54</v>
      </c>
      <c r="Q189" s="17" t="s">
        <v>54</v>
      </c>
      <c r="R189" s="17"/>
    </row>
    <row r="190" spans="1:18" s="16" customFormat="1" ht="30" customHeight="1" x14ac:dyDescent="0.3">
      <c r="A190" s="7">
        <v>46050.466979166667</v>
      </c>
      <c r="B190" s="6" t="s">
        <v>5</v>
      </c>
      <c r="C190" s="6"/>
      <c r="D190" s="6" t="str">
        <f>VLOOKUP(B190,'Veri doğrulama'!D6:E13,2,0)</f>
        <v>MEHMET ÖZEN</v>
      </c>
      <c r="E190" s="6"/>
      <c r="F190" s="6" t="s">
        <v>1569</v>
      </c>
      <c r="G190" s="6" t="s">
        <v>16</v>
      </c>
      <c r="H190" s="6" t="s">
        <v>34</v>
      </c>
      <c r="I190" s="6">
        <v>735</v>
      </c>
      <c r="J190" s="6">
        <v>397</v>
      </c>
      <c r="K190" s="6">
        <v>3</v>
      </c>
      <c r="L190" s="10">
        <f t="shared" si="3"/>
        <v>0.87538500000000008</v>
      </c>
      <c r="M190" s="6" t="s">
        <v>103</v>
      </c>
      <c r="N190" s="6"/>
      <c r="O190" s="6"/>
      <c r="P190" s="17" t="s">
        <v>54</v>
      </c>
      <c r="Q190" s="17" t="s">
        <v>54</v>
      </c>
      <c r="R190" s="17"/>
    </row>
    <row r="191" spans="1:18" s="16" customFormat="1" ht="30" customHeight="1" x14ac:dyDescent="0.3">
      <c r="A191" s="7">
        <v>46050.455034722225</v>
      </c>
      <c r="B191" s="6" t="s">
        <v>5</v>
      </c>
      <c r="C191" s="6"/>
      <c r="D191" s="6" t="str">
        <f>VLOOKUP(B191,'Veri doğrulama'!D6:E13,2,0)</f>
        <v>MEHMET ÖZEN</v>
      </c>
      <c r="E191" s="6" t="s">
        <v>1568</v>
      </c>
      <c r="F191" s="6" t="s">
        <v>637</v>
      </c>
      <c r="G191" s="6" t="s">
        <v>16</v>
      </c>
      <c r="H191" s="6" t="s">
        <v>34</v>
      </c>
      <c r="I191" s="6">
        <v>705</v>
      </c>
      <c r="J191" s="6">
        <v>397</v>
      </c>
      <c r="K191" s="6">
        <v>1</v>
      </c>
      <c r="L191" s="10">
        <f t="shared" si="3"/>
        <v>0.27988499999999999</v>
      </c>
      <c r="M191" s="6" t="s">
        <v>103</v>
      </c>
      <c r="N191" s="6"/>
      <c r="O191" s="6"/>
      <c r="P191" s="17" t="s">
        <v>54</v>
      </c>
      <c r="Q191" s="17" t="s">
        <v>54</v>
      </c>
      <c r="R191" s="17"/>
    </row>
    <row r="192" spans="1:18" s="16" customFormat="1" ht="30" customHeight="1" x14ac:dyDescent="0.3">
      <c r="A192" s="7">
        <v>46050.445810185185</v>
      </c>
      <c r="B192" s="6" t="s">
        <v>4</v>
      </c>
      <c r="C192" s="6"/>
      <c r="D192" s="6" t="str">
        <f>VLOOKUP(B192,'Veri doğrulama'!D6:E13,2,0)</f>
        <v>MEHMET YAZICI</v>
      </c>
      <c r="E192" s="6"/>
      <c r="F192" s="6" t="s">
        <v>264</v>
      </c>
      <c r="G192" s="6" t="s">
        <v>16</v>
      </c>
      <c r="H192" s="6" t="s">
        <v>35</v>
      </c>
      <c r="I192" s="6">
        <v>2200</v>
      </c>
      <c r="J192" s="6">
        <v>445</v>
      </c>
      <c r="K192" s="6">
        <v>1</v>
      </c>
      <c r="L192" s="10">
        <f t="shared" si="3"/>
        <v>0.97899999999999998</v>
      </c>
      <c r="M192" s="6" t="s">
        <v>103</v>
      </c>
      <c r="N192" s="6" t="s">
        <v>715</v>
      </c>
      <c r="O192" s="6" t="s">
        <v>1567</v>
      </c>
      <c r="P192" s="17" t="s">
        <v>54</v>
      </c>
      <c r="Q192" s="17" t="s">
        <v>54</v>
      </c>
      <c r="R192" s="17"/>
    </row>
    <row r="193" spans="1:18" s="16" customFormat="1" ht="30" customHeight="1" x14ac:dyDescent="0.3">
      <c r="A193" s="7">
        <v>46050.378287037034</v>
      </c>
      <c r="B193" s="6" t="s">
        <v>4</v>
      </c>
      <c r="C193" s="6"/>
      <c r="D193" s="6" t="str">
        <f>VLOOKUP(B193,'Veri doğrulama'!D6:E13,2,0)</f>
        <v>MEHMET YAZICI</v>
      </c>
      <c r="E193" s="6"/>
      <c r="F193" s="6" t="s">
        <v>436</v>
      </c>
      <c r="G193" s="6" t="s">
        <v>26</v>
      </c>
      <c r="H193" s="6" t="s">
        <v>34</v>
      </c>
      <c r="I193" s="6">
        <v>2386</v>
      </c>
      <c r="J193" s="6">
        <v>586</v>
      </c>
      <c r="K193" s="6">
        <v>1</v>
      </c>
      <c r="L193" s="10">
        <f t="shared" si="3"/>
        <v>1.398196</v>
      </c>
      <c r="M193" s="6" t="s">
        <v>75</v>
      </c>
      <c r="N193" s="6" t="s">
        <v>715</v>
      </c>
      <c r="O193" s="6"/>
      <c r="P193" s="17" t="s">
        <v>54</v>
      </c>
      <c r="Q193" s="17" t="s">
        <v>54</v>
      </c>
      <c r="R193" s="17"/>
    </row>
    <row r="194" spans="1:18" s="16" customFormat="1" ht="30" customHeight="1" x14ac:dyDescent="0.3">
      <c r="A194" s="7">
        <v>46050.36513888889</v>
      </c>
      <c r="B194" s="6" t="s">
        <v>4</v>
      </c>
      <c r="C194" s="6"/>
      <c r="D194" s="6" t="str">
        <f>VLOOKUP(B194,'Veri doğrulama'!D6:E13,2,0)</f>
        <v>MEHMET YAZICI</v>
      </c>
      <c r="E194" s="6"/>
      <c r="F194" s="6" t="s">
        <v>1565</v>
      </c>
      <c r="G194" s="6" t="s">
        <v>1004</v>
      </c>
      <c r="H194" s="6" t="s">
        <v>34</v>
      </c>
      <c r="I194" s="6">
        <v>1500</v>
      </c>
      <c r="J194" s="6">
        <v>500</v>
      </c>
      <c r="K194" s="6">
        <v>12</v>
      </c>
      <c r="L194" s="10">
        <f t="shared" si="3"/>
        <v>9</v>
      </c>
      <c r="M194" s="6" t="s">
        <v>1563</v>
      </c>
      <c r="N194" s="6" t="s">
        <v>715</v>
      </c>
      <c r="O194" s="6" t="s">
        <v>1566</v>
      </c>
      <c r="P194" s="17" t="s">
        <v>54</v>
      </c>
      <c r="Q194" s="17" t="s">
        <v>54</v>
      </c>
      <c r="R194" s="17"/>
    </row>
    <row r="195" spans="1:18" s="16" customFormat="1" ht="30" customHeight="1" x14ac:dyDescent="0.3">
      <c r="A195" s="7">
        <v>46049.622986111113</v>
      </c>
      <c r="B195" s="6" t="s">
        <v>4</v>
      </c>
      <c r="C195" s="6"/>
      <c r="D195" s="6" t="str">
        <f>VLOOKUP(B195,'Veri doğrulama'!D6:E13,2,0)</f>
        <v>MEHMET YAZICI</v>
      </c>
      <c r="E195" s="6" t="s">
        <v>1562</v>
      </c>
      <c r="F195" s="6" t="s">
        <v>986</v>
      </c>
      <c r="G195" s="6" t="s">
        <v>15</v>
      </c>
      <c r="H195" s="6" t="s">
        <v>34</v>
      </c>
      <c r="I195" s="6">
        <v>372</v>
      </c>
      <c r="J195" s="6">
        <v>333</v>
      </c>
      <c r="K195" s="6">
        <v>1</v>
      </c>
      <c r="L195" s="10">
        <f t="shared" si="3"/>
        <v>0.123876</v>
      </c>
      <c r="M195" s="6" t="s">
        <v>1561</v>
      </c>
      <c r="N195" s="6" t="s">
        <v>159</v>
      </c>
      <c r="O195" s="6"/>
      <c r="P195" s="17" t="s">
        <v>54</v>
      </c>
      <c r="Q195" s="17" t="s">
        <v>54</v>
      </c>
      <c r="R195" s="17"/>
    </row>
    <row r="196" spans="1:18" s="16" customFormat="1" ht="30" customHeight="1" x14ac:dyDescent="0.3">
      <c r="A196" s="7">
        <v>46049.453634259262</v>
      </c>
      <c r="B196" s="6" t="s">
        <v>152</v>
      </c>
      <c r="C196" s="6"/>
      <c r="D196" s="6" t="str">
        <f>VLOOKUP(B196,'Veri doğrulama'!D6:E13,2,0)</f>
        <v>EYÜP GÜMÜŞ</v>
      </c>
      <c r="E196" s="6"/>
      <c r="F196" s="6" t="s">
        <v>94</v>
      </c>
      <c r="G196" s="6" t="s">
        <v>19</v>
      </c>
      <c r="H196" s="6" t="s">
        <v>34</v>
      </c>
      <c r="I196" s="6">
        <v>2200</v>
      </c>
      <c r="J196" s="6">
        <v>900</v>
      </c>
      <c r="K196" s="6">
        <v>1</v>
      </c>
      <c r="L196" s="10">
        <f t="shared" si="3"/>
        <v>1.98</v>
      </c>
      <c r="M196" s="6" t="s">
        <v>1560</v>
      </c>
      <c r="N196" s="6"/>
      <c r="O196" s="6"/>
      <c r="P196" s="17" t="s">
        <v>54</v>
      </c>
      <c r="Q196" s="17" t="s">
        <v>54</v>
      </c>
      <c r="R196" s="17"/>
    </row>
    <row r="197" spans="1:18" s="16" customFormat="1" ht="30" customHeight="1" x14ac:dyDescent="0.3">
      <c r="A197" s="7">
        <v>46049.399236111109</v>
      </c>
      <c r="B197" s="6" t="s">
        <v>5</v>
      </c>
      <c r="C197" s="6"/>
      <c r="D197" s="6" t="str">
        <f>VLOOKUP(B197,'Veri doğrulama'!D6:E13,2,0)</f>
        <v>MEHMET ÖZEN</v>
      </c>
      <c r="E197" s="6"/>
      <c r="F197" s="6" t="s">
        <v>1557</v>
      </c>
      <c r="G197" s="6" t="s">
        <v>15</v>
      </c>
      <c r="H197" s="6" t="s">
        <v>34</v>
      </c>
      <c r="I197" s="6">
        <v>1600</v>
      </c>
      <c r="J197" s="6">
        <v>800</v>
      </c>
      <c r="K197" s="6">
        <v>1</v>
      </c>
      <c r="L197" s="10">
        <f t="shared" si="3"/>
        <v>1.28</v>
      </c>
      <c r="M197" s="6" t="s">
        <v>1559</v>
      </c>
      <c r="N197" s="6" t="s">
        <v>1558</v>
      </c>
      <c r="O197" s="6"/>
      <c r="P197" s="17" t="s">
        <v>54</v>
      </c>
      <c r="Q197" s="17" t="s">
        <v>54</v>
      </c>
      <c r="R197" s="17"/>
    </row>
    <row r="198" spans="1:18" s="16" customFormat="1" ht="30" customHeight="1" x14ac:dyDescent="0.3">
      <c r="A198" s="7">
        <v>46048.686736111114</v>
      </c>
      <c r="B198" s="6" t="s">
        <v>5</v>
      </c>
      <c r="C198" s="6"/>
      <c r="D198" s="6" t="str">
        <f>VLOOKUP(B198,'Veri doğrulama'!D6:E13,2,0)</f>
        <v>MEHMET ÖZEN</v>
      </c>
      <c r="E198" s="6" t="s">
        <v>1555</v>
      </c>
      <c r="F198" s="6" t="s">
        <v>1556</v>
      </c>
      <c r="G198" s="6" t="s">
        <v>15</v>
      </c>
      <c r="H198" s="6" t="s">
        <v>34</v>
      </c>
      <c r="I198" s="6">
        <v>1200</v>
      </c>
      <c r="J198" s="6">
        <v>900</v>
      </c>
      <c r="K198" s="6">
        <v>1</v>
      </c>
      <c r="L198" s="10">
        <f t="shared" si="3"/>
        <v>1.08</v>
      </c>
      <c r="M198" s="6" t="s">
        <v>156</v>
      </c>
      <c r="N198" s="6"/>
      <c r="O198" s="6"/>
      <c r="P198" s="17" t="s">
        <v>54</v>
      </c>
      <c r="Q198" s="17" t="s">
        <v>54</v>
      </c>
      <c r="R198" s="17"/>
    </row>
    <row r="199" spans="1:18" s="16" customFormat="1" ht="30" customHeight="1" x14ac:dyDescent="0.3">
      <c r="A199" s="7">
        <v>46048.656180555554</v>
      </c>
      <c r="B199" s="6" t="s">
        <v>5</v>
      </c>
      <c r="C199" s="6"/>
      <c r="D199" s="6" t="str">
        <f>VLOOKUP(B199,'Veri doğrulama'!D6:E13,2,0)</f>
        <v>MEHMET ÖZEN</v>
      </c>
      <c r="E199" s="6" t="s">
        <v>1554</v>
      </c>
      <c r="F199" s="6" t="s">
        <v>565</v>
      </c>
      <c r="G199" s="6" t="s">
        <v>29</v>
      </c>
      <c r="H199" s="6" t="s">
        <v>34</v>
      </c>
      <c r="I199" s="6">
        <v>800</v>
      </c>
      <c r="J199" s="6">
        <v>360</v>
      </c>
      <c r="K199" s="6">
        <v>2</v>
      </c>
      <c r="L199" s="10">
        <f t="shared" si="3"/>
        <v>0.57599999999999996</v>
      </c>
      <c r="M199" s="6" t="s">
        <v>103</v>
      </c>
      <c r="N199" s="6"/>
      <c r="O199" s="6"/>
      <c r="P199" s="17" t="s">
        <v>54</v>
      </c>
      <c r="Q199" s="17" t="s">
        <v>54</v>
      </c>
      <c r="R199" s="17" t="s">
        <v>54</v>
      </c>
    </row>
    <row r="200" spans="1:18" s="16" customFormat="1" ht="30" customHeight="1" x14ac:dyDescent="0.3">
      <c r="A200" s="7">
        <v>46048.655439814815</v>
      </c>
      <c r="B200" s="6" t="s">
        <v>5</v>
      </c>
      <c r="C200" s="6"/>
      <c r="D200" s="6" t="str">
        <f>VLOOKUP(B200,'Veri doğrulama'!D6:E13,2,0)</f>
        <v>MEHMET ÖZEN</v>
      </c>
      <c r="E200" s="6" t="s">
        <v>1554</v>
      </c>
      <c r="F200" s="6" t="s">
        <v>327</v>
      </c>
      <c r="G200" s="6" t="s">
        <v>29</v>
      </c>
      <c r="H200" s="6" t="s">
        <v>34</v>
      </c>
      <c r="I200" s="6">
        <v>1100</v>
      </c>
      <c r="J200" s="6">
        <v>360</v>
      </c>
      <c r="K200" s="6">
        <v>2</v>
      </c>
      <c r="L200" s="10">
        <f t="shared" ref="L200:L263" si="4">I200*J200/1000000*K200</f>
        <v>0.79200000000000004</v>
      </c>
      <c r="M200" s="6" t="s">
        <v>156</v>
      </c>
      <c r="N200" s="6"/>
      <c r="O200" s="6"/>
      <c r="P200" s="17" t="s">
        <v>54</v>
      </c>
      <c r="Q200" s="17" t="s">
        <v>54</v>
      </c>
      <c r="R200" s="17"/>
    </row>
    <row r="201" spans="1:18" s="16" customFormat="1" ht="30" customHeight="1" x14ac:dyDescent="0.3">
      <c r="A201" s="7">
        <v>46048.575856481482</v>
      </c>
      <c r="B201" s="6" t="s">
        <v>5</v>
      </c>
      <c r="C201" s="6"/>
      <c r="D201" s="6" t="str">
        <f>VLOOKUP(B201,'Veri doğrulama'!D6:E13,2,0)</f>
        <v>MEHMET ÖZEN</v>
      </c>
      <c r="E201" s="6"/>
      <c r="F201" s="6" t="s">
        <v>1553</v>
      </c>
      <c r="G201" s="6" t="s">
        <v>15</v>
      </c>
      <c r="H201" s="6" t="s">
        <v>35</v>
      </c>
      <c r="I201" s="6">
        <v>1030</v>
      </c>
      <c r="J201" s="6">
        <v>448</v>
      </c>
      <c r="K201" s="6">
        <v>1</v>
      </c>
      <c r="L201" s="10">
        <f t="shared" si="4"/>
        <v>0.46144000000000002</v>
      </c>
      <c r="M201" s="6" t="s">
        <v>156</v>
      </c>
      <c r="N201" s="6"/>
      <c r="O201" s="6"/>
      <c r="P201" s="17" t="s">
        <v>54</v>
      </c>
      <c r="Q201" s="17" t="s">
        <v>54</v>
      </c>
      <c r="R201" s="17"/>
    </row>
    <row r="202" spans="1:18" s="16" customFormat="1" ht="30" customHeight="1" x14ac:dyDescent="0.3">
      <c r="A202" s="7">
        <v>46048.338125000002</v>
      </c>
      <c r="B202" s="6" t="s">
        <v>4</v>
      </c>
      <c r="C202" s="6"/>
      <c r="D202" s="6" t="str">
        <f>VLOOKUP(B202,'Veri doğrulama'!D6:E13,2,0)</f>
        <v>MEHMET YAZICI</v>
      </c>
      <c r="E202" s="6"/>
      <c r="F202" s="6" t="s">
        <v>80</v>
      </c>
      <c r="G202" s="6" t="s">
        <v>29</v>
      </c>
      <c r="H202" s="6" t="s">
        <v>34</v>
      </c>
      <c r="I202" s="6">
        <v>1400</v>
      </c>
      <c r="J202" s="6">
        <v>800</v>
      </c>
      <c r="K202" s="6">
        <v>1</v>
      </c>
      <c r="L202" s="10">
        <f t="shared" si="4"/>
        <v>1.1200000000000001</v>
      </c>
      <c r="M202" s="6" t="s">
        <v>43</v>
      </c>
      <c r="N202" s="6" t="s">
        <v>159</v>
      </c>
      <c r="O202" s="6"/>
      <c r="P202" s="17" t="s">
        <v>54</v>
      </c>
      <c r="Q202" s="17" t="s">
        <v>54</v>
      </c>
      <c r="R202" s="17"/>
    </row>
    <row r="203" spans="1:18" s="16" customFormat="1" ht="30" customHeight="1" x14ac:dyDescent="0.3">
      <c r="A203" s="7">
        <v>46044.61409722222</v>
      </c>
      <c r="B203" s="6" t="s">
        <v>81</v>
      </c>
      <c r="C203" s="6"/>
      <c r="D203" s="6" t="str">
        <f>VLOOKUP(B203,'Veri doğrulama'!D6:E13,2,0)</f>
        <v>İBRAHİM ÇELİK</v>
      </c>
      <c r="E203" s="6"/>
      <c r="F203" s="6" t="s">
        <v>1552</v>
      </c>
      <c r="G203" s="6" t="s">
        <v>18</v>
      </c>
      <c r="H203" s="6" t="s">
        <v>34</v>
      </c>
      <c r="I203" s="6">
        <v>1750</v>
      </c>
      <c r="J203" s="6">
        <v>344</v>
      </c>
      <c r="K203" s="6">
        <v>5</v>
      </c>
      <c r="L203" s="10">
        <f t="shared" si="4"/>
        <v>3.01</v>
      </c>
      <c r="M203" s="6" t="s">
        <v>38</v>
      </c>
      <c r="N203" s="6"/>
      <c r="O203" s="6"/>
      <c r="P203" s="17" t="s">
        <v>54</v>
      </c>
      <c r="Q203" s="17" t="s">
        <v>54</v>
      </c>
      <c r="R203" s="17"/>
    </row>
    <row r="204" spans="1:18" s="16" customFormat="1" ht="30" customHeight="1" x14ac:dyDescent="0.3">
      <c r="A204" s="7">
        <v>46044.613761574074</v>
      </c>
      <c r="B204" s="6" t="s">
        <v>81</v>
      </c>
      <c r="C204" s="6"/>
      <c r="D204" s="6" t="str">
        <f>VLOOKUP(B204,'Veri doğrulama'!D6:E13,2,0)</f>
        <v>İBRAHİM ÇELİK</v>
      </c>
      <c r="E204" s="6"/>
      <c r="F204" s="6" t="s">
        <v>1552</v>
      </c>
      <c r="G204" s="6" t="s">
        <v>16</v>
      </c>
      <c r="H204" s="6" t="s">
        <v>34</v>
      </c>
      <c r="I204" s="6">
        <v>1750</v>
      </c>
      <c r="J204" s="6">
        <v>344</v>
      </c>
      <c r="K204" s="6">
        <v>5</v>
      </c>
      <c r="L204" s="10">
        <f t="shared" si="4"/>
        <v>3.01</v>
      </c>
      <c r="M204" s="6" t="s">
        <v>38</v>
      </c>
      <c r="N204" s="6"/>
      <c r="O204" s="6"/>
      <c r="P204" s="17" t="s">
        <v>54</v>
      </c>
      <c r="Q204" s="17" t="s">
        <v>54</v>
      </c>
      <c r="R204" s="17"/>
    </row>
    <row r="205" spans="1:18" s="16" customFormat="1" ht="30" customHeight="1" x14ac:dyDescent="0.3">
      <c r="A205" s="7">
        <v>46044.394120370373</v>
      </c>
      <c r="B205" s="6" t="s">
        <v>5</v>
      </c>
      <c r="C205" s="6"/>
      <c r="D205" s="6" t="str">
        <f>VLOOKUP(B205,'Veri doğrulama'!D6:E13,2,0)</f>
        <v>MEHMET ÖZEN</v>
      </c>
      <c r="E205" s="6"/>
      <c r="F205" s="6" t="s">
        <v>1551</v>
      </c>
      <c r="G205" s="6" t="s">
        <v>1010</v>
      </c>
      <c r="H205" s="6" t="s">
        <v>34</v>
      </c>
      <c r="I205" s="6">
        <v>1600</v>
      </c>
      <c r="J205" s="6">
        <v>1600</v>
      </c>
      <c r="K205" s="6">
        <v>1</v>
      </c>
      <c r="L205" s="10">
        <f t="shared" si="4"/>
        <v>2.56</v>
      </c>
      <c r="M205" s="6" t="s">
        <v>42</v>
      </c>
      <c r="N205" s="6" t="s">
        <v>53</v>
      </c>
      <c r="O205" s="6"/>
      <c r="P205" s="17" t="s">
        <v>54</v>
      </c>
      <c r="Q205" s="17" t="s">
        <v>54</v>
      </c>
      <c r="R205" s="17"/>
    </row>
    <row r="206" spans="1:18" s="16" customFormat="1" ht="30" customHeight="1" x14ac:dyDescent="0.3">
      <c r="A206" s="7">
        <v>46044.37222222222</v>
      </c>
      <c r="B206" s="6" t="s">
        <v>6</v>
      </c>
      <c r="C206" s="6"/>
      <c r="D206" s="6" t="str">
        <f>VLOOKUP(B206,'Veri doğrulama'!D6:E13,2,0)</f>
        <v>SERVET KAPLAN</v>
      </c>
      <c r="E206" s="6"/>
      <c r="F206" s="6" t="s">
        <v>1550</v>
      </c>
      <c r="G206" s="6" t="s">
        <v>22</v>
      </c>
      <c r="H206" s="6" t="s">
        <v>34</v>
      </c>
      <c r="I206" s="6">
        <v>1500</v>
      </c>
      <c r="J206" s="6">
        <v>480</v>
      </c>
      <c r="K206" s="6">
        <v>2</v>
      </c>
      <c r="L206" s="10">
        <f t="shared" si="4"/>
        <v>1.44</v>
      </c>
      <c r="M206" s="6" t="s">
        <v>43</v>
      </c>
      <c r="N206" s="6"/>
      <c r="O206" s="6"/>
      <c r="P206" s="17" t="s">
        <v>54</v>
      </c>
      <c r="Q206" s="17" t="s">
        <v>54</v>
      </c>
      <c r="R206" s="17"/>
    </row>
    <row r="207" spans="1:18" s="16" customFormat="1" ht="30" customHeight="1" x14ac:dyDescent="0.3">
      <c r="A207" s="7">
        <v>46044.347245370373</v>
      </c>
      <c r="B207" s="6" t="s">
        <v>5</v>
      </c>
      <c r="C207" s="6"/>
      <c r="D207" s="6" t="str">
        <f>VLOOKUP(B207,'Veri doğrulama'!D6:E13,2,0)</f>
        <v>MEHMET ÖZEN</v>
      </c>
      <c r="E207" s="6" t="s">
        <v>1548</v>
      </c>
      <c r="F207" s="6" t="s">
        <v>1549</v>
      </c>
      <c r="G207" s="6" t="s">
        <v>17</v>
      </c>
      <c r="H207" s="6" t="s">
        <v>34</v>
      </c>
      <c r="I207" s="6">
        <v>732</v>
      </c>
      <c r="J207" s="6">
        <v>679</v>
      </c>
      <c r="K207" s="6">
        <v>1</v>
      </c>
      <c r="L207" s="10">
        <f t="shared" si="4"/>
        <v>0.49702800000000003</v>
      </c>
      <c r="M207" s="6" t="s">
        <v>102</v>
      </c>
      <c r="N207" s="6"/>
      <c r="O207" s="6"/>
      <c r="P207" s="17" t="s">
        <v>54</v>
      </c>
      <c r="Q207" s="17" t="s">
        <v>54</v>
      </c>
      <c r="R207" s="17"/>
    </row>
    <row r="208" spans="1:18" s="16" customFormat="1" ht="30" customHeight="1" x14ac:dyDescent="0.3">
      <c r="A208" s="7">
        <v>46043.757476851853</v>
      </c>
      <c r="B208" s="6" t="s">
        <v>5</v>
      </c>
      <c r="C208" s="6"/>
      <c r="D208" s="6" t="str">
        <f>VLOOKUP(B208,'Veri doğrulama'!D6:E13,2,0)</f>
        <v>MEHMET ÖZEN</v>
      </c>
      <c r="E208" s="6"/>
      <c r="F208" s="6" t="s">
        <v>1547</v>
      </c>
      <c r="G208" s="6" t="s">
        <v>27</v>
      </c>
      <c r="H208" s="6" t="s">
        <v>34</v>
      </c>
      <c r="I208" s="6">
        <v>1964</v>
      </c>
      <c r="J208" s="6">
        <v>430</v>
      </c>
      <c r="K208" s="6">
        <v>2</v>
      </c>
      <c r="L208" s="10">
        <f t="shared" si="4"/>
        <v>1.6890400000000001</v>
      </c>
      <c r="M208" s="6" t="s">
        <v>42</v>
      </c>
      <c r="N208" s="6"/>
      <c r="O208" s="6"/>
      <c r="P208" s="17" t="s">
        <v>54</v>
      </c>
      <c r="Q208" s="17" t="s">
        <v>54</v>
      </c>
      <c r="R208" s="17"/>
    </row>
    <row r="209" spans="1:18" s="16" customFormat="1" ht="30" customHeight="1" x14ac:dyDescent="0.3">
      <c r="A209" s="7">
        <v>46043.591493055559</v>
      </c>
      <c r="B209" s="6" t="s">
        <v>65</v>
      </c>
      <c r="C209" s="6"/>
      <c r="D209" s="6" t="str">
        <f>VLOOKUP(B209,'Veri doğrulama'!D6:E13,2,0)</f>
        <v>SÜLEYMAN İSTEK</v>
      </c>
      <c r="E209" s="6"/>
      <c r="F209" s="6" t="s">
        <v>1545</v>
      </c>
      <c r="G209" s="6" t="s">
        <v>1497</v>
      </c>
      <c r="H209" s="6" t="s">
        <v>34</v>
      </c>
      <c r="I209" s="6"/>
      <c r="J209" s="6"/>
      <c r="K209" s="6">
        <v>20</v>
      </c>
      <c r="L209" s="10">
        <f t="shared" si="4"/>
        <v>0</v>
      </c>
      <c r="M209" s="6" t="s">
        <v>252</v>
      </c>
      <c r="N209" s="6" t="s">
        <v>1546</v>
      </c>
      <c r="O209" s="6"/>
      <c r="P209" s="17" t="s">
        <v>54</v>
      </c>
      <c r="Q209" s="17" t="s">
        <v>54</v>
      </c>
      <c r="R209" s="17"/>
    </row>
    <row r="210" spans="1:18" s="16" customFormat="1" ht="30" customHeight="1" x14ac:dyDescent="0.3">
      <c r="A210" s="7">
        <v>46043.40315972222</v>
      </c>
      <c r="B210" s="6" t="s">
        <v>5</v>
      </c>
      <c r="C210" s="6"/>
      <c r="D210" s="6" t="str">
        <f>VLOOKUP(B210,'Veri doğrulama'!D6:E13,2,0)</f>
        <v>MEHMET ÖZEN</v>
      </c>
      <c r="E210" s="6" t="s">
        <v>1544</v>
      </c>
      <c r="F210" s="6" t="s">
        <v>518</v>
      </c>
      <c r="G210" s="6" t="s">
        <v>1010</v>
      </c>
      <c r="H210" s="6" t="s">
        <v>34</v>
      </c>
      <c r="I210" s="6">
        <v>700</v>
      </c>
      <c r="J210" s="6">
        <v>397</v>
      </c>
      <c r="K210" s="6">
        <v>1</v>
      </c>
      <c r="L210" s="10">
        <f t="shared" si="4"/>
        <v>0.27789999999999998</v>
      </c>
      <c r="M210" s="6" t="s">
        <v>156</v>
      </c>
      <c r="N210" s="6"/>
      <c r="O210" s="6"/>
      <c r="P210" s="17" t="s">
        <v>54</v>
      </c>
      <c r="Q210" s="17" t="s">
        <v>54</v>
      </c>
      <c r="R210" s="17"/>
    </row>
    <row r="211" spans="1:18" s="16" customFormat="1" ht="30" customHeight="1" x14ac:dyDescent="0.3">
      <c r="A211" s="7">
        <v>46042.684837962966</v>
      </c>
      <c r="B211" s="6" t="s">
        <v>5</v>
      </c>
      <c r="C211" s="6"/>
      <c r="D211" s="6" t="str">
        <f>VLOOKUP(B211,'Veri doğrulama'!D6:E13,2,0)</f>
        <v>MEHMET ÖZEN</v>
      </c>
      <c r="E211" s="6"/>
      <c r="F211" s="6" t="s">
        <v>1543</v>
      </c>
      <c r="G211" s="6" t="s">
        <v>16</v>
      </c>
      <c r="H211" s="6" t="s">
        <v>34</v>
      </c>
      <c r="I211" s="6">
        <v>1815</v>
      </c>
      <c r="J211" s="6">
        <v>397</v>
      </c>
      <c r="K211" s="6">
        <v>3</v>
      </c>
      <c r="L211" s="10">
        <f t="shared" si="4"/>
        <v>2.1616649999999997</v>
      </c>
      <c r="M211" s="6" t="s">
        <v>43</v>
      </c>
      <c r="N211" s="6"/>
      <c r="O211" s="6"/>
      <c r="P211" s="17" t="s">
        <v>54</v>
      </c>
      <c r="Q211" s="17" t="s">
        <v>54</v>
      </c>
      <c r="R211" s="17"/>
    </row>
    <row r="212" spans="1:18" s="16" customFormat="1" ht="30" customHeight="1" x14ac:dyDescent="0.3">
      <c r="A212" s="7">
        <v>46042.359375</v>
      </c>
      <c r="B212" s="6" t="s">
        <v>5</v>
      </c>
      <c r="C212" s="6"/>
      <c r="D212" s="6" t="str">
        <f>VLOOKUP(B212,'Veri doğrulama'!D6:E13,2,0)</f>
        <v>MEHMET ÖZEN</v>
      </c>
      <c r="E212" s="6"/>
      <c r="F212" s="6" t="s">
        <v>1542</v>
      </c>
      <c r="G212" s="6" t="s">
        <v>19</v>
      </c>
      <c r="H212" s="6" t="s">
        <v>34</v>
      </c>
      <c r="I212" s="6">
        <v>2386</v>
      </c>
      <c r="J212" s="6">
        <v>350</v>
      </c>
      <c r="K212" s="6">
        <v>1</v>
      </c>
      <c r="L212" s="10">
        <f t="shared" si="4"/>
        <v>0.83509999999999995</v>
      </c>
      <c r="M212" s="6" t="s">
        <v>103</v>
      </c>
      <c r="N212" s="6"/>
      <c r="O212" s="6"/>
      <c r="P212" s="17" t="s">
        <v>54</v>
      </c>
      <c r="Q212" s="17" t="s">
        <v>54</v>
      </c>
      <c r="R212" s="17"/>
    </row>
    <row r="213" spans="1:18" s="16" customFormat="1" ht="30" customHeight="1" x14ac:dyDescent="0.3">
      <c r="A213" s="7">
        <v>46042.332928240743</v>
      </c>
      <c r="B213" s="6" t="s">
        <v>7</v>
      </c>
      <c r="C213" s="6"/>
      <c r="D213" s="6" t="str">
        <f>VLOOKUP(B213,'Veri doğrulama'!D6:E13,2,0)</f>
        <v>SIDDIK KAPLAN</v>
      </c>
      <c r="E213" s="6"/>
      <c r="F213" s="6" t="s">
        <v>1540</v>
      </c>
      <c r="G213" s="6" t="s">
        <v>14</v>
      </c>
      <c r="H213" s="6" t="s">
        <v>34</v>
      </c>
      <c r="I213" s="6">
        <v>1500</v>
      </c>
      <c r="J213" s="6">
        <v>350</v>
      </c>
      <c r="K213" s="6">
        <v>1</v>
      </c>
      <c r="L213" s="10">
        <f t="shared" si="4"/>
        <v>0.52500000000000002</v>
      </c>
      <c r="M213" s="6" t="s">
        <v>43</v>
      </c>
      <c r="N213" s="6" t="s">
        <v>1541</v>
      </c>
      <c r="O213" s="6"/>
      <c r="P213" s="17" t="s">
        <v>54</v>
      </c>
      <c r="Q213" s="17" t="s">
        <v>54</v>
      </c>
      <c r="R213" s="17"/>
    </row>
    <row r="214" spans="1:18" s="16" customFormat="1" ht="30" customHeight="1" x14ac:dyDescent="0.3">
      <c r="A214" s="7">
        <v>46041.493263888886</v>
      </c>
      <c r="B214" s="6" t="s">
        <v>7</v>
      </c>
      <c r="C214" s="6"/>
      <c r="D214" s="6" t="str">
        <f>VLOOKUP(B214,'Veri doğrulama'!D6:E13,2,0)</f>
        <v>SIDDIK KAPLAN</v>
      </c>
      <c r="E214" s="6"/>
      <c r="F214" s="6" t="s">
        <v>1539</v>
      </c>
      <c r="G214" s="6" t="s">
        <v>14</v>
      </c>
      <c r="H214" s="6" t="s">
        <v>34</v>
      </c>
      <c r="I214" s="6">
        <v>2260</v>
      </c>
      <c r="J214" s="6">
        <v>497</v>
      </c>
      <c r="K214" s="6">
        <v>1</v>
      </c>
      <c r="L214" s="10">
        <f t="shared" si="4"/>
        <v>1.1232200000000001</v>
      </c>
      <c r="M214" s="6" t="s">
        <v>43</v>
      </c>
      <c r="N214" s="6"/>
      <c r="O214" s="6"/>
      <c r="P214" s="17" t="s">
        <v>54</v>
      </c>
      <c r="Q214" s="17" t="s">
        <v>54</v>
      </c>
      <c r="R214" s="17"/>
    </row>
    <row r="215" spans="1:18" s="16" customFormat="1" ht="30" customHeight="1" x14ac:dyDescent="0.3">
      <c r="A215" s="7">
        <v>46041.441157407404</v>
      </c>
      <c r="B215" s="6" t="s">
        <v>4</v>
      </c>
      <c r="C215" s="6"/>
      <c r="D215" s="6" t="str">
        <f>VLOOKUP(B215,'Veri doğrulama'!D6:E13,2,0)</f>
        <v>MEHMET YAZICI</v>
      </c>
      <c r="E215" s="6"/>
      <c r="F215" s="6" t="s">
        <v>1538</v>
      </c>
      <c r="G215" s="6" t="s">
        <v>13</v>
      </c>
      <c r="H215" s="6" t="s">
        <v>34</v>
      </c>
      <c r="I215" s="6">
        <v>769</v>
      </c>
      <c r="J215" s="6">
        <v>390</v>
      </c>
      <c r="K215" s="6">
        <v>1</v>
      </c>
      <c r="L215" s="10">
        <f t="shared" si="4"/>
        <v>0.29991000000000001</v>
      </c>
      <c r="M215" s="6" t="s">
        <v>75</v>
      </c>
      <c r="N215" s="6"/>
      <c r="O215" s="6"/>
      <c r="P215" s="17" t="s">
        <v>54</v>
      </c>
      <c r="Q215" s="17" t="s">
        <v>54</v>
      </c>
      <c r="R215" s="17"/>
    </row>
    <row r="216" spans="1:18" s="16" customFormat="1" ht="30" customHeight="1" x14ac:dyDescent="0.3">
      <c r="A216" s="7">
        <v>46041.374201388891</v>
      </c>
      <c r="B216" s="6" t="s">
        <v>4</v>
      </c>
      <c r="C216" s="6"/>
      <c r="D216" s="6" t="str">
        <f>VLOOKUP(B216,'Veri doğrulama'!D6:E13,2,0)</f>
        <v>MEHMET YAZICI</v>
      </c>
      <c r="E216" s="6"/>
      <c r="F216" s="6" t="s">
        <v>1537</v>
      </c>
      <c r="G216" s="6" t="s">
        <v>17</v>
      </c>
      <c r="H216" s="6" t="s">
        <v>34</v>
      </c>
      <c r="I216" s="6">
        <v>735</v>
      </c>
      <c r="J216" s="6">
        <v>397</v>
      </c>
      <c r="K216" s="6">
        <v>2</v>
      </c>
      <c r="L216" s="10">
        <f t="shared" si="4"/>
        <v>0.58359000000000005</v>
      </c>
      <c r="M216" s="6" t="s">
        <v>102</v>
      </c>
      <c r="N216" s="6"/>
      <c r="O216" s="6"/>
      <c r="P216" s="17" t="s">
        <v>54</v>
      </c>
      <c r="Q216" s="17" t="s">
        <v>54</v>
      </c>
      <c r="R216" s="17"/>
    </row>
    <row r="217" spans="1:18" s="16" customFormat="1" ht="30" customHeight="1" x14ac:dyDescent="0.3">
      <c r="A217" s="7">
        <v>46041.373854166668</v>
      </c>
      <c r="B217" s="6" t="s">
        <v>4</v>
      </c>
      <c r="C217" s="6"/>
      <c r="D217" s="6" t="str">
        <f>VLOOKUP(B217,'Veri doğrulama'!D6:E13,2,0)</f>
        <v>MEHMET YAZICI</v>
      </c>
      <c r="E217" s="6"/>
      <c r="F217" s="6" t="s">
        <v>1536</v>
      </c>
      <c r="G217" s="6" t="s">
        <v>17</v>
      </c>
      <c r="H217" s="6" t="s">
        <v>34</v>
      </c>
      <c r="I217" s="6">
        <v>1800</v>
      </c>
      <c r="J217" s="6">
        <v>450</v>
      </c>
      <c r="K217" s="6">
        <v>1</v>
      </c>
      <c r="L217" s="10">
        <f t="shared" si="4"/>
        <v>0.81</v>
      </c>
      <c r="M217" s="6" t="s">
        <v>75</v>
      </c>
      <c r="N217" s="6"/>
      <c r="O217" s="6"/>
      <c r="P217" s="17" t="s">
        <v>54</v>
      </c>
      <c r="Q217" s="17" t="s">
        <v>54</v>
      </c>
      <c r="R217" s="17"/>
    </row>
    <row r="218" spans="1:18" s="16" customFormat="1" ht="30" customHeight="1" x14ac:dyDescent="0.3">
      <c r="A218" s="7">
        <v>46038.616377314815</v>
      </c>
      <c r="B218" s="6" t="s">
        <v>5</v>
      </c>
      <c r="C218" s="6"/>
      <c r="D218" s="6" t="str">
        <f>VLOOKUP(B218,'Veri doğrulama'!D6:E13,2,0)</f>
        <v>MEHMET ÖZEN</v>
      </c>
      <c r="E218" s="6"/>
      <c r="F218" s="6" t="s">
        <v>1535</v>
      </c>
      <c r="G218" s="6" t="s">
        <v>16</v>
      </c>
      <c r="H218" s="6" t="s">
        <v>34</v>
      </c>
      <c r="I218" s="6">
        <v>1810</v>
      </c>
      <c r="J218" s="6">
        <v>497</v>
      </c>
      <c r="K218" s="6">
        <v>1</v>
      </c>
      <c r="L218" s="10">
        <f t="shared" si="4"/>
        <v>0.89956999999999998</v>
      </c>
      <c r="M218" s="6" t="s">
        <v>103</v>
      </c>
      <c r="N218" s="6"/>
      <c r="O218" s="6"/>
      <c r="P218" s="17" t="s">
        <v>54</v>
      </c>
      <c r="Q218" s="17" t="s">
        <v>54</v>
      </c>
      <c r="R218" s="17"/>
    </row>
    <row r="219" spans="1:18" s="16" customFormat="1" ht="30" customHeight="1" x14ac:dyDescent="0.3">
      <c r="A219" s="7">
        <v>46038.61109953704</v>
      </c>
      <c r="B219" s="6" t="s">
        <v>4</v>
      </c>
      <c r="C219" s="6"/>
      <c r="D219" s="6" t="str">
        <f>VLOOKUP(B219,'Veri doğrulama'!D6:E13,2,0)</f>
        <v>MEHMET YAZICI</v>
      </c>
      <c r="E219" s="6"/>
      <c r="F219" s="6" t="s">
        <v>1534</v>
      </c>
      <c r="G219" s="6" t="s">
        <v>15</v>
      </c>
      <c r="H219" s="6" t="s">
        <v>34</v>
      </c>
      <c r="I219" s="6">
        <v>1877</v>
      </c>
      <c r="J219" s="6">
        <v>375</v>
      </c>
      <c r="K219" s="6">
        <v>1</v>
      </c>
      <c r="L219" s="10">
        <f t="shared" si="4"/>
        <v>0.70387500000000003</v>
      </c>
      <c r="M219" s="6" t="s">
        <v>103</v>
      </c>
      <c r="N219" s="6"/>
      <c r="O219" s="6"/>
      <c r="P219" s="17" t="s">
        <v>54</v>
      </c>
      <c r="Q219" s="17" t="s">
        <v>54</v>
      </c>
      <c r="R219" s="17"/>
    </row>
    <row r="220" spans="1:18" s="16" customFormat="1" ht="30" customHeight="1" x14ac:dyDescent="0.3">
      <c r="A220" s="7">
        <v>46038.454074074078</v>
      </c>
      <c r="B220" s="6" t="s">
        <v>5</v>
      </c>
      <c r="C220" s="6"/>
      <c r="D220" s="6" t="str">
        <f>VLOOKUP(B220,'Veri doğrulama'!D6:E13,2,0)</f>
        <v>MEHMET ÖZEN</v>
      </c>
      <c r="E220" s="6"/>
      <c r="F220" s="6" t="s">
        <v>1533</v>
      </c>
      <c r="G220" s="6" t="s">
        <v>15</v>
      </c>
      <c r="H220" s="6" t="s">
        <v>34</v>
      </c>
      <c r="I220" s="6">
        <v>1600</v>
      </c>
      <c r="J220" s="6">
        <v>800</v>
      </c>
      <c r="K220" s="6">
        <v>1</v>
      </c>
      <c r="L220" s="10">
        <f t="shared" si="4"/>
        <v>1.28</v>
      </c>
      <c r="M220" s="6" t="s">
        <v>38</v>
      </c>
      <c r="N220" s="6"/>
      <c r="O220" s="6"/>
      <c r="P220" s="17" t="s">
        <v>54</v>
      </c>
      <c r="Q220" s="17" t="s">
        <v>54</v>
      </c>
      <c r="R220" s="17"/>
    </row>
    <row r="221" spans="1:18" s="16" customFormat="1" ht="30" customHeight="1" x14ac:dyDescent="0.3">
      <c r="A221" s="7">
        <v>46038.416134259256</v>
      </c>
      <c r="B221" s="6" t="s">
        <v>5</v>
      </c>
      <c r="C221" s="6"/>
      <c r="D221" s="6" t="str">
        <f>VLOOKUP(B221,'Veri doğrulama'!D6:E13,2,0)</f>
        <v>MEHMET ÖZEN</v>
      </c>
      <c r="E221" s="6" t="s">
        <v>1531</v>
      </c>
      <c r="F221" s="6" t="s">
        <v>1532</v>
      </c>
      <c r="G221" s="6" t="s">
        <v>18</v>
      </c>
      <c r="H221" s="6" t="s">
        <v>34</v>
      </c>
      <c r="I221" s="6">
        <v>1100</v>
      </c>
      <c r="J221" s="6">
        <v>700</v>
      </c>
      <c r="K221" s="6">
        <v>2</v>
      </c>
      <c r="L221" s="10">
        <f t="shared" si="4"/>
        <v>1.54</v>
      </c>
      <c r="M221" s="6" t="s">
        <v>43</v>
      </c>
      <c r="N221" s="6"/>
      <c r="O221" s="6"/>
      <c r="P221" s="17" t="s">
        <v>54</v>
      </c>
      <c r="Q221" s="17" t="s">
        <v>54</v>
      </c>
      <c r="R221" s="17"/>
    </row>
    <row r="222" spans="1:18" s="16" customFormat="1" ht="30" customHeight="1" x14ac:dyDescent="0.3">
      <c r="A222" s="7">
        <v>46038.399259259262</v>
      </c>
      <c r="B222" s="6" t="s">
        <v>4</v>
      </c>
      <c r="C222" s="6"/>
      <c r="D222" s="6" t="str">
        <f>VLOOKUP(B222,'Veri doğrulama'!D6:E13,2,0)</f>
        <v>MEHMET YAZICI</v>
      </c>
      <c r="E222" s="6"/>
      <c r="F222" s="6" t="s">
        <v>1530</v>
      </c>
      <c r="G222" s="6" t="s">
        <v>17</v>
      </c>
      <c r="H222" s="6" t="s">
        <v>34</v>
      </c>
      <c r="I222" s="6">
        <v>757</v>
      </c>
      <c r="J222" s="6">
        <v>360</v>
      </c>
      <c r="K222" s="6">
        <v>1</v>
      </c>
      <c r="L222" s="10">
        <f t="shared" si="4"/>
        <v>0.27251999999999998</v>
      </c>
      <c r="M222" s="6" t="s">
        <v>75</v>
      </c>
      <c r="N222" s="6"/>
      <c r="O222" s="6"/>
      <c r="P222" s="17" t="s">
        <v>54</v>
      </c>
      <c r="Q222" s="17" t="s">
        <v>54</v>
      </c>
      <c r="R222" s="17"/>
    </row>
    <row r="223" spans="1:18" s="16" customFormat="1" ht="30" customHeight="1" x14ac:dyDescent="0.3">
      <c r="A223" s="7">
        <v>46038.347962962966</v>
      </c>
      <c r="B223" s="6" t="s">
        <v>4</v>
      </c>
      <c r="C223" s="6"/>
      <c r="D223" s="6" t="str">
        <f>VLOOKUP(B223,'Veri doğrulama'!D6:E13,2,0)</f>
        <v>MEHMET YAZICI</v>
      </c>
      <c r="E223" s="6"/>
      <c r="F223" s="6" t="s">
        <v>1528</v>
      </c>
      <c r="G223" s="6" t="s">
        <v>1392</v>
      </c>
      <c r="H223" s="6" t="s">
        <v>34</v>
      </c>
      <c r="I223" s="6">
        <v>800</v>
      </c>
      <c r="J223" s="6">
        <v>385</v>
      </c>
      <c r="K223" s="6">
        <v>2</v>
      </c>
      <c r="L223" s="10">
        <f t="shared" si="4"/>
        <v>0.61599999999999999</v>
      </c>
      <c r="M223" s="6" t="s">
        <v>75</v>
      </c>
      <c r="N223" s="6" t="s">
        <v>1529</v>
      </c>
      <c r="O223" s="6"/>
      <c r="P223" s="17" t="s">
        <v>54</v>
      </c>
      <c r="Q223" s="17" t="s">
        <v>54</v>
      </c>
      <c r="R223" s="17"/>
    </row>
    <row r="224" spans="1:18" s="16" customFormat="1" ht="30" customHeight="1" x14ac:dyDescent="0.3">
      <c r="A224" s="7">
        <v>46038.343680555554</v>
      </c>
      <c r="B224" s="6" t="s">
        <v>4</v>
      </c>
      <c r="C224" s="6"/>
      <c r="D224" s="6" t="str">
        <f>VLOOKUP(B224,'Veri doğrulama'!D6:E13,2,0)</f>
        <v>MEHMET YAZICI</v>
      </c>
      <c r="E224" s="6"/>
      <c r="F224" s="6" t="s">
        <v>1527</v>
      </c>
      <c r="G224" s="6" t="s">
        <v>14</v>
      </c>
      <c r="H224" s="6" t="s">
        <v>34</v>
      </c>
      <c r="I224" s="6">
        <v>435</v>
      </c>
      <c r="J224" s="6">
        <v>260</v>
      </c>
      <c r="K224" s="6">
        <v>1</v>
      </c>
      <c r="L224" s="10">
        <f t="shared" si="4"/>
        <v>0.11310000000000001</v>
      </c>
      <c r="M224" s="6" t="s">
        <v>75</v>
      </c>
      <c r="N224" s="6"/>
      <c r="O224" s="6"/>
      <c r="P224" s="17" t="s">
        <v>54</v>
      </c>
      <c r="Q224" s="17" t="s">
        <v>54</v>
      </c>
      <c r="R224" s="17"/>
    </row>
    <row r="225" spans="1:18" s="16" customFormat="1" ht="30" customHeight="1" x14ac:dyDescent="0.3">
      <c r="A225" s="7">
        <v>46037.617777777778</v>
      </c>
      <c r="B225" s="6" t="s">
        <v>5</v>
      </c>
      <c r="C225" s="6"/>
      <c r="D225" s="6" t="str">
        <f>VLOOKUP(B225,'Veri doğrulama'!D6:E13,2,0)</f>
        <v>MEHMET ÖZEN</v>
      </c>
      <c r="E225" s="6"/>
      <c r="F225" s="6" t="s">
        <v>1526</v>
      </c>
      <c r="G225" s="6" t="s">
        <v>1010</v>
      </c>
      <c r="H225" s="6" t="s">
        <v>34</v>
      </c>
      <c r="I225" s="6">
        <v>1600</v>
      </c>
      <c r="J225" s="6">
        <v>1200</v>
      </c>
      <c r="K225" s="6">
        <v>2</v>
      </c>
      <c r="L225" s="10">
        <f t="shared" si="4"/>
        <v>3.84</v>
      </c>
      <c r="M225" s="6" t="s">
        <v>42</v>
      </c>
      <c r="N225" s="6"/>
      <c r="O225" s="6"/>
      <c r="P225" s="17" t="s">
        <v>54</v>
      </c>
      <c r="Q225" s="17" t="s">
        <v>54</v>
      </c>
      <c r="R225" s="17"/>
    </row>
    <row r="226" spans="1:18" s="16" customFormat="1" ht="30" customHeight="1" x14ac:dyDescent="0.3">
      <c r="A226" s="7">
        <v>46037.604212962964</v>
      </c>
      <c r="B226" s="6" t="s">
        <v>4</v>
      </c>
      <c r="C226" s="6"/>
      <c r="D226" s="6" t="str">
        <f>VLOOKUP(B226,'Veri doğrulama'!D6:E13,2,0)</f>
        <v>MEHMET YAZICI</v>
      </c>
      <c r="E226" s="6"/>
      <c r="F226" s="6" t="s">
        <v>165</v>
      </c>
      <c r="G226" s="6" t="s">
        <v>18</v>
      </c>
      <c r="H226" s="6" t="s">
        <v>34</v>
      </c>
      <c r="I226" s="6">
        <v>700</v>
      </c>
      <c r="J226" s="6">
        <v>1100</v>
      </c>
      <c r="K226" s="6">
        <v>3</v>
      </c>
      <c r="L226" s="10">
        <f t="shared" si="4"/>
        <v>2.31</v>
      </c>
      <c r="M226" s="6" t="s">
        <v>75</v>
      </c>
      <c r="N226" s="6"/>
      <c r="O226" s="6"/>
      <c r="P226" s="17" t="s">
        <v>54</v>
      </c>
      <c r="Q226" s="17" t="s">
        <v>54</v>
      </c>
      <c r="R226" s="17"/>
    </row>
    <row r="227" spans="1:18" s="16" customFormat="1" ht="30" customHeight="1" x14ac:dyDescent="0.3">
      <c r="A227" s="7">
        <v>46036.576608796298</v>
      </c>
      <c r="B227" s="6" t="s">
        <v>4</v>
      </c>
      <c r="C227" s="6"/>
      <c r="D227" s="6" t="str">
        <f>VLOOKUP(B227,'Veri doğrulama'!D6:E13,2,0)</f>
        <v>MEHMET YAZICI</v>
      </c>
      <c r="E227" s="6"/>
      <c r="F227" s="6" t="s">
        <v>1525</v>
      </c>
      <c r="G227" s="6" t="s">
        <v>24</v>
      </c>
      <c r="H227" s="6" t="s">
        <v>35</v>
      </c>
      <c r="I227" s="6">
        <v>1800</v>
      </c>
      <c r="J227" s="6">
        <v>700</v>
      </c>
      <c r="K227" s="6">
        <v>1</v>
      </c>
      <c r="L227" s="10">
        <f t="shared" si="4"/>
        <v>1.26</v>
      </c>
      <c r="M227" s="6" t="s">
        <v>102</v>
      </c>
      <c r="N227" s="6"/>
      <c r="O227" s="6"/>
      <c r="P227" s="17" t="s">
        <v>54</v>
      </c>
      <c r="Q227" s="17" t="s">
        <v>54</v>
      </c>
      <c r="R227" s="17"/>
    </row>
    <row r="228" spans="1:18" s="16" customFormat="1" ht="30" customHeight="1" x14ac:dyDescent="0.3">
      <c r="A228" s="7">
        <v>46036.573622685188</v>
      </c>
      <c r="B228" s="6" t="s">
        <v>4</v>
      </c>
      <c r="C228" s="6"/>
      <c r="D228" s="6" t="str">
        <f>VLOOKUP(B228,'Veri doğrulama'!D6:E13,2,0)</f>
        <v>MEHMET YAZICI</v>
      </c>
      <c r="E228" s="6"/>
      <c r="F228" s="6" t="s">
        <v>1524</v>
      </c>
      <c r="G228" s="6" t="s">
        <v>16</v>
      </c>
      <c r="H228" s="6" t="s">
        <v>34</v>
      </c>
      <c r="I228" s="6">
        <v>358</v>
      </c>
      <c r="J228" s="6">
        <v>358</v>
      </c>
      <c r="K228" s="6">
        <v>1</v>
      </c>
      <c r="L228" s="10">
        <f t="shared" si="4"/>
        <v>0.128164</v>
      </c>
      <c r="M228" s="6" t="s">
        <v>75</v>
      </c>
      <c r="N228" s="6"/>
      <c r="O228" s="6"/>
      <c r="P228" s="17" t="s">
        <v>54</v>
      </c>
      <c r="Q228" s="17" t="s">
        <v>54</v>
      </c>
      <c r="R228" s="17"/>
    </row>
    <row r="229" spans="1:18" s="16" customFormat="1" ht="30" customHeight="1" x14ac:dyDescent="0.3">
      <c r="A229" s="7">
        <v>46036.572766203702</v>
      </c>
      <c r="B229" s="6" t="s">
        <v>4</v>
      </c>
      <c r="C229" s="6"/>
      <c r="D229" s="6" t="str">
        <f>VLOOKUP(B229,'Veri doğrulama'!D6:E13,2,0)</f>
        <v>MEHMET YAZICI</v>
      </c>
      <c r="E229" s="6"/>
      <c r="F229" s="6" t="s">
        <v>109</v>
      </c>
      <c r="G229" s="6" t="s">
        <v>19</v>
      </c>
      <c r="H229" s="6" t="s">
        <v>34</v>
      </c>
      <c r="I229" s="6">
        <v>2240</v>
      </c>
      <c r="J229" s="6">
        <v>350</v>
      </c>
      <c r="K229" s="6">
        <v>1</v>
      </c>
      <c r="L229" s="10">
        <f t="shared" si="4"/>
        <v>0.78400000000000003</v>
      </c>
      <c r="M229" s="6" t="s">
        <v>43</v>
      </c>
      <c r="N229" s="6" t="s">
        <v>1523</v>
      </c>
      <c r="O229" s="6"/>
      <c r="P229" s="17" t="s">
        <v>54</v>
      </c>
      <c r="Q229" s="17" t="s">
        <v>54</v>
      </c>
      <c r="R229" s="17"/>
    </row>
    <row r="230" spans="1:18" s="16" customFormat="1" ht="30" customHeight="1" x14ac:dyDescent="0.3">
      <c r="A230" s="7">
        <v>46035.762858796297</v>
      </c>
      <c r="B230" s="6" t="s">
        <v>5</v>
      </c>
      <c r="C230" s="6"/>
      <c r="D230" s="6" t="str">
        <f>VLOOKUP(B230,'Veri doğrulama'!D6:E13,2,0)</f>
        <v>MEHMET ÖZEN</v>
      </c>
      <c r="E230" s="6"/>
      <c r="F230" s="6"/>
      <c r="G230" s="6" t="s">
        <v>324</v>
      </c>
      <c r="H230" s="6" t="s">
        <v>34</v>
      </c>
      <c r="I230" s="6">
        <v>1220</v>
      </c>
      <c r="J230" s="6">
        <v>320</v>
      </c>
      <c r="K230" s="6">
        <v>4</v>
      </c>
      <c r="L230" s="10">
        <f t="shared" si="4"/>
        <v>1.5616000000000001</v>
      </c>
      <c r="M230" s="6"/>
      <c r="N230" s="6" t="s">
        <v>1522</v>
      </c>
      <c r="O230" s="6"/>
      <c r="P230" s="17" t="s">
        <v>54</v>
      </c>
      <c r="Q230" s="17" t="s">
        <v>54</v>
      </c>
      <c r="R230" s="17"/>
    </row>
    <row r="231" spans="1:18" s="16" customFormat="1" ht="30" customHeight="1" x14ac:dyDescent="0.3">
      <c r="A231" s="7">
        <v>46035.730127314811</v>
      </c>
      <c r="B231" s="6" t="s">
        <v>4</v>
      </c>
      <c r="C231" s="6"/>
      <c r="D231" s="6" t="str">
        <f>VLOOKUP(B231,'Veri doğrulama'!D6:E13,2,0)</f>
        <v>MEHMET YAZICI</v>
      </c>
      <c r="E231" s="6"/>
      <c r="F231" s="6" t="s">
        <v>1521</v>
      </c>
      <c r="G231" s="6" t="s">
        <v>16</v>
      </c>
      <c r="H231" s="6" t="s">
        <v>34</v>
      </c>
      <c r="I231" s="6">
        <v>358</v>
      </c>
      <c r="J231" s="6">
        <v>358</v>
      </c>
      <c r="K231" s="6">
        <v>1</v>
      </c>
      <c r="L231" s="10">
        <f t="shared" si="4"/>
        <v>0.128164</v>
      </c>
      <c r="M231" s="6" t="s">
        <v>75</v>
      </c>
      <c r="N231" s="6"/>
      <c r="O231" s="6"/>
      <c r="P231" s="17" t="s">
        <v>54</v>
      </c>
      <c r="Q231" s="17" t="s">
        <v>54</v>
      </c>
      <c r="R231" s="17"/>
    </row>
    <row r="232" spans="1:18" s="16" customFormat="1" ht="30" customHeight="1" x14ac:dyDescent="0.3">
      <c r="A232" s="7">
        <v>46035.728425925925</v>
      </c>
      <c r="B232" s="6" t="s">
        <v>4</v>
      </c>
      <c r="C232" s="6"/>
      <c r="D232" s="6" t="str">
        <f>VLOOKUP(B232,'Veri doğrulama'!D6:E13,2,0)</f>
        <v>MEHMET YAZICI</v>
      </c>
      <c r="E232" s="6"/>
      <c r="F232" s="6" t="s">
        <v>165</v>
      </c>
      <c r="G232" s="6" t="s">
        <v>16</v>
      </c>
      <c r="H232" s="6" t="s">
        <v>34</v>
      </c>
      <c r="I232" s="6">
        <v>1400</v>
      </c>
      <c r="J232" s="6">
        <v>1200</v>
      </c>
      <c r="K232" s="6">
        <v>1</v>
      </c>
      <c r="L232" s="10">
        <f t="shared" si="4"/>
        <v>1.68</v>
      </c>
      <c r="M232" s="6" t="s">
        <v>596</v>
      </c>
      <c r="N232" s="6" t="s">
        <v>1520</v>
      </c>
      <c r="O232" s="6"/>
      <c r="P232" s="17" t="s">
        <v>54</v>
      </c>
      <c r="Q232" s="17" t="s">
        <v>54</v>
      </c>
      <c r="R232" s="17"/>
    </row>
    <row r="233" spans="1:18" s="16" customFormat="1" ht="30" customHeight="1" x14ac:dyDescent="0.3">
      <c r="A233" s="7">
        <v>46035.725995370369</v>
      </c>
      <c r="B233" s="6" t="s">
        <v>5</v>
      </c>
      <c r="C233" s="6"/>
      <c r="D233" s="6" t="str">
        <f>VLOOKUP(B233,'Veri doğrulama'!D6:E13,2,0)</f>
        <v>MEHMET ÖZEN</v>
      </c>
      <c r="E233" s="6"/>
      <c r="F233" s="6" t="s">
        <v>1518</v>
      </c>
      <c r="G233" s="6" t="s">
        <v>16</v>
      </c>
      <c r="H233" s="6" t="s">
        <v>34</v>
      </c>
      <c r="I233" s="6">
        <v>1400</v>
      </c>
      <c r="J233" s="6">
        <v>800</v>
      </c>
      <c r="K233" s="6">
        <v>2</v>
      </c>
      <c r="L233" s="10">
        <f t="shared" si="4"/>
        <v>2.2400000000000002</v>
      </c>
      <c r="M233" s="6" t="s">
        <v>43</v>
      </c>
      <c r="N233" s="6" t="s">
        <v>1519</v>
      </c>
      <c r="O233" s="6"/>
      <c r="P233" s="17" t="s">
        <v>54</v>
      </c>
      <c r="Q233" s="17" t="s">
        <v>54</v>
      </c>
      <c r="R233" s="17"/>
    </row>
    <row r="234" spans="1:18" s="16" customFormat="1" ht="30" customHeight="1" x14ac:dyDescent="0.3">
      <c r="A234" s="7">
        <v>46035.495717592596</v>
      </c>
      <c r="B234" s="6" t="s">
        <v>5</v>
      </c>
      <c r="C234" s="6"/>
      <c r="D234" s="6" t="str">
        <f>VLOOKUP(B234,'Veri doğrulama'!D6:E13,2,0)</f>
        <v>MEHMET ÖZEN</v>
      </c>
      <c r="E234" s="6">
        <v>26430</v>
      </c>
      <c r="F234" s="6" t="s">
        <v>1517</v>
      </c>
      <c r="G234" s="6" t="s">
        <v>18</v>
      </c>
      <c r="H234" s="6" t="s">
        <v>34</v>
      </c>
      <c r="I234" s="6">
        <v>2260</v>
      </c>
      <c r="J234" s="6">
        <v>440</v>
      </c>
      <c r="K234" s="6">
        <v>1</v>
      </c>
      <c r="L234" s="10">
        <f t="shared" si="4"/>
        <v>0.99439999999999995</v>
      </c>
      <c r="M234" s="6" t="s">
        <v>43</v>
      </c>
      <c r="N234" s="6" t="s">
        <v>411</v>
      </c>
      <c r="O234" s="6"/>
      <c r="P234" s="17" t="s">
        <v>54</v>
      </c>
      <c r="Q234" s="17" t="s">
        <v>54</v>
      </c>
      <c r="R234" s="17"/>
    </row>
    <row r="235" spans="1:18" s="16" customFormat="1" ht="30" customHeight="1" x14ac:dyDescent="0.3">
      <c r="A235" s="7">
        <v>46035.481099537035</v>
      </c>
      <c r="B235" s="6" t="s">
        <v>7</v>
      </c>
      <c r="C235" s="6"/>
      <c r="D235" s="6" t="str">
        <f>VLOOKUP(B235,'Veri doğrulama'!D6:E13,2,0)</f>
        <v>SIDDIK KAPLAN</v>
      </c>
      <c r="E235" s="6"/>
      <c r="F235" s="6" t="s">
        <v>1516</v>
      </c>
      <c r="G235" s="6" t="s">
        <v>1010</v>
      </c>
      <c r="H235" s="6" t="s">
        <v>34</v>
      </c>
      <c r="I235" s="6">
        <v>1600</v>
      </c>
      <c r="J235" s="6">
        <v>1200</v>
      </c>
      <c r="K235" s="6">
        <v>1</v>
      </c>
      <c r="L235" s="10">
        <f t="shared" si="4"/>
        <v>1.92</v>
      </c>
      <c r="M235" s="6" t="s">
        <v>156</v>
      </c>
      <c r="N235" s="6"/>
      <c r="O235" s="6"/>
      <c r="P235" s="17" t="s">
        <v>54</v>
      </c>
      <c r="Q235" s="17" t="s">
        <v>54</v>
      </c>
      <c r="R235" s="17"/>
    </row>
    <row r="236" spans="1:18" s="16" customFormat="1" ht="30" customHeight="1" x14ac:dyDescent="0.3">
      <c r="A236" s="7">
        <v>46034.707488425927</v>
      </c>
      <c r="B236" s="6" t="s">
        <v>5</v>
      </c>
      <c r="C236" s="6"/>
      <c r="D236" s="6" t="str">
        <f>VLOOKUP(B236,'Veri doğrulama'!D6:E13,2,0)</f>
        <v>MEHMET ÖZEN</v>
      </c>
      <c r="E236" s="6" t="s">
        <v>1515</v>
      </c>
      <c r="F236" s="6" t="s">
        <v>1514</v>
      </c>
      <c r="G236" s="6" t="s">
        <v>19</v>
      </c>
      <c r="H236" s="6" t="s">
        <v>34</v>
      </c>
      <c r="I236" s="6">
        <v>2386</v>
      </c>
      <c r="J236" s="6">
        <v>350</v>
      </c>
      <c r="K236" s="6">
        <v>1</v>
      </c>
      <c r="L236" s="10">
        <f t="shared" si="4"/>
        <v>0.83509999999999995</v>
      </c>
      <c r="M236" s="6" t="s">
        <v>103</v>
      </c>
      <c r="N236" s="6"/>
      <c r="O236" s="6"/>
      <c r="P236" s="17" t="s">
        <v>54</v>
      </c>
      <c r="Q236" s="17" t="s">
        <v>54</v>
      </c>
      <c r="R236" s="17"/>
    </row>
    <row r="237" spans="1:18" s="16" customFormat="1" ht="30" customHeight="1" x14ac:dyDescent="0.3">
      <c r="A237" s="7">
        <v>46034.688310185185</v>
      </c>
      <c r="B237" s="6" t="s">
        <v>5</v>
      </c>
      <c r="C237" s="6"/>
      <c r="D237" s="6" t="str">
        <f>VLOOKUP(B237,'Veri doğrulama'!D6:E13,2,0)</f>
        <v>MEHMET ÖZEN</v>
      </c>
      <c r="E237" s="6" t="s">
        <v>1512</v>
      </c>
      <c r="F237" s="6" t="s">
        <v>1513</v>
      </c>
      <c r="G237" s="6" t="s">
        <v>16</v>
      </c>
      <c r="H237" s="6" t="s">
        <v>34</v>
      </c>
      <c r="I237" s="6">
        <v>544</v>
      </c>
      <c r="J237" s="6">
        <v>544</v>
      </c>
      <c r="K237" s="6">
        <v>1</v>
      </c>
      <c r="L237" s="10">
        <f t="shared" si="4"/>
        <v>0.29593599999999998</v>
      </c>
      <c r="M237" s="6" t="s">
        <v>102</v>
      </c>
      <c r="N237" s="6"/>
      <c r="O237" s="6"/>
      <c r="P237" s="17" t="s">
        <v>54</v>
      </c>
      <c r="Q237" s="17" t="s">
        <v>54</v>
      </c>
      <c r="R237" s="17"/>
    </row>
    <row r="238" spans="1:18" s="16" customFormat="1" ht="30" customHeight="1" x14ac:dyDescent="0.3">
      <c r="A238" s="7">
        <v>46034.555810185186</v>
      </c>
      <c r="B238" s="6" t="s">
        <v>5</v>
      </c>
      <c r="C238" s="6"/>
      <c r="D238" s="6" t="str">
        <f>VLOOKUP(B238,'Veri doğrulama'!D6:E13,2,0)</f>
        <v>MEHMET ÖZEN</v>
      </c>
      <c r="E238" s="6"/>
      <c r="F238" s="6" t="s">
        <v>1511</v>
      </c>
      <c r="G238" s="6" t="s">
        <v>26</v>
      </c>
      <c r="H238" s="6" t="s">
        <v>34</v>
      </c>
      <c r="I238" s="6">
        <v>550</v>
      </c>
      <c r="J238" s="6">
        <v>138</v>
      </c>
      <c r="K238" s="6">
        <v>1</v>
      </c>
      <c r="L238" s="10">
        <f t="shared" si="4"/>
        <v>7.5899999999999995E-2</v>
      </c>
      <c r="M238" s="6" t="s">
        <v>596</v>
      </c>
      <c r="N238" s="6"/>
      <c r="O238" s="6"/>
      <c r="P238" s="17" t="s">
        <v>54</v>
      </c>
      <c r="Q238" s="17" t="s">
        <v>54</v>
      </c>
      <c r="R238" s="17"/>
    </row>
    <row r="239" spans="1:18" s="16" customFormat="1" ht="30" customHeight="1" x14ac:dyDescent="0.3">
      <c r="A239" s="7">
        <v>46034.472488425927</v>
      </c>
      <c r="B239" s="6" t="s">
        <v>4</v>
      </c>
      <c r="C239" s="6"/>
      <c r="D239" s="6" t="str">
        <f>VLOOKUP(B239,'Veri doğrulama'!D6:E13,2,0)</f>
        <v>MEHMET YAZICI</v>
      </c>
      <c r="E239" s="6"/>
      <c r="F239" s="6" t="s">
        <v>1509</v>
      </c>
      <c r="G239" s="6" t="s">
        <v>18</v>
      </c>
      <c r="H239" s="6" t="s">
        <v>34</v>
      </c>
      <c r="I239" s="6">
        <v>2386</v>
      </c>
      <c r="J239" s="6">
        <v>336</v>
      </c>
      <c r="K239" s="6">
        <v>1</v>
      </c>
      <c r="L239" s="10">
        <f t="shared" si="4"/>
        <v>0.80169599999999996</v>
      </c>
      <c r="M239" s="6" t="s">
        <v>103</v>
      </c>
      <c r="N239" s="6" t="s">
        <v>1510</v>
      </c>
      <c r="O239" s="6"/>
      <c r="P239" s="17" t="s">
        <v>54</v>
      </c>
      <c r="Q239" s="17" t="s">
        <v>54</v>
      </c>
      <c r="R239" s="17"/>
    </row>
    <row r="240" spans="1:18" s="16" customFormat="1" ht="30" customHeight="1" x14ac:dyDescent="0.3">
      <c r="A240" s="7">
        <v>46034.467569444445</v>
      </c>
      <c r="B240" s="6" t="s">
        <v>5</v>
      </c>
      <c r="C240" s="6"/>
      <c r="D240" s="6" t="str">
        <f>VLOOKUP(B240,'Veri doğrulama'!D6:E13,2,0)</f>
        <v>MEHMET ÖZEN</v>
      </c>
      <c r="E240" s="6"/>
      <c r="F240" s="6" t="s">
        <v>1508</v>
      </c>
      <c r="G240" s="6" t="s">
        <v>1010</v>
      </c>
      <c r="H240" s="6" t="s">
        <v>34</v>
      </c>
      <c r="I240" s="6">
        <v>1500</v>
      </c>
      <c r="J240" s="6">
        <v>360</v>
      </c>
      <c r="K240" s="6">
        <v>2</v>
      </c>
      <c r="L240" s="10">
        <f t="shared" si="4"/>
        <v>1.08</v>
      </c>
      <c r="M240" s="6" t="s">
        <v>102</v>
      </c>
      <c r="N240" s="6"/>
      <c r="O240" s="6"/>
      <c r="P240" s="17" t="s">
        <v>54</v>
      </c>
      <c r="Q240" s="17" t="s">
        <v>54</v>
      </c>
      <c r="R240" s="17"/>
    </row>
    <row r="241" spans="1:18" s="16" customFormat="1" ht="30" customHeight="1" x14ac:dyDescent="0.3">
      <c r="A241" s="7">
        <v>46031.575196759259</v>
      </c>
      <c r="B241" s="6" t="s">
        <v>5</v>
      </c>
      <c r="C241" s="6"/>
      <c r="D241" s="6" t="str">
        <f>VLOOKUP(B241,'Veri doğrulama'!D6:E13,2,0)</f>
        <v>MEHMET ÖZEN</v>
      </c>
      <c r="E241" s="6" t="s">
        <v>1505</v>
      </c>
      <c r="F241" s="6" t="s">
        <v>1507</v>
      </c>
      <c r="G241" s="6" t="s">
        <v>19</v>
      </c>
      <c r="H241" s="6" t="s">
        <v>34</v>
      </c>
      <c r="I241" s="6">
        <v>650</v>
      </c>
      <c r="J241" s="6">
        <v>292</v>
      </c>
      <c r="K241" s="6">
        <v>1</v>
      </c>
      <c r="L241" s="10">
        <f t="shared" si="4"/>
        <v>0.1898</v>
      </c>
      <c r="M241" s="6" t="s">
        <v>156</v>
      </c>
      <c r="N241" s="6"/>
      <c r="O241" s="6"/>
      <c r="P241" s="17" t="s">
        <v>54</v>
      </c>
      <c r="Q241" s="17" t="s">
        <v>54</v>
      </c>
      <c r="R241" s="17"/>
    </row>
    <row r="242" spans="1:18" s="16" customFormat="1" ht="30" customHeight="1" x14ac:dyDescent="0.3">
      <c r="A242" s="7">
        <v>46031.574270833335</v>
      </c>
      <c r="B242" s="6" t="s">
        <v>5</v>
      </c>
      <c r="C242" s="6"/>
      <c r="D242" s="6" t="str">
        <f>VLOOKUP(B242,'Veri doğrulama'!D6:E13,2,0)</f>
        <v>MEHMET ÖZEN</v>
      </c>
      <c r="E242" s="6" t="s">
        <v>1505</v>
      </c>
      <c r="F242" s="6" t="s">
        <v>1491</v>
      </c>
      <c r="G242" s="6" t="s">
        <v>19</v>
      </c>
      <c r="H242" s="6" t="s">
        <v>34</v>
      </c>
      <c r="I242" s="6">
        <v>672</v>
      </c>
      <c r="J242" s="6">
        <v>446</v>
      </c>
      <c r="K242" s="6">
        <v>2</v>
      </c>
      <c r="L242" s="10">
        <f t="shared" si="4"/>
        <v>0.59942399999999996</v>
      </c>
      <c r="M242" s="6" t="s">
        <v>103</v>
      </c>
      <c r="N242" s="6" t="s">
        <v>1506</v>
      </c>
      <c r="O242" s="6"/>
      <c r="P242" s="17" t="s">
        <v>54</v>
      </c>
      <c r="Q242" s="17" t="s">
        <v>54</v>
      </c>
      <c r="R242" s="17"/>
    </row>
    <row r="243" spans="1:18" s="16" customFormat="1" ht="30" customHeight="1" x14ac:dyDescent="0.3">
      <c r="A243" s="7">
        <v>46031.501099537039</v>
      </c>
      <c r="B243" s="6" t="s">
        <v>5</v>
      </c>
      <c r="C243" s="6"/>
      <c r="D243" s="6" t="str">
        <f>VLOOKUP(B243,'Veri doğrulama'!D6:E13,2,0)</f>
        <v>MEHMET ÖZEN</v>
      </c>
      <c r="E243" s="6" t="s">
        <v>1504</v>
      </c>
      <c r="F243" s="6" t="s">
        <v>1462</v>
      </c>
      <c r="G243" s="6" t="s">
        <v>19</v>
      </c>
      <c r="H243" s="6" t="s">
        <v>34</v>
      </c>
      <c r="I243" s="6">
        <v>2386</v>
      </c>
      <c r="J243" s="6">
        <v>350</v>
      </c>
      <c r="K243" s="6">
        <v>1</v>
      </c>
      <c r="L243" s="10">
        <f t="shared" si="4"/>
        <v>0.83509999999999995</v>
      </c>
      <c r="M243" s="6" t="s">
        <v>103</v>
      </c>
      <c r="N243" s="6"/>
      <c r="O243" s="6"/>
      <c r="P243" s="17" t="s">
        <v>54</v>
      </c>
      <c r="Q243" s="17" t="s">
        <v>54</v>
      </c>
      <c r="R243" s="17"/>
    </row>
    <row r="244" spans="1:18" s="16" customFormat="1" ht="30" customHeight="1" x14ac:dyDescent="0.3">
      <c r="A244" s="7">
        <v>46031.484409722223</v>
      </c>
      <c r="B244" s="6" t="s">
        <v>4</v>
      </c>
      <c r="C244" s="6"/>
      <c r="D244" s="6" t="str">
        <f>VLOOKUP(B244,'Veri doğrulama'!D6:E13,2,0)</f>
        <v>MEHMET YAZICI</v>
      </c>
      <c r="E244" s="6"/>
      <c r="F244" s="6" t="s">
        <v>1503</v>
      </c>
      <c r="G244" s="6" t="s">
        <v>17</v>
      </c>
      <c r="H244" s="6" t="s">
        <v>34</v>
      </c>
      <c r="I244" s="6">
        <v>489</v>
      </c>
      <c r="J244" s="6">
        <v>440</v>
      </c>
      <c r="K244" s="6">
        <v>1</v>
      </c>
      <c r="L244" s="10">
        <f t="shared" si="4"/>
        <v>0.21515999999999999</v>
      </c>
      <c r="M244" s="6" t="s">
        <v>43</v>
      </c>
      <c r="N244" s="6" t="s">
        <v>339</v>
      </c>
      <c r="O244" s="6"/>
      <c r="P244" s="17" t="s">
        <v>54</v>
      </c>
      <c r="Q244" s="17" t="s">
        <v>54</v>
      </c>
      <c r="R244" s="17"/>
    </row>
    <row r="245" spans="1:18" s="16" customFormat="1" ht="30" customHeight="1" x14ac:dyDescent="0.3">
      <c r="A245" s="7">
        <v>46031.401435185187</v>
      </c>
      <c r="B245" s="6" t="s">
        <v>5</v>
      </c>
      <c r="C245" s="6"/>
      <c r="D245" s="6" t="str">
        <f>VLOOKUP(B245,'Veri doğrulama'!D6:E13,2,0)</f>
        <v>MEHMET ÖZEN</v>
      </c>
      <c r="E245" s="6"/>
      <c r="F245" s="6" t="s">
        <v>1502</v>
      </c>
      <c r="G245" s="6" t="s">
        <v>18</v>
      </c>
      <c r="H245" s="6" t="s">
        <v>34</v>
      </c>
      <c r="I245" s="6">
        <v>1196</v>
      </c>
      <c r="J245" s="6">
        <v>477</v>
      </c>
      <c r="K245" s="6">
        <v>1</v>
      </c>
      <c r="L245" s="10">
        <f t="shared" si="4"/>
        <v>0.570492</v>
      </c>
      <c r="M245" s="6" t="s">
        <v>102</v>
      </c>
      <c r="N245" s="6"/>
      <c r="O245" s="6"/>
      <c r="P245" s="17" t="s">
        <v>54</v>
      </c>
      <c r="Q245" s="17" t="s">
        <v>54</v>
      </c>
      <c r="R245" s="17"/>
    </row>
    <row r="246" spans="1:18" s="16" customFormat="1" ht="30" customHeight="1" x14ac:dyDescent="0.3">
      <c r="A246" s="7">
        <v>46030.60292824074</v>
      </c>
      <c r="B246" s="6" t="s">
        <v>5</v>
      </c>
      <c r="C246" s="6"/>
      <c r="D246" s="6" t="str">
        <f>VLOOKUP(B246,'Veri doğrulama'!D6:E13,2,0)</f>
        <v>MEHMET ÖZEN</v>
      </c>
      <c r="E246" s="6"/>
      <c r="F246" s="6" t="s">
        <v>1338</v>
      </c>
      <c r="G246" s="6" t="s">
        <v>15</v>
      </c>
      <c r="H246" s="6" t="s">
        <v>34</v>
      </c>
      <c r="I246" s="6">
        <v>1115</v>
      </c>
      <c r="J246" s="6">
        <v>397</v>
      </c>
      <c r="K246" s="6">
        <v>2</v>
      </c>
      <c r="L246" s="10">
        <f t="shared" si="4"/>
        <v>0.88531000000000004</v>
      </c>
      <c r="M246" s="6" t="s">
        <v>102</v>
      </c>
      <c r="N246" s="6"/>
      <c r="O246" s="6"/>
      <c r="P246" s="17" t="s">
        <v>54</v>
      </c>
      <c r="Q246" s="17" t="s">
        <v>54</v>
      </c>
      <c r="R246" s="17"/>
    </row>
    <row r="247" spans="1:18" s="16" customFormat="1" ht="30" customHeight="1" x14ac:dyDescent="0.3">
      <c r="A247" s="7">
        <v>46030.47084490741</v>
      </c>
      <c r="B247" s="6" t="s">
        <v>5</v>
      </c>
      <c r="C247" s="6"/>
      <c r="D247" s="6" t="str">
        <f>VLOOKUP(B247,'Veri doğrulama'!D6:E13,2,0)</f>
        <v>MEHMET ÖZEN</v>
      </c>
      <c r="E247" s="6"/>
      <c r="F247" s="6" t="s">
        <v>1501</v>
      </c>
      <c r="G247" s="6" t="s">
        <v>1010</v>
      </c>
      <c r="H247" s="6" t="s">
        <v>34</v>
      </c>
      <c r="I247" s="6">
        <v>557</v>
      </c>
      <c r="J247" s="6">
        <v>447</v>
      </c>
      <c r="K247" s="6">
        <v>1</v>
      </c>
      <c r="L247" s="10">
        <f t="shared" si="4"/>
        <v>0.24897900000000001</v>
      </c>
      <c r="M247" s="6" t="s">
        <v>103</v>
      </c>
      <c r="N247" s="6"/>
      <c r="O247" s="6"/>
      <c r="P247" s="17" t="s">
        <v>54</v>
      </c>
      <c r="Q247" s="17" t="s">
        <v>54</v>
      </c>
      <c r="R247" s="17"/>
    </row>
    <row r="248" spans="1:18" s="16" customFormat="1" ht="30" customHeight="1" x14ac:dyDescent="0.3">
      <c r="A248" s="7">
        <v>46030.440115740741</v>
      </c>
      <c r="B248" s="6" t="s">
        <v>4</v>
      </c>
      <c r="C248" s="6"/>
      <c r="D248" s="6" t="str">
        <f>VLOOKUP(B248,'Veri doğrulama'!D6:E13,2,0)</f>
        <v>MEHMET YAZICI</v>
      </c>
      <c r="E248" s="6"/>
      <c r="F248" s="6" t="s">
        <v>1500</v>
      </c>
      <c r="G248" s="6" t="s">
        <v>29</v>
      </c>
      <c r="H248" s="6" t="s">
        <v>35</v>
      </c>
      <c r="I248" s="6">
        <v>900</v>
      </c>
      <c r="J248" s="6">
        <v>600</v>
      </c>
      <c r="K248" s="6">
        <v>1</v>
      </c>
      <c r="L248" s="10">
        <f t="shared" si="4"/>
        <v>0.54</v>
      </c>
      <c r="M248" s="6" t="s">
        <v>102</v>
      </c>
      <c r="N248" s="6"/>
      <c r="O248" s="6"/>
      <c r="P248" s="17" t="s">
        <v>54</v>
      </c>
      <c r="Q248" s="17" t="s">
        <v>54</v>
      </c>
      <c r="R248" s="17"/>
    </row>
    <row r="249" spans="1:18" s="16" customFormat="1" ht="30" customHeight="1" x14ac:dyDescent="0.3">
      <c r="A249" s="7">
        <v>46030.391597222224</v>
      </c>
      <c r="B249" s="6" t="s">
        <v>4</v>
      </c>
      <c r="C249" s="6"/>
      <c r="D249" s="6" t="str">
        <f>VLOOKUP(B249,'Veri doğrulama'!D6:E13,2,0)</f>
        <v>MEHMET YAZICI</v>
      </c>
      <c r="E249" s="6"/>
      <c r="F249" s="6" t="s">
        <v>1014</v>
      </c>
      <c r="G249" s="6" t="s">
        <v>19</v>
      </c>
      <c r="H249" s="6" t="s">
        <v>34</v>
      </c>
      <c r="I249" s="6">
        <v>2600</v>
      </c>
      <c r="J249" s="6">
        <v>300</v>
      </c>
      <c r="K249" s="6">
        <v>1</v>
      </c>
      <c r="L249" s="10">
        <f t="shared" si="4"/>
        <v>0.78</v>
      </c>
      <c r="M249" s="6" t="s">
        <v>75</v>
      </c>
      <c r="N249" s="6"/>
      <c r="O249" s="6"/>
      <c r="P249" s="17" t="s">
        <v>54</v>
      </c>
      <c r="Q249" s="17" t="s">
        <v>54</v>
      </c>
      <c r="R249" s="17"/>
    </row>
    <row r="250" spans="1:18" s="16" customFormat="1" ht="30" customHeight="1" x14ac:dyDescent="0.3">
      <c r="A250" s="7">
        <v>46030.383425925924</v>
      </c>
      <c r="B250" s="6" t="s">
        <v>5</v>
      </c>
      <c r="C250" s="6"/>
      <c r="D250" s="6" t="str">
        <f>VLOOKUP(B250,'Veri doğrulama'!D6:E13,2,0)</f>
        <v>MEHMET ÖZEN</v>
      </c>
      <c r="E250" s="6"/>
      <c r="F250" s="6" t="s">
        <v>1498</v>
      </c>
      <c r="G250" s="6" t="s">
        <v>24</v>
      </c>
      <c r="H250" s="6" t="s">
        <v>34</v>
      </c>
      <c r="I250" s="6">
        <v>800</v>
      </c>
      <c r="J250" s="6">
        <v>550</v>
      </c>
      <c r="K250" s="6">
        <v>1</v>
      </c>
      <c r="L250" s="10">
        <f t="shared" si="4"/>
        <v>0.44</v>
      </c>
      <c r="M250" s="6" t="s">
        <v>156</v>
      </c>
      <c r="N250" s="6" t="s">
        <v>5</v>
      </c>
      <c r="O250" s="6"/>
      <c r="P250" s="17" t="s">
        <v>54</v>
      </c>
      <c r="Q250" s="17" t="s">
        <v>54</v>
      </c>
      <c r="R250" s="17"/>
    </row>
    <row r="251" spans="1:18" s="16" customFormat="1" ht="30" customHeight="1" x14ac:dyDescent="0.3">
      <c r="A251" s="7">
        <v>46030.367569444446</v>
      </c>
      <c r="B251" s="6" t="s">
        <v>4</v>
      </c>
      <c r="C251" s="6"/>
      <c r="D251" s="6" t="str">
        <f>VLOOKUP(B251,'Veri doğrulama'!D6:E13,2,0)</f>
        <v>MEHMET YAZICI</v>
      </c>
      <c r="E251" s="6"/>
      <c r="F251" s="6" t="s">
        <v>1499</v>
      </c>
      <c r="G251" s="6" t="s">
        <v>1497</v>
      </c>
      <c r="H251" s="6" t="s">
        <v>34</v>
      </c>
      <c r="I251" s="6">
        <v>750</v>
      </c>
      <c r="J251" s="6">
        <v>385</v>
      </c>
      <c r="K251" s="6">
        <v>3</v>
      </c>
      <c r="L251" s="10">
        <f t="shared" si="4"/>
        <v>0.86624999999999996</v>
      </c>
      <c r="M251" s="6" t="s">
        <v>75</v>
      </c>
      <c r="N251" s="6"/>
      <c r="O251" s="6"/>
      <c r="P251" s="17" t="s">
        <v>54</v>
      </c>
      <c r="Q251" s="17" t="s">
        <v>54</v>
      </c>
      <c r="R251" s="17"/>
    </row>
    <row r="252" spans="1:18" s="16" customFormat="1" ht="30" customHeight="1" x14ac:dyDescent="0.3">
      <c r="A252" s="7">
        <v>46030.354363425926</v>
      </c>
      <c r="B252" s="6" t="s">
        <v>5</v>
      </c>
      <c r="C252" s="6"/>
      <c r="D252" s="6" t="str">
        <f>VLOOKUP(B252,'Veri doğrulama'!D6:E13,2,0)</f>
        <v>MEHMET ÖZEN</v>
      </c>
      <c r="E252" s="6"/>
      <c r="F252" s="6" t="s">
        <v>1496</v>
      </c>
      <c r="G252" s="6" t="s">
        <v>15</v>
      </c>
      <c r="H252" s="6" t="s">
        <v>34</v>
      </c>
      <c r="I252" s="6">
        <v>1150</v>
      </c>
      <c r="J252" s="6">
        <v>450</v>
      </c>
      <c r="K252" s="6">
        <v>1</v>
      </c>
      <c r="L252" s="10">
        <f t="shared" si="4"/>
        <v>0.51749999999999996</v>
      </c>
      <c r="M252" s="6" t="s">
        <v>596</v>
      </c>
      <c r="N252" s="6"/>
      <c r="O252" s="6"/>
      <c r="P252" s="17" t="s">
        <v>54</v>
      </c>
      <c r="Q252" s="17" t="s">
        <v>54</v>
      </c>
      <c r="R252" s="17"/>
    </row>
    <row r="253" spans="1:18" s="16" customFormat="1" ht="30" customHeight="1" x14ac:dyDescent="0.3">
      <c r="A253" s="7">
        <v>46029.563425925924</v>
      </c>
      <c r="B253" s="6" t="s">
        <v>5</v>
      </c>
      <c r="C253" s="6"/>
      <c r="D253" s="6" t="str">
        <f>VLOOKUP(B253,'Veri doğrulama'!D6:E13,2,0)</f>
        <v>MEHMET ÖZEN</v>
      </c>
      <c r="E253" s="6"/>
      <c r="F253" s="6" t="s">
        <v>1495</v>
      </c>
      <c r="G253" s="6" t="s">
        <v>19</v>
      </c>
      <c r="H253" s="6" t="s">
        <v>34</v>
      </c>
      <c r="I253" s="6">
        <v>2420</v>
      </c>
      <c r="J253" s="6">
        <v>1120</v>
      </c>
      <c r="K253" s="6">
        <v>1</v>
      </c>
      <c r="L253" s="10">
        <f t="shared" si="4"/>
        <v>2.7103999999999999</v>
      </c>
      <c r="M253" s="6" t="s">
        <v>103</v>
      </c>
      <c r="N253" s="6"/>
      <c r="O253" s="6"/>
      <c r="P253" s="17" t="s">
        <v>54</v>
      </c>
      <c r="Q253" s="17" t="s">
        <v>54</v>
      </c>
      <c r="R253" s="17"/>
    </row>
    <row r="254" spans="1:18" s="16" customFormat="1" ht="30" customHeight="1" x14ac:dyDescent="0.3">
      <c r="A254" s="7">
        <v>46029.459791666668</v>
      </c>
      <c r="B254" s="6" t="s">
        <v>5</v>
      </c>
      <c r="C254" s="6"/>
      <c r="D254" s="6" t="str">
        <f>VLOOKUP(B254,'Veri doğrulama'!D6:E13,2,0)</f>
        <v>MEHMET ÖZEN</v>
      </c>
      <c r="E254" s="6" t="s">
        <v>1493</v>
      </c>
      <c r="F254" s="6" t="s">
        <v>1494</v>
      </c>
      <c r="G254" s="6" t="s">
        <v>15</v>
      </c>
      <c r="H254" s="6" t="s">
        <v>34</v>
      </c>
      <c r="I254" s="6">
        <v>1150</v>
      </c>
      <c r="J254" s="6">
        <v>557</v>
      </c>
      <c r="K254" s="6">
        <v>1</v>
      </c>
      <c r="L254" s="10">
        <f t="shared" si="4"/>
        <v>0.64054999999999995</v>
      </c>
      <c r="M254" s="6" t="s">
        <v>103</v>
      </c>
      <c r="N254" s="6"/>
      <c r="O254" s="6"/>
      <c r="P254" s="17" t="s">
        <v>54</v>
      </c>
      <c r="Q254" s="17" t="s">
        <v>54</v>
      </c>
      <c r="R254" s="17"/>
    </row>
    <row r="255" spans="1:18" s="16" customFormat="1" ht="30" customHeight="1" x14ac:dyDescent="0.3">
      <c r="A255" s="7">
        <v>46029.385914351849</v>
      </c>
      <c r="B255" s="6" t="s">
        <v>4</v>
      </c>
      <c r="C255" s="6"/>
      <c r="D255" s="6" t="str">
        <f>VLOOKUP(B255,'Veri doğrulama'!D6:E13,2,0)</f>
        <v>MEHMET YAZICI</v>
      </c>
      <c r="E255" s="6"/>
      <c r="F255" s="6" t="s">
        <v>1492</v>
      </c>
      <c r="G255" s="6" t="s">
        <v>16</v>
      </c>
      <c r="H255" s="6" t="s">
        <v>34</v>
      </c>
      <c r="I255" s="6">
        <v>2000</v>
      </c>
      <c r="J255" s="6">
        <v>1100</v>
      </c>
      <c r="K255" s="6">
        <v>1</v>
      </c>
      <c r="L255" s="10">
        <f t="shared" si="4"/>
        <v>2.2000000000000002</v>
      </c>
      <c r="M255" s="6" t="s">
        <v>43</v>
      </c>
      <c r="N255" s="6"/>
      <c r="O255" s="6"/>
      <c r="P255" s="17" t="s">
        <v>54</v>
      </c>
      <c r="Q255" s="17" t="s">
        <v>54</v>
      </c>
      <c r="R255" s="17"/>
    </row>
    <row r="256" spans="1:18" s="16" customFormat="1" ht="30" customHeight="1" x14ac:dyDescent="0.3">
      <c r="A256" s="7">
        <v>46028.6481712963</v>
      </c>
      <c r="B256" s="6" t="s">
        <v>7</v>
      </c>
      <c r="C256" s="6"/>
      <c r="D256" s="6" t="str">
        <f>VLOOKUP(B256,'Veri doğrulama'!D6:E13,2,0)</f>
        <v>SIDDIK KAPLAN</v>
      </c>
      <c r="E256" s="6"/>
      <c r="F256" s="6" t="s">
        <v>1491</v>
      </c>
      <c r="G256" s="6" t="s">
        <v>17</v>
      </c>
      <c r="H256" s="6" t="s">
        <v>34</v>
      </c>
      <c r="I256" s="6">
        <v>672</v>
      </c>
      <c r="J256" s="6">
        <v>446</v>
      </c>
      <c r="K256" s="6">
        <v>1</v>
      </c>
      <c r="L256" s="10">
        <f t="shared" si="4"/>
        <v>0.29971199999999998</v>
      </c>
      <c r="M256" s="6" t="s">
        <v>43</v>
      </c>
      <c r="N256" s="6"/>
      <c r="O256" s="6"/>
      <c r="P256" s="17" t="s">
        <v>54</v>
      </c>
      <c r="Q256" s="17" t="s">
        <v>54</v>
      </c>
      <c r="R256" s="17"/>
    </row>
    <row r="257" spans="1:18" s="16" customFormat="1" ht="30" customHeight="1" x14ac:dyDescent="0.3">
      <c r="A257" s="7">
        <v>46027.618715277778</v>
      </c>
      <c r="B257" s="6" t="s">
        <v>5</v>
      </c>
      <c r="C257" s="6"/>
      <c r="D257" s="6" t="str">
        <f>VLOOKUP(B257,'Veri doğrulama'!D6:E13,2,0)</f>
        <v>MEHMET ÖZEN</v>
      </c>
      <c r="E257" s="6"/>
      <c r="F257" s="6" t="s">
        <v>1490</v>
      </c>
      <c r="G257" s="6" t="s">
        <v>15</v>
      </c>
      <c r="H257" s="6" t="s">
        <v>35</v>
      </c>
      <c r="I257" s="6">
        <v>620</v>
      </c>
      <c r="J257" s="6">
        <v>620</v>
      </c>
      <c r="K257" s="6">
        <v>1</v>
      </c>
      <c r="L257" s="10">
        <f t="shared" si="4"/>
        <v>0.38440000000000002</v>
      </c>
      <c r="M257" s="6" t="s">
        <v>155</v>
      </c>
      <c r="N257" s="6"/>
      <c r="O257" s="6"/>
      <c r="P257" s="17" t="s">
        <v>54</v>
      </c>
      <c r="Q257" s="17" t="s">
        <v>54</v>
      </c>
      <c r="R257" s="17"/>
    </row>
    <row r="258" spans="1:18" s="16" customFormat="1" ht="30" customHeight="1" x14ac:dyDescent="0.3">
      <c r="A258" s="7">
        <v>46027.415196759262</v>
      </c>
      <c r="B258" s="6" t="s">
        <v>5</v>
      </c>
      <c r="C258" s="6"/>
      <c r="D258" s="6" t="str">
        <f>VLOOKUP(B258,'Veri doğrulama'!D6:E13,2,0)</f>
        <v>MEHMET ÖZEN</v>
      </c>
      <c r="E258" s="6"/>
      <c r="F258" s="6" t="s">
        <v>1217</v>
      </c>
      <c r="G258" s="6" t="s">
        <v>27</v>
      </c>
      <c r="H258" s="6" t="s">
        <v>34</v>
      </c>
      <c r="I258" s="6">
        <v>1100</v>
      </c>
      <c r="J258" s="6">
        <v>360</v>
      </c>
      <c r="K258" s="6">
        <v>1</v>
      </c>
      <c r="L258" s="10">
        <f t="shared" si="4"/>
        <v>0.39600000000000002</v>
      </c>
      <c r="M258" s="6" t="s">
        <v>103</v>
      </c>
      <c r="N258" s="6"/>
      <c r="O258" s="6"/>
      <c r="P258" s="17" t="s">
        <v>54</v>
      </c>
      <c r="Q258" s="17" t="s">
        <v>54</v>
      </c>
      <c r="R258" s="17"/>
    </row>
    <row r="259" spans="1:18" s="16" customFormat="1" ht="30" customHeight="1" x14ac:dyDescent="0.3">
      <c r="A259" s="7">
        <v>46020.589201388888</v>
      </c>
      <c r="B259" s="6" t="s">
        <v>5</v>
      </c>
      <c r="C259" s="6"/>
      <c r="D259" s="6" t="str">
        <f>VLOOKUP(B259,'Veri doğrulama'!D6:E13,2,0)</f>
        <v>MEHMET ÖZEN</v>
      </c>
      <c r="E259" s="6"/>
      <c r="F259" s="6" t="s">
        <v>1489</v>
      </c>
      <c r="G259" s="6" t="s">
        <v>30</v>
      </c>
      <c r="H259" s="6" t="s">
        <v>34</v>
      </c>
      <c r="I259" s="6">
        <v>1400</v>
      </c>
      <c r="J259" s="6">
        <v>1400</v>
      </c>
      <c r="K259" s="6">
        <v>1</v>
      </c>
      <c r="L259" s="10">
        <f t="shared" si="4"/>
        <v>1.96</v>
      </c>
      <c r="M259" s="6" t="s">
        <v>102</v>
      </c>
      <c r="N259" s="6" t="s">
        <v>5</v>
      </c>
      <c r="O259" s="6"/>
      <c r="P259" s="17" t="s">
        <v>54</v>
      </c>
      <c r="Q259" s="17" t="s">
        <v>54</v>
      </c>
      <c r="R259" s="17"/>
    </row>
    <row r="260" spans="1:18" s="16" customFormat="1" ht="30" customHeight="1" x14ac:dyDescent="0.3">
      <c r="A260" s="7">
        <v>46020.555358796293</v>
      </c>
      <c r="B260" s="6" t="s">
        <v>7</v>
      </c>
      <c r="C260" s="6"/>
      <c r="D260" s="6" t="str">
        <f>VLOOKUP(B260,'Veri doğrulama'!D6:E13,2,0)</f>
        <v>SIDDIK KAPLAN</v>
      </c>
      <c r="E260" s="6"/>
      <c r="F260" s="6" t="s">
        <v>1487</v>
      </c>
      <c r="G260" s="6" t="s">
        <v>17</v>
      </c>
      <c r="H260" s="6" t="s">
        <v>34</v>
      </c>
      <c r="I260" s="6">
        <v>1150</v>
      </c>
      <c r="J260" s="6">
        <v>450</v>
      </c>
      <c r="K260" s="6">
        <v>1</v>
      </c>
      <c r="L260" s="10">
        <f t="shared" si="4"/>
        <v>0.51749999999999996</v>
      </c>
      <c r="M260" s="6" t="s">
        <v>43</v>
      </c>
      <c r="N260" s="6" t="s">
        <v>1488</v>
      </c>
      <c r="O260" s="6"/>
      <c r="P260" s="17" t="s">
        <v>54</v>
      </c>
      <c r="Q260" s="17" t="s">
        <v>54</v>
      </c>
      <c r="R260" s="17"/>
    </row>
    <row r="261" spans="1:18" s="16" customFormat="1" ht="30" customHeight="1" x14ac:dyDescent="0.3">
      <c r="A261" s="7">
        <v>46020.337314814817</v>
      </c>
      <c r="B261" s="6" t="s">
        <v>5</v>
      </c>
      <c r="C261" s="6"/>
      <c r="D261" s="6" t="str">
        <f>VLOOKUP(B261,'Veri doğrulama'!D6:E13,2,0)</f>
        <v>MEHMET ÖZEN</v>
      </c>
      <c r="E261" s="6" t="s">
        <v>1485</v>
      </c>
      <c r="F261" s="6" t="s">
        <v>1486</v>
      </c>
      <c r="G261" s="6" t="s">
        <v>18</v>
      </c>
      <c r="H261" s="6" t="s">
        <v>34</v>
      </c>
      <c r="I261" s="6">
        <v>1800</v>
      </c>
      <c r="J261" s="6">
        <v>350</v>
      </c>
      <c r="K261" s="6">
        <v>1</v>
      </c>
      <c r="L261" s="10">
        <f t="shared" si="4"/>
        <v>0.63</v>
      </c>
      <c r="M261" s="6" t="s">
        <v>43</v>
      </c>
      <c r="N261" s="6"/>
      <c r="O261" s="6"/>
      <c r="P261" s="17" t="s">
        <v>54</v>
      </c>
      <c r="Q261" s="17" t="s">
        <v>54</v>
      </c>
      <c r="R261" s="17"/>
    </row>
    <row r="262" spans="1:18" s="16" customFormat="1" ht="30" customHeight="1" x14ac:dyDescent="0.3">
      <c r="A262" s="7">
        <v>46017.708703703705</v>
      </c>
      <c r="B262" s="6" t="s">
        <v>7</v>
      </c>
      <c r="C262" s="6"/>
      <c r="D262" s="6" t="str">
        <f>VLOOKUP(B262,'Veri doğrulama'!D6:E13,2,0)</f>
        <v>SIDDIK KAPLAN</v>
      </c>
      <c r="E262" s="6"/>
      <c r="F262" s="6" t="s">
        <v>1483</v>
      </c>
      <c r="G262" s="6" t="s">
        <v>18</v>
      </c>
      <c r="H262" s="6" t="s">
        <v>34</v>
      </c>
      <c r="I262" s="6">
        <v>490</v>
      </c>
      <c r="J262" s="6">
        <v>395</v>
      </c>
      <c r="K262" s="6">
        <v>1</v>
      </c>
      <c r="L262" s="10">
        <f t="shared" si="4"/>
        <v>0.19355</v>
      </c>
      <c r="M262" s="6" t="s">
        <v>43</v>
      </c>
      <c r="N262" s="6" t="s">
        <v>1484</v>
      </c>
      <c r="O262" s="6"/>
      <c r="P262" s="17" t="s">
        <v>54</v>
      </c>
      <c r="Q262" s="17" t="s">
        <v>54</v>
      </c>
      <c r="R262" s="17"/>
    </row>
    <row r="263" spans="1:18" s="16" customFormat="1" ht="30" customHeight="1" x14ac:dyDescent="0.3">
      <c r="A263" s="7">
        <v>46017.708020833335</v>
      </c>
      <c r="B263" s="6" t="s">
        <v>7</v>
      </c>
      <c r="C263" s="6"/>
      <c r="D263" s="6" t="str">
        <f>VLOOKUP(B263,'Veri doğrulama'!D6:E13,2,0)</f>
        <v>SIDDIK KAPLAN</v>
      </c>
      <c r="E263" s="6"/>
      <c r="F263" s="6" t="s">
        <v>1481</v>
      </c>
      <c r="G263" s="6" t="s">
        <v>18</v>
      </c>
      <c r="H263" s="6" t="s">
        <v>34</v>
      </c>
      <c r="I263" s="6">
        <v>490</v>
      </c>
      <c r="J263" s="6">
        <v>415</v>
      </c>
      <c r="K263" s="6">
        <v>2</v>
      </c>
      <c r="L263" s="10">
        <f t="shared" si="4"/>
        <v>0.40670000000000001</v>
      </c>
      <c r="M263" s="6" t="s">
        <v>43</v>
      </c>
      <c r="N263" s="6" t="s">
        <v>1482</v>
      </c>
      <c r="O263" s="6"/>
      <c r="P263" s="17" t="s">
        <v>54</v>
      </c>
      <c r="Q263" s="17" t="s">
        <v>54</v>
      </c>
      <c r="R263" s="17"/>
    </row>
    <row r="264" spans="1:18" s="16" customFormat="1" ht="30" customHeight="1" x14ac:dyDescent="0.3">
      <c r="A264" s="7">
        <v>46017.697766203702</v>
      </c>
      <c r="B264" s="6" t="s">
        <v>7</v>
      </c>
      <c r="C264" s="6"/>
      <c r="D264" s="6" t="str">
        <f>VLOOKUP(B264,'Veri doğrulama'!D6:E13,2,0)</f>
        <v>SIDDIK KAPLAN</v>
      </c>
      <c r="E264" s="6"/>
      <c r="F264" s="6" t="s">
        <v>951</v>
      </c>
      <c r="G264" s="6" t="s">
        <v>18</v>
      </c>
      <c r="H264" s="6" t="s">
        <v>34</v>
      </c>
      <c r="I264" s="6">
        <v>1368</v>
      </c>
      <c r="J264" s="6">
        <v>679</v>
      </c>
      <c r="K264" s="6">
        <v>1</v>
      </c>
      <c r="L264" s="10">
        <f t="shared" ref="L264:L327" si="5">I264*J264/1000000*K264</f>
        <v>0.92887200000000003</v>
      </c>
      <c r="M264" s="6" t="s">
        <v>102</v>
      </c>
      <c r="N264" s="6" t="s">
        <v>7</v>
      </c>
      <c r="O264" s="6"/>
      <c r="P264" s="17" t="s">
        <v>54</v>
      </c>
      <c r="Q264" s="17" t="s">
        <v>54</v>
      </c>
      <c r="R264" s="17"/>
    </row>
    <row r="265" spans="1:18" s="16" customFormat="1" ht="30" customHeight="1" x14ac:dyDescent="0.3">
      <c r="A265" s="7">
        <v>46017.399201388886</v>
      </c>
      <c r="B265" s="6" t="s">
        <v>7</v>
      </c>
      <c r="C265" s="6"/>
      <c r="D265" s="6" t="str">
        <f>VLOOKUP(B265,'Veri doğrulama'!D6:E13,2,0)</f>
        <v>SIDDIK KAPLAN</v>
      </c>
      <c r="E265" s="6"/>
      <c r="F265" s="6" t="s">
        <v>1040</v>
      </c>
      <c r="G265" s="6" t="s">
        <v>17</v>
      </c>
      <c r="H265" s="6" t="s">
        <v>34</v>
      </c>
      <c r="I265" s="6">
        <v>1150</v>
      </c>
      <c r="J265" s="6">
        <v>470</v>
      </c>
      <c r="K265" s="6">
        <v>1</v>
      </c>
      <c r="L265" s="10">
        <f t="shared" si="5"/>
        <v>0.54049999999999998</v>
      </c>
      <c r="M265" s="6" t="s">
        <v>43</v>
      </c>
      <c r="N265" s="6"/>
      <c r="O265" s="6"/>
      <c r="P265" s="17" t="s">
        <v>54</v>
      </c>
      <c r="Q265" s="17" t="s">
        <v>54</v>
      </c>
      <c r="R265" s="17"/>
    </row>
    <row r="266" spans="1:18" s="16" customFormat="1" ht="30" customHeight="1" x14ac:dyDescent="0.3">
      <c r="A266" s="7">
        <v>46016.761967592596</v>
      </c>
      <c r="B266" s="6" t="s">
        <v>5</v>
      </c>
      <c r="C266" s="6"/>
      <c r="D266" s="6" t="str">
        <f>VLOOKUP(B266,'Veri doğrulama'!D6:E13,2,0)</f>
        <v>MEHMET ÖZEN</v>
      </c>
      <c r="E266" s="6" t="s">
        <v>1479</v>
      </c>
      <c r="F266" s="6" t="s">
        <v>1480</v>
      </c>
      <c r="G266" s="6" t="s">
        <v>1392</v>
      </c>
      <c r="H266" s="6" t="s">
        <v>34</v>
      </c>
      <c r="I266" s="6">
        <v>490</v>
      </c>
      <c r="J266" s="6">
        <v>415</v>
      </c>
      <c r="K266" s="6">
        <v>1</v>
      </c>
      <c r="L266" s="10">
        <f t="shared" si="5"/>
        <v>0.20335</v>
      </c>
      <c r="M266" s="6" t="s">
        <v>596</v>
      </c>
      <c r="N266" s="6"/>
      <c r="O266" s="6"/>
      <c r="P266" s="17" t="s">
        <v>54</v>
      </c>
      <c r="Q266" s="17" t="s">
        <v>54</v>
      </c>
      <c r="R266" s="17"/>
    </row>
    <row r="267" spans="1:18" s="16" customFormat="1" ht="30" customHeight="1" x14ac:dyDescent="0.3">
      <c r="A267" s="7">
        <v>46016.743495370371</v>
      </c>
      <c r="B267" s="6" t="s">
        <v>4</v>
      </c>
      <c r="C267" s="6"/>
      <c r="D267" s="6" t="str">
        <f>VLOOKUP(B267,'Veri doğrulama'!D6:E13,2,0)</f>
        <v>MEHMET YAZICI</v>
      </c>
      <c r="E267" s="6"/>
      <c r="F267" s="6" t="s">
        <v>1000</v>
      </c>
      <c r="G267" s="6" t="s">
        <v>15</v>
      </c>
      <c r="H267" s="6" t="s">
        <v>34</v>
      </c>
      <c r="I267" s="6">
        <v>539</v>
      </c>
      <c r="J267" s="6">
        <v>581</v>
      </c>
      <c r="K267" s="6">
        <v>1</v>
      </c>
      <c r="L267" s="10">
        <f t="shared" si="5"/>
        <v>0.31315900000000002</v>
      </c>
      <c r="M267" s="6" t="s">
        <v>43</v>
      </c>
      <c r="N267" s="6" t="s">
        <v>159</v>
      </c>
      <c r="O267" s="6"/>
      <c r="P267" s="17" t="s">
        <v>54</v>
      </c>
      <c r="Q267" s="17" t="s">
        <v>54</v>
      </c>
      <c r="R267" s="17"/>
    </row>
    <row r="268" spans="1:18" s="16" customFormat="1" ht="30" customHeight="1" x14ac:dyDescent="0.3">
      <c r="A268" s="7">
        <v>46016.664293981485</v>
      </c>
      <c r="B268" s="6" t="s">
        <v>5</v>
      </c>
      <c r="C268" s="6"/>
      <c r="D268" s="6" t="str">
        <f>VLOOKUP(B268,'Veri doğrulama'!D6:E13,2,0)</f>
        <v>MEHMET ÖZEN</v>
      </c>
      <c r="E268" s="6" t="s">
        <v>1477</v>
      </c>
      <c r="F268" s="6" t="s">
        <v>1478</v>
      </c>
      <c r="G268" s="6" t="s">
        <v>18</v>
      </c>
      <c r="H268" s="6" t="s">
        <v>34</v>
      </c>
      <c r="I268" s="6">
        <v>1810</v>
      </c>
      <c r="J268" s="6">
        <v>810</v>
      </c>
      <c r="K268" s="6">
        <v>1</v>
      </c>
      <c r="L268" s="10">
        <f t="shared" si="5"/>
        <v>1.4661</v>
      </c>
      <c r="M268" s="6" t="s">
        <v>43</v>
      </c>
      <c r="N268" s="6" t="s">
        <v>411</v>
      </c>
      <c r="O268" s="6"/>
      <c r="P268" s="17" t="s">
        <v>54</v>
      </c>
      <c r="Q268" s="17" t="s">
        <v>54</v>
      </c>
      <c r="R268" s="17"/>
    </row>
    <row r="269" spans="1:18" s="16" customFormat="1" ht="30" customHeight="1" x14ac:dyDescent="0.3">
      <c r="A269" s="7">
        <v>46016.590289351851</v>
      </c>
      <c r="B269" s="6" t="s">
        <v>5</v>
      </c>
      <c r="C269" s="6"/>
      <c r="D269" s="6" t="str">
        <f>VLOOKUP(B269,'Veri doğrulama'!D6:E13,2,0)</f>
        <v>MEHMET ÖZEN</v>
      </c>
      <c r="E269" s="6" t="s">
        <v>1476</v>
      </c>
      <c r="F269" s="6" t="s">
        <v>955</v>
      </c>
      <c r="G269" s="6" t="s">
        <v>15</v>
      </c>
      <c r="H269" s="6" t="s">
        <v>34</v>
      </c>
      <c r="I269" s="6">
        <v>1562</v>
      </c>
      <c r="J269" s="6">
        <v>340</v>
      </c>
      <c r="K269" s="6">
        <v>1</v>
      </c>
      <c r="L269" s="10">
        <f t="shared" si="5"/>
        <v>0.53108</v>
      </c>
      <c r="M269" s="6" t="s">
        <v>75</v>
      </c>
      <c r="N269" s="6"/>
      <c r="O269" s="6"/>
      <c r="P269" s="17" t="s">
        <v>54</v>
      </c>
      <c r="Q269" s="17" t="s">
        <v>54</v>
      </c>
      <c r="R269" s="17"/>
    </row>
    <row r="270" spans="1:18" s="16" customFormat="1" ht="30" customHeight="1" x14ac:dyDescent="0.3">
      <c r="A270" s="7">
        <v>46016.411956018521</v>
      </c>
      <c r="B270" s="6" t="s">
        <v>5</v>
      </c>
      <c r="C270" s="6"/>
      <c r="D270" s="6" t="str">
        <f>VLOOKUP(B270,'Veri doğrulama'!D6:E13,2,0)</f>
        <v>MEHMET ÖZEN</v>
      </c>
      <c r="E270" s="6"/>
      <c r="F270" s="6" t="s">
        <v>1475</v>
      </c>
      <c r="G270" s="6" t="s">
        <v>17</v>
      </c>
      <c r="H270" s="6" t="s">
        <v>34</v>
      </c>
      <c r="I270" s="6">
        <v>1800</v>
      </c>
      <c r="J270" s="6">
        <v>800</v>
      </c>
      <c r="K270" s="6">
        <v>1</v>
      </c>
      <c r="L270" s="10">
        <f t="shared" si="5"/>
        <v>1.44</v>
      </c>
      <c r="M270" s="6" t="s">
        <v>102</v>
      </c>
      <c r="N270" s="6" t="s">
        <v>5</v>
      </c>
      <c r="O270" s="6"/>
      <c r="P270" s="17" t="s">
        <v>54</v>
      </c>
      <c r="Q270" s="17" t="s">
        <v>54</v>
      </c>
      <c r="R270" s="17"/>
    </row>
    <row r="271" spans="1:18" s="16" customFormat="1" ht="30" customHeight="1" x14ac:dyDescent="0.3">
      <c r="A271" s="7">
        <v>46016.35429398148</v>
      </c>
      <c r="B271" s="6" t="s">
        <v>5</v>
      </c>
      <c r="C271" s="6"/>
      <c r="D271" s="6" t="str">
        <f>VLOOKUP(B271,'Veri doğrulama'!D6:E13,2,0)</f>
        <v>MEHMET ÖZEN</v>
      </c>
      <c r="E271" s="6" t="s">
        <v>1474</v>
      </c>
      <c r="F271" s="6" t="s">
        <v>1000</v>
      </c>
      <c r="G271" s="6" t="s">
        <v>17</v>
      </c>
      <c r="H271" s="6" t="s">
        <v>34</v>
      </c>
      <c r="I271" s="6">
        <v>539</v>
      </c>
      <c r="J271" s="6">
        <v>451</v>
      </c>
      <c r="K271" s="6">
        <v>1</v>
      </c>
      <c r="L271" s="10">
        <f t="shared" si="5"/>
        <v>0.243089</v>
      </c>
      <c r="M271" s="6" t="s">
        <v>156</v>
      </c>
      <c r="N271" s="6"/>
      <c r="O271" s="6"/>
      <c r="P271" s="17" t="s">
        <v>54</v>
      </c>
      <c r="Q271" s="17" t="s">
        <v>54</v>
      </c>
      <c r="R271" s="17"/>
    </row>
    <row r="272" spans="1:18" s="16" customFormat="1" ht="30" customHeight="1" x14ac:dyDescent="0.3">
      <c r="A272" s="7">
        <v>46015.754305555558</v>
      </c>
      <c r="B272" s="6" t="s">
        <v>5</v>
      </c>
      <c r="C272" s="6"/>
      <c r="D272" s="6" t="str">
        <f>VLOOKUP(B272,'Veri doğrulama'!D6:E13,2,0)</f>
        <v>MEHMET ÖZEN</v>
      </c>
      <c r="E272" s="6">
        <v>26115</v>
      </c>
      <c r="F272" s="6" t="s">
        <v>1473</v>
      </c>
      <c r="G272" s="6" t="s">
        <v>17</v>
      </c>
      <c r="H272" s="6" t="s">
        <v>34</v>
      </c>
      <c r="I272" s="6">
        <v>1765</v>
      </c>
      <c r="J272" s="6">
        <v>681</v>
      </c>
      <c r="K272" s="6">
        <v>1</v>
      </c>
      <c r="L272" s="10">
        <f t="shared" si="5"/>
        <v>1.201965</v>
      </c>
      <c r="M272" s="6" t="s">
        <v>102</v>
      </c>
      <c r="N272" s="6" t="s">
        <v>5</v>
      </c>
      <c r="O272" s="6"/>
      <c r="P272" s="17" t="s">
        <v>54</v>
      </c>
      <c r="Q272" s="17" t="s">
        <v>54</v>
      </c>
      <c r="R272" s="17"/>
    </row>
    <row r="273" spans="1:18" s="16" customFormat="1" ht="30" customHeight="1" x14ac:dyDescent="0.3">
      <c r="A273" s="7">
        <v>46014.663553240738</v>
      </c>
      <c r="B273" s="6" t="s">
        <v>5</v>
      </c>
      <c r="C273" s="6"/>
      <c r="D273" s="6" t="str">
        <f>VLOOKUP(B273,'Veri doğrulama'!D6:E13,2,0)</f>
        <v>MEHMET ÖZEN</v>
      </c>
      <c r="E273" s="6"/>
      <c r="F273" s="6" t="s">
        <v>1472</v>
      </c>
      <c r="G273" s="6" t="s">
        <v>18</v>
      </c>
      <c r="H273" s="6" t="s">
        <v>34</v>
      </c>
      <c r="I273" s="6">
        <v>557</v>
      </c>
      <c r="J273" s="6">
        <v>450</v>
      </c>
      <c r="K273" s="6">
        <v>1</v>
      </c>
      <c r="L273" s="10">
        <f t="shared" si="5"/>
        <v>0.25064999999999998</v>
      </c>
      <c r="M273" s="6" t="s">
        <v>156</v>
      </c>
      <c r="N273" s="6"/>
      <c r="O273" s="6"/>
      <c r="P273" s="17" t="s">
        <v>54</v>
      </c>
      <c r="Q273" s="17" t="s">
        <v>54</v>
      </c>
      <c r="R273" s="17"/>
    </row>
    <row r="274" spans="1:18" s="16" customFormat="1" ht="30" customHeight="1" x14ac:dyDescent="0.3">
      <c r="A274" s="7">
        <v>46014.642488425925</v>
      </c>
      <c r="B274" s="6" t="s">
        <v>5</v>
      </c>
      <c r="C274" s="6"/>
      <c r="D274" s="6" t="str">
        <f>VLOOKUP(B274,'Veri doğrulama'!D6:E13,2,0)</f>
        <v>MEHMET ÖZEN</v>
      </c>
      <c r="E274" s="6"/>
      <c r="F274" s="6" t="s">
        <v>1471</v>
      </c>
      <c r="G274" s="6" t="s">
        <v>18</v>
      </c>
      <c r="H274" s="6" t="s">
        <v>34</v>
      </c>
      <c r="I274" s="6">
        <v>1800</v>
      </c>
      <c r="J274" s="6">
        <v>940</v>
      </c>
      <c r="K274" s="6">
        <v>1</v>
      </c>
      <c r="L274" s="10">
        <f t="shared" si="5"/>
        <v>1.6919999999999999</v>
      </c>
      <c r="M274" s="6" t="s">
        <v>156</v>
      </c>
      <c r="N274" s="6"/>
      <c r="O274" s="6"/>
      <c r="P274" s="17" t="s">
        <v>54</v>
      </c>
      <c r="Q274" s="17" t="s">
        <v>54</v>
      </c>
      <c r="R274" s="17"/>
    </row>
    <row r="275" spans="1:18" s="16" customFormat="1" ht="30" customHeight="1" x14ac:dyDescent="0.3">
      <c r="A275" s="7">
        <v>46014.617372685185</v>
      </c>
      <c r="B275" s="6" t="s">
        <v>4</v>
      </c>
      <c r="C275" s="6"/>
      <c r="D275" s="6" t="str">
        <f>VLOOKUP(B275,'Veri doğrulama'!D6:E13,2,0)</f>
        <v>MEHMET YAZICI</v>
      </c>
      <c r="E275" s="6"/>
      <c r="F275" s="6" t="s">
        <v>1467</v>
      </c>
      <c r="G275" s="6" t="s">
        <v>1010</v>
      </c>
      <c r="H275" s="6" t="s">
        <v>34</v>
      </c>
      <c r="I275" s="6">
        <v>2220</v>
      </c>
      <c r="J275" s="6">
        <v>478</v>
      </c>
      <c r="K275" s="6">
        <v>1</v>
      </c>
      <c r="L275" s="10">
        <f t="shared" si="5"/>
        <v>1.0611600000000001</v>
      </c>
      <c r="M275" s="6" t="s">
        <v>156</v>
      </c>
      <c r="N275" s="6" t="s">
        <v>1142</v>
      </c>
      <c r="O275" s="6"/>
      <c r="P275" s="17" t="s">
        <v>54</v>
      </c>
      <c r="Q275" s="17" t="s">
        <v>54</v>
      </c>
      <c r="R275" s="17"/>
    </row>
    <row r="276" spans="1:18" s="16" customFormat="1" ht="30" customHeight="1" x14ac:dyDescent="0.3">
      <c r="A276" s="7">
        <v>46014.376944444448</v>
      </c>
      <c r="B276" s="6" t="s">
        <v>5</v>
      </c>
      <c r="C276" s="6"/>
      <c r="D276" s="6" t="str">
        <f>VLOOKUP(B276,'Veri doğrulama'!D6:E13,2,0)</f>
        <v>MEHMET ÖZEN</v>
      </c>
      <c r="E276" s="6"/>
      <c r="F276" s="6" t="s">
        <v>1470</v>
      </c>
      <c r="G276" s="6" t="s">
        <v>16</v>
      </c>
      <c r="H276" s="6" t="s">
        <v>34</v>
      </c>
      <c r="I276" s="6">
        <v>1800</v>
      </c>
      <c r="J276" s="6">
        <v>450</v>
      </c>
      <c r="K276" s="6">
        <v>1</v>
      </c>
      <c r="L276" s="10">
        <f t="shared" si="5"/>
        <v>0.81</v>
      </c>
      <c r="M276" s="6" t="s">
        <v>103</v>
      </c>
      <c r="N276" s="6"/>
      <c r="O276" s="6"/>
      <c r="P276" s="17" t="s">
        <v>54</v>
      </c>
      <c r="Q276" s="17" t="s">
        <v>54</v>
      </c>
      <c r="R276" s="17"/>
    </row>
    <row r="277" spans="1:18" s="16" customFormat="1" ht="30" customHeight="1" x14ac:dyDescent="0.3">
      <c r="A277" s="7">
        <v>46014.367604166669</v>
      </c>
      <c r="B277" s="6" t="s">
        <v>5</v>
      </c>
      <c r="C277" s="6"/>
      <c r="D277" s="6" t="str">
        <f>VLOOKUP(B277,'Veri doğrulama'!D6:E13,2,0)</f>
        <v>MEHMET ÖZEN</v>
      </c>
      <c r="E277" s="6">
        <v>26115</v>
      </c>
      <c r="F277" s="6" t="s">
        <v>1469</v>
      </c>
      <c r="G277" s="6" t="s">
        <v>18</v>
      </c>
      <c r="H277" s="6" t="s">
        <v>35</v>
      </c>
      <c r="I277" s="6">
        <v>1400</v>
      </c>
      <c r="J277" s="6">
        <v>150</v>
      </c>
      <c r="K277" s="6">
        <v>1</v>
      </c>
      <c r="L277" s="10">
        <f t="shared" si="5"/>
        <v>0.21</v>
      </c>
      <c r="M277" s="6" t="s">
        <v>102</v>
      </c>
      <c r="N277" s="6" t="s">
        <v>5</v>
      </c>
      <c r="O277" s="6"/>
      <c r="P277" s="17" t="s">
        <v>54</v>
      </c>
      <c r="Q277" s="17" t="s">
        <v>54</v>
      </c>
      <c r="R277" s="17"/>
    </row>
    <row r="278" spans="1:18" s="16" customFormat="1" ht="30" customHeight="1" x14ac:dyDescent="0.3">
      <c r="A278" s="7">
        <v>46014.356342592589</v>
      </c>
      <c r="B278" s="6" t="s">
        <v>81</v>
      </c>
      <c r="C278" s="6"/>
      <c r="D278" s="6" t="str">
        <f>VLOOKUP(B278,'Veri doğrulama'!D6:E13,2,0)</f>
        <v>İBRAHİM ÇELİK</v>
      </c>
      <c r="E278" s="6"/>
      <c r="F278" s="6" t="s">
        <v>1467</v>
      </c>
      <c r="G278" s="6" t="s">
        <v>146</v>
      </c>
      <c r="H278" s="6" t="s">
        <v>34</v>
      </c>
      <c r="I278" s="6">
        <v>2740</v>
      </c>
      <c r="J278" s="6">
        <v>367</v>
      </c>
      <c r="K278" s="6">
        <v>2</v>
      </c>
      <c r="L278" s="10">
        <f t="shared" si="5"/>
        <v>2.0111599999999998</v>
      </c>
      <c r="M278" s="6" t="s">
        <v>1468</v>
      </c>
      <c r="N278" s="6" t="s">
        <v>1142</v>
      </c>
      <c r="O278" s="6"/>
      <c r="P278" s="17" t="s">
        <v>54</v>
      </c>
      <c r="Q278" s="17" t="s">
        <v>54</v>
      </c>
      <c r="R278" s="17"/>
    </row>
    <row r="279" spans="1:18" s="16" customFormat="1" ht="30" customHeight="1" x14ac:dyDescent="0.3">
      <c r="A279" s="7">
        <v>46013.663043981483</v>
      </c>
      <c r="B279" s="6" t="s">
        <v>5</v>
      </c>
      <c r="C279" s="6"/>
      <c r="D279" s="6" t="str">
        <f>VLOOKUP(B279,'Veri doğrulama'!D6:E13,2,0)</f>
        <v>MEHMET ÖZEN</v>
      </c>
      <c r="E279" s="6" t="s">
        <v>1461</v>
      </c>
      <c r="F279" s="6" t="s">
        <v>1462</v>
      </c>
      <c r="G279" s="6" t="s">
        <v>19</v>
      </c>
      <c r="H279" s="6" t="s">
        <v>34</v>
      </c>
      <c r="I279" s="6">
        <v>2386</v>
      </c>
      <c r="J279" s="6">
        <v>586</v>
      </c>
      <c r="K279" s="6">
        <v>1</v>
      </c>
      <c r="L279" s="10">
        <f t="shared" si="5"/>
        <v>1.398196</v>
      </c>
      <c r="M279" s="6" t="s">
        <v>102</v>
      </c>
      <c r="N279" s="6"/>
      <c r="O279" s="6"/>
      <c r="P279" s="17" t="s">
        <v>54</v>
      </c>
      <c r="Q279" s="17" t="s">
        <v>54</v>
      </c>
      <c r="R279" s="17"/>
    </row>
    <row r="280" spans="1:18" s="16" customFormat="1" ht="30" customHeight="1" x14ac:dyDescent="0.3">
      <c r="A280" s="7">
        <v>46013.554062499999</v>
      </c>
      <c r="B280" s="6" t="s">
        <v>5</v>
      </c>
      <c r="C280" s="6"/>
      <c r="D280" s="6" t="str">
        <f>VLOOKUP(B280,'Veri doğrulama'!D6:E13,2,0)</f>
        <v>MEHMET ÖZEN</v>
      </c>
      <c r="E280" s="6"/>
      <c r="F280" s="6" t="s">
        <v>1466</v>
      </c>
      <c r="G280" s="6" t="s">
        <v>1004</v>
      </c>
      <c r="H280" s="6" t="s">
        <v>34</v>
      </c>
      <c r="I280" s="6">
        <v>1570</v>
      </c>
      <c r="J280" s="6">
        <v>910</v>
      </c>
      <c r="K280" s="6">
        <v>2</v>
      </c>
      <c r="L280" s="10">
        <f t="shared" si="5"/>
        <v>2.8574000000000002</v>
      </c>
      <c r="M280" s="6" t="s">
        <v>103</v>
      </c>
      <c r="N280" s="6"/>
      <c r="O280" s="6"/>
      <c r="P280" s="17" t="s">
        <v>54</v>
      </c>
      <c r="Q280" s="17" t="s">
        <v>54</v>
      </c>
      <c r="R280" s="17"/>
    </row>
    <row r="281" spans="1:18" s="16" customFormat="1" ht="30" customHeight="1" x14ac:dyDescent="0.3">
      <c r="A281" s="7">
        <v>46013.336145833331</v>
      </c>
      <c r="B281" s="6" t="s">
        <v>4</v>
      </c>
      <c r="C281" s="6"/>
      <c r="D281" s="6" t="str">
        <f>VLOOKUP(B281,'Veri doğrulama'!D6:E13,2,0)</f>
        <v>MEHMET YAZICI</v>
      </c>
      <c r="E281" s="6"/>
      <c r="F281" s="6" t="s">
        <v>1465</v>
      </c>
      <c r="G281" s="6" t="s">
        <v>16</v>
      </c>
      <c r="H281" s="6" t="s">
        <v>34</v>
      </c>
      <c r="I281" s="6">
        <v>1400</v>
      </c>
      <c r="J281" s="6">
        <v>940</v>
      </c>
      <c r="K281" s="6">
        <v>1</v>
      </c>
      <c r="L281" s="10">
        <f t="shared" si="5"/>
        <v>1.3160000000000001</v>
      </c>
      <c r="M281" s="6" t="s">
        <v>596</v>
      </c>
      <c r="N281" s="6"/>
      <c r="O281" s="6"/>
      <c r="P281" s="17" t="s">
        <v>54</v>
      </c>
      <c r="Q281" s="17" t="s">
        <v>54</v>
      </c>
      <c r="R281" s="17"/>
    </row>
    <row r="282" spans="1:18" s="16" customFormat="1" ht="30" customHeight="1" x14ac:dyDescent="0.3">
      <c r="A282" s="7">
        <v>46010.507569444446</v>
      </c>
      <c r="B282" s="6" t="s">
        <v>5</v>
      </c>
      <c r="C282" s="6"/>
      <c r="D282" s="6" t="str">
        <f>VLOOKUP(B282,'Veri doğrulama'!D6:E13,2,0)</f>
        <v>MEHMET ÖZEN</v>
      </c>
      <c r="E282" s="6" t="s">
        <v>1463</v>
      </c>
      <c r="F282" s="6" t="s">
        <v>1464</v>
      </c>
      <c r="G282" s="6" t="s">
        <v>26</v>
      </c>
      <c r="H282" s="6" t="s">
        <v>34</v>
      </c>
      <c r="I282" s="6">
        <v>2810</v>
      </c>
      <c r="J282" s="6">
        <v>1210</v>
      </c>
      <c r="K282" s="6">
        <v>1</v>
      </c>
      <c r="L282" s="10">
        <f t="shared" si="5"/>
        <v>3.4001000000000001</v>
      </c>
      <c r="M282" s="6" t="s">
        <v>156</v>
      </c>
      <c r="N282" s="6"/>
      <c r="O282" s="6"/>
      <c r="P282" s="17" t="s">
        <v>54</v>
      </c>
      <c r="Q282" s="17" t="s">
        <v>54</v>
      </c>
      <c r="R282" s="17"/>
    </row>
    <row r="283" spans="1:18" s="16" customFormat="1" ht="30" customHeight="1" x14ac:dyDescent="0.3">
      <c r="A283" s="7">
        <v>46010.482152777775</v>
      </c>
      <c r="B283" s="6" t="s">
        <v>5</v>
      </c>
      <c r="C283" s="6"/>
      <c r="D283" s="6" t="str">
        <f>VLOOKUP(B283,'Veri doğrulama'!D6:E13,2,0)</f>
        <v>MEHMET ÖZEN</v>
      </c>
      <c r="E283" s="6"/>
      <c r="F283" s="6" t="s">
        <v>1382</v>
      </c>
      <c r="G283" s="6" t="s">
        <v>15</v>
      </c>
      <c r="H283" s="6" t="s">
        <v>34</v>
      </c>
      <c r="I283" s="6">
        <v>1400</v>
      </c>
      <c r="J283" s="6">
        <v>800</v>
      </c>
      <c r="K283" s="6">
        <v>1</v>
      </c>
      <c r="L283" s="10">
        <f t="shared" si="5"/>
        <v>1.1200000000000001</v>
      </c>
      <c r="M283" s="6" t="s">
        <v>103</v>
      </c>
      <c r="N283" s="6" t="s">
        <v>5</v>
      </c>
      <c r="O283" s="6"/>
      <c r="P283" s="17" t="s">
        <v>54</v>
      </c>
      <c r="Q283" s="17" t="s">
        <v>54</v>
      </c>
      <c r="R283" s="17"/>
    </row>
    <row r="284" spans="1:18" s="16" customFormat="1" ht="30" customHeight="1" x14ac:dyDescent="0.3">
      <c r="A284" s="7">
        <v>46010.466678240744</v>
      </c>
      <c r="B284" s="6" t="s">
        <v>5</v>
      </c>
      <c r="C284" s="6"/>
      <c r="D284" s="6" t="str">
        <f>VLOOKUP(B284,'Veri doğrulama'!D6:E13,2,0)</f>
        <v>MEHMET ÖZEN</v>
      </c>
      <c r="E284" s="6" t="s">
        <v>1461</v>
      </c>
      <c r="F284" s="6" t="s">
        <v>1462</v>
      </c>
      <c r="G284" s="6" t="s">
        <v>19</v>
      </c>
      <c r="H284" s="6" t="s">
        <v>34</v>
      </c>
      <c r="I284" s="6">
        <v>2386</v>
      </c>
      <c r="J284" s="6">
        <v>586</v>
      </c>
      <c r="K284" s="6">
        <v>1</v>
      </c>
      <c r="L284" s="10">
        <f t="shared" si="5"/>
        <v>1.398196</v>
      </c>
      <c r="M284" s="6" t="s">
        <v>103</v>
      </c>
      <c r="N284" s="6"/>
      <c r="O284" s="6"/>
      <c r="P284" s="17" t="s">
        <v>54</v>
      </c>
      <c r="Q284" s="17" t="s">
        <v>54</v>
      </c>
      <c r="R284" s="17"/>
    </row>
    <row r="285" spans="1:18" s="16" customFormat="1" ht="30" customHeight="1" x14ac:dyDescent="0.3">
      <c r="A285" s="7">
        <v>46010.358402777776</v>
      </c>
      <c r="B285" s="6" t="s">
        <v>4</v>
      </c>
      <c r="C285" s="6"/>
      <c r="D285" s="6" t="str">
        <f>VLOOKUP(B285,'Veri doğrulama'!D6:E13,2,0)</f>
        <v>MEHMET YAZICI</v>
      </c>
      <c r="E285" s="6"/>
      <c r="F285" s="6" t="s">
        <v>951</v>
      </c>
      <c r="G285" s="6" t="s">
        <v>16</v>
      </c>
      <c r="H285" s="6" t="s">
        <v>35</v>
      </c>
      <c r="I285" s="6">
        <v>1800</v>
      </c>
      <c r="J285" s="6">
        <v>150</v>
      </c>
      <c r="K285" s="6">
        <v>1</v>
      </c>
      <c r="L285" s="10">
        <f t="shared" si="5"/>
        <v>0.27</v>
      </c>
      <c r="M285" s="6" t="s">
        <v>102</v>
      </c>
      <c r="N285" s="6"/>
      <c r="O285" s="6"/>
      <c r="P285" s="17" t="s">
        <v>54</v>
      </c>
      <c r="Q285" s="17" t="s">
        <v>54</v>
      </c>
      <c r="R285" s="17"/>
    </row>
    <row r="286" spans="1:18" s="16" customFormat="1" ht="30" customHeight="1" x14ac:dyDescent="0.3">
      <c r="A286" s="7">
        <v>46009.72210648148</v>
      </c>
      <c r="B286" s="6" t="s">
        <v>5</v>
      </c>
      <c r="C286" s="6"/>
      <c r="D286" s="6" t="str">
        <f>VLOOKUP(B286,'Veri doğrulama'!D6:E13,2,0)</f>
        <v>MEHMET ÖZEN</v>
      </c>
      <c r="E286" s="6"/>
      <c r="F286" s="6" t="s">
        <v>1460</v>
      </c>
      <c r="G286" s="6" t="s">
        <v>24</v>
      </c>
      <c r="H286" s="6" t="s">
        <v>34</v>
      </c>
      <c r="I286" s="6">
        <v>3010</v>
      </c>
      <c r="J286" s="6">
        <v>910</v>
      </c>
      <c r="K286" s="6">
        <v>1</v>
      </c>
      <c r="L286" s="10">
        <f t="shared" si="5"/>
        <v>2.7391000000000001</v>
      </c>
      <c r="M286" s="6" t="s">
        <v>42</v>
      </c>
      <c r="N286" s="6"/>
      <c r="O286" s="6"/>
      <c r="P286" s="17" t="s">
        <v>54</v>
      </c>
      <c r="Q286" s="17" t="s">
        <v>54</v>
      </c>
      <c r="R286" s="17"/>
    </row>
    <row r="287" spans="1:18" s="16" customFormat="1" ht="30" customHeight="1" x14ac:dyDescent="0.3">
      <c r="A287" s="7">
        <v>46009.454282407409</v>
      </c>
      <c r="B287" s="6" t="s">
        <v>5</v>
      </c>
      <c r="C287" s="6"/>
      <c r="D287" s="6" t="str">
        <f>VLOOKUP(B287,'Veri doğrulama'!D6:E13,2,0)</f>
        <v>MEHMET ÖZEN</v>
      </c>
      <c r="E287" s="6"/>
      <c r="F287" s="6" t="s">
        <v>80</v>
      </c>
      <c r="G287" s="6" t="s">
        <v>15</v>
      </c>
      <c r="H287" s="6" t="s">
        <v>34</v>
      </c>
      <c r="I287" s="6">
        <v>1400</v>
      </c>
      <c r="J287" s="6">
        <v>800</v>
      </c>
      <c r="K287" s="6">
        <v>1</v>
      </c>
      <c r="L287" s="10">
        <f t="shared" si="5"/>
        <v>1.1200000000000001</v>
      </c>
      <c r="M287" s="6" t="s">
        <v>156</v>
      </c>
      <c r="N287" s="6"/>
      <c r="O287" s="6"/>
      <c r="P287" s="17" t="s">
        <v>54</v>
      </c>
      <c r="Q287" s="17" t="s">
        <v>54</v>
      </c>
      <c r="R287" s="17"/>
    </row>
    <row r="288" spans="1:18" s="16" customFormat="1" ht="30" customHeight="1" x14ac:dyDescent="0.3">
      <c r="A288" s="7">
        <v>46008.740358796298</v>
      </c>
      <c r="B288" s="6" t="s">
        <v>7</v>
      </c>
      <c r="C288" s="6"/>
      <c r="D288" s="6" t="str">
        <f>VLOOKUP(B288,'Veri doğrulama'!D6:E13,2,0)</f>
        <v>SIDDIK KAPLAN</v>
      </c>
      <c r="E288" s="6"/>
      <c r="F288" s="6" t="s">
        <v>1459</v>
      </c>
      <c r="G288" s="6" t="s">
        <v>17</v>
      </c>
      <c r="H288" s="6" t="s">
        <v>34</v>
      </c>
      <c r="I288" s="6">
        <v>1600</v>
      </c>
      <c r="J288" s="6">
        <v>557</v>
      </c>
      <c r="K288" s="6">
        <v>1</v>
      </c>
      <c r="L288" s="10">
        <f t="shared" si="5"/>
        <v>0.89119999999999999</v>
      </c>
      <c r="M288" s="6" t="s">
        <v>43</v>
      </c>
      <c r="N288" s="6"/>
      <c r="O288" s="6"/>
      <c r="P288" s="17" t="s">
        <v>54</v>
      </c>
      <c r="Q288" s="17" t="s">
        <v>54</v>
      </c>
      <c r="R288" s="17"/>
    </row>
    <row r="289" spans="1:18" s="16" customFormat="1" ht="30" customHeight="1" x14ac:dyDescent="0.3">
      <c r="A289" s="7">
        <v>46008.726342592592</v>
      </c>
      <c r="B289" s="6" t="s">
        <v>5</v>
      </c>
      <c r="C289" s="6"/>
      <c r="D289" s="6" t="str">
        <f>VLOOKUP(B289,'Veri doğrulama'!D6:E13,2,0)</f>
        <v>MEHMET ÖZEN</v>
      </c>
      <c r="E289" s="6"/>
      <c r="F289" s="6" t="s">
        <v>1458</v>
      </c>
      <c r="G289" s="6" t="s">
        <v>22</v>
      </c>
      <c r="H289" s="6" t="s">
        <v>34</v>
      </c>
      <c r="I289" s="6">
        <v>1700</v>
      </c>
      <c r="J289" s="6">
        <v>480</v>
      </c>
      <c r="K289" s="6">
        <v>1</v>
      </c>
      <c r="L289" s="10">
        <f t="shared" si="5"/>
        <v>0.81599999999999995</v>
      </c>
      <c r="M289" s="6" t="s">
        <v>156</v>
      </c>
      <c r="N289" s="6"/>
      <c r="O289" s="6"/>
      <c r="P289" s="17" t="s">
        <v>54</v>
      </c>
      <c r="Q289" s="17" t="s">
        <v>54</v>
      </c>
      <c r="R289" s="17"/>
    </row>
    <row r="290" spans="1:18" s="16" customFormat="1" ht="30" customHeight="1" x14ac:dyDescent="0.3">
      <c r="A290" s="7">
        <v>46008.725613425922</v>
      </c>
      <c r="B290" s="6" t="s">
        <v>5</v>
      </c>
      <c r="C290" s="6"/>
      <c r="D290" s="6" t="str">
        <f>VLOOKUP(B290,'Veri doğrulama'!D7:E14,2,0)</f>
        <v>MEHMET ÖZEN</v>
      </c>
      <c r="E290" s="6"/>
      <c r="F290" s="6" t="s">
        <v>1457</v>
      </c>
      <c r="G290" s="6" t="s">
        <v>22</v>
      </c>
      <c r="H290" s="6" t="s">
        <v>34</v>
      </c>
      <c r="I290" s="6">
        <v>1700</v>
      </c>
      <c r="J290" s="6">
        <v>505</v>
      </c>
      <c r="K290" s="6">
        <v>2</v>
      </c>
      <c r="L290" s="10">
        <f t="shared" si="5"/>
        <v>1.7170000000000001</v>
      </c>
      <c r="M290" s="6" t="s">
        <v>156</v>
      </c>
      <c r="N290" s="6"/>
      <c r="O290" s="6"/>
      <c r="P290" s="17" t="s">
        <v>54</v>
      </c>
      <c r="Q290" s="17" t="s">
        <v>54</v>
      </c>
      <c r="R290" s="17"/>
    </row>
    <row r="291" spans="1:18" s="16" customFormat="1" ht="30" customHeight="1" x14ac:dyDescent="0.3">
      <c r="A291" s="7">
        <v>46008.664085648146</v>
      </c>
      <c r="B291" s="6" t="s">
        <v>5</v>
      </c>
      <c r="C291" s="6"/>
      <c r="D291" s="6" t="s">
        <v>53</v>
      </c>
      <c r="E291" s="6"/>
      <c r="F291" s="6" t="s">
        <v>1456</v>
      </c>
      <c r="G291" s="6" t="s">
        <v>13</v>
      </c>
      <c r="H291" s="6" t="s">
        <v>34</v>
      </c>
      <c r="I291" s="6">
        <v>2200</v>
      </c>
      <c r="J291" s="6">
        <v>450</v>
      </c>
      <c r="K291" s="6">
        <v>1</v>
      </c>
      <c r="L291" s="10">
        <f t="shared" si="5"/>
        <v>0.99</v>
      </c>
      <c r="M291" s="6" t="s">
        <v>102</v>
      </c>
      <c r="N291" s="6"/>
      <c r="O291" s="6"/>
      <c r="P291" s="17" t="s">
        <v>54</v>
      </c>
      <c r="Q291" s="17" t="s">
        <v>54</v>
      </c>
      <c r="R291" s="17"/>
    </row>
    <row r="292" spans="1:18" s="16" customFormat="1" ht="30" customHeight="1" x14ac:dyDescent="0.3">
      <c r="A292" s="7">
        <v>46008.662719907406</v>
      </c>
      <c r="B292" s="6" t="s">
        <v>5</v>
      </c>
      <c r="C292" s="6"/>
      <c r="D292" s="6" t="s">
        <v>53</v>
      </c>
      <c r="E292" s="6" t="s">
        <v>1450</v>
      </c>
      <c r="F292" s="6" t="s">
        <v>1455</v>
      </c>
      <c r="G292" s="6" t="s">
        <v>17</v>
      </c>
      <c r="H292" s="6" t="s">
        <v>34</v>
      </c>
      <c r="I292" s="6">
        <v>539</v>
      </c>
      <c r="J292" s="6">
        <v>432</v>
      </c>
      <c r="K292" s="6">
        <v>2</v>
      </c>
      <c r="L292" s="10">
        <f t="shared" si="5"/>
        <v>0.465696</v>
      </c>
      <c r="M292" s="6" t="s">
        <v>102</v>
      </c>
      <c r="N292" s="6"/>
      <c r="O292" s="6"/>
      <c r="P292" s="17" t="s">
        <v>54</v>
      </c>
      <c r="Q292" s="17" t="s">
        <v>54</v>
      </c>
      <c r="R292" s="17"/>
    </row>
    <row r="293" spans="1:18" s="16" customFormat="1" ht="30" customHeight="1" x14ac:dyDescent="0.3">
      <c r="A293" s="7">
        <v>46008.648148148146</v>
      </c>
      <c r="B293" s="6" t="s">
        <v>4</v>
      </c>
      <c r="C293" s="6"/>
      <c r="D293" s="6" t="s">
        <v>339</v>
      </c>
      <c r="E293" s="6">
        <v>25804</v>
      </c>
      <c r="F293" s="6" t="s">
        <v>1454</v>
      </c>
      <c r="G293" s="6" t="s">
        <v>17</v>
      </c>
      <c r="H293" s="6" t="s">
        <v>34</v>
      </c>
      <c r="I293" s="6">
        <v>712</v>
      </c>
      <c r="J293" s="6">
        <v>380</v>
      </c>
      <c r="K293" s="6">
        <v>2</v>
      </c>
      <c r="L293" s="10">
        <f t="shared" si="5"/>
        <v>0.54112000000000005</v>
      </c>
      <c r="M293" s="6" t="s">
        <v>43</v>
      </c>
      <c r="N293" s="6"/>
      <c r="O293" s="6"/>
      <c r="P293" s="17" t="s">
        <v>54</v>
      </c>
      <c r="Q293" s="17" t="s">
        <v>54</v>
      </c>
      <c r="R293" s="17"/>
    </row>
    <row r="294" spans="1:18" s="16" customFormat="1" ht="30" customHeight="1" x14ac:dyDescent="0.3">
      <c r="A294" s="7">
        <v>46008.647060185183</v>
      </c>
      <c r="B294" s="6" t="s">
        <v>4</v>
      </c>
      <c r="C294" s="6"/>
      <c r="D294" s="6" t="s">
        <v>339</v>
      </c>
      <c r="E294" s="6">
        <v>25988</v>
      </c>
      <c r="F294" s="6" t="s">
        <v>1453</v>
      </c>
      <c r="G294" s="6" t="s">
        <v>17</v>
      </c>
      <c r="H294" s="6" t="s">
        <v>34</v>
      </c>
      <c r="I294" s="6">
        <v>1600</v>
      </c>
      <c r="J294" s="6">
        <v>800</v>
      </c>
      <c r="K294" s="6">
        <v>1</v>
      </c>
      <c r="L294" s="10">
        <f t="shared" si="5"/>
        <v>1.28</v>
      </c>
      <c r="M294" s="6" t="s">
        <v>75</v>
      </c>
      <c r="N294" s="6"/>
      <c r="O294" s="6"/>
      <c r="P294" s="17" t="s">
        <v>54</v>
      </c>
      <c r="Q294" s="17" t="s">
        <v>54</v>
      </c>
      <c r="R294" s="17"/>
    </row>
    <row r="295" spans="1:18" ht="30" customHeight="1" x14ac:dyDescent="0.3">
      <c r="A295" s="7">
        <v>46008.566307870373</v>
      </c>
      <c r="B295" s="6" t="s">
        <v>5</v>
      </c>
      <c r="C295" s="6"/>
      <c r="D295" s="6" t="s">
        <v>53</v>
      </c>
      <c r="E295" s="6" t="s">
        <v>1450</v>
      </c>
      <c r="F295" s="6" t="s">
        <v>1452</v>
      </c>
      <c r="G295" s="6" t="s">
        <v>17</v>
      </c>
      <c r="H295" s="6" t="s">
        <v>34</v>
      </c>
      <c r="I295" s="6">
        <v>539</v>
      </c>
      <c r="J295" s="6">
        <v>432</v>
      </c>
      <c r="K295" s="6">
        <v>2</v>
      </c>
      <c r="L295" s="10">
        <f t="shared" si="5"/>
        <v>0.465696</v>
      </c>
      <c r="M295" s="6" t="s">
        <v>102</v>
      </c>
      <c r="N295" s="6"/>
      <c r="O295" s="6"/>
      <c r="P295" s="17" t="s">
        <v>54</v>
      </c>
      <c r="Q295" s="17" t="s">
        <v>54</v>
      </c>
      <c r="R295" s="17"/>
    </row>
    <row r="296" spans="1:18" ht="30" customHeight="1" x14ac:dyDescent="0.3">
      <c r="A296" s="7">
        <v>46008.563171296293</v>
      </c>
      <c r="B296" s="6" t="s">
        <v>5</v>
      </c>
      <c r="C296" s="6"/>
      <c r="D296" s="6" t="s">
        <v>53</v>
      </c>
      <c r="E296" s="6" t="s">
        <v>1450</v>
      </c>
      <c r="F296" s="6" t="s">
        <v>1451</v>
      </c>
      <c r="G296" s="6" t="s">
        <v>17</v>
      </c>
      <c r="H296" s="6" t="s">
        <v>34</v>
      </c>
      <c r="I296" s="6">
        <v>539</v>
      </c>
      <c r="J296" s="6">
        <v>432</v>
      </c>
      <c r="K296" s="6">
        <v>2</v>
      </c>
      <c r="L296" s="10">
        <f t="shared" si="5"/>
        <v>0.465696</v>
      </c>
      <c r="M296" s="6" t="s">
        <v>102</v>
      </c>
      <c r="N296" s="6"/>
      <c r="O296" s="6"/>
      <c r="P296" s="17" t="s">
        <v>54</v>
      </c>
      <c r="Q296" s="17" t="s">
        <v>54</v>
      </c>
      <c r="R296" s="17"/>
    </row>
    <row r="297" spans="1:18" ht="30" customHeight="1" x14ac:dyDescent="0.3">
      <c r="A297" s="7">
        <v>46008.437280092592</v>
      </c>
      <c r="B297" s="6" t="s">
        <v>5</v>
      </c>
      <c r="C297" s="6"/>
      <c r="D297" s="6" t="s">
        <v>53</v>
      </c>
      <c r="E297" s="6" t="s">
        <v>1448</v>
      </c>
      <c r="F297" s="6" t="s">
        <v>1217</v>
      </c>
      <c r="G297" s="6" t="s">
        <v>18</v>
      </c>
      <c r="H297" s="6" t="s">
        <v>34</v>
      </c>
      <c r="I297" s="6">
        <v>1435</v>
      </c>
      <c r="J297" s="6">
        <v>360</v>
      </c>
      <c r="K297" s="6">
        <v>2</v>
      </c>
      <c r="L297" s="10">
        <f t="shared" si="5"/>
        <v>1.0331999999999999</v>
      </c>
      <c r="M297" s="6" t="s">
        <v>156</v>
      </c>
      <c r="N297" s="6" t="s">
        <v>1449</v>
      </c>
      <c r="O297" s="6"/>
      <c r="P297" s="17" t="s">
        <v>54</v>
      </c>
      <c r="Q297" s="17" t="s">
        <v>54</v>
      </c>
      <c r="R297" s="17"/>
    </row>
    <row r="298" spans="1:18" ht="30" customHeight="1" x14ac:dyDescent="0.3">
      <c r="A298" s="7">
        <v>46008.366678240738</v>
      </c>
      <c r="B298" s="6" t="s">
        <v>5</v>
      </c>
      <c r="C298" s="6"/>
      <c r="D298" s="6" t="s">
        <v>53</v>
      </c>
      <c r="E298" s="6"/>
      <c r="F298" s="6" t="s">
        <v>1447</v>
      </c>
      <c r="G298" s="6" t="s">
        <v>1392</v>
      </c>
      <c r="H298" s="6" t="s">
        <v>34</v>
      </c>
      <c r="I298" s="6">
        <v>1800</v>
      </c>
      <c r="J298" s="6">
        <v>800</v>
      </c>
      <c r="K298" s="6">
        <v>1</v>
      </c>
      <c r="L298" s="10">
        <f t="shared" si="5"/>
        <v>1.44</v>
      </c>
      <c r="M298" s="6" t="s">
        <v>102</v>
      </c>
      <c r="N298" s="6" t="s">
        <v>5</v>
      </c>
      <c r="O298" s="6"/>
      <c r="P298" s="17" t="s">
        <v>54</v>
      </c>
      <c r="Q298" s="17" t="s">
        <v>54</v>
      </c>
      <c r="R298" s="17"/>
    </row>
    <row r="299" spans="1:18" ht="30" customHeight="1" x14ac:dyDescent="0.3">
      <c r="A299" s="7">
        <v>46008.365891203706</v>
      </c>
      <c r="B299" s="6" t="s">
        <v>5</v>
      </c>
      <c r="C299" s="6"/>
      <c r="D299" s="6" t="s">
        <v>53</v>
      </c>
      <c r="E299" s="6">
        <v>25976</v>
      </c>
      <c r="F299" s="6" t="s">
        <v>1446</v>
      </c>
      <c r="G299" s="6" t="s">
        <v>19</v>
      </c>
      <c r="H299" s="6" t="s">
        <v>34</v>
      </c>
      <c r="I299" s="6">
        <v>2000</v>
      </c>
      <c r="J299" s="6">
        <v>1000</v>
      </c>
      <c r="K299" s="6">
        <v>1</v>
      </c>
      <c r="L299" s="10">
        <f t="shared" si="5"/>
        <v>2</v>
      </c>
      <c r="M299" s="6" t="s">
        <v>103</v>
      </c>
      <c r="N299" s="6" t="s">
        <v>5</v>
      </c>
      <c r="O299" s="6"/>
      <c r="P299" s="17" t="s">
        <v>54</v>
      </c>
      <c r="Q299" s="17" t="s">
        <v>54</v>
      </c>
      <c r="R299" s="17"/>
    </row>
    <row r="300" spans="1:18" ht="30" customHeight="1" x14ac:dyDescent="0.3">
      <c r="A300" s="7">
        <v>46007.415902777779</v>
      </c>
      <c r="B300" s="6" t="s">
        <v>5</v>
      </c>
      <c r="C300" s="6"/>
      <c r="D300" s="6" t="s">
        <v>53</v>
      </c>
      <c r="E300" s="6"/>
      <c r="F300" s="6" t="s">
        <v>1445</v>
      </c>
      <c r="G300" s="6" t="s">
        <v>1004</v>
      </c>
      <c r="H300" s="6" t="s">
        <v>34</v>
      </c>
      <c r="I300" s="6">
        <v>1600</v>
      </c>
      <c r="J300" s="6">
        <v>810</v>
      </c>
      <c r="K300" s="6">
        <v>3</v>
      </c>
      <c r="L300" s="10">
        <f t="shared" si="5"/>
        <v>3.8879999999999999</v>
      </c>
      <c r="M300" s="6" t="s">
        <v>103</v>
      </c>
      <c r="N300" s="6"/>
      <c r="O300" s="6"/>
      <c r="P300" s="17" t="s">
        <v>54</v>
      </c>
      <c r="Q300" s="17" t="s">
        <v>54</v>
      </c>
      <c r="R300" s="17"/>
    </row>
    <row r="301" spans="1:18" ht="30" customHeight="1" x14ac:dyDescent="0.3">
      <c r="A301" s="7">
        <v>46007.414548611108</v>
      </c>
      <c r="B301" s="6" t="s">
        <v>5</v>
      </c>
      <c r="C301" s="6"/>
      <c r="D301" s="6" t="s">
        <v>53</v>
      </c>
      <c r="E301" s="6"/>
      <c r="F301" s="6" t="s">
        <v>1444</v>
      </c>
      <c r="G301" s="6" t="s">
        <v>1004</v>
      </c>
      <c r="H301" s="6" t="s">
        <v>34</v>
      </c>
      <c r="I301" s="6">
        <v>1570</v>
      </c>
      <c r="J301" s="6">
        <v>910</v>
      </c>
      <c r="K301" s="6">
        <v>2</v>
      </c>
      <c r="L301" s="10">
        <f t="shared" si="5"/>
        <v>2.8574000000000002</v>
      </c>
      <c r="M301" s="6" t="s">
        <v>103</v>
      </c>
      <c r="N301" s="6"/>
      <c r="O301" s="6"/>
      <c r="P301" s="17" t="s">
        <v>54</v>
      </c>
      <c r="Q301" s="17" t="s">
        <v>54</v>
      </c>
      <c r="R301" s="17"/>
    </row>
    <row r="302" spans="1:18" ht="30" customHeight="1" x14ac:dyDescent="0.3">
      <c r="A302" s="7">
        <v>46006.645057175927</v>
      </c>
      <c r="B302" s="6" t="s">
        <v>5</v>
      </c>
      <c r="C302" s="6"/>
      <c r="D302" s="6" t="str">
        <f>VLOOKUP(B302,'Veri doğrulama'!D6:E13,2,0)</f>
        <v>MEHMET ÖZEN</v>
      </c>
      <c r="E302" s="6" t="s">
        <v>1442</v>
      </c>
      <c r="F302" s="6" t="s">
        <v>1443</v>
      </c>
      <c r="G302" s="6" t="s">
        <v>16</v>
      </c>
      <c r="H302" s="6" t="s">
        <v>34</v>
      </c>
      <c r="I302" s="6">
        <v>700</v>
      </c>
      <c r="J302" s="6">
        <v>397</v>
      </c>
      <c r="K302" s="6">
        <v>1</v>
      </c>
      <c r="L302" s="10">
        <f t="shared" si="5"/>
        <v>0.27789999999999998</v>
      </c>
      <c r="M302" s="6" t="s">
        <v>156</v>
      </c>
      <c r="N302" s="6"/>
      <c r="O302" s="6"/>
      <c r="P302" s="17" t="s">
        <v>54</v>
      </c>
      <c r="Q302" s="17" t="s">
        <v>54</v>
      </c>
      <c r="R302" s="17"/>
    </row>
    <row r="303" spans="1:18" ht="30" customHeight="1" x14ac:dyDescent="0.3">
      <c r="A303" s="7">
        <v>46006.503113078703</v>
      </c>
      <c r="B303" s="6" t="s">
        <v>5</v>
      </c>
      <c r="C303" s="6"/>
      <c r="D303" s="6" t="str">
        <f>VLOOKUP(B303,'Veri doğrulama'!D6:E13,2,0)</f>
        <v>MEHMET ÖZEN</v>
      </c>
      <c r="E303" s="6" t="s">
        <v>1440</v>
      </c>
      <c r="F303" s="6" t="s">
        <v>1441</v>
      </c>
      <c r="G303" s="6" t="s">
        <v>13</v>
      </c>
      <c r="H303" s="6" t="s">
        <v>34</v>
      </c>
      <c r="I303" s="6">
        <v>1200</v>
      </c>
      <c r="J303" s="6">
        <v>500</v>
      </c>
      <c r="K303" s="6">
        <v>2</v>
      </c>
      <c r="L303" s="10">
        <f t="shared" si="5"/>
        <v>1.2</v>
      </c>
      <c r="M303" s="6" t="s">
        <v>103</v>
      </c>
      <c r="N303" s="6"/>
      <c r="O303" s="6"/>
      <c r="P303" s="17" t="s">
        <v>54</v>
      </c>
      <c r="Q303" s="17" t="s">
        <v>54</v>
      </c>
      <c r="R303" s="17"/>
    </row>
    <row r="304" spans="1:18" ht="30" customHeight="1" x14ac:dyDescent="0.3">
      <c r="A304" s="7">
        <v>46006.356666435182</v>
      </c>
      <c r="B304" s="6" t="s">
        <v>5</v>
      </c>
      <c r="C304" s="6"/>
      <c r="D304" s="6" t="str">
        <f>VLOOKUP(B304,'Veri doğrulama'!D6:E13,2,0)</f>
        <v>MEHMET ÖZEN</v>
      </c>
      <c r="E304" s="6" t="s">
        <v>1438</v>
      </c>
      <c r="F304" s="6" t="s">
        <v>1439</v>
      </c>
      <c r="G304" s="6" t="s">
        <v>13</v>
      </c>
      <c r="H304" s="6" t="s">
        <v>34</v>
      </c>
      <c r="I304" s="6">
        <v>2200</v>
      </c>
      <c r="J304" s="6">
        <v>450</v>
      </c>
      <c r="K304" s="6">
        <v>1</v>
      </c>
      <c r="L304" s="10">
        <f t="shared" si="5"/>
        <v>0.99</v>
      </c>
      <c r="M304" s="6" t="s">
        <v>103</v>
      </c>
      <c r="N304" s="6"/>
      <c r="O304" s="6"/>
      <c r="P304" s="17" t="s">
        <v>54</v>
      </c>
      <c r="Q304" s="17" t="s">
        <v>54</v>
      </c>
      <c r="R304" s="17"/>
    </row>
    <row r="305" spans="1:18" ht="30" customHeight="1" x14ac:dyDescent="0.3">
      <c r="A305" s="7">
        <v>46002.700442592592</v>
      </c>
      <c r="B305" s="6" t="s">
        <v>5</v>
      </c>
      <c r="C305" s="6"/>
      <c r="D305" s="6" t="str">
        <f>VLOOKUP(B305,'Veri doğrulama'!D6:E13,2,0)</f>
        <v>MEHMET ÖZEN</v>
      </c>
      <c r="E305" s="6"/>
      <c r="F305" s="6" t="s">
        <v>1437</v>
      </c>
      <c r="G305" s="6" t="s">
        <v>19</v>
      </c>
      <c r="H305" s="6" t="s">
        <v>34</v>
      </c>
      <c r="I305" s="6">
        <v>2600</v>
      </c>
      <c r="J305" s="6">
        <v>300</v>
      </c>
      <c r="K305" s="6">
        <v>1</v>
      </c>
      <c r="L305" s="10">
        <f t="shared" si="5"/>
        <v>0.78</v>
      </c>
      <c r="M305" s="6" t="s">
        <v>103</v>
      </c>
      <c r="N305" s="6"/>
      <c r="O305" s="6"/>
      <c r="P305" s="17" t="s">
        <v>54</v>
      </c>
      <c r="Q305" s="17" t="s">
        <v>54</v>
      </c>
      <c r="R305" s="17"/>
    </row>
    <row r="306" spans="1:18" ht="30" customHeight="1" x14ac:dyDescent="0.3">
      <c r="A306" s="7">
        <v>46002.681386111108</v>
      </c>
      <c r="B306" s="6" t="s">
        <v>5</v>
      </c>
      <c r="C306" s="6"/>
      <c r="D306" s="6" t="str">
        <f>VLOOKUP(B306,'Veri doğrulama'!D6:E13,2,0)</f>
        <v>MEHMET ÖZEN</v>
      </c>
      <c r="E306" s="6" t="s">
        <v>1436</v>
      </c>
      <c r="F306" s="6" t="s">
        <v>1269</v>
      </c>
      <c r="G306" s="6" t="s">
        <v>19</v>
      </c>
      <c r="H306" s="6" t="s">
        <v>34</v>
      </c>
      <c r="I306" s="6">
        <v>378</v>
      </c>
      <c r="J306" s="6">
        <v>320</v>
      </c>
      <c r="K306" s="6">
        <v>1</v>
      </c>
      <c r="L306" s="10">
        <f t="shared" si="5"/>
        <v>0.12096</v>
      </c>
      <c r="M306" s="6" t="s">
        <v>102</v>
      </c>
      <c r="N306" s="6"/>
      <c r="O306" s="6"/>
      <c r="P306" s="17" t="s">
        <v>54</v>
      </c>
      <c r="Q306" s="17" t="s">
        <v>54</v>
      </c>
      <c r="R306" s="17"/>
    </row>
    <row r="307" spans="1:18" ht="30" customHeight="1" x14ac:dyDescent="0.3">
      <c r="A307" s="7">
        <v>46002.47262847222</v>
      </c>
      <c r="B307" s="6" t="s">
        <v>5</v>
      </c>
      <c r="C307" s="6"/>
      <c r="D307" s="6" t="str">
        <f>VLOOKUP(B307,'Veri doğrulama'!D6:E13,2,0)</f>
        <v>MEHMET ÖZEN</v>
      </c>
      <c r="E307" s="6"/>
      <c r="F307" s="6" t="s">
        <v>1435</v>
      </c>
      <c r="G307" s="6" t="s">
        <v>15</v>
      </c>
      <c r="H307" s="6" t="s">
        <v>34</v>
      </c>
      <c r="I307" s="6">
        <v>1600</v>
      </c>
      <c r="J307" s="6">
        <v>1600</v>
      </c>
      <c r="K307" s="6">
        <v>1</v>
      </c>
      <c r="L307" s="10">
        <f t="shared" si="5"/>
        <v>2.56</v>
      </c>
      <c r="M307" s="6" t="s">
        <v>42</v>
      </c>
      <c r="N307" s="6"/>
      <c r="O307" s="6"/>
      <c r="P307" s="17" t="s">
        <v>54</v>
      </c>
      <c r="Q307" s="17" t="s">
        <v>54</v>
      </c>
      <c r="R307" s="17"/>
    </row>
    <row r="308" spans="1:18" ht="30" customHeight="1" x14ac:dyDescent="0.3">
      <c r="A308" s="7">
        <v>46002.471963425924</v>
      </c>
      <c r="B308" s="6" t="s">
        <v>5</v>
      </c>
      <c r="C308" s="6"/>
      <c r="D308" s="6" t="str">
        <f>VLOOKUP(B308,'Veri doğrulama'!D6:E13,2,0)</f>
        <v>MEHMET ÖZEN</v>
      </c>
      <c r="E308" s="6"/>
      <c r="F308" s="6" t="s">
        <v>1434</v>
      </c>
      <c r="G308" s="6" t="s">
        <v>15</v>
      </c>
      <c r="H308" s="6" t="s">
        <v>34</v>
      </c>
      <c r="I308" s="6">
        <v>2210</v>
      </c>
      <c r="J308" s="6">
        <v>910</v>
      </c>
      <c r="K308" s="6">
        <v>2</v>
      </c>
      <c r="L308" s="10">
        <f t="shared" si="5"/>
        <v>4.0221999999999998</v>
      </c>
      <c r="M308" s="6" t="s">
        <v>42</v>
      </c>
      <c r="N308" s="6"/>
      <c r="O308" s="6"/>
      <c r="P308" s="17" t="s">
        <v>54</v>
      </c>
      <c r="Q308" s="17" t="s">
        <v>54</v>
      </c>
      <c r="R308" s="17"/>
    </row>
    <row r="309" spans="1:18" ht="30" customHeight="1" x14ac:dyDescent="0.3">
      <c r="A309" s="7">
        <v>46000.645884143516</v>
      </c>
      <c r="B309" s="6" t="s">
        <v>5</v>
      </c>
      <c r="C309" s="6"/>
      <c r="D309" s="6" t="str">
        <f>VLOOKUP(B309,'Veri doğrulama'!D6:E13,2,0)</f>
        <v>MEHMET ÖZEN</v>
      </c>
      <c r="E309" s="6">
        <v>25820</v>
      </c>
      <c r="F309" s="6" t="s">
        <v>1433</v>
      </c>
      <c r="G309" s="6" t="s">
        <v>15</v>
      </c>
      <c r="H309" s="6" t="s">
        <v>34</v>
      </c>
      <c r="I309" s="6">
        <v>1600</v>
      </c>
      <c r="J309" s="6">
        <v>1200</v>
      </c>
      <c r="K309" s="6">
        <v>1</v>
      </c>
      <c r="L309" s="10">
        <f t="shared" si="5"/>
        <v>1.92</v>
      </c>
      <c r="M309" s="6" t="s">
        <v>156</v>
      </c>
      <c r="N309" s="6" t="s">
        <v>5</v>
      </c>
      <c r="O309" s="6"/>
      <c r="P309" s="17" t="s">
        <v>54</v>
      </c>
      <c r="Q309" s="17" t="s">
        <v>54</v>
      </c>
      <c r="R309" s="17"/>
    </row>
    <row r="310" spans="1:18" ht="30" customHeight="1" x14ac:dyDescent="0.3">
      <c r="A310" s="7">
        <v>46000.436035648148</v>
      </c>
      <c r="B310" s="6" t="s">
        <v>4</v>
      </c>
      <c r="C310" s="6"/>
      <c r="D310" s="6" t="str">
        <f>VLOOKUP(B310,'Veri doğrulama'!D6:E13,2,0)</f>
        <v>MEHMET YAZICI</v>
      </c>
      <c r="E310" s="6" t="s">
        <v>1432</v>
      </c>
      <c r="F310" s="6" t="s">
        <v>380</v>
      </c>
      <c r="G310" s="6" t="s">
        <v>19</v>
      </c>
      <c r="H310" s="6" t="s">
        <v>34</v>
      </c>
      <c r="I310" s="6">
        <v>2200</v>
      </c>
      <c r="J310" s="6">
        <v>450</v>
      </c>
      <c r="K310" s="6">
        <v>1</v>
      </c>
      <c r="L310" s="10">
        <f t="shared" si="5"/>
        <v>0.99</v>
      </c>
      <c r="M310" s="6" t="s">
        <v>102</v>
      </c>
      <c r="N310" s="6"/>
      <c r="O310" s="6"/>
      <c r="P310" s="17" t="s">
        <v>54</v>
      </c>
      <c r="Q310" s="17" t="s">
        <v>54</v>
      </c>
      <c r="R310" s="17"/>
    </row>
    <row r="311" spans="1:18" ht="30" customHeight="1" x14ac:dyDescent="0.3">
      <c r="A311" s="7">
        <v>45999.386879398146</v>
      </c>
      <c r="B311" s="6" t="s">
        <v>5</v>
      </c>
      <c r="C311" s="6"/>
      <c r="D311" s="6" t="str">
        <f>VLOOKUP(B311,'Veri doğrulama'!D6:E13,2,0)</f>
        <v>MEHMET ÖZEN</v>
      </c>
      <c r="E311" s="6"/>
      <c r="F311" s="6" t="s">
        <v>1431</v>
      </c>
      <c r="G311" s="6" t="s">
        <v>17</v>
      </c>
      <c r="H311" s="6" t="s">
        <v>34</v>
      </c>
      <c r="I311" s="6">
        <v>1230</v>
      </c>
      <c r="J311" s="6">
        <v>670</v>
      </c>
      <c r="K311" s="6">
        <v>1</v>
      </c>
      <c r="L311" s="10">
        <f t="shared" si="5"/>
        <v>0.82410000000000005</v>
      </c>
      <c r="M311" s="6" t="s">
        <v>156</v>
      </c>
      <c r="N311" s="6"/>
      <c r="O311" s="6"/>
      <c r="P311" s="17" t="s">
        <v>54</v>
      </c>
      <c r="Q311" s="17" t="s">
        <v>54</v>
      </c>
      <c r="R311" s="17"/>
    </row>
    <row r="312" spans="1:18" ht="30" customHeight="1" x14ac:dyDescent="0.3">
      <c r="A312" s="7">
        <v>45996.613637268521</v>
      </c>
      <c r="B312" s="6" t="s">
        <v>7</v>
      </c>
      <c r="C312" s="6"/>
      <c r="D312" s="6" t="str">
        <f>VLOOKUP(B312,'Veri doğrulama'!D6:E13,2,0)</f>
        <v>SIDDIK KAPLAN</v>
      </c>
      <c r="E312" s="6"/>
      <c r="F312" s="6" t="s">
        <v>808</v>
      </c>
      <c r="G312" s="6" t="s">
        <v>18</v>
      </c>
      <c r="H312" s="6" t="s">
        <v>34</v>
      </c>
      <c r="I312" s="6">
        <v>2200</v>
      </c>
      <c r="J312" s="6">
        <v>900</v>
      </c>
      <c r="K312" s="6">
        <v>1</v>
      </c>
      <c r="L312" s="10">
        <f t="shared" si="5"/>
        <v>1.98</v>
      </c>
      <c r="M312" s="6" t="s">
        <v>43</v>
      </c>
      <c r="N312" s="6" t="s">
        <v>1430</v>
      </c>
      <c r="O312" s="6"/>
      <c r="P312" s="17" t="s">
        <v>54</v>
      </c>
      <c r="Q312" s="17" t="s">
        <v>54</v>
      </c>
      <c r="R312" s="17"/>
    </row>
    <row r="313" spans="1:18" ht="30" customHeight="1" x14ac:dyDescent="0.3">
      <c r="A313" s="7">
        <v>45996.562790856478</v>
      </c>
      <c r="B313" s="6" t="s">
        <v>5</v>
      </c>
      <c r="C313" s="6"/>
      <c r="D313" s="6" t="str">
        <f>VLOOKUP(B313,'Veri doğrulama'!D6:E13,2,0)</f>
        <v>MEHMET ÖZEN</v>
      </c>
      <c r="E313" s="6"/>
      <c r="F313" s="6" t="s">
        <v>1429</v>
      </c>
      <c r="G313" s="6" t="s">
        <v>17</v>
      </c>
      <c r="H313" s="6" t="s">
        <v>34</v>
      </c>
      <c r="I313" s="6">
        <v>800</v>
      </c>
      <c r="J313" s="6">
        <v>500</v>
      </c>
      <c r="K313" s="6">
        <v>1</v>
      </c>
      <c r="L313" s="10">
        <f t="shared" si="5"/>
        <v>0.4</v>
      </c>
      <c r="M313" s="6" t="s">
        <v>156</v>
      </c>
      <c r="N313" s="6"/>
      <c r="O313" s="6"/>
      <c r="P313" s="17" t="s">
        <v>54</v>
      </c>
      <c r="Q313" s="17" t="s">
        <v>54</v>
      </c>
      <c r="R313" s="17"/>
    </row>
    <row r="314" spans="1:18" ht="30" customHeight="1" x14ac:dyDescent="0.3">
      <c r="A314" s="7">
        <v>45996.454906597224</v>
      </c>
      <c r="B314" s="6" t="s">
        <v>5</v>
      </c>
      <c r="C314" s="6"/>
      <c r="D314" s="6" t="str">
        <f>VLOOKUP(B314,'Veri doğrulama'!D6:E13,2,0)</f>
        <v>MEHMET ÖZEN</v>
      </c>
      <c r="E314" s="6">
        <v>25820</v>
      </c>
      <c r="F314" s="6" t="s">
        <v>1428</v>
      </c>
      <c r="G314" s="6" t="s">
        <v>15</v>
      </c>
      <c r="H314" s="6" t="s">
        <v>34</v>
      </c>
      <c r="I314" s="6">
        <v>1600</v>
      </c>
      <c r="J314" s="6">
        <v>1200</v>
      </c>
      <c r="K314" s="6">
        <v>1</v>
      </c>
      <c r="L314" s="10">
        <f t="shared" si="5"/>
        <v>1.92</v>
      </c>
      <c r="M314" s="6" t="s">
        <v>43</v>
      </c>
      <c r="N314" s="6" t="s">
        <v>5</v>
      </c>
      <c r="O314" s="6"/>
      <c r="P314" s="17" t="s">
        <v>54</v>
      </c>
      <c r="Q314" s="17" t="s">
        <v>54</v>
      </c>
      <c r="R314" s="17"/>
    </row>
    <row r="315" spans="1:18" ht="30" customHeight="1" x14ac:dyDescent="0.3">
      <c r="A315" s="7">
        <v>45996.444495138887</v>
      </c>
      <c r="B315" s="6" t="s">
        <v>4</v>
      </c>
      <c r="C315" s="6"/>
      <c r="D315" s="6" t="str">
        <f>VLOOKUP(B315,'Veri doğrulama'!D6:E13,2,0)</f>
        <v>MEHMET YAZICI</v>
      </c>
      <c r="E315" s="6"/>
      <c r="F315" s="6" t="s">
        <v>1427</v>
      </c>
      <c r="G315" s="6" t="s">
        <v>21</v>
      </c>
      <c r="H315" s="6" t="s">
        <v>34</v>
      </c>
      <c r="I315" s="6">
        <v>1400</v>
      </c>
      <c r="J315" s="6">
        <v>1400</v>
      </c>
      <c r="K315" s="6">
        <v>1</v>
      </c>
      <c r="L315" s="10">
        <f t="shared" si="5"/>
        <v>1.96</v>
      </c>
      <c r="M315" s="6" t="s">
        <v>103</v>
      </c>
      <c r="N315" s="6"/>
      <c r="O315" s="6"/>
      <c r="P315" s="17" t="s">
        <v>54</v>
      </c>
      <c r="Q315" s="17" t="s">
        <v>54</v>
      </c>
      <c r="R315" s="17"/>
    </row>
    <row r="316" spans="1:18" ht="30" customHeight="1" x14ac:dyDescent="0.3">
      <c r="A316" s="7">
        <v>45996.390329745373</v>
      </c>
      <c r="B316" s="6" t="s">
        <v>4</v>
      </c>
      <c r="C316" s="6"/>
      <c r="D316" s="6" t="str">
        <f>VLOOKUP(B316,'Veri doğrulama'!D6:E13,2,0)</f>
        <v>MEHMET YAZICI</v>
      </c>
      <c r="E316" s="6"/>
      <c r="F316" s="6" t="s">
        <v>1425</v>
      </c>
      <c r="G316" s="6" t="s">
        <v>15</v>
      </c>
      <c r="H316" s="6" t="s">
        <v>34</v>
      </c>
      <c r="I316" s="6">
        <v>1400</v>
      </c>
      <c r="J316" s="6">
        <v>500</v>
      </c>
      <c r="K316" s="6">
        <v>1</v>
      </c>
      <c r="L316" s="10">
        <f t="shared" si="5"/>
        <v>0.7</v>
      </c>
      <c r="M316" s="6" t="s">
        <v>103</v>
      </c>
      <c r="N316" s="6" t="s">
        <v>1426</v>
      </c>
      <c r="O316" s="6"/>
      <c r="P316" s="17" t="s">
        <v>54</v>
      </c>
      <c r="Q316" s="17" t="s">
        <v>54</v>
      </c>
      <c r="R316" s="17"/>
    </row>
    <row r="317" spans="1:18" ht="30" customHeight="1" x14ac:dyDescent="0.3">
      <c r="A317" s="7">
        <v>45996.376946875003</v>
      </c>
      <c r="B317" s="6" t="s">
        <v>5</v>
      </c>
      <c r="C317" s="6"/>
      <c r="D317" s="6" t="str">
        <f>VLOOKUP(B317,'Veri doğrulama'!D6:E13,2,0)</f>
        <v>MEHMET ÖZEN</v>
      </c>
      <c r="E317" s="6"/>
      <c r="F317" s="6" t="s">
        <v>1424</v>
      </c>
      <c r="G317" s="6" t="s">
        <v>14</v>
      </c>
      <c r="H317" s="6" t="s">
        <v>34</v>
      </c>
      <c r="I317" s="6">
        <v>544</v>
      </c>
      <c r="J317" s="6">
        <v>544</v>
      </c>
      <c r="K317" s="6">
        <v>1</v>
      </c>
      <c r="L317" s="10">
        <f t="shared" si="5"/>
        <v>0.29593599999999998</v>
      </c>
      <c r="M317" s="6" t="s">
        <v>102</v>
      </c>
      <c r="N317" s="6"/>
      <c r="O317" s="6"/>
      <c r="P317" s="17" t="s">
        <v>54</v>
      </c>
      <c r="Q317" s="17" t="s">
        <v>54</v>
      </c>
      <c r="R317" s="17"/>
    </row>
    <row r="318" spans="1:18" ht="30" customHeight="1" x14ac:dyDescent="0.3">
      <c r="A318" s="7">
        <v>45996.344460416665</v>
      </c>
      <c r="B318" s="6" t="s">
        <v>5</v>
      </c>
      <c r="C318" s="6"/>
      <c r="D318" s="6" t="str">
        <f>VLOOKUP(B318,'Veri doğrulama'!D6:E13,2,0)</f>
        <v>MEHMET ÖZEN</v>
      </c>
      <c r="E318" s="6"/>
      <c r="F318" s="6" t="s">
        <v>1039</v>
      </c>
      <c r="G318" s="6" t="s">
        <v>1010</v>
      </c>
      <c r="H318" s="6" t="s">
        <v>34</v>
      </c>
      <c r="I318" s="6">
        <v>1150</v>
      </c>
      <c r="J318" s="6">
        <v>557</v>
      </c>
      <c r="K318" s="6">
        <v>1</v>
      </c>
      <c r="L318" s="10">
        <f t="shared" si="5"/>
        <v>0.64054999999999995</v>
      </c>
      <c r="M318" s="6" t="s">
        <v>156</v>
      </c>
      <c r="N318" s="6"/>
      <c r="O318" s="6"/>
      <c r="P318" s="17" t="s">
        <v>54</v>
      </c>
      <c r="Q318" s="17" t="s">
        <v>54</v>
      </c>
      <c r="R318" s="17"/>
    </row>
    <row r="319" spans="1:18" ht="30" customHeight="1" x14ac:dyDescent="0.3">
      <c r="A319" s="7">
        <v>45995.747663425929</v>
      </c>
      <c r="B319" s="6" t="s">
        <v>7</v>
      </c>
      <c r="C319" s="6"/>
      <c r="D319" s="6" t="str">
        <f>VLOOKUP(B319,'Veri doğrulama'!D6:E13,2,0)</f>
        <v>SIDDIK KAPLAN</v>
      </c>
      <c r="E319" s="6"/>
      <c r="F319" s="6" t="s">
        <v>1423</v>
      </c>
      <c r="G319" s="6" t="s">
        <v>16</v>
      </c>
      <c r="H319" s="6" t="s">
        <v>34</v>
      </c>
      <c r="I319" s="6">
        <v>1180</v>
      </c>
      <c r="J319" s="6">
        <v>550</v>
      </c>
      <c r="K319" s="6">
        <v>1</v>
      </c>
      <c r="L319" s="10">
        <f t="shared" si="5"/>
        <v>0.64900000000000002</v>
      </c>
      <c r="M319" s="6" t="s">
        <v>43</v>
      </c>
      <c r="N319" s="6"/>
      <c r="O319" s="6"/>
      <c r="P319" s="17" t="s">
        <v>54</v>
      </c>
      <c r="Q319" s="17" t="s">
        <v>54</v>
      </c>
      <c r="R319" s="17"/>
    </row>
    <row r="320" spans="1:18" ht="30" customHeight="1" x14ac:dyDescent="0.3">
      <c r="A320" s="7">
        <v>45995.720504282406</v>
      </c>
      <c r="B320" s="6" t="s">
        <v>5</v>
      </c>
      <c r="C320" s="6"/>
      <c r="D320" s="6" t="str">
        <f>VLOOKUP(B320,'Veri doğrulama'!D6:E13,2,0)</f>
        <v>MEHMET ÖZEN</v>
      </c>
      <c r="E320" s="6"/>
      <c r="F320" s="6" t="s">
        <v>1422</v>
      </c>
      <c r="G320" s="6" t="s">
        <v>22</v>
      </c>
      <c r="H320" s="6" t="s">
        <v>34</v>
      </c>
      <c r="I320" s="6">
        <v>1720</v>
      </c>
      <c r="J320" s="6">
        <v>1520</v>
      </c>
      <c r="K320" s="6">
        <v>1</v>
      </c>
      <c r="L320" s="10">
        <f t="shared" si="5"/>
        <v>2.6143999999999998</v>
      </c>
      <c r="M320" s="6" t="s">
        <v>103</v>
      </c>
      <c r="N320" s="6"/>
      <c r="O320" s="6"/>
      <c r="P320" s="17" t="s">
        <v>54</v>
      </c>
      <c r="Q320" s="17" t="s">
        <v>54</v>
      </c>
      <c r="R320" s="17"/>
    </row>
    <row r="321" spans="1:18" ht="30" customHeight="1" x14ac:dyDescent="0.3">
      <c r="A321" s="7">
        <v>45995.659045717592</v>
      </c>
      <c r="B321" s="6" t="s">
        <v>5</v>
      </c>
      <c r="C321" s="6"/>
      <c r="D321" s="6" t="str">
        <f>VLOOKUP(B321,'Veri doğrulama'!D6:E13,2,0)</f>
        <v>MEHMET ÖZEN</v>
      </c>
      <c r="E321" s="6" t="s">
        <v>1420</v>
      </c>
      <c r="F321" s="6" t="s">
        <v>1421</v>
      </c>
      <c r="G321" s="6" t="s">
        <v>15</v>
      </c>
      <c r="H321" s="6" t="s">
        <v>34</v>
      </c>
      <c r="I321" s="6">
        <v>1410</v>
      </c>
      <c r="J321" s="6">
        <v>710</v>
      </c>
      <c r="K321" s="6">
        <v>1</v>
      </c>
      <c r="L321" s="10">
        <f t="shared" si="5"/>
        <v>1.0011000000000001</v>
      </c>
      <c r="M321" s="6" t="s">
        <v>42</v>
      </c>
      <c r="N321" s="6"/>
      <c r="O321" s="6"/>
      <c r="P321" s="17" t="s">
        <v>54</v>
      </c>
      <c r="Q321" s="17" t="s">
        <v>54</v>
      </c>
      <c r="R321" s="17"/>
    </row>
    <row r="322" spans="1:18" ht="30" customHeight="1" x14ac:dyDescent="0.3">
      <c r="A322" s="7">
        <v>45995.571813773146</v>
      </c>
      <c r="B322" s="6" t="s">
        <v>7</v>
      </c>
      <c r="C322" s="6"/>
      <c r="D322" s="6" t="str">
        <f>VLOOKUP(B322,'Veri doğrulama'!D6:E13,2,0)</f>
        <v>SIDDIK KAPLAN</v>
      </c>
      <c r="E322" s="6"/>
      <c r="F322" s="6" t="s">
        <v>353</v>
      </c>
      <c r="G322" s="6" t="s">
        <v>19</v>
      </c>
      <c r="H322" s="6" t="s">
        <v>34</v>
      </c>
      <c r="I322" s="6">
        <v>2200</v>
      </c>
      <c r="J322" s="6">
        <v>900</v>
      </c>
      <c r="K322" s="6">
        <v>1</v>
      </c>
      <c r="L322" s="10">
        <f t="shared" si="5"/>
        <v>1.98</v>
      </c>
      <c r="M322" s="6" t="s">
        <v>43</v>
      </c>
      <c r="N322" s="6"/>
      <c r="O322" s="6"/>
      <c r="P322" s="17" t="s">
        <v>54</v>
      </c>
      <c r="Q322" s="17" t="s">
        <v>54</v>
      </c>
      <c r="R322" s="17"/>
    </row>
    <row r="323" spans="1:18" ht="30" customHeight="1" x14ac:dyDescent="0.3">
      <c r="A323" s="7">
        <v>45995.462079050929</v>
      </c>
      <c r="B323" s="6" t="s">
        <v>7</v>
      </c>
      <c r="C323" s="6"/>
      <c r="D323" s="6" t="str">
        <f>VLOOKUP(B323,'Veri doğrulama'!D6:E13,2,0)</f>
        <v>SIDDIK KAPLAN</v>
      </c>
      <c r="E323" s="6" t="s">
        <v>1418</v>
      </c>
      <c r="F323" s="6" t="s">
        <v>1419</v>
      </c>
      <c r="G323" s="6" t="s">
        <v>16</v>
      </c>
      <c r="H323" s="6" t="s">
        <v>34</v>
      </c>
      <c r="I323" s="6">
        <v>2410</v>
      </c>
      <c r="J323" s="6">
        <v>710</v>
      </c>
      <c r="K323" s="6">
        <v>1</v>
      </c>
      <c r="L323" s="10">
        <f t="shared" si="5"/>
        <v>1.7111000000000001</v>
      </c>
      <c r="M323" s="6"/>
      <c r="N323" s="6"/>
      <c r="O323" s="6"/>
      <c r="P323" s="17" t="s">
        <v>54</v>
      </c>
      <c r="Q323" s="17" t="s">
        <v>54</v>
      </c>
      <c r="R323" s="17"/>
    </row>
    <row r="324" spans="1:18" ht="30" customHeight="1" x14ac:dyDescent="0.3">
      <c r="A324" s="7">
        <v>45995.452449652781</v>
      </c>
      <c r="B324" s="6" t="s">
        <v>5</v>
      </c>
      <c r="C324" s="6"/>
      <c r="D324" s="6" t="str">
        <f>VLOOKUP(B324,'Veri doğrulama'!D6:E13,2,0)</f>
        <v>MEHMET ÖZEN</v>
      </c>
      <c r="E324" s="6"/>
      <c r="F324" s="6" t="s">
        <v>1417</v>
      </c>
      <c r="G324" s="6" t="s">
        <v>16</v>
      </c>
      <c r="H324" s="6" t="s">
        <v>34</v>
      </c>
      <c r="I324" s="6">
        <v>1230</v>
      </c>
      <c r="J324" s="6">
        <v>670</v>
      </c>
      <c r="K324" s="6">
        <v>1</v>
      </c>
      <c r="L324" s="10">
        <f t="shared" si="5"/>
        <v>0.82410000000000005</v>
      </c>
      <c r="M324" s="6" t="s">
        <v>38</v>
      </c>
      <c r="N324" s="6"/>
      <c r="O324" s="6"/>
      <c r="P324" s="17" t="s">
        <v>54</v>
      </c>
      <c r="Q324" s="17" t="s">
        <v>54</v>
      </c>
      <c r="R324" s="17"/>
    </row>
    <row r="325" spans="1:18" ht="30" customHeight="1" x14ac:dyDescent="0.3">
      <c r="A325" s="7">
        <v>45995.451683449071</v>
      </c>
      <c r="B325" s="6" t="s">
        <v>5</v>
      </c>
      <c r="C325" s="6"/>
      <c r="D325" s="6" t="str">
        <f>VLOOKUP(B325,'Veri doğrulama'!D6:E13,2,0)</f>
        <v>MEHMET ÖZEN</v>
      </c>
      <c r="E325" s="6"/>
      <c r="F325" s="6" t="s">
        <v>1416</v>
      </c>
      <c r="G325" s="6" t="s">
        <v>17</v>
      </c>
      <c r="H325" s="6" t="s">
        <v>34</v>
      </c>
      <c r="I325" s="6">
        <v>650</v>
      </c>
      <c r="J325" s="6">
        <v>550</v>
      </c>
      <c r="K325" s="6">
        <v>1</v>
      </c>
      <c r="L325" s="10">
        <f t="shared" si="5"/>
        <v>0.35749999999999998</v>
      </c>
      <c r="M325" s="6" t="s">
        <v>103</v>
      </c>
      <c r="N325" s="6"/>
      <c r="O325" s="6"/>
      <c r="P325" s="17" t="s">
        <v>54</v>
      </c>
      <c r="Q325" s="17" t="s">
        <v>54</v>
      </c>
      <c r="R325" s="17"/>
    </row>
    <row r="326" spans="1:18" ht="30" customHeight="1" x14ac:dyDescent="0.3">
      <c r="A326" s="7">
        <v>45995.441410879626</v>
      </c>
      <c r="B326" s="6" t="s">
        <v>4</v>
      </c>
      <c r="C326" s="6"/>
      <c r="D326" s="6" t="str">
        <f>VLOOKUP(B326,'Veri doğrulama'!D6:E13,2,0)</f>
        <v>MEHMET YAZICI</v>
      </c>
      <c r="E326" s="6">
        <v>25840</v>
      </c>
      <c r="F326" s="6" t="s">
        <v>735</v>
      </c>
      <c r="G326" s="6" t="s">
        <v>18</v>
      </c>
      <c r="H326" s="6" t="s">
        <v>34</v>
      </c>
      <c r="I326" s="6">
        <v>1600</v>
      </c>
      <c r="J326" s="6">
        <v>557</v>
      </c>
      <c r="K326" s="6">
        <v>1</v>
      </c>
      <c r="L326" s="10">
        <f t="shared" si="5"/>
        <v>0.89119999999999999</v>
      </c>
      <c r="M326" s="6" t="s">
        <v>75</v>
      </c>
      <c r="N326" s="6"/>
      <c r="O326" s="6"/>
      <c r="P326" s="17" t="s">
        <v>54</v>
      </c>
      <c r="Q326" s="17" t="s">
        <v>54</v>
      </c>
      <c r="R326" s="17"/>
    </row>
    <row r="327" spans="1:18" ht="30" customHeight="1" x14ac:dyDescent="0.3">
      <c r="A327" s="7">
        <v>45995.345839351852</v>
      </c>
      <c r="B327" s="6" t="s">
        <v>5</v>
      </c>
      <c r="C327" s="6"/>
      <c r="D327" s="6" t="str">
        <f>VLOOKUP(B327,'Veri doğrulama'!D6:E13,2,0)</f>
        <v>MEHMET ÖZEN</v>
      </c>
      <c r="E327" s="6"/>
      <c r="F327" s="6" t="s">
        <v>1415</v>
      </c>
      <c r="G327" s="6" t="s">
        <v>17</v>
      </c>
      <c r="H327" s="6" t="s">
        <v>34</v>
      </c>
      <c r="I327" s="6">
        <v>650</v>
      </c>
      <c r="J327" s="6">
        <v>500</v>
      </c>
      <c r="K327" s="6">
        <v>1</v>
      </c>
      <c r="L327" s="10">
        <f t="shared" si="5"/>
        <v>0.32500000000000001</v>
      </c>
      <c r="M327" s="6" t="s">
        <v>43</v>
      </c>
      <c r="N327" s="6" t="s">
        <v>5</v>
      </c>
      <c r="O327" s="6"/>
      <c r="P327" s="17" t="s">
        <v>54</v>
      </c>
      <c r="Q327" s="17" t="s">
        <v>54</v>
      </c>
      <c r="R327" s="17"/>
    </row>
    <row r="328" spans="1:18" ht="30" customHeight="1" x14ac:dyDescent="0.3">
      <c r="A328" s="7">
        <v>45994.455344675924</v>
      </c>
      <c r="B328" s="6" t="s">
        <v>5</v>
      </c>
      <c r="C328" s="6"/>
      <c r="D328" s="6" t="str">
        <f>VLOOKUP(B328,'Veri doğrulama'!D6:E13,2,0)</f>
        <v>MEHMET ÖZEN</v>
      </c>
      <c r="E328" s="6">
        <v>25712</v>
      </c>
      <c r="F328" s="6" t="s">
        <v>1414</v>
      </c>
      <c r="G328" s="6" t="s">
        <v>15</v>
      </c>
      <c r="H328" s="6" t="s">
        <v>34</v>
      </c>
      <c r="I328" s="6">
        <v>1600</v>
      </c>
      <c r="J328" s="6">
        <v>800</v>
      </c>
      <c r="K328" s="6">
        <v>1</v>
      </c>
      <c r="L328" s="10">
        <f t="shared" ref="L328:L391" si="6">I328*J328/1000000*K328</f>
        <v>1.28</v>
      </c>
      <c r="M328" s="6" t="s">
        <v>156</v>
      </c>
      <c r="N328" s="6"/>
      <c r="O328" s="6"/>
      <c r="P328" s="17" t="s">
        <v>54</v>
      </c>
      <c r="Q328" s="17" t="s">
        <v>54</v>
      </c>
      <c r="R328" s="17"/>
    </row>
    <row r="329" spans="1:18" ht="30" customHeight="1" x14ac:dyDescent="0.3">
      <c r="A329" s="7">
        <v>45993.734192361109</v>
      </c>
      <c r="B329" s="6" t="s">
        <v>81</v>
      </c>
      <c r="C329" s="6"/>
      <c r="D329" s="6" t="str">
        <f>VLOOKUP(B329,'Veri doğrulama'!D6:E13,2,0)</f>
        <v>İBRAHİM ÇELİK</v>
      </c>
      <c r="E329" s="6"/>
      <c r="F329" s="6" t="s">
        <v>1413</v>
      </c>
      <c r="G329" s="6" t="s">
        <v>1010</v>
      </c>
      <c r="H329" s="6" t="s">
        <v>34</v>
      </c>
      <c r="I329" s="6">
        <v>2356</v>
      </c>
      <c r="J329" s="6">
        <v>12</v>
      </c>
      <c r="K329" s="6">
        <v>2</v>
      </c>
      <c r="L329" s="10">
        <f t="shared" si="6"/>
        <v>5.6543999999999997E-2</v>
      </c>
      <c r="M329" s="6" t="s">
        <v>37</v>
      </c>
      <c r="N329" s="6" t="s">
        <v>1142</v>
      </c>
      <c r="O329" s="6"/>
      <c r="P329" s="17" t="s">
        <v>54</v>
      </c>
      <c r="Q329" s="17" t="s">
        <v>54</v>
      </c>
      <c r="R329" s="17"/>
    </row>
    <row r="330" spans="1:18" ht="30" customHeight="1" x14ac:dyDescent="0.3">
      <c r="A330" s="7">
        <v>45993.733001157409</v>
      </c>
      <c r="B330" s="6" t="s">
        <v>81</v>
      </c>
      <c r="C330" s="6"/>
      <c r="D330" s="6" t="str">
        <f>VLOOKUP(B330,'Veri doğrulama'!D6:E13,2,0)</f>
        <v>İBRAHİM ÇELİK</v>
      </c>
      <c r="E330" s="6"/>
      <c r="F330" s="6" t="s">
        <v>1413</v>
      </c>
      <c r="G330" s="6" t="s">
        <v>1010</v>
      </c>
      <c r="H330" s="6" t="s">
        <v>34</v>
      </c>
      <c r="I330" s="6">
        <v>536</v>
      </c>
      <c r="J330" s="6">
        <v>468</v>
      </c>
      <c r="K330" s="6">
        <v>5</v>
      </c>
      <c r="L330" s="10">
        <f t="shared" si="6"/>
        <v>1.25424</v>
      </c>
      <c r="M330" s="6" t="s">
        <v>155</v>
      </c>
      <c r="N330" s="6" t="s">
        <v>1142</v>
      </c>
      <c r="O330" s="6"/>
      <c r="P330" s="17" t="s">
        <v>54</v>
      </c>
      <c r="Q330" s="17" t="s">
        <v>54</v>
      </c>
      <c r="R330" s="17"/>
    </row>
    <row r="331" spans="1:18" ht="30" customHeight="1" x14ac:dyDescent="0.3">
      <c r="A331" s="7">
        <v>45993.722282986113</v>
      </c>
      <c r="B331" s="6" t="s">
        <v>5</v>
      </c>
      <c r="C331" s="6"/>
      <c r="D331" s="6" t="str">
        <f>VLOOKUP(B331,'Veri doğrulama'!D6:E13,2,0)</f>
        <v>MEHMET ÖZEN</v>
      </c>
      <c r="E331" s="6" t="s">
        <v>1411</v>
      </c>
      <c r="F331" s="6" t="s">
        <v>1412</v>
      </c>
      <c r="G331" s="6" t="s">
        <v>15</v>
      </c>
      <c r="H331" s="6" t="s">
        <v>34</v>
      </c>
      <c r="I331" s="6">
        <v>1310</v>
      </c>
      <c r="J331" s="6">
        <v>1310</v>
      </c>
      <c r="K331" s="6">
        <v>1</v>
      </c>
      <c r="L331" s="10">
        <f t="shared" si="6"/>
        <v>1.7161</v>
      </c>
      <c r="M331" s="6" t="s">
        <v>103</v>
      </c>
      <c r="N331" s="6"/>
      <c r="O331" s="6"/>
      <c r="P331" s="17" t="s">
        <v>54</v>
      </c>
      <c r="Q331" s="17" t="s">
        <v>54</v>
      </c>
      <c r="R331" s="17"/>
    </row>
    <row r="332" spans="1:18" ht="30" customHeight="1" x14ac:dyDescent="0.3">
      <c r="A332" s="7">
        <v>45993.449477662034</v>
      </c>
      <c r="B332" s="6" t="s">
        <v>7</v>
      </c>
      <c r="C332" s="6"/>
      <c r="D332" s="6" t="str">
        <f>VLOOKUP(B332,'Veri doğrulama'!D6:E13,2,0)</f>
        <v>SIDDIK KAPLAN</v>
      </c>
      <c r="E332" s="6"/>
      <c r="F332" s="6" t="s">
        <v>1410</v>
      </c>
      <c r="G332" s="6" t="s">
        <v>15</v>
      </c>
      <c r="H332" s="6" t="s">
        <v>34</v>
      </c>
      <c r="I332" s="6">
        <v>2420</v>
      </c>
      <c r="J332" s="6">
        <v>1120</v>
      </c>
      <c r="K332" s="6">
        <v>1</v>
      </c>
      <c r="L332" s="10">
        <f t="shared" si="6"/>
        <v>2.7103999999999999</v>
      </c>
      <c r="M332" s="6" t="s">
        <v>43</v>
      </c>
      <c r="N332" s="6"/>
      <c r="O332" s="6"/>
      <c r="P332" s="17" t="s">
        <v>54</v>
      </c>
      <c r="Q332" s="17" t="s">
        <v>54</v>
      </c>
      <c r="R332" s="17"/>
    </row>
    <row r="333" spans="1:18" ht="30" customHeight="1" x14ac:dyDescent="0.3">
      <c r="A333" s="7">
        <v>45993.444289699073</v>
      </c>
      <c r="B333" s="6" t="s">
        <v>81</v>
      </c>
      <c r="C333" s="6"/>
      <c r="D333" s="6" t="str">
        <f>VLOOKUP(B333,'Veri doğrulama'!D6:E13,2,0)</f>
        <v>İBRAHİM ÇELİK</v>
      </c>
      <c r="E333" s="6"/>
      <c r="F333" s="6" t="s">
        <v>1271</v>
      </c>
      <c r="G333" s="6" t="s">
        <v>1004</v>
      </c>
      <c r="H333" s="6" t="s">
        <v>34</v>
      </c>
      <c r="I333" s="6">
        <v>1620</v>
      </c>
      <c r="J333" s="6">
        <v>717</v>
      </c>
      <c r="K333" s="6">
        <v>3</v>
      </c>
      <c r="L333" s="10">
        <f t="shared" si="6"/>
        <v>3.4846200000000001</v>
      </c>
      <c r="M333" s="6" t="s">
        <v>43</v>
      </c>
      <c r="N333" s="6" t="s">
        <v>1409</v>
      </c>
      <c r="O333" s="6"/>
      <c r="P333" s="17" t="s">
        <v>54</v>
      </c>
      <c r="Q333" s="17" t="s">
        <v>54</v>
      </c>
      <c r="R333" s="17"/>
    </row>
    <row r="334" spans="1:18" ht="30" customHeight="1" x14ac:dyDescent="0.3">
      <c r="A334" s="7">
        <v>45993.44276111111</v>
      </c>
      <c r="B334" s="6" t="s">
        <v>81</v>
      </c>
      <c r="C334" s="6"/>
      <c r="D334" s="6" t="str">
        <f>VLOOKUP(B334,'Veri doğrulama'!D6:E13,2,0)</f>
        <v>İBRAHİM ÇELİK</v>
      </c>
      <c r="E334" s="6"/>
      <c r="F334" s="6" t="s">
        <v>1271</v>
      </c>
      <c r="G334" s="6" t="s">
        <v>1004</v>
      </c>
      <c r="H334" s="6" t="s">
        <v>34</v>
      </c>
      <c r="I334" s="6">
        <v>610</v>
      </c>
      <c r="J334" s="6">
        <v>717</v>
      </c>
      <c r="K334" s="6">
        <v>7</v>
      </c>
      <c r="L334" s="10">
        <f t="shared" si="6"/>
        <v>3.0615899999999998</v>
      </c>
      <c r="M334" s="6" t="s">
        <v>43</v>
      </c>
      <c r="N334" s="6"/>
      <c r="O334" s="6"/>
      <c r="P334" s="17" t="s">
        <v>54</v>
      </c>
      <c r="Q334" s="17" t="s">
        <v>54</v>
      </c>
      <c r="R334" s="17"/>
    </row>
    <row r="335" spans="1:18" ht="30" customHeight="1" x14ac:dyDescent="0.3">
      <c r="A335" s="7">
        <v>45992.408812152775</v>
      </c>
      <c r="B335" s="6" t="s">
        <v>5</v>
      </c>
      <c r="C335" s="6"/>
      <c r="D335" s="6" t="str">
        <f>VLOOKUP(B335,'Veri doğrulama'!D6:E13,2,0)</f>
        <v>MEHMET ÖZEN</v>
      </c>
      <c r="E335" s="6"/>
      <c r="F335" s="6" t="s">
        <v>1408</v>
      </c>
      <c r="G335" s="6" t="s">
        <v>19</v>
      </c>
      <c r="H335" s="6" t="s">
        <v>34</v>
      </c>
      <c r="I335" s="6">
        <v>600</v>
      </c>
      <c r="J335" s="6">
        <v>326</v>
      </c>
      <c r="K335" s="6">
        <v>1</v>
      </c>
      <c r="L335" s="10">
        <f t="shared" si="6"/>
        <v>0.1956</v>
      </c>
      <c r="M335" s="6" t="s">
        <v>102</v>
      </c>
      <c r="N335" s="6"/>
      <c r="O335" s="6"/>
      <c r="P335" s="17" t="s">
        <v>54</v>
      </c>
      <c r="Q335" s="17" t="s">
        <v>54</v>
      </c>
      <c r="R335" s="17"/>
    </row>
    <row r="336" spans="1:18" ht="30" customHeight="1" x14ac:dyDescent="0.3">
      <c r="A336" s="7">
        <v>45992.387127083333</v>
      </c>
      <c r="B336" s="6" t="s">
        <v>7</v>
      </c>
      <c r="C336" s="6"/>
      <c r="D336" s="6" t="str">
        <f>VLOOKUP(B336,'Veri doğrulama'!D6:E13,2,0)</f>
        <v>SIDDIK KAPLAN</v>
      </c>
      <c r="E336" s="6"/>
      <c r="F336" s="6" t="s">
        <v>1407</v>
      </c>
      <c r="G336" s="6" t="s">
        <v>15</v>
      </c>
      <c r="H336" s="6" t="s">
        <v>35</v>
      </c>
      <c r="I336" s="6">
        <v>800</v>
      </c>
      <c r="J336" s="6">
        <v>450</v>
      </c>
      <c r="K336" s="6">
        <v>2</v>
      </c>
      <c r="L336" s="10">
        <f t="shared" si="6"/>
        <v>0.72</v>
      </c>
      <c r="M336" s="6" t="s">
        <v>43</v>
      </c>
      <c r="N336" s="6" t="s">
        <v>209</v>
      </c>
      <c r="O336" s="6"/>
      <c r="P336" s="17" t="s">
        <v>54</v>
      </c>
      <c r="Q336" s="17" t="s">
        <v>54</v>
      </c>
      <c r="R336" s="17"/>
    </row>
    <row r="337" spans="1:18" ht="30" customHeight="1" x14ac:dyDescent="0.3">
      <c r="A337" s="7">
        <v>45989.606574999998</v>
      </c>
      <c r="B337" s="6" t="s">
        <v>5</v>
      </c>
      <c r="C337" s="6"/>
      <c r="D337" s="6" t="str">
        <f>VLOOKUP(B337,'Veri doğrulama'!D6:E13,2,0)</f>
        <v>MEHMET ÖZEN</v>
      </c>
      <c r="E337" s="6"/>
      <c r="F337" s="6" t="s">
        <v>1406</v>
      </c>
      <c r="G337" s="6" t="s">
        <v>13</v>
      </c>
      <c r="H337" s="6" t="s">
        <v>34</v>
      </c>
      <c r="I337" s="6">
        <v>1887</v>
      </c>
      <c r="J337" s="6">
        <v>360</v>
      </c>
      <c r="K337" s="6">
        <v>1</v>
      </c>
      <c r="L337" s="10">
        <f t="shared" si="6"/>
        <v>0.67932000000000003</v>
      </c>
      <c r="M337" s="6" t="s">
        <v>103</v>
      </c>
      <c r="N337" s="6"/>
      <c r="O337" s="6"/>
      <c r="P337" s="17" t="s">
        <v>54</v>
      </c>
      <c r="Q337" s="17" t="s">
        <v>54</v>
      </c>
      <c r="R337" s="17"/>
    </row>
    <row r="338" spans="1:18" ht="30" customHeight="1" x14ac:dyDescent="0.3">
      <c r="A338" s="7">
        <v>45989.585845833331</v>
      </c>
      <c r="B338" s="6" t="s">
        <v>5</v>
      </c>
      <c r="C338" s="6"/>
      <c r="D338" s="6" t="str">
        <f>VLOOKUP(B338,'Veri doğrulama'!D6:E13,2,0)</f>
        <v>MEHMET ÖZEN</v>
      </c>
      <c r="E338" s="6"/>
      <c r="F338" s="6" t="s">
        <v>1405</v>
      </c>
      <c r="G338" s="6" t="s">
        <v>27</v>
      </c>
      <c r="H338" s="6" t="s">
        <v>34</v>
      </c>
      <c r="I338" s="6">
        <v>1887</v>
      </c>
      <c r="J338" s="6">
        <v>360</v>
      </c>
      <c r="K338" s="6">
        <v>1</v>
      </c>
      <c r="L338" s="10">
        <f t="shared" si="6"/>
        <v>0.67932000000000003</v>
      </c>
      <c r="M338" s="6" t="s">
        <v>103</v>
      </c>
      <c r="N338" s="6"/>
      <c r="O338" s="6"/>
      <c r="P338" s="17" t="s">
        <v>54</v>
      </c>
      <c r="Q338" s="17" t="s">
        <v>54</v>
      </c>
      <c r="R338" s="17"/>
    </row>
    <row r="339" spans="1:18" ht="30" customHeight="1" x14ac:dyDescent="0.3">
      <c r="A339" s="7">
        <v>45989.389278009257</v>
      </c>
      <c r="B339" s="6" t="s">
        <v>5</v>
      </c>
      <c r="C339" s="6"/>
      <c r="D339" s="6" t="str">
        <f>VLOOKUP(B339,'Veri doğrulama'!D6:E13,2,0)</f>
        <v>MEHMET ÖZEN</v>
      </c>
      <c r="E339" s="6"/>
      <c r="F339" s="6" t="s">
        <v>1404</v>
      </c>
      <c r="G339" s="6" t="s">
        <v>27</v>
      </c>
      <c r="H339" s="6" t="s">
        <v>34</v>
      </c>
      <c r="I339" s="6">
        <v>1130</v>
      </c>
      <c r="J339" s="6">
        <v>397</v>
      </c>
      <c r="K339" s="6">
        <v>1</v>
      </c>
      <c r="L339" s="10">
        <f t="shared" si="6"/>
        <v>0.44861000000000001</v>
      </c>
      <c r="M339" s="6" t="s">
        <v>103</v>
      </c>
      <c r="N339" s="6"/>
      <c r="O339" s="6"/>
      <c r="P339" s="17" t="s">
        <v>54</v>
      </c>
      <c r="Q339" s="17" t="s">
        <v>54</v>
      </c>
      <c r="R339" s="17"/>
    </row>
    <row r="340" spans="1:18" ht="30" customHeight="1" x14ac:dyDescent="0.3">
      <c r="A340" s="7">
        <v>45988.740863657411</v>
      </c>
      <c r="B340" s="6" t="s">
        <v>5</v>
      </c>
      <c r="C340" s="6"/>
      <c r="D340" s="6" t="str">
        <f>VLOOKUP(B340,'Veri doğrulama'!D6:E13,2,0)</f>
        <v>MEHMET ÖZEN</v>
      </c>
      <c r="E340" s="6"/>
      <c r="F340" s="6" t="s">
        <v>1402</v>
      </c>
      <c r="G340" s="6"/>
      <c r="H340" s="6" t="s">
        <v>34</v>
      </c>
      <c r="I340" s="6">
        <v>580</v>
      </c>
      <c r="J340" s="6">
        <v>396</v>
      </c>
      <c r="K340" s="6">
        <v>1</v>
      </c>
      <c r="L340" s="10">
        <f t="shared" si="6"/>
        <v>0.22968</v>
      </c>
      <c r="M340" s="6" t="s">
        <v>103</v>
      </c>
      <c r="N340" s="6" t="s">
        <v>1403</v>
      </c>
      <c r="O340" s="6"/>
      <c r="P340" s="17" t="s">
        <v>54</v>
      </c>
      <c r="Q340" s="17" t="s">
        <v>54</v>
      </c>
      <c r="R340" s="17"/>
    </row>
    <row r="341" spans="1:18" ht="30" customHeight="1" x14ac:dyDescent="0.3">
      <c r="A341" s="7">
        <v>45988.677330787039</v>
      </c>
      <c r="B341" s="6" t="s">
        <v>5</v>
      </c>
      <c r="C341" s="6"/>
      <c r="D341" s="6" t="str">
        <f>VLOOKUP(B341,'Veri doğrulama'!D6:E13,2,0)</f>
        <v>MEHMET ÖZEN</v>
      </c>
      <c r="E341" s="6"/>
      <c r="F341" s="6" t="s">
        <v>1401</v>
      </c>
      <c r="G341" s="6" t="s">
        <v>29</v>
      </c>
      <c r="H341" s="6" t="s">
        <v>35</v>
      </c>
      <c r="I341" s="6">
        <v>540</v>
      </c>
      <c r="J341" s="6">
        <v>540</v>
      </c>
      <c r="K341" s="6">
        <v>1</v>
      </c>
      <c r="L341" s="10">
        <f t="shared" si="6"/>
        <v>0.29160000000000003</v>
      </c>
      <c r="M341" s="6" t="s">
        <v>42</v>
      </c>
      <c r="N341" s="6"/>
      <c r="O341" s="6"/>
      <c r="P341" s="17" t="s">
        <v>54</v>
      </c>
      <c r="Q341" s="17" t="s">
        <v>54</v>
      </c>
      <c r="R341" s="17"/>
    </row>
    <row r="342" spans="1:18" ht="30" customHeight="1" x14ac:dyDescent="0.3">
      <c r="A342" s="7">
        <v>45988.673172800925</v>
      </c>
      <c r="B342" s="6" t="s">
        <v>5</v>
      </c>
      <c r="C342" s="6"/>
      <c r="D342" s="6" t="str">
        <f>VLOOKUP(B342,'Veri doğrulama'!D6:E13,2,0)</f>
        <v>MEHMET ÖZEN</v>
      </c>
      <c r="E342" s="6"/>
      <c r="F342" s="6" t="s">
        <v>1400</v>
      </c>
      <c r="G342" s="6" t="s">
        <v>17</v>
      </c>
      <c r="H342" s="6" t="s">
        <v>34</v>
      </c>
      <c r="I342" s="6">
        <v>480</v>
      </c>
      <c r="J342" s="6">
        <v>380</v>
      </c>
      <c r="K342" s="6">
        <v>3</v>
      </c>
      <c r="L342" s="10">
        <f t="shared" si="6"/>
        <v>0.54720000000000002</v>
      </c>
      <c r="M342" s="6" t="s">
        <v>38</v>
      </c>
      <c r="N342" s="6"/>
      <c r="O342" s="6"/>
      <c r="P342" s="17" t="s">
        <v>54</v>
      </c>
      <c r="Q342" s="17" t="s">
        <v>54</v>
      </c>
      <c r="R342" s="17"/>
    </row>
    <row r="343" spans="1:18" ht="30" customHeight="1" x14ac:dyDescent="0.3">
      <c r="A343" s="7">
        <v>45988.650096412035</v>
      </c>
      <c r="B343" s="6" t="s">
        <v>7</v>
      </c>
      <c r="C343" s="6"/>
      <c r="D343" s="6" t="str">
        <f>VLOOKUP(B343,'Veri doğrulama'!D6:E13,2,0)</f>
        <v>SIDDIK KAPLAN</v>
      </c>
      <c r="E343" s="6"/>
      <c r="F343" s="6" t="s">
        <v>1399</v>
      </c>
      <c r="G343" s="6" t="s">
        <v>16</v>
      </c>
      <c r="H343" s="6" t="s">
        <v>34</v>
      </c>
      <c r="I343" s="6">
        <v>2386</v>
      </c>
      <c r="J343" s="6">
        <v>936</v>
      </c>
      <c r="K343" s="6">
        <v>1</v>
      </c>
      <c r="L343" s="10">
        <f t="shared" si="6"/>
        <v>2.2332960000000002</v>
      </c>
      <c r="M343" s="6" t="s">
        <v>102</v>
      </c>
      <c r="N343" s="6"/>
      <c r="O343" s="6"/>
      <c r="P343" s="17" t="s">
        <v>54</v>
      </c>
      <c r="Q343" s="17" t="s">
        <v>54</v>
      </c>
      <c r="R343" s="17"/>
    </row>
    <row r="344" spans="1:18" ht="30" customHeight="1" x14ac:dyDescent="0.3">
      <c r="A344" s="7">
        <v>45988.444393287034</v>
      </c>
      <c r="B344" s="6" t="s">
        <v>5</v>
      </c>
      <c r="C344" s="6"/>
      <c r="D344" s="6" t="str">
        <f>VLOOKUP(B344,'Veri doğrulama'!D6:E13,2,0)</f>
        <v>MEHMET ÖZEN</v>
      </c>
      <c r="E344" s="6" t="s">
        <v>1397</v>
      </c>
      <c r="F344" s="6" t="s">
        <v>1398</v>
      </c>
      <c r="G344" s="6" t="s">
        <v>18</v>
      </c>
      <c r="H344" s="6" t="s">
        <v>34</v>
      </c>
      <c r="I344" s="6">
        <v>1150</v>
      </c>
      <c r="J344" s="6">
        <v>450</v>
      </c>
      <c r="K344" s="6">
        <v>1</v>
      </c>
      <c r="L344" s="10">
        <f t="shared" si="6"/>
        <v>0.51749999999999996</v>
      </c>
      <c r="M344" s="6" t="s">
        <v>43</v>
      </c>
      <c r="N344" s="6"/>
      <c r="O344" s="6"/>
      <c r="P344" s="17" t="s">
        <v>54</v>
      </c>
      <c r="Q344" s="17" t="s">
        <v>54</v>
      </c>
      <c r="R344" s="17"/>
    </row>
    <row r="345" spans="1:18" ht="30" customHeight="1" x14ac:dyDescent="0.3">
      <c r="A345" s="7">
        <v>45988.348246875001</v>
      </c>
      <c r="B345" s="6" t="s">
        <v>5</v>
      </c>
      <c r="C345" s="6"/>
      <c r="D345" s="6" t="str">
        <f>VLOOKUP(B345,'Veri doğrulama'!D6:E13,2,0)</f>
        <v>MEHMET ÖZEN</v>
      </c>
      <c r="E345" s="6" t="s">
        <v>1395</v>
      </c>
      <c r="F345" s="6" t="s">
        <v>1396</v>
      </c>
      <c r="G345" s="6" t="s">
        <v>13</v>
      </c>
      <c r="H345" s="6" t="s">
        <v>34</v>
      </c>
      <c r="I345" s="6">
        <v>1200</v>
      </c>
      <c r="J345" s="6">
        <v>400</v>
      </c>
      <c r="K345" s="6">
        <v>1</v>
      </c>
      <c r="L345" s="10">
        <f t="shared" si="6"/>
        <v>0.48</v>
      </c>
      <c r="M345" s="6" t="s">
        <v>42</v>
      </c>
      <c r="N345" s="6"/>
      <c r="O345" s="6"/>
      <c r="P345" s="17" t="s">
        <v>54</v>
      </c>
      <c r="Q345" s="17" t="s">
        <v>54</v>
      </c>
      <c r="R345" s="17"/>
    </row>
    <row r="346" spans="1:18" ht="30" customHeight="1" x14ac:dyDescent="0.3">
      <c r="A346" s="7">
        <v>45987.745200231482</v>
      </c>
      <c r="B346" s="6" t="s">
        <v>5</v>
      </c>
      <c r="C346" s="6"/>
      <c r="D346" s="6" t="str">
        <f>VLOOKUP(B346,'Veri doğrulama'!D6:E13,2,0)</f>
        <v>MEHMET ÖZEN</v>
      </c>
      <c r="E346" s="6"/>
      <c r="F346" s="6" t="s">
        <v>1394</v>
      </c>
      <c r="G346" s="6" t="s">
        <v>13</v>
      </c>
      <c r="H346" s="6" t="s">
        <v>35</v>
      </c>
      <c r="I346" s="6">
        <v>1390</v>
      </c>
      <c r="J346" s="6">
        <v>600</v>
      </c>
      <c r="K346" s="6">
        <v>2</v>
      </c>
      <c r="L346" s="10">
        <f t="shared" si="6"/>
        <v>1.6679999999999999</v>
      </c>
      <c r="M346" s="6" t="s">
        <v>156</v>
      </c>
      <c r="N346" s="6"/>
      <c r="O346" s="6"/>
      <c r="P346" s="17" t="s">
        <v>54</v>
      </c>
      <c r="Q346" s="17" t="s">
        <v>54</v>
      </c>
      <c r="R346" s="17"/>
    </row>
    <row r="347" spans="1:18" ht="30" customHeight="1" x14ac:dyDescent="0.3">
      <c r="A347" s="7">
        <v>45987.699855671293</v>
      </c>
      <c r="B347" s="6" t="s">
        <v>5</v>
      </c>
      <c r="C347" s="6"/>
      <c r="D347" s="6" t="str">
        <f>VLOOKUP(B347,'Veri doğrulama'!D6:E13,2,0)</f>
        <v>MEHMET ÖZEN</v>
      </c>
      <c r="E347" s="6"/>
      <c r="F347" s="6" t="s">
        <v>1217</v>
      </c>
      <c r="G347" s="6" t="s">
        <v>13</v>
      </c>
      <c r="H347" s="6" t="s">
        <v>34</v>
      </c>
      <c r="I347" s="6">
        <v>1435</v>
      </c>
      <c r="J347" s="6">
        <v>360</v>
      </c>
      <c r="K347" s="6">
        <v>1</v>
      </c>
      <c r="L347" s="10">
        <f t="shared" si="6"/>
        <v>0.51659999999999995</v>
      </c>
      <c r="M347" s="6" t="s">
        <v>156</v>
      </c>
      <c r="N347" s="6"/>
      <c r="O347" s="6"/>
      <c r="P347" s="17" t="s">
        <v>54</v>
      </c>
      <c r="Q347" s="17" t="s">
        <v>54</v>
      </c>
      <c r="R347" s="17"/>
    </row>
    <row r="348" spans="1:18" ht="30" customHeight="1" x14ac:dyDescent="0.3">
      <c r="A348" s="7">
        <v>45987.504447685184</v>
      </c>
      <c r="B348" s="6" t="s">
        <v>5</v>
      </c>
      <c r="C348" s="6"/>
      <c r="D348" s="6" t="str">
        <f>VLOOKUP(B348,'Veri doğrulama'!D6:E13,2,0)</f>
        <v>MEHMET ÖZEN</v>
      </c>
      <c r="E348" s="6"/>
      <c r="F348" s="6" t="s">
        <v>1393</v>
      </c>
      <c r="G348" s="6" t="s">
        <v>18</v>
      </c>
      <c r="H348" s="6" t="s">
        <v>34</v>
      </c>
      <c r="I348" s="6">
        <v>700</v>
      </c>
      <c r="J348" s="6">
        <v>600</v>
      </c>
      <c r="K348" s="6">
        <v>1</v>
      </c>
      <c r="L348" s="10">
        <f t="shared" si="6"/>
        <v>0.42</v>
      </c>
      <c r="M348" s="6" t="s">
        <v>156</v>
      </c>
      <c r="N348" s="6"/>
      <c r="O348" s="6"/>
      <c r="P348" s="17" t="s">
        <v>54</v>
      </c>
      <c r="Q348" s="17" t="s">
        <v>54</v>
      </c>
      <c r="R348" s="17"/>
    </row>
    <row r="349" spans="1:18" ht="30" customHeight="1" x14ac:dyDescent="0.3">
      <c r="A349" s="7">
        <v>45987.438202430552</v>
      </c>
      <c r="B349" s="6" t="s">
        <v>4</v>
      </c>
      <c r="C349" s="6"/>
      <c r="D349" s="6" t="str">
        <f>VLOOKUP(B349,'Veri doğrulama'!D6:E13,2,0)</f>
        <v>MEHMET YAZICI</v>
      </c>
      <c r="E349" s="6"/>
      <c r="F349" s="6" t="s">
        <v>1391</v>
      </c>
      <c r="G349" s="6" t="s">
        <v>1392</v>
      </c>
      <c r="H349" s="6" t="s">
        <v>34</v>
      </c>
      <c r="I349" s="6">
        <v>1786</v>
      </c>
      <c r="J349" s="6">
        <v>600</v>
      </c>
      <c r="K349" s="6">
        <v>1</v>
      </c>
      <c r="L349" s="10">
        <f t="shared" si="6"/>
        <v>1.0716000000000001</v>
      </c>
      <c r="M349" s="6" t="s">
        <v>42</v>
      </c>
      <c r="N349" s="6"/>
      <c r="O349" s="6"/>
      <c r="P349" s="17" t="s">
        <v>54</v>
      </c>
      <c r="Q349" s="17" t="s">
        <v>54</v>
      </c>
      <c r="R349" s="17"/>
    </row>
    <row r="350" spans="1:18" ht="30" customHeight="1" x14ac:dyDescent="0.3">
      <c r="A350" s="7">
        <v>45986.744550810188</v>
      </c>
      <c r="B350" s="6" t="s">
        <v>5</v>
      </c>
      <c r="C350" s="6"/>
      <c r="D350" s="6" t="str">
        <f>VLOOKUP(B350,'Veri doğrulama'!D6:E13,2,0)</f>
        <v>MEHMET ÖZEN</v>
      </c>
      <c r="E350" s="6" t="s">
        <v>1388</v>
      </c>
      <c r="F350" s="6" t="s">
        <v>1389</v>
      </c>
      <c r="G350" s="6" t="s">
        <v>1010</v>
      </c>
      <c r="H350" s="6" t="s">
        <v>34</v>
      </c>
      <c r="I350" s="6">
        <v>1398</v>
      </c>
      <c r="J350" s="6">
        <v>550</v>
      </c>
      <c r="K350" s="6">
        <v>1</v>
      </c>
      <c r="L350" s="10">
        <f t="shared" si="6"/>
        <v>0.76890000000000003</v>
      </c>
      <c r="M350" s="6"/>
      <c r="N350" s="6" t="s">
        <v>1390</v>
      </c>
      <c r="O350" s="6"/>
      <c r="P350" s="17" t="s">
        <v>54</v>
      </c>
      <c r="Q350" s="17" t="s">
        <v>54</v>
      </c>
      <c r="R350" s="17"/>
    </row>
    <row r="351" spans="1:18" ht="30" customHeight="1" x14ac:dyDescent="0.3">
      <c r="A351" s="7">
        <v>45986.672964351848</v>
      </c>
      <c r="B351" s="6" t="s">
        <v>5</v>
      </c>
      <c r="C351" s="6"/>
      <c r="D351" s="6" t="str">
        <f>VLOOKUP(B351,'Veri doğrulama'!D6:E13,2,0)</f>
        <v>MEHMET ÖZEN</v>
      </c>
      <c r="E351" s="6"/>
      <c r="F351" s="6" t="s">
        <v>351</v>
      </c>
      <c r="G351" s="6" t="s">
        <v>18</v>
      </c>
      <c r="H351" s="6" t="s">
        <v>34</v>
      </c>
      <c r="I351" s="6">
        <v>320</v>
      </c>
      <c r="J351" s="6">
        <v>339</v>
      </c>
      <c r="K351" s="6">
        <v>1</v>
      </c>
      <c r="L351" s="10">
        <f t="shared" si="6"/>
        <v>0.10847999999999999</v>
      </c>
      <c r="M351" s="6" t="s">
        <v>156</v>
      </c>
      <c r="N351" s="6"/>
      <c r="O351" s="6"/>
      <c r="P351" s="17" t="s">
        <v>54</v>
      </c>
      <c r="Q351" s="17" t="s">
        <v>54</v>
      </c>
      <c r="R351" s="17"/>
    </row>
    <row r="352" spans="1:18" ht="30" customHeight="1" x14ac:dyDescent="0.3">
      <c r="A352" s="7">
        <v>45986.671479166667</v>
      </c>
      <c r="B352" s="6" t="s">
        <v>5</v>
      </c>
      <c r="C352" s="6"/>
      <c r="D352" s="6" t="str">
        <f>VLOOKUP(B352,'Veri doğrulama'!D6:E13,2,0)</f>
        <v>MEHMET ÖZEN</v>
      </c>
      <c r="E352" s="6"/>
      <c r="F352" s="6" t="s">
        <v>1387</v>
      </c>
      <c r="G352" s="6" t="s">
        <v>15</v>
      </c>
      <c r="H352" s="6" t="s">
        <v>34</v>
      </c>
      <c r="I352" s="6">
        <v>800</v>
      </c>
      <c r="J352" s="6">
        <v>360</v>
      </c>
      <c r="K352" s="6">
        <v>1</v>
      </c>
      <c r="L352" s="10">
        <f t="shared" si="6"/>
        <v>0.28799999999999998</v>
      </c>
      <c r="M352" s="6" t="s">
        <v>103</v>
      </c>
      <c r="N352" s="6"/>
      <c r="O352" s="6"/>
      <c r="P352" s="17" t="s">
        <v>54</v>
      </c>
      <c r="Q352" s="17" t="s">
        <v>54</v>
      </c>
      <c r="R352" s="17"/>
    </row>
    <row r="353" spans="1:18" ht="30" customHeight="1" x14ac:dyDescent="0.3">
      <c r="A353" s="7">
        <v>45986.670707638892</v>
      </c>
      <c r="B353" s="6" t="s">
        <v>5</v>
      </c>
      <c r="C353" s="6"/>
      <c r="D353" s="6" t="str">
        <f>VLOOKUP(B353,'Veri doğrulama'!D6:E13,2,0)</f>
        <v>MEHMET ÖZEN</v>
      </c>
      <c r="E353" s="6"/>
      <c r="F353" s="6" t="s">
        <v>1217</v>
      </c>
      <c r="G353" s="6" t="s">
        <v>15</v>
      </c>
      <c r="H353" s="6" t="s">
        <v>34</v>
      </c>
      <c r="I353" s="6">
        <v>1495</v>
      </c>
      <c r="J353" s="6">
        <v>360</v>
      </c>
      <c r="K353" s="6">
        <v>4</v>
      </c>
      <c r="L353" s="10">
        <f t="shared" si="6"/>
        <v>2.1528</v>
      </c>
      <c r="M353" s="6" t="s">
        <v>103</v>
      </c>
      <c r="N353" s="6"/>
      <c r="O353" s="6"/>
      <c r="P353" s="17" t="s">
        <v>54</v>
      </c>
      <c r="Q353" s="17" t="s">
        <v>54</v>
      </c>
      <c r="R353" s="17"/>
    </row>
    <row r="354" spans="1:18" ht="30" customHeight="1" x14ac:dyDescent="0.3">
      <c r="A354" s="7">
        <v>45985.769475694447</v>
      </c>
      <c r="B354" s="6" t="s">
        <v>4</v>
      </c>
      <c r="C354" s="6"/>
      <c r="D354" s="6" t="str">
        <f>VLOOKUP(B354,'Veri doğrulama'!D6:E13,2,0)</f>
        <v>MEHMET YAZICI</v>
      </c>
      <c r="E354" s="6">
        <v>25646</v>
      </c>
      <c r="F354" s="6" t="s">
        <v>1386</v>
      </c>
      <c r="G354" s="6" t="s">
        <v>13</v>
      </c>
      <c r="H354" s="6" t="s">
        <v>34</v>
      </c>
      <c r="I354" s="6">
        <v>700</v>
      </c>
      <c r="J354" s="6">
        <v>510</v>
      </c>
      <c r="K354" s="6">
        <v>1</v>
      </c>
      <c r="L354" s="10">
        <f t="shared" si="6"/>
        <v>0.35699999999999998</v>
      </c>
      <c r="M354" s="6" t="s">
        <v>75</v>
      </c>
      <c r="N354" s="6"/>
      <c r="O354" s="6"/>
      <c r="P354" s="17" t="s">
        <v>54</v>
      </c>
      <c r="Q354" s="17" t="s">
        <v>54</v>
      </c>
      <c r="R354" s="17"/>
    </row>
    <row r="355" spans="1:18" ht="30" customHeight="1" x14ac:dyDescent="0.3">
      <c r="A355" s="7">
        <v>45985.605177893522</v>
      </c>
      <c r="B355" s="6" t="s">
        <v>5</v>
      </c>
      <c r="C355" s="6"/>
      <c r="D355" s="6" t="str">
        <f>VLOOKUP(B355,'Veri doğrulama'!D6:E13,2,0)</f>
        <v>MEHMET ÖZEN</v>
      </c>
      <c r="E355" s="6" t="s">
        <v>1384</v>
      </c>
      <c r="F355" s="6" t="s">
        <v>1385</v>
      </c>
      <c r="G355" s="6" t="s">
        <v>18</v>
      </c>
      <c r="H355" s="6" t="s">
        <v>34</v>
      </c>
      <c r="I355" s="6">
        <v>1462</v>
      </c>
      <c r="J355" s="6">
        <v>520</v>
      </c>
      <c r="K355" s="6">
        <v>1</v>
      </c>
      <c r="L355" s="10">
        <f t="shared" si="6"/>
        <v>0.76024000000000003</v>
      </c>
      <c r="M355" s="6"/>
      <c r="N355" s="6"/>
      <c r="O355" s="6"/>
      <c r="P355" s="17" t="s">
        <v>54</v>
      </c>
      <c r="Q355" s="17" t="s">
        <v>54</v>
      </c>
      <c r="R355" s="17"/>
    </row>
    <row r="356" spans="1:18" ht="30" customHeight="1" x14ac:dyDescent="0.3">
      <c r="A356" s="7">
        <v>45982.57628483796</v>
      </c>
      <c r="B356" s="6" t="s">
        <v>5</v>
      </c>
      <c r="C356" s="6"/>
      <c r="D356" s="6" t="str">
        <f>VLOOKUP(B356,'Veri doğrulama'!D6:E13,2,0)</f>
        <v>MEHMET ÖZEN</v>
      </c>
      <c r="E356" s="6"/>
      <c r="F356" s="6" t="s">
        <v>1383</v>
      </c>
      <c r="G356" s="6" t="s">
        <v>16</v>
      </c>
      <c r="H356" s="6" t="s">
        <v>34</v>
      </c>
      <c r="I356" s="6">
        <v>1010</v>
      </c>
      <c r="J356" s="6">
        <v>1010</v>
      </c>
      <c r="K356" s="6">
        <v>1</v>
      </c>
      <c r="L356" s="10">
        <f t="shared" si="6"/>
        <v>1.0201</v>
      </c>
      <c r="M356" s="6" t="s">
        <v>43</v>
      </c>
      <c r="N356" s="6"/>
      <c r="O356" s="6"/>
      <c r="P356" s="17" t="s">
        <v>54</v>
      </c>
      <c r="Q356" s="17" t="s">
        <v>54</v>
      </c>
      <c r="R356" s="17"/>
    </row>
    <row r="357" spans="1:18" ht="30" customHeight="1" x14ac:dyDescent="0.3">
      <c r="A357" s="7">
        <v>45982.36421122685</v>
      </c>
      <c r="B357" s="6" t="s">
        <v>5</v>
      </c>
      <c r="C357" s="6"/>
      <c r="D357" s="6" t="str">
        <f>VLOOKUP(B357,'Veri doğrulama'!D6:E13,2,0)</f>
        <v>MEHMET ÖZEN</v>
      </c>
      <c r="E357" s="6"/>
      <c r="F357" s="6" t="s">
        <v>1382</v>
      </c>
      <c r="G357" s="6" t="s">
        <v>16</v>
      </c>
      <c r="H357" s="6" t="s">
        <v>34</v>
      </c>
      <c r="I357" s="6">
        <v>2000</v>
      </c>
      <c r="J357" s="6">
        <v>1000</v>
      </c>
      <c r="K357" s="6">
        <v>1</v>
      </c>
      <c r="L357" s="10">
        <f t="shared" si="6"/>
        <v>2</v>
      </c>
      <c r="M357" s="6" t="s">
        <v>103</v>
      </c>
      <c r="N357" s="6"/>
      <c r="O357" s="6"/>
      <c r="P357" s="17" t="s">
        <v>54</v>
      </c>
      <c r="Q357" s="17" t="s">
        <v>54</v>
      </c>
      <c r="R357" s="17"/>
    </row>
    <row r="358" spans="1:18" ht="30" customHeight="1" x14ac:dyDescent="0.3">
      <c r="A358" s="7">
        <v>45982.350399189818</v>
      </c>
      <c r="B358" s="6" t="s">
        <v>5</v>
      </c>
      <c r="C358" s="6"/>
      <c r="D358" s="6" t="str">
        <f>VLOOKUP(B358,'Veri doğrulama'!D6:E13,2,0)</f>
        <v>MEHMET ÖZEN</v>
      </c>
      <c r="E358" s="6"/>
      <c r="F358" s="6" t="s">
        <v>1380</v>
      </c>
      <c r="G358" s="6" t="s">
        <v>15</v>
      </c>
      <c r="H358" s="6" t="s">
        <v>34</v>
      </c>
      <c r="I358" s="6">
        <v>1420</v>
      </c>
      <c r="J358" s="6">
        <v>1420</v>
      </c>
      <c r="K358" s="6">
        <v>1</v>
      </c>
      <c r="L358" s="10">
        <f t="shared" si="6"/>
        <v>2.0164</v>
      </c>
      <c r="M358" s="6" t="s">
        <v>103</v>
      </c>
      <c r="N358" s="6" t="s">
        <v>1381</v>
      </c>
      <c r="O358" s="6"/>
      <c r="P358" s="17" t="s">
        <v>54</v>
      </c>
      <c r="Q358" s="17" t="s">
        <v>54</v>
      </c>
      <c r="R358" s="17"/>
    </row>
    <row r="359" spans="1:18" ht="30" customHeight="1" x14ac:dyDescent="0.3">
      <c r="A359" s="7">
        <v>45981.341255902778</v>
      </c>
      <c r="B359" s="6" t="s">
        <v>5</v>
      </c>
      <c r="C359" s="6"/>
      <c r="D359" s="6" t="str">
        <f>VLOOKUP(B359,'Veri doğrulama'!D6:E13,2,0)</f>
        <v>MEHMET ÖZEN</v>
      </c>
      <c r="E359" s="6" t="s">
        <v>1378</v>
      </c>
      <c r="F359" s="6" t="s">
        <v>1379</v>
      </c>
      <c r="G359" s="6" t="s">
        <v>16</v>
      </c>
      <c r="H359" s="6" t="s">
        <v>34</v>
      </c>
      <c r="I359" s="6">
        <v>2260</v>
      </c>
      <c r="J359" s="6">
        <v>497</v>
      </c>
      <c r="K359" s="6">
        <v>1</v>
      </c>
      <c r="L359" s="10">
        <f t="shared" si="6"/>
        <v>1.1232200000000001</v>
      </c>
      <c r="M359" s="6" t="s">
        <v>42</v>
      </c>
      <c r="N359" s="6"/>
      <c r="O359" s="6"/>
      <c r="P359" s="17" t="s">
        <v>54</v>
      </c>
      <c r="Q359" s="17" t="s">
        <v>54</v>
      </c>
      <c r="R359" s="17"/>
    </row>
    <row r="360" spans="1:18" ht="30" customHeight="1" x14ac:dyDescent="0.3">
      <c r="A360" s="7">
        <v>45980.558284375002</v>
      </c>
      <c r="B360" s="6" t="s">
        <v>5</v>
      </c>
      <c r="C360" s="6"/>
      <c r="D360" s="6" t="str">
        <f>VLOOKUP(B360,'Veri doğrulama'!D6:E13,2,0)</f>
        <v>MEHMET ÖZEN</v>
      </c>
      <c r="E360" s="6"/>
      <c r="F360" s="6" t="s">
        <v>1377</v>
      </c>
      <c r="G360" s="6" t="s">
        <v>24</v>
      </c>
      <c r="H360" s="6" t="s">
        <v>34</v>
      </c>
      <c r="I360" s="6">
        <v>1790</v>
      </c>
      <c r="J360" s="6">
        <v>840</v>
      </c>
      <c r="K360" s="6">
        <v>1</v>
      </c>
      <c r="L360" s="10">
        <f t="shared" si="6"/>
        <v>1.5036</v>
      </c>
      <c r="M360" s="6" t="s">
        <v>103</v>
      </c>
      <c r="N360" s="6" t="s">
        <v>5</v>
      </c>
      <c r="O360" s="6"/>
      <c r="P360" s="17" t="s">
        <v>54</v>
      </c>
      <c r="Q360" s="17" t="s">
        <v>54</v>
      </c>
      <c r="R360" s="17"/>
    </row>
    <row r="361" spans="1:18" ht="30" customHeight="1" x14ac:dyDescent="0.3">
      <c r="A361" s="7">
        <v>45979.750267361109</v>
      </c>
      <c r="B361" s="6" t="s">
        <v>5</v>
      </c>
      <c r="C361" s="6"/>
      <c r="D361" s="6" t="str">
        <f>VLOOKUP(B361,'Veri doğrulama'!D6:E13,2,0)</f>
        <v>MEHMET ÖZEN</v>
      </c>
      <c r="E361" s="6"/>
      <c r="F361" s="6" t="s">
        <v>1376</v>
      </c>
      <c r="G361" s="6" t="s">
        <v>1010</v>
      </c>
      <c r="H361" s="6" t="s">
        <v>35</v>
      </c>
      <c r="I361" s="6">
        <v>1400</v>
      </c>
      <c r="J361" s="6">
        <v>500</v>
      </c>
      <c r="K361" s="6">
        <v>1</v>
      </c>
      <c r="L361" s="10">
        <f t="shared" si="6"/>
        <v>0.7</v>
      </c>
      <c r="M361" s="6" t="s">
        <v>102</v>
      </c>
      <c r="N361" s="6"/>
      <c r="O361" s="6"/>
      <c r="P361" s="17" t="s">
        <v>54</v>
      </c>
      <c r="Q361" s="17" t="s">
        <v>54</v>
      </c>
      <c r="R361" s="17"/>
    </row>
    <row r="362" spans="1:18" ht="30" customHeight="1" x14ac:dyDescent="0.3">
      <c r="A362" s="7">
        <v>45979.605536921299</v>
      </c>
      <c r="B362" s="6" t="s">
        <v>5</v>
      </c>
      <c r="C362" s="6"/>
      <c r="D362" s="6" t="str">
        <f>VLOOKUP(B362,'Veri doğrulama'!D6:E13,2,0)</f>
        <v>MEHMET ÖZEN</v>
      </c>
      <c r="E362" s="6"/>
      <c r="F362" s="6" t="s">
        <v>1351</v>
      </c>
      <c r="G362" s="6" t="s">
        <v>13</v>
      </c>
      <c r="H362" s="6" t="s">
        <v>34</v>
      </c>
      <c r="I362" s="6">
        <v>1890</v>
      </c>
      <c r="J362" s="6">
        <v>370</v>
      </c>
      <c r="K362" s="6">
        <v>1</v>
      </c>
      <c r="L362" s="10">
        <f t="shared" si="6"/>
        <v>0.69930000000000003</v>
      </c>
      <c r="M362" s="6" t="s">
        <v>43</v>
      </c>
      <c r="N362" s="6"/>
      <c r="O362" s="6"/>
      <c r="P362" s="17" t="s">
        <v>54</v>
      </c>
      <c r="Q362" s="17" t="s">
        <v>54</v>
      </c>
      <c r="R362" s="17"/>
    </row>
    <row r="363" spans="1:18" ht="30" customHeight="1" x14ac:dyDescent="0.3">
      <c r="A363" s="7">
        <v>45979.604787731485</v>
      </c>
      <c r="B363" s="6" t="s">
        <v>5</v>
      </c>
      <c r="C363" s="6"/>
      <c r="D363" s="6" t="str">
        <f>VLOOKUP(B363,'Veri doğrulama'!D6:E13,2,0)</f>
        <v>MEHMET ÖZEN</v>
      </c>
      <c r="E363" s="6"/>
      <c r="F363" s="6" t="s">
        <v>1375</v>
      </c>
      <c r="G363" s="6" t="s">
        <v>13</v>
      </c>
      <c r="H363" s="6" t="s">
        <v>34</v>
      </c>
      <c r="I363" s="6">
        <v>1962</v>
      </c>
      <c r="J363" s="6">
        <v>324</v>
      </c>
      <c r="K363" s="6">
        <v>1</v>
      </c>
      <c r="L363" s="10">
        <f t="shared" si="6"/>
        <v>0.63568800000000003</v>
      </c>
      <c r="M363" s="6" t="s">
        <v>43</v>
      </c>
      <c r="N363" s="6"/>
      <c r="O363" s="6"/>
      <c r="P363" s="17" t="s">
        <v>54</v>
      </c>
      <c r="Q363" s="17" t="s">
        <v>54</v>
      </c>
      <c r="R363" s="17"/>
    </row>
    <row r="364" spans="1:18" ht="30" customHeight="1" x14ac:dyDescent="0.3">
      <c r="A364" s="7">
        <v>45979.400572569444</v>
      </c>
      <c r="B364" s="6" t="s">
        <v>5</v>
      </c>
      <c r="C364" s="6"/>
      <c r="D364" s="6" t="str">
        <f>VLOOKUP(B364,'Veri doğrulama'!D6:E13,2,0)</f>
        <v>MEHMET ÖZEN</v>
      </c>
      <c r="E364" s="6"/>
      <c r="F364" s="6" t="s">
        <v>1374</v>
      </c>
      <c r="G364" s="6" t="s">
        <v>26</v>
      </c>
      <c r="H364" s="6" t="s">
        <v>33</v>
      </c>
      <c r="I364" s="6">
        <v>2345</v>
      </c>
      <c r="J364" s="6">
        <v>410</v>
      </c>
      <c r="K364" s="6">
        <v>1</v>
      </c>
      <c r="L364" s="10">
        <f t="shared" si="6"/>
        <v>0.96145000000000003</v>
      </c>
      <c r="M364" s="6" t="s">
        <v>102</v>
      </c>
      <c r="N364" s="6"/>
      <c r="O364" s="6"/>
      <c r="P364" s="17" t="s">
        <v>54</v>
      </c>
      <c r="Q364" s="17" t="s">
        <v>54</v>
      </c>
      <c r="R364" s="17"/>
    </row>
    <row r="365" spans="1:18" ht="30" customHeight="1" x14ac:dyDescent="0.3">
      <c r="A365" s="7">
        <v>45978.56897685185</v>
      </c>
      <c r="B365" s="6" t="s">
        <v>5</v>
      </c>
      <c r="C365" s="6"/>
      <c r="D365" s="6" t="str">
        <f>VLOOKUP(B365,'Veri doğrulama'!D6:E13,2,0)</f>
        <v>MEHMET ÖZEN</v>
      </c>
      <c r="E365" s="6"/>
      <c r="F365" s="6" t="s">
        <v>1373</v>
      </c>
      <c r="G365" s="6" t="s">
        <v>16</v>
      </c>
      <c r="H365" s="6" t="s">
        <v>34</v>
      </c>
      <c r="I365" s="6">
        <v>785</v>
      </c>
      <c r="J365" s="6">
        <v>415</v>
      </c>
      <c r="K365" s="6">
        <v>2</v>
      </c>
      <c r="L365" s="10">
        <f t="shared" si="6"/>
        <v>0.65154999999999996</v>
      </c>
      <c r="M365" s="6" t="s">
        <v>39</v>
      </c>
      <c r="N365" s="6"/>
      <c r="O365" s="6"/>
      <c r="P365" s="17" t="s">
        <v>54</v>
      </c>
      <c r="Q365" s="17" t="s">
        <v>54</v>
      </c>
      <c r="R365" s="17"/>
    </row>
    <row r="366" spans="1:18" ht="30" customHeight="1" x14ac:dyDescent="0.3">
      <c r="A366" s="7">
        <v>45978.358367592591</v>
      </c>
      <c r="B366" s="6" t="s">
        <v>5</v>
      </c>
      <c r="C366" s="6"/>
      <c r="D366" s="6" t="str">
        <f>VLOOKUP(B366,'Veri doğrulama'!D6:E13,2,0)</f>
        <v>MEHMET ÖZEN</v>
      </c>
      <c r="E366" s="6"/>
      <c r="F366" s="6" t="s">
        <v>1372</v>
      </c>
      <c r="G366" s="6" t="s">
        <v>18</v>
      </c>
      <c r="H366" s="6" t="s">
        <v>35</v>
      </c>
      <c r="I366" s="6">
        <v>1770</v>
      </c>
      <c r="J366" s="6">
        <v>870</v>
      </c>
      <c r="K366" s="6">
        <v>1</v>
      </c>
      <c r="L366" s="10">
        <f t="shared" si="6"/>
        <v>1.5399</v>
      </c>
      <c r="M366" s="6" t="s">
        <v>42</v>
      </c>
      <c r="N366" s="6"/>
      <c r="O366" s="6"/>
      <c r="P366" s="17" t="s">
        <v>54</v>
      </c>
      <c r="Q366" s="17" t="s">
        <v>54</v>
      </c>
      <c r="R366" s="17"/>
    </row>
    <row r="367" spans="1:18" ht="30" customHeight="1" x14ac:dyDescent="0.3">
      <c r="A367" s="7">
        <v>45975.442903124997</v>
      </c>
      <c r="B367" s="6" t="s">
        <v>5</v>
      </c>
      <c r="C367" s="6"/>
      <c r="D367" s="6" t="str">
        <f>VLOOKUP(B367,'Veri doğrulama'!D6:E13,2,0)</f>
        <v>MEHMET ÖZEN</v>
      </c>
      <c r="E367" s="6"/>
      <c r="F367" s="6" t="s">
        <v>1371</v>
      </c>
      <c r="G367" s="6" t="s">
        <v>1010</v>
      </c>
      <c r="H367" s="6" t="s">
        <v>35</v>
      </c>
      <c r="I367" s="6">
        <v>1400</v>
      </c>
      <c r="J367" s="6">
        <v>500</v>
      </c>
      <c r="K367" s="6">
        <v>1</v>
      </c>
      <c r="L367" s="10">
        <f t="shared" si="6"/>
        <v>0.7</v>
      </c>
      <c r="M367" s="6" t="s">
        <v>42</v>
      </c>
      <c r="N367" s="6"/>
      <c r="O367" s="6"/>
      <c r="P367" s="17" t="s">
        <v>54</v>
      </c>
      <c r="Q367" s="17" t="s">
        <v>54</v>
      </c>
      <c r="R367" s="17"/>
    </row>
    <row r="368" spans="1:18" ht="30" customHeight="1" x14ac:dyDescent="0.3">
      <c r="A368" s="7">
        <v>45975.386863194442</v>
      </c>
      <c r="B368" s="6" t="s">
        <v>5</v>
      </c>
      <c r="C368" s="6"/>
      <c r="D368" s="6" t="str">
        <f>VLOOKUP(B368,'Veri doğrulama'!D6:E13,2,0)</f>
        <v>MEHMET ÖZEN</v>
      </c>
      <c r="E368" s="6" t="s">
        <v>1370</v>
      </c>
      <c r="F368" s="6" t="s">
        <v>265</v>
      </c>
      <c r="G368" s="6" t="s">
        <v>18</v>
      </c>
      <c r="H368" s="6" t="s">
        <v>34</v>
      </c>
      <c r="I368" s="6">
        <v>960</v>
      </c>
      <c r="J368" s="6">
        <v>770</v>
      </c>
      <c r="K368" s="6">
        <v>1</v>
      </c>
      <c r="L368" s="10">
        <f t="shared" si="6"/>
        <v>0.73919999999999997</v>
      </c>
      <c r="M368" s="6" t="s">
        <v>75</v>
      </c>
      <c r="N368" s="6"/>
      <c r="O368" s="6"/>
      <c r="P368" s="17" t="s">
        <v>54</v>
      </c>
      <c r="Q368" s="17" t="s">
        <v>54</v>
      </c>
      <c r="R368" s="17"/>
    </row>
    <row r="369" spans="1:18" ht="30" customHeight="1" x14ac:dyDescent="0.3">
      <c r="A369" s="7">
        <v>45975.355862152777</v>
      </c>
      <c r="B369" s="6" t="s">
        <v>5</v>
      </c>
      <c r="C369" s="6"/>
      <c r="D369" s="6" t="str">
        <f>VLOOKUP(B369,'Veri doğrulama'!D6:E13,2,0)</f>
        <v>MEHMET ÖZEN</v>
      </c>
      <c r="E369" s="6"/>
      <c r="F369" s="6" t="s">
        <v>1369</v>
      </c>
      <c r="G369" s="6" t="s">
        <v>28</v>
      </c>
      <c r="H369" s="6" t="s">
        <v>34</v>
      </c>
      <c r="I369" s="6">
        <v>2000</v>
      </c>
      <c r="J369" s="6">
        <v>600</v>
      </c>
      <c r="K369" s="6">
        <v>1</v>
      </c>
      <c r="L369" s="10">
        <f t="shared" si="6"/>
        <v>1.2</v>
      </c>
      <c r="M369" s="6" t="s">
        <v>596</v>
      </c>
      <c r="N369" s="6"/>
      <c r="O369" s="6"/>
      <c r="P369" s="17" t="s">
        <v>54</v>
      </c>
      <c r="Q369" s="17" t="s">
        <v>54</v>
      </c>
      <c r="R369" s="17"/>
    </row>
    <row r="370" spans="1:18" ht="30" customHeight="1" x14ac:dyDescent="0.3">
      <c r="A370" s="7">
        <v>45975.347120601851</v>
      </c>
      <c r="B370" s="6" t="s">
        <v>5</v>
      </c>
      <c r="C370" s="6"/>
      <c r="D370" s="6" t="str">
        <f>VLOOKUP(B370,'Veri doğrulama'!D6:E13,2,0)</f>
        <v>MEHMET ÖZEN</v>
      </c>
      <c r="E370" s="6"/>
      <c r="F370" s="6" t="s">
        <v>1116</v>
      </c>
      <c r="G370" s="6" t="s">
        <v>19</v>
      </c>
      <c r="H370" s="6" t="s">
        <v>34</v>
      </c>
      <c r="I370" s="6">
        <v>2600</v>
      </c>
      <c r="J370" s="6">
        <v>300</v>
      </c>
      <c r="K370" s="6">
        <v>1</v>
      </c>
      <c r="L370" s="10">
        <f t="shared" si="6"/>
        <v>0.78</v>
      </c>
      <c r="M370" s="6" t="s">
        <v>103</v>
      </c>
      <c r="N370" s="6"/>
      <c r="O370" s="6"/>
      <c r="P370" s="17" t="s">
        <v>54</v>
      </c>
      <c r="Q370" s="17" t="s">
        <v>54</v>
      </c>
      <c r="R370" s="17"/>
    </row>
    <row r="371" spans="1:18" ht="30" customHeight="1" x14ac:dyDescent="0.3">
      <c r="A371" s="7">
        <v>45974.730549305554</v>
      </c>
      <c r="B371" s="6" t="s">
        <v>81</v>
      </c>
      <c r="C371" s="6"/>
      <c r="D371" s="6" t="str">
        <f>VLOOKUP(B371,'Veri doğrulama'!D6:E13,2,0)</f>
        <v>İBRAHİM ÇELİK</v>
      </c>
      <c r="E371" s="6"/>
      <c r="F371" s="6" t="s">
        <v>1368</v>
      </c>
      <c r="G371" s="6" t="s">
        <v>17</v>
      </c>
      <c r="H371" s="6" t="s">
        <v>35</v>
      </c>
      <c r="I371" s="6">
        <v>1620</v>
      </c>
      <c r="J371" s="6">
        <v>1220</v>
      </c>
      <c r="K371" s="6">
        <v>2</v>
      </c>
      <c r="L371" s="10">
        <f t="shared" si="6"/>
        <v>3.9527999999999999</v>
      </c>
      <c r="M371" s="6" t="s">
        <v>43</v>
      </c>
      <c r="N371" s="6" t="s">
        <v>1142</v>
      </c>
      <c r="O371" s="6"/>
      <c r="P371" s="17" t="s">
        <v>54</v>
      </c>
      <c r="Q371" s="17" t="s">
        <v>54</v>
      </c>
      <c r="R371" s="17"/>
    </row>
    <row r="372" spans="1:18" ht="30" customHeight="1" x14ac:dyDescent="0.3">
      <c r="A372" s="7">
        <v>45974.646916898149</v>
      </c>
      <c r="B372" s="6" t="s">
        <v>5</v>
      </c>
      <c r="C372" s="6"/>
      <c r="D372" s="6" t="str">
        <f>VLOOKUP(B372,'Veri doğrulama'!D6:E13,2,0)</f>
        <v>MEHMET ÖZEN</v>
      </c>
      <c r="E372" s="6"/>
      <c r="F372" s="6" t="s">
        <v>1367</v>
      </c>
      <c r="G372" s="6" t="s">
        <v>15</v>
      </c>
      <c r="H372" s="6" t="s">
        <v>34</v>
      </c>
      <c r="I372" s="6">
        <v>2220</v>
      </c>
      <c r="J372" s="6">
        <v>1100</v>
      </c>
      <c r="K372" s="6">
        <v>2</v>
      </c>
      <c r="L372" s="10">
        <f t="shared" si="6"/>
        <v>4.8840000000000003</v>
      </c>
      <c r="M372" s="6" t="s">
        <v>102</v>
      </c>
      <c r="N372" s="6"/>
      <c r="O372" s="6"/>
      <c r="P372" s="17" t="s">
        <v>54</v>
      </c>
      <c r="Q372" s="17" t="s">
        <v>54</v>
      </c>
      <c r="R372" s="17"/>
    </row>
    <row r="373" spans="1:18" ht="30" customHeight="1" x14ac:dyDescent="0.3">
      <c r="A373" s="7">
        <v>45974.60615266204</v>
      </c>
      <c r="B373" s="6" t="s">
        <v>5</v>
      </c>
      <c r="C373" s="6"/>
      <c r="D373" s="6" t="str">
        <f>VLOOKUP(B373,'Veri doğrulama'!D6:E13,2,0)</f>
        <v>MEHMET ÖZEN</v>
      </c>
      <c r="E373" s="6"/>
      <c r="F373" s="6" t="s">
        <v>1366</v>
      </c>
      <c r="G373" s="6" t="s">
        <v>15</v>
      </c>
      <c r="H373" s="6" t="s">
        <v>34</v>
      </c>
      <c r="I373" s="6">
        <v>1200</v>
      </c>
      <c r="J373" s="6">
        <v>700</v>
      </c>
      <c r="K373" s="6">
        <v>1</v>
      </c>
      <c r="L373" s="10">
        <f t="shared" si="6"/>
        <v>0.84</v>
      </c>
      <c r="M373" s="6" t="s">
        <v>102</v>
      </c>
      <c r="N373" s="6"/>
      <c r="O373" s="6"/>
      <c r="P373" s="17" t="s">
        <v>54</v>
      </c>
      <c r="Q373" s="17" t="s">
        <v>54</v>
      </c>
      <c r="R373" s="17"/>
    </row>
    <row r="374" spans="1:18" ht="30" customHeight="1" x14ac:dyDescent="0.3">
      <c r="A374" s="7">
        <v>45974.356511805556</v>
      </c>
      <c r="B374" s="6" t="s">
        <v>5</v>
      </c>
      <c r="C374" s="6"/>
      <c r="D374" s="6" t="str">
        <f>VLOOKUP(B374,'Veri doğrulama'!D6:E13,2,0)</f>
        <v>MEHMET ÖZEN</v>
      </c>
      <c r="E374" s="6"/>
      <c r="F374" s="6" t="s">
        <v>1365</v>
      </c>
      <c r="G374" s="6" t="s">
        <v>24</v>
      </c>
      <c r="H374" s="6" t="s">
        <v>34</v>
      </c>
      <c r="I374" s="6">
        <v>665</v>
      </c>
      <c r="J374" s="6">
        <v>330</v>
      </c>
      <c r="K374" s="6">
        <v>1</v>
      </c>
      <c r="L374" s="10">
        <f t="shared" si="6"/>
        <v>0.21945000000000001</v>
      </c>
      <c r="M374" s="6" t="s">
        <v>156</v>
      </c>
      <c r="N374" s="6"/>
      <c r="O374" s="6"/>
      <c r="P374" s="17" t="s">
        <v>54</v>
      </c>
      <c r="Q374" s="17" t="s">
        <v>54</v>
      </c>
      <c r="R374" s="17"/>
    </row>
    <row r="375" spans="1:18" ht="30" customHeight="1" x14ac:dyDescent="0.3">
      <c r="A375" s="7">
        <v>45974.352522453701</v>
      </c>
      <c r="B375" s="6" t="s">
        <v>5</v>
      </c>
      <c r="C375" s="6"/>
      <c r="D375" s="6" t="str">
        <f>VLOOKUP(B375,'Veri doğrulama'!D6:E13,2,0)</f>
        <v>MEHMET ÖZEN</v>
      </c>
      <c r="E375" s="6"/>
      <c r="F375" s="6" t="s">
        <v>133</v>
      </c>
      <c r="G375" s="6" t="s">
        <v>27</v>
      </c>
      <c r="H375" s="6" t="s">
        <v>34</v>
      </c>
      <c r="I375" s="6">
        <v>449</v>
      </c>
      <c r="J375" s="6">
        <v>435</v>
      </c>
      <c r="K375" s="6">
        <v>1</v>
      </c>
      <c r="L375" s="10">
        <f t="shared" si="6"/>
        <v>0.19531499999999999</v>
      </c>
      <c r="M375" s="6" t="s">
        <v>102</v>
      </c>
      <c r="N375" s="6"/>
      <c r="O375" s="6"/>
      <c r="P375" s="17" t="s">
        <v>54</v>
      </c>
      <c r="Q375" s="17" t="s">
        <v>54</v>
      </c>
      <c r="R375" s="17"/>
    </row>
    <row r="376" spans="1:18" ht="30" customHeight="1" x14ac:dyDescent="0.3">
      <c r="A376" s="7">
        <v>45973.690981828702</v>
      </c>
      <c r="B376" s="6" t="s">
        <v>5</v>
      </c>
      <c r="C376" s="6"/>
      <c r="D376" s="6" t="str">
        <f>VLOOKUP(B376,'Veri doğrulama'!D6:E13,2,0)</f>
        <v>MEHMET ÖZEN</v>
      </c>
      <c r="E376" s="6">
        <v>25112</v>
      </c>
      <c r="F376" s="6" t="s">
        <v>1364</v>
      </c>
      <c r="G376" s="6" t="s">
        <v>15</v>
      </c>
      <c r="H376" s="6" t="s">
        <v>34</v>
      </c>
      <c r="I376" s="6">
        <v>2220</v>
      </c>
      <c r="J376" s="6">
        <v>1100</v>
      </c>
      <c r="K376" s="6">
        <v>1</v>
      </c>
      <c r="L376" s="10">
        <f t="shared" si="6"/>
        <v>2.4420000000000002</v>
      </c>
      <c r="M376" s="6" t="s">
        <v>41</v>
      </c>
      <c r="N376" s="6"/>
      <c r="O376" s="6"/>
      <c r="P376" s="17" t="s">
        <v>54</v>
      </c>
      <c r="Q376" s="17" t="s">
        <v>54</v>
      </c>
      <c r="R376" s="17"/>
    </row>
    <row r="377" spans="1:18" ht="30" customHeight="1" x14ac:dyDescent="0.3">
      <c r="A377" s="7">
        <v>45973.604298726852</v>
      </c>
      <c r="B377" s="6" t="s">
        <v>5</v>
      </c>
      <c r="C377" s="6"/>
      <c r="D377" s="6" t="s">
        <v>53</v>
      </c>
      <c r="E377" s="6"/>
      <c r="F377" s="6" t="s">
        <v>1225</v>
      </c>
      <c r="G377" s="6" t="s">
        <v>16</v>
      </c>
      <c r="H377" s="6" t="s">
        <v>34</v>
      </c>
      <c r="I377" s="6">
        <v>1400</v>
      </c>
      <c r="J377" s="6">
        <v>700</v>
      </c>
      <c r="K377" s="6">
        <v>1</v>
      </c>
      <c r="L377" s="10">
        <f t="shared" si="6"/>
        <v>0.98</v>
      </c>
      <c r="M377" s="6" t="s">
        <v>596</v>
      </c>
      <c r="N377" s="6"/>
      <c r="O377" s="6"/>
      <c r="P377" s="17" t="s">
        <v>54</v>
      </c>
      <c r="Q377" s="17" t="s">
        <v>54</v>
      </c>
      <c r="R377" s="17"/>
    </row>
    <row r="378" spans="1:18" ht="30" customHeight="1" x14ac:dyDescent="0.3">
      <c r="A378" s="7">
        <v>45973.601898726854</v>
      </c>
      <c r="B378" s="6" t="s">
        <v>5</v>
      </c>
      <c r="C378" s="6"/>
      <c r="D378" s="6" t="str">
        <f>VLOOKUP(B378,'Veri doğrulama'!D6:E13,2,0)</f>
        <v>MEHMET ÖZEN</v>
      </c>
      <c r="E378" s="6"/>
      <c r="F378" s="6" t="s">
        <v>1363</v>
      </c>
      <c r="G378" s="6" t="s">
        <v>18</v>
      </c>
      <c r="H378" s="6" t="s">
        <v>34</v>
      </c>
      <c r="I378" s="6">
        <v>1400</v>
      </c>
      <c r="J378" s="6">
        <v>700</v>
      </c>
      <c r="K378" s="6">
        <v>3</v>
      </c>
      <c r="L378" s="10">
        <f t="shared" si="6"/>
        <v>2.94</v>
      </c>
      <c r="M378" s="6" t="s">
        <v>42</v>
      </c>
      <c r="N378" s="6"/>
      <c r="O378" s="6"/>
      <c r="P378" s="17" t="s">
        <v>54</v>
      </c>
      <c r="Q378" s="17" t="s">
        <v>54</v>
      </c>
      <c r="R378" s="17"/>
    </row>
    <row r="379" spans="1:18" ht="30" customHeight="1" x14ac:dyDescent="0.3">
      <c r="A379" s="7">
        <v>45973.56537546296</v>
      </c>
      <c r="B379" s="6" t="s">
        <v>5</v>
      </c>
      <c r="C379" s="6"/>
      <c r="D379" s="6" t="str">
        <f>VLOOKUP(B379,'Veri doğrulama'!D6:E13,2,0)</f>
        <v>MEHMET ÖZEN</v>
      </c>
      <c r="E379" s="6"/>
      <c r="F379" s="6" t="s">
        <v>1362</v>
      </c>
      <c r="G379" s="6" t="s">
        <v>15</v>
      </c>
      <c r="H379" s="6" t="s">
        <v>34</v>
      </c>
      <c r="I379" s="6">
        <v>1200</v>
      </c>
      <c r="J379" s="6">
        <v>700</v>
      </c>
      <c r="K379" s="6">
        <v>1</v>
      </c>
      <c r="L379" s="10">
        <f t="shared" si="6"/>
        <v>0.84</v>
      </c>
      <c r="M379" s="6" t="s">
        <v>103</v>
      </c>
      <c r="N379" s="6"/>
      <c r="O379" s="6"/>
      <c r="P379" s="17" t="s">
        <v>54</v>
      </c>
      <c r="Q379" s="17" t="s">
        <v>54</v>
      </c>
      <c r="R379" s="17"/>
    </row>
    <row r="380" spans="1:18" ht="30" customHeight="1" x14ac:dyDescent="0.3">
      <c r="A380" s="7">
        <v>45972.700021875004</v>
      </c>
      <c r="B380" s="6" t="s">
        <v>5</v>
      </c>
      <c r="C380" s="6"/>
      <c r="D380" s="6" t="str">
        <f>VLOOKUP(B380,'Veri doğrulama'!D6:E13,2,0)</f>
        <v>MEHMET ÖZEN</v>
      </c>
      <c r="E380" s="6"/>
      <c r="F380" s="6" t="s">
        <v>1116</v>
      </c>
      <c r="G380" s="6" t="s">
        <v>19</v>
      </c>
      <c r="H380" s="6" t="s">
        <v>34</v>
      </c>
      <c r="I380" s="6">
        <v>2600</v>
      </c>
      <c r="J380" s="6">
        <v>300</v>
      </c>
      <c r="K380" s="6">
        <v>1</v>
      </c>
      <c r="L380" s="10">
        <f t="shared" si="6"/>
        <v>0.78</v>
      </c>
      <c r="M380" s="6" t="s">
        <v>103</v>
      </c>
      <c r="N380" s="6"/>
      <c r="O380" s="6"/>
      <c r="P380" s="17" t="s">
        <v>54</v>
      </c>
      <c r="Q380" s="17" t="s">
        <v>54</v>
      </c>
      <c r="R380" s="17"/>
    </row>
    <row r="381" spans="1:18" ht="30" customHeight="1" x14ac:dyDescent="0.3">
      <c r="A381" s="7">
        <v>45972.637027083336</v>
      </c>
      <c r="B381" s="6" t="s">
        <v>5</v>
      </c>
      <c r="C381" s="6"/>
      <c r="D381" s="6" t="str">
        <f>VLOOKUP(B381,'Veri doğrulama'!D6:E13,2,0)</f>
        <v>MEHMET ÖZEN</v>
      </c>
      <c r="E381" s="6"/>
      <c r="F381" s="6" t="s">
        <v>1361</v>
      </c>
      <c r="G381" s="6" t="s">
        <v>26</v>
      </c>
      <c r="H381" s="6" t="s">
        <v>34</v>
      </c>
      <c r="I381" s="6">
        <v>906</v>
      </c>
      <c r="J381" s="6">
        <v>475</v>
      </c>
      <c r="K381" s="6">
        <v>1</v>
      </c>
      <c r="L381" s="10">
        <f t="shared" si="6"/>
        <v>0.43035000000000001</v>
      </c>
      <c r="M381" s="6" t="s">
        <v>156</v>
      </c>
      <c r="N381" s="6"/>
      <c r="O381" s="6"/>
      <c r="P381" s="17" t="s">
        <v>54</v>
      </c>
      <c r="Q381" s="17" t="s">
        <v>54</v>
      </c>
      <c r="R381" s="17"/>
    </row>
    <row r="382" spans="1:18" ht="30" customHeight="1" x14ac:dyDescent="0.3">
      <c r="A382" s="7">
        <v>45972.598829513889</v>
      </c>
      <c r="B382" s="6" t="s">
        <v>5</v>
      </c>
      <c r="C382" s="6"/>
      <c r="D382" s="6" t="str">
        <f>VLOOKUP(B382,'Veri doğrulama'!D6:E13,2,0)</f>
        <v>MEHMET ÖZEN</v>
      </c>
      <c r="E382" s="6"/>
      <c r="F382" s="6" t="s">
        <v>133</v>
      </c>
      <c r="G382" s="6" t="s">
        <v>19</v>
      </c>
      <c r="H382" s="6" t="s">
        <v>34</v>
      </c>
      <c r="I382" s="6">
        <v>672</v>
      </c>
      <c r="J382" s="6">
        <v>447</v>
      </c>
      <c r="K382" s="6">
        <v>2</v>
      </c>
      <c r="L382" s="10">
        <f t="shared" si="6"/>
        <v>0.60076799999999997</v>
      </c>
      <c r="M382" s="6" t="s">
        <v>103</v>
      </c>
      <c r="N382" s="6"/>
      <c r="O382" s="6"/>
      <c r="P382" s="17" t="s">
        <v>54</v>
      </c>
      <c r="Q382" s="17" t="s">
        <v>54</v>
      </c>
      <c r="R382" s="17"/>
    </row>
    <row r="383" spans="1:18" ht="30" customHeight="1" x14ac:dyDescent="0.3">
      <c r="A383" s="7">
        <v>45972.491514930553</v>
      </c>
      <c r="B383" s="6" t="s">
        <v>4</v>
      </c>
      <c r="C383" s="6"/>
      <c r="D383" s="6" t="str">
        <f>VLOOKUP(B383,'Veri doğrulama'!D6:E13,2,0)</f>
        <v>MEHMET YAZICI</v>
      </c>
      <c r="E383" s="6">
        <v>25330</v>
      </c>
      <c r="F383" s="6" t="s">
        <v>1360</v>
      </c>
      <c r="G383" s="6" t="s">
        <v>15</v>
      </c>
      <c r="H383" s="6" t="s">
        <v>35</v>
      </c>
      <c r="I383" s="6">
        <v>1600</v>
      </c>
      <c r="J383" s="6">
        <v>600</v>
      </c>
      <c r="K383" s="6">
        <v>1</v>
      </c>
      <c r="L383" s="10">
        <f t="shared" si="6"/>
        <v>0.96</v>
      </c>
      <c r="M383" s="6" t="s">
        <v>75</v>
      </c>
      <c r="N383" s="6"/>
      <c r="O383" s="6"/>
      <c r="P383" s="17" t="s">
        <v>54</v>
      </c>
      <c r="Q383" s="17" t="s">
        <v>54</v>
      </c>
      <c r="R383" s="17"/>
    </row>
    <row r="384" spans="1:18" ht="30" customHeight="1" x14ac:dyDescent="0.3">
      <c r="A384" s="7">
        <v>45972.454332291665</v>
      </c>
      <c r="B384" s="6" t="s">
        <v>81</v>
      </c>
      <c r="C384" s="6"/>
      <c r="D384" s="6" t="str">
        <f>VLOOKUP(B384,'Veri doğrulama'!D6:E13,2,0)</f>
        <v>İBRAHİM ÇELİK</v>
      </c>
      <c r="E384" s="6"/>
      <c r="F384" s="6" t="s">
        <v>1271</v>
      </c>
      <c r="G384" s="6" t="s">
        <v>22</v>
      </c>
      <c r="H384" s="6" t="s">
        <v>34</v>
      </c>
      <c r="I384" s="6">
        <v>980</v>
      </c>
      <c r="J384" s="6">
        <v>115</v>
      </c>
      <c r="K384" s="6">
        <v>1</v>
      </c>
      <c r="L384" s="10">
        <f t="shared" si="6"/>
        <v>0.11269999999999999</v>
      </c>
      <c r="M384" s="6" t="s">
        <v>103</v>
      </c>
      <c r="N384" s="6" t="s">
        <v>1142</v>
      </c>
      <c r="O384" s="6"/>
      <c r="P384" s="17" t="s">
        <v>54</v>
      </c>
      <c r="Q384" s="17" t="s">
        <v>54</v>
      </c>
      <c r="R384" s="17"/>
    </row>
    <row r="385" spans="1:18" ht="30" customHeight="1" x14ac:dyDescent="0.3">
      <c r="A385" s="7">
        <v>45972.452488194445</v>
      </c>
      <c r="B385" s="6" t="s">
        <v>81</v>
      </c>
      <c r="C385" s="6"/>
      <c r="D385" s="6" t="str">
        <f>VLOOKUP(B385,'Veri doğrulama'!D6:E13,2,0)</f>
        <v>İBRAHİM ÇELİK</v>
      </c>
      <c r="E385" s="6"/>
      <c r="F385" s="6" t="s">
        <v>1271</v>
      </c>
      <c r="G385" s="6" t="s">
        <v>22</v>
      </c>
      <c r="H385" s="6" t="s">
        <v>34</v>
      </c>
      <c r="I385" s="6">
        <v>700</v>
      </c>
      <c r="J385" s="6">
        <v>147</v>
      </c>
      <c r="K385" s="6">
        <v>1</v>
      </c>
      <c r="L385" s="10">
        <f t="shared" si="6"/>
        <v>0.10290000000000001</v>
      </c>
      <c r="M385" s="6" t="s">
        <v>103</v>
      </c>
      <c r="N385" s="6" t="s">
        <v>1142</v>
      </c>
      <c r="O385" s="6"/>
      <c r="P385" s="17" t="s">
        <v>54</v>
      </c>
      <c r="Q385" s="17" t="s">
        <v>54</v>
      </c>
      <c r="R385" s="17"/>
    </row>
    <row r="386" spans="1:18" ht="30" customHeight="1" x14ac:dyDescent="0.3">
      <c r="A386" s="7">
        <v>45972.370329861114</v>
      </c>
      <c r="B386" s="6" t="s">
        <v>81</v>
      </c>
      <c r="C386" s="6"/>
      <c r="D386" s="6" t="str">
        <f>VLOOKUP(B386,'Veri doğrulama'!D6:E13,2,0)</f>
        <v>İBRAHİM ÇELİK</v>
      </c>
      <c r="E386" s="6"/>
      <c r="F386" s="6" t="s">
        <v>1271</v>
      </c>
      <c r="G386" s="6" t="s">
        <v>22</v>
      </c>
      <c r="H386" s="6" t="s">
        <v>34</v>
      </c>
      <c r="I386" s="6">
        <v>697</v>
      </c>
      <c r="J386" s="6">
        <v>435</v>
      </c>
      <c r="K386" s="6">
        <v>1</v>
      </c>
      <c r="L386" s="10">
        <f t="shared" si="6"/>
        <v>0.30319499999999999</v>
      </c>
      <c r="M386" s="6" t="s">
        <v>103</v>
      </c>
      <c r="N386" s="6" t="s">
        <v>1142</v>
      </c>
      <c r="O386" s="6"/>
      <c r="P386" s="17" t="s">
        <v>54</v>
      </c>
      <c r="Q386" s="17" t="s">
        <v>54</v>
      </c>
      <c r="R386" s="17"/>
    </row>
    <row r="387" spans="1:18" ht="30" customHeight="1" x14ac:dyDescent="0.3">
      <c r="A387" s="7">
        <v>45972.352997106478</v>
      </c>
      <c r="B387" s="6" t="s">
        <v>81</v>
      </c>
      <c r="C387" s="6"/>
      <c r="D387" s="6" t="str">
        <f>VLOOKUP(B387,'Veri doğrulama'!D6:E13,2,0)</f>
        <v>İBRAHİM ÇELİK</v>
      </c>
      <c r="E387" s="6"/>
      <c r="F387" s="6" t="s">
        <v>1271</v>
      </c>
      <c r="G387" s="6" t="s">
        <v>22</v>
      </c>
      <c r="H387" s="6" t="s">
        <v>34</v>
      </c>
      <c r="I387" s="6">
        <v>1500</v>
      </c>
      <c r="J387" s="6">
        <v>450</v>
      </c>
      <c r="K387" s="6">
        <v>1</v>
      </c>
      <c r="L387" s="10">
        <f t="shared" si="6"/>
        <v>0.67500000000000004</v>
      </c>
      <c r="M387" s="6" t="s">
        <v>103</v>
      </c>
      <c r="N387" s="6" t="s">
        <v>1142</v>
      </c>
      <c r="O387" s="6"/>
      <c r="P387" s="17" t="s">
        <v>54</v>
      </c>
      <c r="Q387" s="17" t="s">
        <v>54</v>
      </c>
      <c r="R387" s="17"/>
    </row>
    <row r="388" spans="1:18" ht="30" customHeight="1" x14ac:dyDescent="0.3">
      <c r="A388" s="7">
        <v>45972.352004976849</v>
      </c>
      <c r="B388" s="6" t="s">
        <v>81</v>
      </c>
      <c r="C388" s="6"/>
      <c r="D388" s="6" t="str">
        <f>VLOOKUP(B388,'Veri doğrulama'!D6:E13,2,0)</f>
        <v>İBRAHİM ÇELİK</v>
      </c>
      <c r="E388" s="6"/>
      <c r="F388" s="6" t="s">
        <v>1271</v>
      </c>
      <c r="G388" s="6" t="s">
        <v>22</v>
      </c>
      <c r="H388" s="6" t="s">
        <v>34</v>
      </c>
      <c r="I388" s="6">
        <v>1464</v>
      </c>
      <c r="J388" s="6">
        <v>684</v>
      </c>
      <c r="K388" s="6">
        <v>2</v>
      </c>
      <c r="L388" s="10">
        <f t="shared" si="6"/>
        <v>2.0027520000000001</v>
      </c>
      <c r="M388" s="6" t="s">
        <v>103</v>
      </c>
      <c r="N388" s="6" t="s">
        <v>1142</v>
      </c>
      <c r="O388" s="6"/>
      <c r="P388" s="17" t="s">
        <v>54</v>
      </c>
      <c r="Q388" s="17" t="s">
        <v>54</v>
      </c>
      <c r="R388" s="17"/>
    </row>
    <row r="389" spans="1:18" ht="30" customHeight="1" x14ac:dyDescent="0.3">
      <c r="A389" s="7">
        <v>45972.351017592591</v>
      </c>
      <c r="B389" s="6" t="s">
        <v>81</v>
      </c>
      <c r="C389" s="6"/>
      <c r="D389" s="6" t="str">
        <f>VLOOKUP(B389,'Veri doğrulama'!D6:E13,2,0)</f>
        <v>İBRAHİM ÇELİK</v>
      </c>
      <c r="E389" s="6"/>
      <c r="F389" s="6" t="s">
        <v>1271</v>
      </c>
      <c r="G389" s="6" t="s">
        <v>22</v>
      </c>
      <c r="H389" s="6" t="s">
        <v>34</v>
      </c>
      <c r="I389" s="6">
        <v>447</v>
      </c>
      <c r="J389" s="6">
        <v>292</v>
      </c>
      <c r="K389" s="6">
        <v>1</v>
      </c>
      <c r="L389" s="10">
        <f t="shared" si="6"/>
        <v>0.130524</v>
      </c>
      <c r="M389" s="6" t="s">
        <v>103</v>
      </c>
      <c r="N389" s="6" t="s">
        <v>1142</v>
      </c>
      <c r="O389" s="6"/>
      <c r="P389" s="17" t="s">
        <v>54</v>
      </c>
      <c r="Q389" s="17" t="s">
        <v>54</v>
      </c>
      <c r="R389" s="17"/>
    </row>
    <row r="390" spans="1:18" ht="30" customHeight="1" x14ac:dyDescent="0.3">
      <c r="A390" s="7">
        <v>45972.349835995374</v>
      </c>
      <c r="B390" s="6" t="s">
        <v>81</v>
      </c>
      <c r="C390" s="6"/>
      <c r="D390" s="6" t="str">
        <f>VLOOKUP(B390,'Veri doğrulama'!D6:E13,2,0)</f>
        <v>İBRAHİM ÇELİK</v>
      </c>
      <c r="E390" s="6"/>
      <c r="F390" s="6" t="s">
        <v>1271</v>
      </c>
      <c r="G390" s="6" t="s">
        <v>22</v>
      </c>
      <c r="H390" s="6" t="s">
        <v>34</v>
      </c>
      <c r="I390" s="6">
        <v>697</v>
      </c>
      <c r="J390" s="6">
        <v>380</v>
      </c>
      <c r="K390" s="6">
        <v>1</v>
      </c>
      <c r="L390" s="10">
        <f t="shared" si="6"/>
        <v>0.26485999999999998</v>
      </c>
      <c r="M390" s="6" t="s">
        <v>103</v>
      </c>
      <c r="N390" s="6" t="s">
        <v>1142</v>
      </c>
      <c r="O390" s="6"/>
      <c r="P390" s="17" t="s">
        <v>54</v>
      </c>
      <c r="Q390" s="17" t="s">
        <v>54</v>
      </c>
      <c r="R390" s="17"/>
    </row>
    <row r="391" spans="1:18" ht="30" customHeight="1" x14ac:dyDescent="0.3">
      <c r="A391" s="7">
        <v>45972.348850578703</v>
      </c>
      <c r="B391" s="6" t="s">
        <v>81</v>
      </c>
      <c r="C391" s="6"/>
      <c r="D391" s="6" t="str">
        <f>VLOOKUP(B391,'Veri doğrulama'!D6:E13,2,0)</f>
        <v>İBRAHİM ÇELİK</v>
      </c>
      <c r="E391" s="6"/>
      <c r="F391" s="6" t="s">
        <v>1359</v>
      </c>
      <c r="G391" s="6" t="s">
        <v>22</v>
      </c>
      <c r="H391" s="6" t="s">
        <v>34</v>
      </c>
      <c r="I391" s="6">
        <v>447</v>
      </c>
      <c r="J391" s="6">
        <v>200</v>
      </c>
      <c r="K391" s="6">
        <v>4</v>
      </c>
      <c r="L391" s="10">
        <f t="shared" si="6"/>
        <v>0.35759999999999997</v>
      </c>
      <c r="M391" s="6" t="s">
        <v>103</v>
      </c>
      <c r="N391" s="6" t="s">
        <v>1142</v>
      </c>
      <c r="O391" s="6"/>
      <c r="P391" s="17" t="s">
        <v>54</v>
      </c>
      <c r="Q391" s="17" t="s">
        <v>54</v>
      </c>
      <c r="R391" s="17"/>
    </row>
    <row r="392" spans="1:18" ht="30" customHeight="1" x14ac:dyDescent="0.3">
      <c r="A392" s="7">
        <v>45971.723314699077</v>
      </c>
      <c r="B392" s="6" t="s">
        <v>5</v>
      </c>
      <c r="C392" s="6"/>
      <c r="D392" s="6" t="str">
        <f>VLOOKUP(B392,'Veri doğrulama'!D6:E13,2,0)</f>
        <v>MEHMET ÖZEN</v>
      </c>
      <c r="E392" s="6"/>
      <c r="F392" s="6" t="s">
        <v>959</v>
      </c>
      <c r="G392" s="6" t="s">
        <v>18</v>
      </c>
      <c r="H392" s="6" t="s">
        <v>34</v>
      </c>
      <c r="I392" s="6">
        <v>1815</v>
      </c>
      <c r="J392" s="6">
        <v>397</v>
      </c>
      <c r="K392" s="6">
        <v>1</v>
      </c>
      <c r="L392" s="10">
        <f t="shared" ref="L392:L455" si="7">I392*J392/1000000*K392</f>
        <v>0.72055499999999995</v>
      </c>
      <c r="M392" s="6" t="s">
        <v>156</v>
      </c>
      <c r="N392" s="6"/>
      <c r="O392" s="6"/>
      <c r="P392" s="17" t="s">
        <v>54</v>
      </c>
      <c r="Q392" s="17" t="s">
        <v>54</v>
      </c>
      <c r="R392" s="17"/>
    </row>
    <row r="393" spans="1:18" ht="30" customHeight="1" x14ac:dyDescent="0.3">
      <c r="A393" s="7">
        <v>45971.582025810188</v>
      </c>
      <c r="B393" s="6" t="s">
        <v>5</v>
      </c>
      <c r="C393" s="6"/>
      <c r="D393" s="6" t="str">
        <f>VLOOKUP(B393,'Veri doğrulama'!D6:E13,2,0)</f>
        <v>MEHMET ÖZEN</v>
      </c>
      <c r="E393" s="6"/>
      <c r="F393" s="6" t="s">
        <v>1354</v>
      </c>
      <c r="G393" s="6" t="s">
        <v>16</v>
      </c>
      <c r="H393" s="6" t="s">
        <v>34</v>
      </c>
      <c r="I393" s="6">
        <v>1150</v>
      </c>
      <c r="J393" s="6">
        <v>557</v>
      </c>
      <c r="K393" s="6">
        <v>1</v>
      </c>
      <c r="L393" s="10">
        <f t="shared" si="7"/>
        <v>0.64054999999999995</v>
      </c>
      <c r="M393" s="6" t="s">
        <v>103</v>
      </c>
      <c r="N393" s="6"/>
      <c r="O393" s="6"/>
      <c r="P393" s="17" t="s">
        <v>54</v>
      </c>
      <c r="Q393" s="17" t="s">
        <v>54</v>
      </c>
      <c r="R393" s="17" t="s">
        <v>54</v>
      </c>
    </row>
    <row r="394" spans="1:18" ht="30" customHeight="1" x14ac:dyDescent="0.3">
      <c r="A394" s="7">
        <v>45971.58073587963</v>
      </c>
      <c r="B394" s="6" t="s">
        <v>5</v>
      </c>
      <c r="C394" s="6"/>
      <c r="D394" s="6" t="s">
        <v>557</v>
      </c>
      <c r="E394" s="6"/>
      <c r="F394" s="6" t="s">
        <v>1042</v>
      </c>
      <c r="G394" s="6" t="s">
        <v>16</v>
      </c>
      <c r="H394" s="6" t="s">
        <v>34</v>
      </c>
      <c r="I394" s="6">
        <v>1150</v>
      </c>
      <c r="J394" s="6">
        <v>450</v>
      </c>
      <c r="K394" s="6">
        <v>1</v>
      </c>
      <c r="L394" s="10">
        <f t="shared" si="7"/>
        <v>0.51749999999999996</v>
      </c>
      <c r="M394" s="6" t="s">
        <v>103</v>
      </c>
      <c r="N394" s="6"/>
      <c r="O394" s="6"/>
      <c r="P394" s="17" t="s">
        <v>54</v>
      </c>
      <c r="Q394" s="17" t="s">
        <v>54</v>
      </c>
      <c r="R394" s="17" t="s">
        <v>54</v>
      </c>
    </row>
    <row r="395" spans="1:18" ht="30" customHeight="1" x14ac:dyDescent="0.3">
      <c r="A395" s="7">
        <v>45968.570133680558</v>
      </c>
      <c r="B395" s="6" t="s">
        <v>5</v>
      </c>
      <c r="C395" s="6"/>
      <c r="D395" s="6" t="str">
        <f>VLOOKUP(B395,'Veri doğrulama'!D6:E13,2,0)</f>
        <v>MEHMET ÖZEN</v>
      </c>
      <c r="E395" s="6"/>
      <c r="F395" s="6" t="s">
        <v>1358</v>
      </c>
      <c r="G395" s="6" t="s">
        <v>19</v>
      </c>
      <c r="H395" s="6" t="s">
        <v>34</v>
      </c>
      <c r="I395" s="6">
        <v>2386</v>
      </c>
      <c r="J395" s="6">
        <v>350</v>
      </c>
      <c r="K395" s="6">
        <v>1</v>
      </c>
      <c r="L395" s="10">
        <f t="shared" si="7"/>
        <v>0.83509999999999995</v>
      </c>
      <c r="M395" s="6" t="s">
        <v>103</v>
      </c>
      <c r="N395" s="6"/>
      <c r="O395" s="6"/>
      <c r="P395" s="17" t="s">
        <v>54</v>
      </c>
      <c r="Q395" s="17" t="s">
        <v>54</v>
      </c>
      <c r="R395" s="17" t="s">
        <v>54</v>
      </c>
    </row>
    <row r="396" spans="1:18" ht="30" customHeight="1" x14ac:dyDescent="0.3">
      <c r="A396" s="7">
        <v>45967.592619675925</v>
      </c>
      <c r="B396" s="6" t="s">
        <v>5</v>
      </c>
      <c r="C396" s="6"/>
      <c r="D396" s="6" t="str">
        <f>VLOOKUP(B396,'Veri doğrulama'!D6:E13,2,0)</f>
        <v>MEHMET ÖZEN</v>
      </c>
      <c r="E396" s="6"/>
      <c r="F396" s="6" t="s">
        <v>1357</v>
      </c>
      <c r="G396" s="6" t="s">
        <v>26</v>
      </c>
      <c r="H396" s="6" t="s">
        <v>35</v>
      </c>
      <c r="I396" s="6">
        <v>2200</v>
      </c>
      <c r="J396" s="6">
        <v>445</v>
      </c>
      <c r="K396" s="6">
        <v>3</v>
      </c>
      <c r="L396" s="10">
        <f t="shared" si="7"/>
        <v>2.9369999999999998</v>
      </c>
      <c r="M396" s="6" t="s">
        <v>596</v>
      </c>
      <c r="N396" s="6"/>
      <c r="O396" s="6"/>
      <c r="P396" s="17" t="s">
        <v>54</v>
      </c>
      <c r="Q396" s="17" t="s">
        <v>54</v>
      </c>
      <c r="R396" s="17" t="s">
        <v>54</v>
      </c>
    </row>
    <row r="397" spans="1:18" ht="30" customHeight="1" x14ac:dyDescent="0.3">
      <c r="A397" s="7">
        <v>45967.356202662035</v>
      </c>
      <c r="B397" s="6" t="s">
        <v>5</v>
      </c>
      <c r="C397" s="6"/>
      <c r="D397" s="6" t="str">
        <f>VLOOKUP(B397,'Veri doğrulama'!D6:E13,2,0)</f>
        <v>MEHMET ÖZEN</v>
      </c>
      <c r="E397" s="6" t="s">
        <v>1355</v>
      </c>
      <c r="F397" s="6" t="s">
        <v>1356</v>
      </c>
      <c r="G397" s="6" t="s">
        <v>16</v>
      </c>
      <c r="H397" s="6" t="s">
        <v>34</v>
      </c>
      <c r="I397" s="6">
        <v>1810</v>
      </c>
      <c r="J397" s="6">
        <v>545</v>
      </c>
      <c r="K397" s="6">
        <v>1</v>
      </c>
      <c r="L397" s="10">
        <f t="shared" si="7"/>
        <v>0.98645000000000005</v>
      </c>
      <c r="M397" s="6" t="s">
        <v>156</v>
      </c>
      <c r="N397" s="6"/>
      <c r="O397" s="6"/>
      <c r="P397" s="17" t="s">
        <v>54</v>
      </c>
      <c r="Q397" s="17" t="s">
        <v>54</v>
      </c>
      <c r="R397" s="17" t="s">
        <v>54</v>
      </c>
    </row>
    <row r="398" spans="1:18" ht="30" customHeight="1" x14ac:dyDescent="0.3">
      <c r="A398" s="7">
        <v>45966.691780787034</v>
      </c>
      <c r="B398" s="6" t="s">
        <v>5</v>
      </c>
      <c r="C398" s="6"/>
      <c r="D398" s="6" t="str">
        <f>VLOOKUP(B398,'Veri doğrulama'!D6:E13,2,0)</f>
        <v>MEHMET ÖZEN</v>
      </c>
      <c r="E398" s="6"/>
      <c r="F398" s="6" t="s">
        <v>1354</v>
      </c>
      <c r="G398" s="6" t="s">
        <v>18</v>
      </c>
      <c r="H398" s="6" t="s">
        <v>34</v>
      </c>
      <c r="I398" s="6">
        <v>1150</v>
      </c>
      <c r="J398" s="6">
        <v>557</v>
      </c>
      <c r="K398" s="6">
        <v>1</v>
      </c>
      <c r="L398" s="10">
        <f t="shared" si="7"/>
        <v>0.64054999999999995</v>
      </c>
      <c r="M398" s="6" t="s">
        <v>156</v>
      </c>
      <c r="N398" s="6"/>
      <c r="O398" s="6"/>
      <c r="P398" s="17" t="s">
        <v>54</v>
      </c>
      <c r="Q398" s="17" t="s">
        <v>54</v>
      </c>
      <c r="R398" s="17" t="s">
        <v>54</v>
      </c>
    </row>
    <row r="399" spans="1:18" ht="30" customHeight="1" x14ac:dyDescent="0.3">
      <c r="A399" s="7">
        <v>45966.453132870367</v>
      </c>
      <c r="B399" s="6" t="s">
        <v>5</v>
      </c>
      <c r="C399" s="6"/>
      <c r="D399" s="6" t="str">
        <f>VLOOKUP(B399,'Veri doğrulama'!D6:E13,2,0)</f>
        <v>MEHMET ÖZEN</v>
      </c>
      <c r="E399" s="6" t="s">
        <v>1353</v>
      </c>
      <c r="F399" s="6" t="s">
        <v>80</v>
      </c>
      <c r="G399" s="6" t="s">
        <v>16</v>
      </c>
      <c r="H399" s="6" t="s">
        <v>34</v>
      </c>
      <c r="I399" s="6">
        <v>1400</v>
      </c>
      <c r="J399" s="6">
        <v>800</v>
      </c>
      <c r="K399" s="6">
        <v>2</v>
      </c>
      <c r="L399" s="10">
        <f t="shared" si="7"/>
        <v>2.2400000000000002</v>
      </c>
      <c r="M399" s="6" t="s">
        <v>102</v>
      </c>
      <c r="N399" s="6" t="s">
        <v>5</v>
      </c>
      <c r="O399" s="6"/>
      <c r="P399" s="17" t="s">
        <v>54</v>
      </c>
      <c r="Q399" s="17" t="s">
        <v>54</v>
      </c>
      <c r="R399" s="17" t="s">
        <v>54</v>
      </c>
    </row>
    <row r="400" spans="1:18" ht="30" customHeight="1" x14ac:dyDescent="0.3">
      <c r="A400" s="7">
        <v>45965.654213194444</v>
      </c>
      <c r="B400" s="6" t="s">
        <v>7</v>
      </c>
      <c r="C400" s="6"/>
      <c r="D400" s="6" t="str">
        <f>VLOOKUP(B400,'Veri doğrulama'!D6:E13,2,0)</f>
        <v>SIDDIK KAPLAN</v>
      </c>
      <c r="E400" s="6">
        <v>25184</v>
      </c>
      <c r="F400" s="6" t="s">
        <v>1352</v>
      </c>
      <c r="G400" s="6" t="s">
        <v>18</v>
      </c>
      <c r="H400" s="6" t="s">
        <v>34</v>
      </c>
      <c r="I400" s="6">
        <v>539</v>
      </c>
      <c r="J400" s="6">
        <v>406</v>
      </c>
      <c r="K400" s="6">
        <v>2</v>
      </c>
      <c r="L400" s="10">
        <f t="shared" si="7"/>
        <v>0.437668</v>
      </c>
      <c r="M400" s="6" t="s">
        <v>43</v>
      </c>
      <c r="N400" s="6" t="s">
        <v>266</v>
      </c>
      <c r="O400" s="6"/>
      <c r="P400" s="17" t="s">
        <v>54</v>
      </c>
      <c r="Q400" s="17" t="s">
        <v>54</v>
      </c>
      <c r="R400" s="17" t="s">
        <v>54</v>
      </c>
    </row>
    <row r="401" spans="1:18" ht="30" customHeight="1" x14ac:dyDescent="0.3">
      <c r="A401" s="7">
        <v>45965.604839236112</v>
      </c>
      <c r="B401" s="6" t="s">
        <v>5</v>
      </c>
      <c r="C401" s="6"/>
      <c r="D401" s="6" t="str">
        <f>VLOOKUP(B401,'Veri doğrulama'!D6:E13,2,0)</f>
        <v>MEHMET ÖZEN</v>
      </c>
      <c r="E401" s="6" t="s">
        <v>1350</v>
      </c>
      <c r="F401" s="6" t="s">
        <v>1351</v>
      </c>
      <c r="G401" s="6" t="s">
        <v>19</v>
      </c>
      <c r="H401" s="6" t="s">
        <v>34</v>
      </c>
      <c r="I401" s="6">
        <v>2070</v>
      </c>
      <c r="J401" s="6">
        <v>370</v>
      </c>
      <c r="K401" s="6">
        <v>1</v>
      </c>
      <c r="L401" s="10">
        <f t="shared" si="7"/>
        <v>0.76590000000000003</v>
      </c>
      <c r="M401" s="6" t="s">
        <v>156</v>
      </c>
      <c r="N401" s="6"/>
      <c r="O401" s="6"/>
      <c r="P401" s="17" t="s">
        <v>54</v>
      </c>
      <c r="Q401" s="17" t="s">
        <v>54</v>
      </c>
      <c r="R401" s="17" t="s">
        <v>54</v>
      </c>
    </row>
    <row r="402" spans="1:18" ht="30" customHeight="1" x14ac:dyDescent="0.3">
      <c r="A402" s="7">
        <v>45965.453821643518</v>
      </c>
      <c r="B402" s="6" t="s">
        <v>7</v>
      </c>
      <c r="C402" s="6"/>
      <c r="D402" s="6" t="str">
        <f>VLOOKUP(B402,'Veri doğrulama'!D6:E13,2,0)</f>
        <v>SIDDIK KAPLAN</v>
      </c>
      <c r="E402" s="6"/>
      <c r="F402" s="6" t="s">
        <v>215</v>
      </c>
      <c r="G402" s="6" t="s">
        <v>19</v>
      </c>
      <c r="H402" s="6" t="s">
        <v>34</v>
      </c>
      <c r="I402" s="6">
        <v>1730</v>
      </c>
      <c r="J402" s="6">
        <v>300</v>
      </c>
      <c r="K402" s="6">
        <v>1</v>
      </c>
      <c r="L402" s="10">
        <f t="shared" si="7"/>
        <v>0.51900000000000002</v>
      </c>
      <c r="M402" s="6" t="s">
        <v>102</v>
      </c>
      <c r="N402" s="6"/>
      <c r="O402" s="6"/>
      <c r="P402" s="17" t="s">
        <v>54</v>
      </c>
      <c r="Q402" s="17" t="s">
        <v>54</v>
      </c>
      <c r="R402" s="17" t="s">
        <v>54</v>
      </c>
    </row>
    <row r="403" spans="1:18" ht="30" customHeight="1" x14ac:dyDescent="0.3">
      <c r="A403" s="7">
        <v>45965.386458564812</v>
      </c>
      <c r="B403" s="6" t="s">
        <v>5</v>
      </c>
      <c r="C403" s="6"/>
      <c r="D403" s="6" t="str">
        <f>VLOOKUP(B403,'Veri doğrulama'!D6:E13,2,0)</f>
        <v>MEHMET ÖZEN</v>
      </c>
      <c r="E403" s="6"/>
      <c r="F403" s="6" t="s">
        <v>1349</v>
      </c>
      <c r="G403" s="6" t="s">
        <v>18</v>
      </c>
      <c r="H403" s="6" t="s">
        <v>34</v>
      </c>
      <c r="I403" s="6">
        <v>1500</v>
      </c>
      <c r="J403" s="6">
        <v>520</v>
      </c>
      <c r="K403" s="6">
        <v>1</v>
      </c>
      <c r="L403" s="10">
        <f t="shared" si="7"/>
        <v>0.78</v>
      </c>
      <c r="M403" s="6" t="s">
        <v>103</v>
      </c>
      <c r="N403" s="6" t="s">
        <v>5</v>
      </c>
      <c r="O403" s="6"/>
      <c r="P403" s="17" t="s">
        <v>54</v>
      </c>
      <c r="Q403" s="17" t="s">
        <v>54</v>
      </c>
      <c r="R403" s="17" t="s">
        <v>54</v>
      </c>
    </row>
    <row r="404" spans="1:18" ht="30" customHeight="1" x14ac:dyDescent="0.3">
      <c r="A404" s="7">
        <v>45965.38529189815</v>
      </c>
      <c r="B404" s="6" t="s">
        <v>5</v>
      </c>
      <c r="C404" s="6"/>
      <c r="D404" s="6" t="str">
        <f>VLOOKUP(B404,'Veri doğrulama'!D6:E13,2,0)</f>
        <v>MEHMET ÖZEN</v>
      </c>
      <c r="E404" s="6"/>
      <c r="F404" s="6" t="s">
        <v>1348</v>
      </c>
      <c r="G404" s="6" t="s">
        <v>18</v>
      </c>
      <c r="H404" s="6" t="s">
        <v>34</v>
      </c>
      <c r="I404" s="6">
        <v>1500</v>
      </c>
      <c r="J404" s="6">
        <v>520</v>
      </c>
      <c r="K404" s="6">
        <v>1</v>
      </c>
      <c r="L404" s="10">
        <f t="shared" si="7"/>
        <v>0.78</v>
      </c>
      <c r="M404" s="6" t="s">
        <v>103</v>
      </c>
      <c r="N404" s="6" t="s">
        <v>5</v>
      </c>
      <c r="O404" s="6"/>
      <c r="P404" s="17" t="s">
        <v>54</v>
      </c>
      <c r="Q404" s="17" t="s">
        <v>54</v>
      </c>
      <c r="R404" s="17" t="s">
        <v>54</v>
      </c>
    </row>
    <row r="405" spans="1:18" ht="30" customHeight="1" x14ac:dyDescent="0.3">
      <c r="A405" s="7">
        <v>45965.382617592593</v>
      </c>
      <c r="B405" s="6" t="s">
        <v>5</v>
      </c>
      <c r="C405" s="6"/>
      <c r="D405" s="6" t="str">
        <f>VLOOKUP(B405,'Veri doğrulama'!D6:E13,2,0)</f>
        <v>MEHMET ÖZEN</v>
      </c>
      <c r="E405" s="6"/>
      <c r="F405" s="6" t="s">
        <v>1346</v>
      </c>
      <c r="G405" s="6" t="s">
        <v>15</v>
      </c>
      <c r="H405" s="6" t="s">
        <v>34</v>
      </c>
      <c r="I405" s="6">
        <v>1400</v>
      </c>
      <c r="J405" s="6">
        <v>1400</v>
      </c>
      <c r="K405" s="6">
        <v>1</v>
      </c>
      <c r="L405" s="10">
        <f t="shared" si="7"/>
        <v>1.96</v>
      </c>
      <c r="M405" s="6" t="s">
        <v>596</v>
      </c>
      <c r="N405" s="6" t="s">
        <v>1347</v>
      </c>
      <c r="O405" s="6"/>
      <c r="P405" s="17" t="s">
        <v>54</v>
      </c>
      <c r="Q405" s="17" t="s">
        <v>54</v>
      </c>
      <c r="R405" s="17" t="s">
        <v>54</v>
      </c>
    </row>
    <row r="406" spans="1:18" ht="30" customHeight="1" x14ac:dyDescent="0.3">
      <c r="A406" s="7">
        <v>45965.381487962964</v>
      </c>
      <c r="B406" s="6" t="s">
        <v>5</v>
      </c>
      <c r="C406" s="6"/>
      <c r="D406" s="6" t="str">
        <f>VLOOKUP(B406,'Veri doğrulama'!D6:E13,2,0)</f>
        <v>MEHMET ÖZEN</v>
      </c>
      <c r="E406" s="6"/>
      <c r="F406" s="6" t="s">
        <v>1345</v>
      </c>
      <c r="G406" s="6" t="s">
        <v>19</v>
      </c>
      <c r="H406" s="6" t="s">
        <v>34</v>
      </c>
      <c r="I406" s="6">
        <v>2386</v>
      </c>
      <c r="J406" s="6">
        <v>586</v>
      </c>
      <c r="K406" s="6">
        <v>1</v>
      </c>
      <c r="L406" s="10">
        <f t="shared" si="7"/>
        <v>1.398196</v>
      </c>
      <c r="M406" s="6" t="s">
        <v>102</v>
      </c>
      <c r="N406" s="6"/>
      <c r="O406" s="6"/>
      <c r="P406" s="17" t="s">
        <v>54</v>
      </c>
      <c r="Q406" s="17" t="s">
        <v>54</v>
      </c>
      <c r="R406" s="17" t="s">
        <v>54</v>
      </c>
    </row>
    <row r="407" spans="1:18" ht="30" customHeight="1" x14ac:dyDescent="0.3">
      <c r="A407" s="7">
        <v>45965.380597685187</v>
      </c>
      <c r="B407" s="6" t="s">
        <v>5</v>
      </c>
      <c r="C407" s="6"/>
      <c r="D407" s="6" t="str">
        <f>VLOOKUP(B407,'Veri doğrulama'!D6:E13,2,0)</f>
        <v>MEHMET ÖZEN</v>
      </c>
      <c r="E407" s="6"/>
      <c r="F407" s="6" t="s">
        <v>1344</v>
      </c>
      <c r="G407" s="6" t="s">
        <v>19</v>
      </c>
      <c r="H407" s="6" t="s">
        <v>34</v>
      </c>
      <c r="I407" s="6">
        <v>2368</v>
      </c>
      <c r="J407" s="6">
        <v>350</v>
      </c>
      <c r="K407" s="6">
        <v>1</v>
      </c>
      <c r="L407" s="10">
        <f t="shared" si="7"/>
        <v>0.82879999999999998</v>
      </c>
      <c r="M407" s="6" t="s">
        <v>102</v>
      </c>
      <c r="N407" s="6"/>
      <c r="O407" s="6"/>
      <c r="P407" s="17" t="s">
        <v>54</v>
      </c>
      <c r="Q407" s="17" t="s">
        <v>54</v>
      </c>
      <c r="R407" s="17" t="s">
        <v>54</v>
      </c>
    </row>
    <row r="408" spans="1:18" ht="30" customHeight="1" x14ac:dyDescent="0.3">
      <c r="A408" s="7">
        <v>45964.763782870374</v>
      </c>
      <c r="B408" s="6" t="s">
        <v>5</v>
      </c>
      <c r="C408" s="6"/>
      <c r="D408" s="6" t="str">
        <f>VLOOKUP(B408,'Veri doğrulama'!D6:E13,2,0)</f>
        <v>MEHMET ÖZEN</v>
      </c>
      <c r="E408" s="6"/>
      <c r="F408" s="6" t="s">
        <v>1343</v>
      </c>
      <c r="G408" s="6" t="s">
        <v>17</v>
      </c>
      <c r="H408" s="6" t="s">
        <v>34</v>
      </c>
      <c r="I408" s="6">
        <v>1400</v>
      </c>
      <c r="J408" s="6">
        <v>1200</v>
      </c>
      <c r="K408" s="6">
        <v>1</v>
      </c>
      <c r="L408" s="10">
        <f t="shared" si="7"/>
        <v>1.68</v>
      </c>
      <c r="M408" s="6" t="s">
        <v>42</v>
      </c>
      <c r="N408" s="6"/>
      <c r="O408" s="6"/>
      <c r="P408" s="17" t="s">
        <v>54</v>
      </c>
      <c r="Q408" s="17" t="s">
        <v>54</v>
      </c>
      <c r="R408" s="17" t="s">
        <v>54</v>
      </c>
    </row>
    <row r="409" spans="1:18" ht="30" customHeight="1" x14ac:dyDescent="0.3">
      <c r="A409" s="7">
        <v>45964.762635648149</v>
      </c>
      <c r="B409" s="6" t="s">
        <v>5</v>
      </c>
      <c r="C409" s="6"/>
      <c r="D409" s="6" t="str">
        <f>VLOOKUP(B409,'Veri doğrulama'!D6:E13,2,0)</f>
        <v>MEHMET ÖZEN</v>
      </c>
      <c r="E409" s="6"/>
      <c r="F409" s="6" t="s">
        <v>1342</v>
      </c>
      <c r="G409" s="6" t="s">
        <v>26</v>
      </c>
      <c r="H409" s="6" t="s">
        <v>34</v>
      </c>
      <c r="I409" s="6">
        <v>1890</v>
      </c>
      <c r="J409" s="6">
        <v>370</v>
      </c>
      <c r="K409" s="6">
        <v>1</v>
      </c>
      <c r="L409" s="10">
        <f t="shared" si="7"/>
        <v>0.69930000000000003</v>
      </c>
      <c r="M409" s="6" t="s">
        <v>156</v>
      </c>
      <c r="N409" s="6"/>
      <c r="O409" s="6"/>
      <c r="P409" s="17" t="s">
        <v>54</v>
      </c>
      <c r="Q409" s="17" t="s">
        <v>54</v>
      </c>
      <c r="R409" s="17" t="s">
        <v>54</v>
      </c>
    </row>
    <row r="410" spans="1:18" ht="30" customHeight="1" x14ac:dyDescent="0.3">
      <c r="A410" s="7">
        <v>45964.758483564816</v>
      </c>
      <c r="B410" s="6" t="s">
        <v>5</v>
      </c>
      <c r="C410" s="6"/>
      <c r="D410" s="6" t="str">
        <f>VLOOKUP(B410,'Veri doğrulama'!D6:E13,2,0)</f>
        <v>MEHMET ÖZEN</v>
      </c>
      <c r="E410" s="6"/>
      <c r="F410" s="6" t="s">
        <v>131</v>
      </c>
      <c r="G410" s="6" t="s">
        <v>16</v>
      </c>
      <c r="H410" s="6" t="s">
        <v>34</v>
      </c>
      <c r="I410" s="6">
        <v>545</v>
      </c>
      <c r="J410" s="6">
        <v>523</v>
      </c>
      <c r="K410" s="6">
        <v>1</v>
      </c>
      <c r="L410" s="10">
        <f t="shared" si="7"/>
        <v>0.28503499999999998</v>
      </c>
      <c r="M410" s="6" t="s">
        <v>156</v>
      </c>
      <c r="N410" s="6"/>
      <c r="O410" s="6"/>
      <c r="P410" s="17" t="s">
        <v>54</v>
      </c>
      <c r="Q410" s="17" t="s">
        <v>54</v>
      </c>
      <c r="R410" s="17" t="s">
        <v>54</v>
      </c>
    </row>
    <row r="411" spans="1:18" ht="30" customHeight="1" x14ac:dyDescent="0.3">
      <c r="A411" s="7">
        <v>45964.750261111112</v>
      </c>
      <c r="B411" s="6" t="s">
        <v>5</v>
      </c>
      <c r="C411" s="6"/>
      <c r="D411" s="6" t="str">
        <f>VLOOKUP(B411,'Veri doğrulama'!D6:E13,2,0)</f>
        <v>MEHMET ÖZEN</v>
      </c>
      <c r="E411" s="6" t="s">
        <v>1340</v>
      </c>
      <c r="F411" s="6" t="s">
        <v>1341</v>
      </c>
      <c r="G411" s="6" t="s">
        <v>19</v>
      </c>
      <c r="H411" s="6" t="s">
        <v>34</v>
      </c>
      <c r="I411" s="6">
        <v>2163</v>
      </c>
      <c r="J411" s="6">
        <v>679</v>
      </c>
      <c r="K411" s="6">
        <v>1</v>
      </c>
      <c r="L411" s="10">
        <f t="shared" si="7"/>
        <v>1.468677</v>
      </c>
      <c r="M411" s="6" t="s">
        <v>103</v>
      </c>
      <c r="N411" s="6"/>
      <c r="O411" s="6"/>
      <c r="P411" s="17" t="s">
        <v>54</v>
      </c>
      <c r="Q411" s="17" t="s">
        <v>54</v>
      </c>
      <c r="R411" s="17" t="s">
        <v>54</v>
      </c>
    </row>
    <row r="412" spans="1:18" ht="30" customHeight="1" x14ac:dyDescent="0.3">
      <c r="A412" s="7">
        <v>45964.458335069445</v>
      </c>
      <c r="B412" s="6" t="s">
        <v>5</v>
      </c>
      <c r="C412" s="6"/>
      <c r="D412" s="6" t="str">
        <f>VLOOKUP(B412,'Veri doğrulama'!D6:E13,2,0)</f>
        <v>MEHMET ÖZEN</v>
      </c>
      <c r="E412" s="6"/>
      <c r="F412" s="6" t="s">
        <v>1339</v>
      </c>
      <c r="G412" s="6" t="s">
        <v>18</v>
      </c>
      <c r="H412" s="6" t="s">
        <v>34</v>
      </c>
      <c r="I412" s="6">
        <v>800</v>
      </c>
      <c r="J412" s="6">
        <v>360</v>
      </c>
      <c r="K412" s="6">
        <v>1</v>
      </c>
      <c r="L412" s="10">
        <f t="shared" si="7"/>
        <v>0.28799999999999998</v>
      </c>
      <c r="M412" s="6" t="s">
        <v>43</v>
      </c>
      <c r="N412" s="6"/>
      <c r="O412" s="6"/>
      <c r="P412" s="17" t="s">
        <v>54</v>
      </c>
      <c r="Q412" s="17" t="s">
        <v>54</v>
      </c>
      <c r="R412" s="17" t="s">
        <v>54</v>
      </c>
    </row>
    <row r="413" spans="1:18" ht="30" customHeight="1" x14ac:dyDescent="0.3">
      <c r="A413" s="7">
        <v>45964.457869444443</v>
      </c>
      <c r="B413" s="6" t="s">
        <v>5</v>
      </c>
      <c r="C413" s="6"/>
      <c r="D413" s="6" t="str">
        <f>VLOOKUP(B413,'Veri doğrulama'!D6:E13,2,0)</f>
        <v>MEHMET ÖZEN</v>
      </c>
      <c r="E413" s="6"/>
      <c r="F413" s="6" t="s">
        <v>1338</v>
      </c>
      <c r="G413" s="6" t="s">
        <v>18</v>
      </c>
      <c r="H413" s="6" t="s">
        <v>34</v>
      </c>
      <c r="I413" s="6">
        <v>1450</v>
      </c>
      <c r="J413" s="6">
        <v>397</v>
      </c>
      <c r="K413" s="6">
        <v>2</v>
      </c>
      <c r="L413" s="10">
        <f t="shared" si="7"/>
        <v>1.1513</v>
      </c>
      <c r="M413" s="6" t="s">
        <v>43</v>
      </c>
      <c r="N413" s="6"/>
      <c r="O413" s="6"/>
      <c r="P413" s="17" t="s">
        <v>54</v>
      </c>
      <c r="Q413" s="17" t="s">
        <v>54</v>
      </c>
      <c r="R413" s="17" t="s">
        <v>54</v>
      </c>
    </row>
    <row r="414" spans="1:18" ht="30" customHeight="1" x14ac:dyDescent="0.3">
      <c r="A414" s="7">
        <v>45961.745759259262</v>
      </c>
      <c r="B414" s="6" t="s">
        <v>4</v>
      </c>
      <c r="C414" s="6"/>
      <c r="D414" s="6" t="str">
        <f>VLOOKUP(B414,'Veri doğrulama'!D6:E13,2,0)</f>
        <v>MEHMET YAZICI</v>
      </c>
      <c r="E414" s="6"/>
      <c r="F414" s="6" t="s">
        <v>558</v>
      </c>
      <c r="G414" s="6" t="s">
        <v>16</v>
      </c>
      <c r="H414" s="6" t="s">
        <v>34</v>
      </c>
      <c r="I414" s="6">
        <v>397</v>
      </c>
      <c r="J414" s="6">
        <v>1450</v>
      </c>
      <c r="K414" s="6">
        <v>1</v>
      </c>
      <c r="L414" s="10">
        <f t="shared" si="7"/>
        <v>0.57565</v>
      </c>
      <c r="M414" s="6" t="s">
        <v>103</v>
      </c>
      <c r="N414" s="6"/>
      <c r="O414" s="6"/>
      <c r="P414" s="17" t="s">
        <v>54</v>
      </c>
      <c r="Q414" s="17" t="s">
        <v>54</v>
      </c>
      <c r="R414" s="17" t="s">
        <v>54</v>
      </c>
    </row>
    <row r="415" spans="1:18" ht="30" customHeight="1" x14ac:dyDescent="0.3">
      <c r="A415" s="7">
        <v>45961.722878356479</v>
      </c>
      <c r="B415" s="6" t="s">
        <v>4</v>
      </c>
      <c r="C415" s="6"/>
      <c r="D415" s="6" t="str">
        <f>VLOOKUP(B415,'Veri doğrulama'!D6:E13,2,0)</f>
        <v>MEHMET YAZICI</v>
      </c>
      <c r="E415" s="6"/>
      <c r="F415" s="6" t="s">
        <v>1271</v>
      </c>
      <c r="G415" s="6" t="s">
        <v>22</v>
      </c>
      <c r="H415" s="6" t="s">
        <v>34</v>
      </c>
      <c r="I415" s="6">
        <v>698</v>
      </c>
      <c r="J415" s="6">
        <v>447</v>
      </c>
      <c r="K415" s="6">
        <v>1</v>
      </c>
      <c r="L415" s="10">
        <f t="shared" si="7"/>
        <v>0.31200600000000001</v>
      </c>
      <c r="M415" s="6" t="s">
        <v>103</v>
      </c>
      <c r="N415" s="6"/>
      <c r="O415" s="6"/>
      <c r="P415" s="17" t="s">
        <v>54</v>
      </c>
      <c r="Q415" s="17" t="s">
        <v>54</v>
      </c>
      <c r="R415" s="17" t="s">
        <v>54</v>
      </c>
    </row>
    <row r="416" spans="1:18" ht="30" customHeight="1" x14ac:dyDescent="0.3">
      <c r="A416" s="7">
        <v>45961.722428356479</v>
      </c>
      <c r="B416" s="6" t="s">
        <v>4</v>
      </c>
      <c r="C416" s="6"/>
      <c r="D416" s="6" t="str">
        <f>VLOOKUP(B416,'Veri doğrulama'!D6:E13,2,0)</f>
        <v>MEHMET YAZICI</v>
      </c>
      <c r="E416" s="6"/>
      <c r="F416" s="6" t="s">
        <v>1271</v>
      </c>
      <c r="G416" s="6" t="s">
        <v>22</v>
      </c>
      <c r="H416" s="6" t="s">
        <v>34</v>
      </c>
      <c r="I416" s="6">
        <v>955</v>
      </c>
      <c r="J416" s="6">
        <v>455</v>
      </c>
      <c r="K416" s="6">
        <v>1</v>
      </c>
      <c r="L416" s="10">
        <f t="shared" si="7"/>
        <v>0.43452499999999999</v>
      </c>
      <c r="M416" s="6" t="s">
        <v>103</v>
      </c>
      <c r="N416" s="6"/>
      <c r="O416" s="6"/>
      <c r="P416" s="17" t="s">
        <v>54</v>
      </c>
      <c r="Q416" s="17" t="s">
        <v>54</v>
      </c>
      <c r="R416" s="17" t="s">
        <v>54</v>
      </c>
    </row>
    <row r="417" spans="1:18" ht="30" customHeight="1" x14ac:dyDescent="0.3">
      <c r="A417" s="7">
        <v>45961.720797916663</v>
      </c>
      <c r="B417" s="6" t="s">
        <v>4</v>
      </c>
      <c r="C417" s="6"/>
      <c r="D417" s="6" t="str">
        <f>VLOOKUP(B417,'Veri doğrulama'!D6:E13,2,0)</f>
        <v>MEHMET YAZICI</v>
      </c>
      <c r="E417" s="6"/>
      <c r="F417" s="6" t="s">
        <v>1271</v>
      </c>
      <c r="G417" s="6" t="s">
        <v>22</v>
      </c>
      <c r="H417" s="6" t="s">
        <v>34</v>
      </c>
      <c r="I417" s="6">
        <v>455</v>
      </c>
      <c r="J417" s="6">
        <v>420</v>
      </c>
      <c r="K417" s="6">
        <v>1</v>
      </c>
      <c r="L417" s="10">
        <f t="shared" si="7"/>
        <v>0.19109999999999999</v>
      </c>
      <c r="M417" s="6" t="s">
        <v>103</v>
      </c>
      <c r="N417" s="6"/>
      <c r="O417" s="6"/>
      <c r="P417" s="17" t="s">
        <v>54</v>
      </c>
      <c r="Q417" s="17" t="s">
        <v>54</v>
      </c>
      <c r="R417" s="17" t="s">
        <v>54</v>
      </c>
    </row>
    <row r="418" spans="1:18" ht="30" customHeight="1" x14ac:dyDescent="0.3">
      <c r="A418" s="7">
        <v>45961.720403125</v>
      </c>
      <c r="B418" s="6" t="s">
        <v>4</v>
      </c>
      <c r="C418" s="6"/>
      <c r="D418" s="6" t="str">
        <f>VLOOKUP(B418,'Veri doğrulama'!D6:E13,2,0)</f>
        <v>MEHMET YAZICI</v>
      </c>
      <c r="E418" s="6"/>
      <c r="F418" s="6" t="s">
        <v>1271</v>
      </c>
      <c r="G418" s="6" t="s">
        <v>22</v>
      </c>
      <c r="H418" s="6" t="s">
        <v>34</v>
      </c>
      <c r="I418" s="6">
        <v>682</v>
      </c>
      <c r="J418" s="6">
        <v>455</v>
      </c>
      <c r="K418" s="6">
        <v>1</v>
      </c>
      <c r="L418" s="10">
        <f t="shared" si="7"/>
        <v>0.31030999999999997</v>
      </c>
      <c r="M418" s="6" t="s">
        <v>103</v>
      </c>
      <c r="N418" s="6"/>
      <c r="O418" s="6"/>
      <c r="P418" s="17" t="s">
        <v>54</v>
      </c>
      <c r="Q418" s="17" t="s">
        <v>54</v>
      </c>
      <c r="R418" s="17" t="s">
        <v>54</v>
      </c>
    </row>
    <row r="419" spans="1:18" ht="30" customHeight="1" x14ac:dyDescent="0.3">
      <c r="A419" s="7">
        <v>45961.719937152775</v>
      </c>
      <c r="B419" s="6" t="s">
        <v>4</v>
      </c>
      <c r="C419" s="6"/>
      <c r="D419" s="6" t="str">
        <f>VLOOKUP(B419,'Veri doğrulama'!D6:E13,2,0)</f>
        <v>MEHMET YAZICI</v>
      </c>
      <c r="E419" s="6"/>
      <c r="F419" s="6" t="s">
        <v>1271</v>
      </c>
      <c r="G419" s="6" t="s">
        <v>22</v>
      </c>
      <c r="H419" s="6" t="s">
        <v>34</v>
      </c>
      <c r="I419" s="6">
        <v>682</v>
      </c>
      <c r="J419" s="6">
        <v>405</v>
      </c>
      <c r="K419" s="6">
        <v>1</v>
      </c>
      <c r="L419" s="10">
        <f t="shared" si="7"/>
        <v>0.27621000000000001</v>
      </c>
      <c r="M419" s="6" t="s">
        <v>103</v>
      </c>
      <c r="N419" s="6"/>
      <c r="O419" s="6"/>
      <c r="P419" s="17" t="s">
        <v>54</v>
      </c>
      <c r="Q419" s="17" t="s">
        <v>54</v>
      </c>
      <c r="R419" s="17" t="s">
        <v>54</v>
      </c>
    </row>
    <row r="420" spans="1:18" ht="30" customHeight="1" x14ac:dyDescent="0.3">
      <c r="A420" s="7">
        <v>45961.719461574074</v>
      </c>
      <c r="B420" s="6" t="s">
        <v>4</v>
      </c>
      <c r="C420" s="6"/>
      <c r="D420" s="6" t="str">
        <f>VLOOKUP(B420,'Veri doğrulama'!D6:E13,2,0)</f>
        <v>MEHMET YAZICI</v>
      </c>
      <c r="E420" s="6"/>
      <c r="F420" s="6" t="s">
        <v>1271</v>
      </c>
      <c r="G420" s="6" t="s">
        <v>22</v>
      </c>
      <c r="H420" s="6" t="s">
        <v>34</v>
      </c>
      <c r="I420" s="6">
        <v>682</v>
      </c>
      <c r="J420" s="6">
        <v>425</v>
      </c>
      <c r="K420" s="6">
        <v>1</v>
      </c>
      <c r="L420" s="10">
        <f t="shared" si="7"/>
        <v>0.28985</v>
      </c>
      <c r="M420" s="6" t="s">
        <v>103</v>
      </c>
      <c r="N420" s="6"/>
      <c r="O420" s="6"/>
      <c r="P420" s="17" t="s">
        <v>54</v>
      </c>
      <c r="Q420" s="17" t="s">
        <v>54</v>
      </c>
      <c r="R420" s="17" t="s">
        <v>54</v>
      </c>
    </row>
    <row r="421" spans="1:18" ht="30" customHeight="1" x14ac:dyDescent="0.3">
      <c r="A421" s="7">
        <v>45961.714226041666</v>
      </c>
      <c r="B421" s="6" t="s">
        <v>4</v>
      </c>
      <c r="C421" s="6"/>
      <c r="D421" s="6" t="str">
        <f>VLOOKUP(B421,'Veri doğrulama'!D6:E13,2,0)</f>
        <v>MEHMET YAZICI</v>
      </c>
      <c r="E421" s="6"/>
      <c r="F421" s="6" t="s">
        <v>1337</v>
      </c>
      <c r="G421" s="6" t="s">
        <v>16</v>
      </c>
      <c r="H421" s="6" t="s">
        <v>34</v>
      </c>
      <c r="I421" s="6">
        <v>1150</v>
      </c>
      <c r="J421" s="6">
        <v>450</v>
      </c>
      <c r="K421" s="6">
        <v>1</v>
      </c>
      <c r="L421" s="10">
        <f t="shared" si="7"/>
        <v>0.51749999999999996</v>
      </c>
      <c r="M421" s="6" t="s">
        <v>103</v>
      </c>
      <c r="N421" s="6"/>
      <c r="O421" s="6"/>
      <c r="P421" s="17" t="s">
        <v>54</v>
      </c>
      <c r="Q421" s="17" t="s">
        <v>54</v>
      </c>
      <c r="R421" s="17" t="s">
        <v>54</v>
      </c>
    </row>
    <row r="422" spans="1:18" ht="30" customHeight="1" x14ac:dyDescent="0.3">
      <c r="A422" s="7">
        <v>45961.7126943287</v>
      </c>
      <c r="B422" s="6" t="s">
        <v>4</v>
      </c>
      <c r="C422" s="6"/>
      <c r="D422" s="6" t="str">
        <f>VLOOKUP(B422,'Veri doğrulama'!D6:E13,2,0)</f>
        <v>MEHMET YAZICI</v>
      </c>
      <c r="E422" s="6"/>
      <c r="F422" s="6" t="s">
        <v>1336</v>
      </c>
      <c r="G422" s="6" t="s">
        <v>16</v>
      </c>
      <c r="H422" s="6" t="s">
        <v>34</v>
      </c>
      <c r="I422" s="6">
        <v>800</v>
      </c>
      <c r="J422" s="6">
        <v>450</v>
      </c>
      <c r="K422" s="6">
        <v>1</v>
      </c>
      <c r="L422" s="10">
        <f t="shared" si="7"/>
        <v>0.36</v>
      </c>
      <c r="M422" s="6" t="s">
        <v>103</v>
      </c>
      <c r="N422" s="6"/>
      <c r="O422" s="6"/>
      <c r="P422" s="17" t="s">
        <v>54</v>
      </c>
      <c r="Q422" s="17" t="s">
        <v>54</v>
      </c>
      <c r="R422" s="17" t="s">
        <v>54</v>
      </c>
    </row>
    <row r="423" spans="1:18" ht="30" customHeight="1" x14ac:dyDescent="0.3">
      <c r="A423" s="7">
        <v>45961.712131481479</v>
      </c>
      <c r="B423" s="6" t="s">
        <v>4</v>
      </c>
      <c r="C423" s="6"/>
      <c r="D423" s="6" t="str">
        <f>VLOOKUP(B423,'Veri doğrulama'!D6:E13,2,0)</f>
        <v>MEHMET YAZICI</v>
      </c>
      <c r="E423" s="6"/>
      <c r="F423" s="6" t="s">
        <v>1335</v>
      </c>
      <c r="G423" s="6" t="s">
        <v>16</v>
      </c>
      <c r="H423" s="6" t="s">
        <v>34</v>
      </c>
      <c r="I423" s="6">
        <v>544</v>
      </c>
      <c r="J423" s="6">
        <v>544</v>
      </c>
      <c r="K423" s="6">
        <v>2</v>
      </c>
      <c r="L423" s="10">
        <f t="shared" si="7"/>
        <v>0.59187199999999995</v>
      </c>
      <c r="M423" s="6" t="s">
        <v>103</v>
      </c>
      <c r="N423" s="6"/>
      <c r="O423" s="6"/>
      <c r="P423" s="17" t="s">
        <v>54</v>
      </c>
      <c r="Q423" s="17" t="s">
        <v>54</v>
      </c>
      <c r="R423" s="17" t="s">
        <v>54</v>
      </c>
    </row>
    <row r="424" spans="1:18" ht="30" customHeight="1" x14ac:dyDescent="0.3">
      <c r="A424" s="7">
        <v>45961.711246296298</v>
      </c>
      <c r="B424" s="6" t="s">
        <v>4</v>
      </c>
      <c r="C424" s="6"/>
      <c r="D424" s="6" t="str">
        <f>VLOOKUP(B424,'Veri doğrulama'!D6:E13,2,0)</f>
        <v>MEHMET YAZICI</v>
      </c>
      <c r="E424" s="6"/>
      <c r="F424" s="6" t="s">
        <v>1334</v>
      </c>
      <c r="G424" s="6" t="s">
        <v>13</v>
      </c>
      <c r="H424" s="6" t="s">
        <v>34</v>
      </c>
      <c r="I424" s="6">
        <v>700</v>
      </c>
      <c r="J424" s="6">
        <v>196</v>
      </c>
      <c r="K424" s="6">
        <v>1</v>
      </c>
      <c r="L424" s="10">
        <f t="shared" si="7"/>
        <v>0.13719999999999999</v>
      </c>
      <c r="M424" s="6" t="s">
        <v>75</v>
      </c>
      <c r="N424" s="6"/>
      <c r="O424" s="6"/>
      <c r="P424" s="17" t="s">
        <v>54</v>
      </c>
      <c r="Q424" s="17" t="s">
        <v>54</v>
      </c>
      <c r="R424" s="17" t="s">
        <v>54</v>
      </c>
    </row>
    <row r="425" spans="1:18" ht="30" customHeight="1" x14ac:dyDescent="0.3">
      <c r="A425" s="7">
        <v>45961.710675810187</v>
      </c>
      <c r="B425" s="6" t="s">
        <v>4</v>
      </c>
      <c r="C425" s="6"/>
      <c r="D425" s="6" t="str">
        <f>VLOOKUP(B425,'Veri doğrulama'!D6:E13,2,0)</f>
        <v>MEHMET YAZICI</v>
      </c>
      <c r="E425" s="6"/>
      <c r="F425" s="6" t="s">
        <v>1333</v>
      </c>
      <c r="G425" s="6" t="s">
        <v>18</v>
      </c>
      <c r="H425" s="6" t="s">
        <v>34</v>
      </c>
      <c r="I425" s="6">
        <v>544</v>
      </c>
      <c r="J425" s="6">
        <v>544</v>
      </c>
      <c r="K425" s="6">
        <v>1</v>
      </c>
      <c r="L425" s="10">
        <f t="shared" si="7"/>
        <v>0.29593599999999998</v>
      </c>
      <c r="M425" s="6" t="s">
        <v>75</v>
      </c>
      <c r="N425" s="6"/>
      <c r="O425" s="6"/>
      <c r="P425" s="17" t="s">
        <v>54</v>
      </c>
      <c r="Q425" s="17" t="s">
        <v>54</v>
      </c>
      <c r="R425" s="17" t="s">
        <v>54</v>
      </c>
    </row>
    <row r="426" spans="1:18" ht="30" customHeight="1" x14ac:dyDescent="0.3">
      <c r="A426" s="7">
        <v>45961.710082638892</v>
      </c>
      <c r="B426" s="6" t="s">
        <v>4</v>
      </c>
      <c r="C426" s="6"/>
      <c r="D426" s="6" t="str">
        <f>VLOOKUP(B426,'Veri doğrulama'!D6:E13,2,0)</f>
        <v>MEHMET YAZICI</v>
      </c>
      <c r="E426" s="6"/>
      <c r="F426" s="6" t="s">
        <v>1332</v>
      </c>
      <c r="G426" s="6" t="s">
        <v>26</v>
      </c>
      <c r="H426" s="6" t="s">
        <v>35</v>
      </c>
      <c r="I426" s="6">
        <v>900</v>
      </c>
      <c r="J426" s="6">
        <v>600</v>
      </c>
      <c r="K426" s="6">
        <v>1</v>
      </c>
      <c r="L426" s="10">
        <f t="shared" si="7"/>
        <v>0.54</v>
      </c>
      <c r="M426" s="6" t="s">
        <v>103</v>
      </c>
      <c r="N426" s="6"/>
      <c r="O426" s="6"/>
      <c r="P426" s="17" t="s">
        <v>54</v>
      </c>
      <c r="Q426" s="17" t="s">
        <v>54</v>
      </c>
      <c r="R426" s="17" t="s">
        <v>54</v>
      </c>
    </row>
    <row r="427" spans="1:18" ht="30" customHeight="1" x14ac:dyDescent="0.3">
      <c r="A427" s="7">
        <v>45961.374651967591</v>
      </c>
      <c r="B427" s="6" t="s">
        <v>7</v>
      </c>
      <c r="C427" s="6"/>
      <c r="D427" s="6" t="str">
        <f>VLOOKUP(B427,'Veri doğrulama'!D6:E13,2,0)</f>
        <v>SIDDIK KAPLAN</v>
      </c>
      <c r="E427" s="6" t="s">
        <v>1329</v>
      </c>
      <c r="F427" s="6" t="s">
        <v>1330</v>
      </c>
      <c r="G427" s="6" t="s">
        <v>16</v>
      </c>
      <c r="H427" s="6" t="s">
        <v>34</v>
      </c>
      <c r="I427" s="6">
        <v>550</v>
      </c>
      <c r="J427" s="6">
        <v>571</v>
      </c>
      <c r="K427" s="6">
        <v>1</v>
      </c>
      <c r="L427" s="10">
        <f t="shared" si="7"/>
        <v>0.31405</v>
      </c>
      <c r="M427" s="6" t="s">
        <v>102</v>
      </c>
      <c r="N427" s="6" t="s">
        <v>1331</v>
      </c>
      <c r="O427" s="6"/>
      <c r="P427" s="17" t="s">
        <v>54</v>
      </c>
      <c r="Q427" s="17" t="s">
        <v>54</v>
      </c>
      <c r="R427" s="17" t="s">
        <v>54</v>
      </c>
    </row>
    <row r="428" spans="1:18" ht="30" customHeight="1" x14ac:dyDescent="0.3">
      <c r="A428" s="7">
        <v>45960.612790393519</v>
      </c>
      <c r="B428" s="6" t="s">
        <v>5</v>
      </c>
      <c r="C428" s="6"/>
      <c r="D428" s="6" t="str">
        <f>VLOOKUP(B428,'Veri doğrulama'!D6:E13,2,0)</f>
        <v>MEHMET ÖZEN</v>
      </c>
      <c r="E428" s="6"/>
      <c r="F428" s="6" t="s">
        <v>1315</v>
      </c>
      <c r="G428" s="6" t="s">
        <v>18</v>
      </c>
      <c r="H428" s="6" t="s">
        <v>35</v>
      </c>
      <c r="I428" s="6">
        <v>1895</v>
      </c>
      <c r="J428" s="6">
        <v>870</v>
      </c>
      <c r="K428" s="6">
        <v>1</v>
      </c>
      <c r="L428" s="10">
        <f t="shared" si="7"/>
        <v>1.6486499999999999</v>
      </c>
      <c r="M428" s="6" t="s">
        <v>43</v>
      </c>
      <c r="N428" s="6" t="s">
        <v>1328</v>
      </c>
      <c r="O428" s="6"/>
      <c r="P428" s="17" t="s">
        <v>54</v>
      </c>
      <c r="Q428" s="17" t="s">
        <v>54</v>
      </c>
      <c r="R428" s="17" t="s">
        <v>54</v>
      </c>
    </row>
    <row r="429" spans="1:18" ht="30" customHeight="1" x14ac:dyDescent="0.3">
      <c r="A429" s="7">
        <v>45960.567127199072</v>
      </c>
      <c r="B429" s="6" t="s">
        <v>81</v>
      </c>
      <c r="C429" s="6"/>
      <c r="D429" s="6" t="str">
        <f>VLOOKUP(B429,'Veri doğrulama'!D6:E13,2,0)</f>
        <v>İBRAHİM ÇELİK</v>
      </c>
      <c r="E429" s="6"/>
      <c r="F429" s="6" t="s">
        <v>1326</v>
      </c>
      <c r="G429" s="6" t="s">
        <v>18</v>
      </c>
      <c r="H429" s="6" t="s">
        <v>34</v>
      </c>
      <c r="I429" s="6">
        <v>1495</v>
      </c>
      <c r="J429" s="6">
        <v>1005</v>
      </c>
      <c r="K429" s="6">
        <v>3</v>
      </c>
      <c r="L429" s="10">
        <f t="shared" si="7"/>
        <v>4.5074249999999996</v>
      </c>
      <c r="M429" s="6" t="s">
        <v>252</v>
      </c>
      <c r="N429" s="6"/>
      <c r="O429" s="6"/>
      <c r="P429" s="17" t="s">
        <v>54</v>
      </c>
      <c r="Q429" s="17" t="s">
        <v>54</v>
      </c>
      <c r="R429" s="17" t="s">
        <v>54</v>
      </c>
    </row>
    <row r="430" spans="1:18" ht="30" customHeight="1" x14ac:dyDescent="0.3">
      <c r="A430" s="7">
        <v>45960.489414699077</v>
      </c>
      <c r="B430" s="6" t="s">
        <v>81</v>
      </c>
      <c r="C430" s="6"/>
      <c r="D430" s="6" t="str">
        <f>VLOOKUP(B430,'Veri doğrulama'!D6:E13,2,0)</f>
        <v>İBRAHİM ÇELİK</v>
      </c>
      <c r="E430" s="6"/>
      <c r="F430" s="6" t="s">
        <v>1325</v>
      </c>
      <c r="G430" s="6" t="s">
        <v>30</v>
      </c>
      <c r="H430" s="6" t="s">
        <v>34</v>
      </c>
      <c r="I430" s="6">
        <v>1200</v>
      </c>
      <c r="J430" s="6">
        <v>1400</v>
      </c>
      <c r="K430" s="6">
        <v>1</v>
      </c>
      <c r="L430" s="10">
        <f t="shared" si="7"/>
        <v>1.68</v>
      </c>
      <c r="M430" s="6" t="s">
        <v>43</v>
      </c>
      <c r="N430" s="6" t="s">
        <v>1142</v>
      </c>
      <c r="O430" s="6"/>
      <c r="P430" s="17" t="s">
        <v>54</v>
      </c>
      <c r="Q430" s="17" t="s">
        <v>54</v>
      </c>
      <c r="R430" s="17" t="s">
        <v>54</v>
      </c>
    </row>
    <row r="431" spans="1:18" ht="30" customHeight="1" x14ac:dyDescent="0.3">
      <c r="A431" s="7">
        <v>45960.462785416668</v>
      </c>
      <c r="B431" s="6" t="s">
        <v>7</v>
      </c>
      <c r="C431" s="6"/>
      <c r="D431" s="6" t="str">
        <f>VLOOKUP(B431,'Veri doğrulama'!D6:E13,2,0)</f>
        <v>SIDDIK KAPLAN</v>
      </c>
      <c r="E431" s="6"/>
      <c r="F431" s="6" t="s">
        <v>1324</v>
      </c>
      <c r="G431" s="6" t="s">
        <v>16</v>
      </c>
      <c r="H431" s="6" t="s">
        <v>34</v>
      </c>
      <c r="I431" s="6">
        <v>1435</v>
      </c>
      <c r="J431" s="6">
        <v>360</v>
      </c>
      <c r="K431" s="6">
        <v>1</v>
      </c>
      <c r="L431" s="10">
        <f t="shared" si="7"/>
        <v>0.51659999999999995</v>
      </c>
      <c r="M431" s="6" t="s">
        <v>43</v>
      </c>
      <c r="N431" s="6"/>
      <c r="O431" s="6"/>
      <c r="P431" s="17" t="s">
        <v>54</v>
      </c>
      <c r="Q431" s="17" t="s">
        <v>54</v>
      </c>
      <c r="R431" s="17" t="s">
        <v>54</v>
      </c>
    </row>
    <row r="432" spans="1:18" ht="30" customHeight="1" x14ac:dyDescent="0.3">
      <c r="A432" s="7">
        <v>45958.748665046296</v>
      </c>
      <c r="B432" s="6" t="s">
        <v>5</v>
      </c>
      <c r="C432" s="6"/>
      <c r="D432" s="6" t="str">
        <f>VLOOKUP(B432,'Veri doğrulama'!D6:E13,2,0)</f>
        <v>MEHMET ÖZEN</v>
      </c>
      <c r="E432" s="6"/>
      <c r="F432" s="6" t="s">
        <v>1309</v>
      </c>
      <c r="G432" s="6" t="s">
        <v>17</v>
      </c>
      <c r="H432" s="6" t="s">
        <v>34</v>
      </c>
      <c r="I432" s="6">
        <v>732</v>
      </c>
      <c r="J432" s="6">
        <v>679</v>
      </c>
      <c r="K432" s="6">
        <v>1</v>
      </c>
      <c r="L432" s="10">
        <f t="shared" si="7"/>
        <v>0.49702800000000003</v>
      </c>
      <c r="M432" s="6" t="s">
        <v>42</v>
      </c>
      <c r="N432" s="6" t="s">
        <v>5</v>
      </c>
      <c r="O432" s="6"/>
      <c r="P432" s="17" t="s">
        <v>54</v>
      </c>
      <c r="Q432" s="17" t="s">
        <v>54</v>
      </c>
      <c r="R432" s="17" t="s">
        <v>54</v>
      </c>
    </row>
    <row r="433" spans="1:18" ht="30" customHeight="1" x14ac:dyDescent="0.3">
      <c r="A433" s="7">
        <v>45958.50577152778</v>
      </c>
      <c r="B433" s="6" t="s">
        <v>81</v>
      </c>
      <c r="C433" s="6"/>
      <c r="D433" s="6" t="str">
        <f>VLOOKUP(B433,'Veri doğrulama'!D6:E13,2,0)</f>
        <v>İBRAHİM ÇELİK</v>
      </c>
      <c r="E433" s="6"/>
      <c r="F433" s="6" t="s">
        <v>1323</v>
      </c>
      <c r="G433" s="6" t="s">
        <v>16</v>
      </c>
      <c r="H433" s="6" t="s">
        <v>34</v>
      </c>
      <c r="I433" s="6">
        <v>1200</v>
      </c>
      <c r="J433" s="6">
        <v>1000</v>
      </c>
      <c r="K433" s="6">
        <v>1</v>
      </c>
      <c r="L433" s="10">
        <f t="shared" si="7"/>
        <v>1.2</v>
      </c>
      <c r="M433" s="6" t="s">
        <v>43</v>
      </c>
      <c r="N433" s="6" t="s">
        <v>1142</v>
      </c>
      <c r="O433" s="6"/>
      <c r="P433" s="17" t="s">
        <v>54</v>
      </c>
      <c r="Q433" s="17" t="s">
        <v>54</v>
      </c>
      <c r="R433" s="17" t="s">
        <v>54</v>
      </c>
    </row>
    <row r="434" spans="1:18" ht="30" customHeight="1" x14ac:dyDescent="0.3">
      <c r="A434" s="7">
        <v>45958.487115046293</v>
      </c>
      <c r="B434" s="6" t="s">
        <v>5</v>
      </c>
      <c r="C434" s="6"/>
      <c r="D434" s="6" t="str">
        <f>VLOOKUP(B434,'Veri doğrulama'!D6:E13,2,0)</f>
        <v>MEHMET ÖZEN</v>
      </c>
      <c r="E434" s="6">
        <v>25178</v>
      </c>
      <c r="F434" s="6" t="s">
        <v>1322</v>
      </c>
      <c r="G434" s="6" t="s">
        <v>18</v>
      </c>
      <c r="H434" s="6" t="s">
        <v>34</v>
      </c>
      <c r="I434" s="6">
        <v>1462</v>
      </c>
      <c r="J434" s="6">
        <v>520</v>
      </c>
      <c r="K434" s="6">
        <v>2</v>
      </c>
      <c r="L434" s="10">
        <f t="shared" si="7"/>
        <v>1.5204800000000001</v>
      </c>
      <c r="M434" s="6" t="s">
        <v>75</v>
      </c>
      <c r="N434" s="6" t="s">
        <v>5</v>
      </c>
      <c r="O434" s="6"/>
      <c r="P434" s="17" t="s">
        <v>54</v>
      </c>
      <c r="Q434" s="17" t="s">
        <v>54</v>
      </c>
      <c r="R434" s="17" t="s">
        <v>54</v>
      </c>
    </row>
    <row r="435" spans="1:18" ht="30" customHeight="1" x14ac:dyDescent="0.3">
      <c r="A435" s="7">
        <v>45958.411696643518</v>
      </c>
      <c r="B435" s="6" t="s">
        <v>5</v>
      </c>
      <c r="C435" s="6"/>
      <c r="D435" s="6" t="str">
        <f>VLOOKUP(B435,'Veri doğrulama'!D6:E13,2,0)</f>
        <v>MEHMET ÖZEN</v>
      </c>
      <c r="E435" s="6"/>
      <c r="F435" s="6" t="s">
        <v>1321</v>
      </c>
      <c r="G435" s="6" t="s">
        <v>18</v>
      </c>
      <c r="H435" s="6" t="s">
        <v>34</v>
      </c>
      <c r="I435" s="6">
        <v>1450</v>
      </c>
      <c r="J435" s="6">
        <v>397</v>
      </c>
      <c r="K435" s="6">
        <v>1</v>
      </c>
      <c r="L435" s="10">
        <f t="shared" si="7"/>
        <v>0.57565</v>
      </c>
      <c r="M435" s="6" t="s">
        <v>43</v>
      </c>
      <c r="N435" s="6"/>
      <c r="O435" s="6"/>
      <c r="P435" s="17" t="s">
        <v>54</v>
      </c>
      <c r="Q435" s="17" t="s">
        <v>54</v>
      </c>
      <c r="R435" s="17" t="s">
        <v>54</v>
      </c>
    </row>
    <row r="436" spans="1:18" ht="30" customHeight="1" x14ac:dyDescent="0.3">
      <c r="A436" s="7">
        <v>45958.411026388887</v>
      </c>
      <c r="B436" s="6" t="s">
        <v>5</v>
      </c>
      <c r="C436" s="6"/>
      <c r="D436" s="6" t="str">
        <f>VLOOKUP(B436,'Veri doğrulama'!D6:E13,2,0)</f>
        <v>MEHMET ÖZEN</v>
      </c>
      <c r="E436" s="6"/>
      <c r="F436" s="6" t="s">
        <v>610</v>
      </c>
      <c r="G436" s="6" t="s">
        <v>18</v>
      </c>
      <c r="H436" s="6" t="s">
        <v>34</v>
      </c>
      <c r="I436" s="6">
        <v>1450</v>
      </c>
      <c r="J436" s="6">
        <v>397</v>
      </c>
      <c r="K436" s="6">
        <v>2</v>
      </c>
      <c r="L436" s="10">
        <f t="shared" si="7"/>
        <v>1.1513</v>
      </c>
      <c r="M436" s="6" t="s">
        <v>103</v>
      </c>
      <c r="N436" s="6"/>
      <c r="O436" s="6"/>
      <c r="P436" s="17" t="s">
        <v>54</v>
      </c>
      <c r="Q436" s="17" t="s">
        <v>54</v>
      </c>
      <c r="R436" s="17" t="s">
        <v>54</v>
      </c>
    </row>
    <row r="437" spans="1:18" ht="30" customHeight="1" x14ac:dyDescent="0.3">
      <c r="A437" s="7">
        <v>45958.370542592595</v>
      </c>
      <c r="B437" s="6" t="s">
        <v>5</v>
      </c>
      <c r="C437" s="6"/>
      <c r="D437" s="6" t="str">
        <f>VLOOKUP(B437,'Veri doğrulama'!D6:E13,2,0)</f>
        <v>MEHMET ÖZEN</v>
      </c>
      <c r="E437" s="6"/>
      <c r="F437" s="6" t="s">
        <v>1320</v>
      </c>
      <c r="G437" s="6" t="s">
        <v>16</v>
      </c>
      <c r="H437" s="6" t="s">
        <v>34</v>
      </c>
      <c r="I437" s="6">
        <v>557</v>
      </c>
      <c r="J437" s="6">
        <v>450</v>
      </c>
      <c r="K437" s="6">
        <v>2</v>
      </c>
      <c r="L437" s="10">
        <f t="shared" si="7"/>
        <v>0.50129999999999997</v>
      </c>
      <c r="M437" s="6" t="s">
        <v>37</v>
      </c>
      <c r="N437" s="6"/>
      <c r="O437" s="6"/>
      <c r="P437" s="17" t="s">
        <v>54</v>
      </c>
      <c r="Q437" s="17" t="s">
        <v>54</v>
      </c>
      <c r="R437" s="17" t="s">
        <v>54</v>
      </c>
    </row>
    <row r="438" spans="1:18" ht="30" customHeight="1" x14ac:dyDescent="0.3">
      <c r="A438" s="7">
        <v>45958.369868634261</v>
      </c>
      <c r="B438" s="6" t="s">
        <v>5</v>
      </c>
      <c r="C438" s="6"/>
      <c r="D438" s="6" t="str">
        <f>VLOOKUP(B438,'Veri doğrulama'!D6:E13,2,0)</f>
        <v>MEHMET ÖZEN</v>
      </c>
      <c r="E438" s="6"/>
      <c r="F438" s="6" t="s">
        <v>1319</v>
      </c>
      <c r="G438" s="6" t="s">
        <v>16</v>
      </c>
      <c r="H438" s="6" t="s">
        <v>34</v>
      </c>
      <c r="I438" s="6">
        <v>556</v>
      </c>
      <c r="J438" s="6">
        <v>450</v>
      </c>
      <c r="K438" s="6">
        <v>2</v>
      </c>
      <c r="L438" s="10">
        <f t="shared" si="7"/>
        <v>0.50039999999999996</v>
      </c>
      <c r="M438" s="6" t="s">
        <v>42</v>
      </c>
      <c r="N438" s="6"/>
      <c r="O438" s="6"/>
      <c r="P438" s="17" t="s">
        <v>54</v>
      </c>
      <c r="Q438" s="17" t="s">
        <v>54</v>
      </c>
      <c r="R438" s="17" t="s">
        <v>54</v>
      </c>
    </row>
    <row r="439" spans="1:18" ht="30" customHeight="1" x14ac:dyDescent="0.3">
      <c r="A439" s="7">
        <v>45958.369185185184</v>
      </c>
      <c r="B439" s="6" t="s">
        <v>5</v>
      </c>
      <c r="C439" s="6"/>
      <c r="D439" s="6" t="str">
        <f>VLOOKUP(B439,'Veri doğrulama'!D6:E13,2,0)</f>
        <v>MEHMET ÖZEN</v>
      </c>
      <c r="E439" s="6"/>
      <c r="F439" s="6" t="s">
        <v>1318</v>
      </c>
      <c r="G439" s="6" t="s">
        <v>16</v>
      </c>
      <c r="H439" s="6" t="s">
        <v>34</v>
      </c>
      <c r="I439" s="6">
        <v>600</v>
      </c>
      <c r="J439" s="6">
        <v>450</v>
      </c>
      <c r="K439" s="6">
        <v>1</v>
      </c>
      <c r="L439" s="10">
        <f t="shared" si="7"/>
        <v>0.27</v>
      </c>
      <c r="M439" s="6" t="s">
        <v>37</v>
      </c>
      <c r="N439" s="6"/>
      <c r="O439" s="6"/>
      <c r="P439" s="17" t="s">
        <v>54</v>
      </c>
      <c r="Q439" s="17" t="s">
        <v>54</v>
      </c>
      <c r="R439" s="17" t="s">
        <v>54</v>
      </c>
    </row>
    <row r="440" spans="1:18" ht="30" customHeight="1" x14ac:dyDescent="0.3">
      <c r="A440" s="7">
        <v>45957.745063773145</v>
      </c>
      <c r="B440" s="6" t="s">
        <v>4</v>
      </c>
      <c r="C440" s="6"/>
      <c r="D440" s="6" t="str">
        <f>VLOOKUP(B440,'Veri doğrulama'!D6:E13,2,0)</f>
        <v>MEHMET YAZICI</v>
      </c>
      <c r="E440" s="6">
        <v>25184</v>
      </c>
      <c r="F440" s="6" t="s">
        <v>1317</v>
      </c>
      <c r="G440" s="6" t="s">
        <v>17</v>
      </c>
      <c r="H440" s="6" t="s">
        <v>34</v>
      </c>
      <c r="I440" s="6">
        <v>452</v>
      </c>
      <c r="J440" s="6">
        <v>583</v>
      </c>
      <c r="K440" s="6">
        <v>1</v>
      </c>
      <c r="L440" s="10">
        <f t="shared" si="7"/>
        <v>0.26351599999999997</v>
      </c>
      <c r="M440" s="6" t="s">
        <v>103</v>
      </c>
      <c r="N440" s="6"/>
      <c r="O440" s="6"/>
      <c r="P440" s="17" t="s">
        <v>54</v>
      </c>
      <c r="Q440" s="17" t="s">
        <v>54</v>
      </c>
      <c r="R440" s="17" t="s">
        <v>54</v>
      </c>
    </row>
    <row r="441" spans="1:18" ht="30" customHeight="1" x14ac:dyDescent="0.3">
      <c r="A441" s="7">
        <v>45957.744325115738</v>
      </c>
      <c r="B441" s="6" t="s">
        <v>4</v>
      </c>
      <c r="C441" s="6"/>
      <c r="D441" s="6" t="str">
        <f>VLOOKUP(B441,'Veri doğrulama'!D6:E13,2,0)</f>
        <v>MEHMET YAZICI</v>
      </c>
      <c r="E441" s="6">
        <v>25184</v>
      </c>
      <c r="F441" s="6" t="s">
        <v>1025</v>
      </c>
      <c r="G441" s="6" t="s">
        <v>16</v>
      </c>
      <c r="H441" s="6" t="s">
        <v>34</v>
      </c>
      <c r="I441" s="6">
        <v>1452</v>
      </c>
      <c r="J441" s="6">
        <v>399</v>
      </c>
      <c r="K441" s="6">
        <v>5</v>
      </c>
      <c r="L441" s="10">
        <f t="shared" si="7"/>
        <v>2.8967399999999999</v>
      </c>
      <c r="M441" s="6" t="s">
        <v>103</v>
      </c>
      <c r="N441" s="6"/>
      <c r="O441" s="6"/>
      <c r="P441" s="17" t="s">
        <v>54</v>
      </c>
      <c r="Q441" s="17" t="s">
        <v>54</v>
      </c>
      <c r="R441" s="17" t="s">
        <v>54</v>
      </c>
    </row>
    <row r="442" spans="1:18" ht="30" customHeight="1" x14ac:dyDescent="0.3">
      <c r="A442" s="7">
        <v>45957.689584490741</v>
      </c>
      <c r="B442" s="6" t="s">
        <v>5</v>
      </c>
      <c r="C442" s="6"/>
      <c r="D442" s="6" t="str">
        <f>VLOOKUP(B442,'Veri doğrulama'!D6:E13,2,0)</f>
        <v>MEHMET ÖZEN</v>
      </c>
      <c r="E442" s="6">
        <v>25069</v>
      </c>
      <c r="F442" s="6" t="s">
        <v>1316</v>
      </c>
      <c r="G442" s="6" t="s">
        <v>16</v>
      </c>
      <c r="H442" s="6" t="s">
        <v>34</v>
      </c>
      <c r="I442" s="6">
        <v>1400</v>
      </c>
      <c r="J442" s="6">
        <v>700</v>
      </c>
      <c r="K442" s="6">
        <v>1</v>
      </c>
      <c r="L442" s="10">
        <f t="shared" si="7"/>
        <v>0.98</v>
      </c>
      <c r="M442" s="6" t="s">
        <v>156</v>
      </c>
      <c r="N442" s="6" t="s">
        <v>5</v>
      </c>
      <c r="O442" s="6"/>
      <c r="P442" s="17" t="s">
        <v>54</v>
      </c>
      <c r="Q442" s="17" t="s">
        <v>54</v>
      </c>
      <c r="R442" s="17" t="s">
        <v>54</v>
      </c>
    </row>
    <row r="443" spans="1:18" ht="30" customHeight="1" x14ac:dyDescent="0.3">
      <c r="A443" s="7">
        <v>45957.684620023145</v>
      </c>
      <c r="B443" s="6" t="s">
        <v>5</v>
      </c>
      <c r="C443" s="6"/>
      <c r="D443" s="6" t="str">
        <f>VLOOKUP(B443,'Veri doğrulama'!D6:E13,2,0)</f>
        <v>MEHMET ÖZEN</v>
      </c>
      <c r="E443" s="6"/>
      <c r="F443" s="6" t="s">
        <v>1315</v>
      </c>
      <c r="G443" s="6" t="s">
        <v>17</v>
      </c>
      <c r="H443" s="6" t="s">
        <v>35</v>
      </c>
      <c r="I443" s="6">
        <v>1770</v>
      </c>
      <c r="J443" s="6">
        <v>870</v>
      </c>
      <c r="K443" s="6">
        <v>1</v>
      </c>
      <c r="L443" s="10">
        <f t="shared" si="7"/>
        <v>1.5399</v>
      </c>
      <c r="M443" s="6" t="s">
        <v>43</v>
      </c>
      <c r="N443" s="6"/>
      <c r="O443" s="6"/>
      <c r="P443" s="17" t="s">
        <v>54</v>
      </c>
      <c r="Q443" s="17" t="s">
        <v>54</v>
      </c>
      <c r="R443" s="17" t="s">
        <v>54</v>
      </c>
    </row>
    <row r="444" spans="1:18" ht="30" customHeight="1" x14ac:dyDescent="0.3">
      <c r="A444" s="7">
        <v>45957.683315393515</v>
      </c>
      <c r="B444" s="6" t="s">
        <v>5</v>
      </c>
      <c r="C444" s="6"/>
      <c r="D444" s="6" t="s">
        <v>557</v>
      </c>
      <c r="E444" s="6"/>
      <c r="F444" s="6" t="s">
        <v>1314</v>
      </c>
      <c r="G444" s="6" t="s">
        <v>17</v>
      </c>
      <c r="H444" s="6" t="s">
        <v>35</v>
      </c>
      <c r="I444" s="6">
        <v>1895</v>
      </c>
      <c r="J444" s="6">
        <v>870</v>
      </c>
      <c r="K444" s="6">
        <v>1</v>
      </c>
      <c r="L444" s="10">
        <f t="shared" si="7"/>
        <v>1.6486499999999999</v>
      </c>
      <c r="M444" s="6" t="s">
        <v>43</v>
      </c>
      <c r="N444" s="6"/>
      <c r="O444" s="6"/>
      <c r="P444" s="17" t="s">
        <v>54</v>
      </c>
      <c r="Q444" s="17" t="s">
        <v>54</v>
      </c>
      <c r="R444" s="17" t="s">
        <v>54</v>
      </c>
    </row>
    <row r="445" spans="1:18" ht="30" customHeight="1" x14ac:dyDescent="0.3">
      <c r="A445" s="7">
        <v>45957.643727199073</v>
      </c>
      <c r="B445" s="6" t="s">
        <v>5</v>
      </c>
      <c r="C445" s="6"/>
      <c r="D445" s="6" t="str">
        <f>VLOOKUP(B445,'Veri doğrulama'!D6:E13,2,0)</f>
        <v>MEHMET ÖZEN</v>
      </c>
      <c r="E445" s="6"/>
      <c r="F445" s="6" t="s">
        <v>1313</v>
      </c>
      <c r="G445" s="6" t="s">
        <v>18</v>
      </c>
      <c r="H445" s="6" t="s">
        <v>34</v>
      </c>
      <c r="I445" s="6">
        <v>762</v>
      </c>
      <c r="J445" s="6">
        <v>340</v>
      </c>
      <c r="K445" s="6">
        <v>1</v>
      </c>
      <c r="L445" s="10">
        <f t="shared" si="7"/>
        <v>0.25907999999999998</v>
      </c>
      <c r="M445" s="6" t="s">
        <v>42</v>
      </c>
      <c r="N445" s="6" t="s">
        <v>5</v>
      </c>
      <c r="O445" s="6"/>
      <c r="P445" s="17" t="s">
        <v>54</v>
      </c>
      <c r="Q445" s="17" t="s">
        <v>54</v>
      </c>
      <c r="R445" s="17" t="s">
        <v>54</v>
      </c>
    </row>
    <row r="446" spans="1:18" ht="30" customHeight="1" x14ac:dyDescent="0.3">
      <c r="A446" s="7">
        <v>45957.577934259258</v>
      </c>
      <c r="B446" s="6" t="s">
        <v>5</v>
      </c>
      <c r="C446" s="6"/>
      <c r="D446" s="6" t="str">
        <f>VLOOKUP(B446,'Veri doğrulama'!D6:E13,2,0)</f>
        <v>MEHMET ÖZEN</v>
      </c>
      <c r="E446" s="6"/>
      <c r="F446" s="6" t="s">
        <v>1312</v>
      </c>
      <c r="G446" s="6" t="s">
        <v>18</v>
      </c>
      <c r="H446" s="6" t="s">
        <v>34</v>
      </c>
      <c r="I446" s="6">
        <v>762</v>
      </c>
      <c r="J446" s="6">
        <v>340</v>
      </c>
      <c r="K446" s="6">
        <v>1</v>
      </c>
      <c r="L446" s="10">
        <f t="shared" si="7"/>
        <v>0.25907999999999998</v>
      </c>
      <c r="M446" s="6" t="s">
        <v>43</v>
      </c>
      <c r="N446" s="6"/>
      <c r="O446" s="6"/>
      <c r="P446" s="17" t="s">
        <v>54</v>
      </c>
      <c r="Q446" s="17" t="s">
        <v>54</v>
      </c>
      <c r="R446" s="17" t="s">
        <v>54</v>
      </c>
    </row>
    <row r="447" spans="1:18" ht="30" customHeight="1" x14ac:dyDescent="0.3">
      <c r="A447" s="7">
        <v>45957.49850775463</v>
      </c>
      <c r="B447" s="6" t="s">
        <v>7</v>
      </c>
      <c r="C447" s="6"/>
      <c r="D447" s="6" t="str">
        <f>VLOOKUP(B447,'Veri doğrulama'!D6:E13,2,0)</f>
        <v>SIDDIK KAPLAN</v>
      </c>
      <c r="E447" s="6"/>
      <c r="F447" s="6" t="s">
        <v>1310</v>
      </c>
      <c r="G447" s="6" t="s">
        <v>30</v>
      </c>
      <c r="H447" s="6" t="s">
        <v>34</v>
      </c>
      <c r="I447" s="6">
        <v>1400</v>
      </c>
      <c r="J447" s="6">
        <v>1200</v>
      </c>
      <c r="K447" s="6">
        <v>1</v>
      </c>
      <c r="L447" s="10">
        <f t="shared" si="7"/>
        <v>1.68</v>
      </c>
      <c r="M447" s="6" t="s">
        <v>43</v>
      </c>
      <c r="N447" s="6"/>
      <c r="O447" s="6"/>
      <c r="P447" s="17" t="s">
        <v>54</v>
      </c>
      <c r="Q447" s="17" t="s">
        <v>54</v>
      </c>
      <c r="R447" s="17" t="s">
        <v>54</v>
      </c>
    </row>
    <row r="448" spans="1:18" ht="30" customHeight="1" x14ac:dyDescent="0.3">
      <c r="A448" s="7">
        <v>45957.477204629628</v>
      </c>
      <c r="B448" s="6" t="s">
        <v>5</v>
      </c>
      <c r="C448" s="6"/>
      <c r="D448" s="6" t="str">
        <f>VLOOKUP(B448,'Veri doğrulama'!D6:E13,2,0)</f>
        <v>MEHMET ÖZEN</v>
      </c>
      <c r="E448" s="6"/>
      <c r="F448" s="6" t="s">
        <v>1308</v>
      </c>
      <c r="G448" s="6" t="s">
        <v>30</v>
      </c>
      <c r="H448" s="6" t="s">
        <v>34</v>
      </c>
      <c r="I448" s="6">
        <v>1400</v>
      </c>
      <c r="J448" s="6">
        <v>1200</v>
      </c>
      <c r="K448" s="6">
        <v>1</v>
      </c>
      <c r="L448" s="10">
        <f t="shared" si="7"/>
        <v>1.68</v>
      </c>
      <c r="M448" s="6" t="s">
        <v>102</v>
      </c>
      <c r="N448" s="6" t="s">
        <v>1311</v>
      </c>
      <c r="O448" s="6"/>
      <c r="P448" s="17" t="s">
        <v>54</v>
      </c>
      <c r="Q448" s="17" t="s">
        <v>54</v>
      </c>
      <c r="R448" s="17" t="s">
        <v>54</v>
      </c>
    </row>
    <row r="449" spans="1:18" ht="30" customHeight="1" x14ac:dyDescent="0.3">
      <c r="A449" s="7">
        <v>45957.397578356482</v>
      </c>
      <c r="B449" s="6" t="s">
        <v>5</v>
      </c>
      <c r="C449" s="6"/>
      <c r="D449" s="6" t="str">
        <f>VLOOKUP(B449,'Veri doğrulama'!D6:E13,2,0)</f>
        <v>MEHMET ÖZEN</v>
      </c>
      <c r="E449" s="6">
        <v>24977</v>
      </c>
      <c r="F449" s="6" t="s">
        <v>1309</v>
      </c>
      <c r="G449" s="6" t="s">
        <v>17</v>
      </c>
      <c r="H449" s="6" t="s">
        <v>34</v>
      </c>
      <c r="I449" s="6">
        <v>734</v>
      </c>
      <c r="J449" s="6">
        <v>681</v>
      </c>
      <c r="K449" s="6">
        <v>1</v>
      </c>
      <c r="L449" s="10">
        <f t="shared" si="7"/>
        <v>0.49985400000000002</v>
      </c>
      <c r="M449" s="6" t="s">
        <v>42</v>
      </c>
      <c r="N449" s="6" t="s">
        <v>5</v>
      </c>
      <c r="O449" s="6"/>
      <c r="P449" s="17" t="s">
        <v>54</v>
      </c>
      <c r="Q449" s="17" t="s">
        <v>54</v>
      </c>
      <c r="R449" s="17" t="s">
        <v>54</v>
      </c>
    </row>
    <row r="450" spans="1:18" ht="30" customHeight="1" x14ac:dyDescent="0.3">
      <c r="A450" s="7">
        <v>45954.647905092592</v>
      </c>
      <c r="B450" s="6" t="s">
        <v>5</v>
      </c>
      <c r="C450" s="6"/>
      <c r="D450" s="6" t="str">
        <f>VLOOKUP(B450,'Veri doğrulama'!D6:E13,2,0)</f>
        <v>MEHMET ÖZEN</v>
      </c>
      <c r="E450" s="6"/>
      <c r="F450" s="6" t="s">
        <v>1308</v>
      </c>
      <c r="G450" s="6" t="s">
        <v>30</v>
      </c>
      <c r="H450" s="6" t="s">
        <v>34</v>
      </c>
      <c r="I450" s="6">
        <v>1400</v>
      </c>
      <c r="J450" s="6">
        <v>1200</v>
      </c>
      <c r="K450" s="6">
        <v>2</v>
      </c>
      <c r="L450" s="10">
        <f t="shared" si="7"/>
        <v>3.36</v>
      </c>
      <c r="M450" s="6" t="s">
        <v>42</v>
      </c>
      <c r="N450" s="6"/>
      <c r="O450" s="6"/>
      <c r="P450" s="17" t="s">
        <v>54</v>
      </c>
      <c r="Q450" s="17"/>
      <c r="R450" s="17"/>
    </row>
    <row r="451" spans="1:18" ht="30" customHeight="1" x14ac:dyDescent="0.3">
      <c r="A451" s="7">
        <v>45954.576030324075</v>
      </c>
      <c r="B451" s="6" t="s">
        <v>5</v>
      </c>
      <c r="C451" s="6"/>
      <c r="D451" s="6" t="str">
        <f>VLOOKUP(B451,'Veri doğrulama'!D6:E13,2,0)</f>
        <v>MEHMET ÖZEN</v>
      </c>
      <c r="E451" s="6">
        <v>24977</v>
      </c>
      <c r="F451" s="6" t="s">
        <v>1307</v>
      </c>
      <c r="G451" s="6" t="s">
        <v>15</v>
      </c>
      <c r="H451" s="6" t="s">
        <v>34</v>
      </c>
      <c r="I451" s="6">
        <v>1763</v>
      </c>
      <c r="J451" s="6">
        <v>679</v>
      </c>
      <c r="K451" s="6">
        <v>1</v>
      </c>
      <c r="L451" s="10">
        <f t="shared" si="7"/>
        <v>1.1970769999999999</v>
      </c>
      <c r="M451" s="6" t="s">
        <v>102</v>
      </c>
      <c r="N451" s="6" t="s">
        <v>5</v>
      </c>
      <c r="O451" s="6"/>
      <c r="P451" s="17" t="s">
        <v>54</v>
      </c>
      <c r="Q451" s="17"/>
      <c r="R451" s="17"/>
    </row>
    <row r="452" spans="1:18" ht="30" customHeight="1" x14ac:dyDescent="0.3">
      <c r="A452" s="7">
        <v>45954.526358333336</v>
      </c>
      <c r="B452" s="6" t="s">
        <v>5</v>
      </c>
      <c r="C452" s="6"/>
      <c r="D452" s="6" t="str">
        <f>VLOOKUP(B452,'Veri doğrulama'!$D$6:$E$13,2,0)</f>
        <v>MEHMET ÖZEN</v>
      </c>
      <c r="E452" s="6"/>
      <c r="F452" s="6" t="s">
        <v>1306</v>
      </c>
      <c r="G452" s="6" t="s">
        <v>16</v>
      </c>
      <c r="H452" s="6" t="s">
        <v>34</v>
      </c>
      <c r="I452" s="6">
        <v>1200</v>
      </c>
      <c r="J452" s="6">
        <v>1000</v>
      </c>
      <c r="K452" s="6">
        <v>3</v>
      </c>
      <c r="L452" s="10">
        <f t="shared" si="7"/>
        <v>3.5999999999999996</v>
      </c>
      <c r="M452" s="6" t="s">
        <v>103</v>
      </c>
      <c r="N452" s="6"/>
      <c r="O452" s="6"/>
      <c r="P452" s="17" t="s">
        <v>54</v>
      </c>
      <c r="Q452" s="17"/>
      <c r="R452" s="17"/>
    </row>
    <row r="453" spans="1:18" ht="30" customHeight="1" x14ac:dyDescent="0.3">
      <c r="A453" s="7">
        <v>45953.649837962963</v>
      </c>
      <c r="B453" s="6" t="s">
        <v>5</v>
      </c>
      <c r="C453" s="6"/>
      <c r="D453" s="6" t="str">
        <f>VLOOKUP(B453,'Veri doğrulama'!$D$6:$E$13,2,0)</f>
        <v>MEHMET ÖZEN</v>
      </c>
      <c r="E453" s="6"/>
      <c r="F453" s="6" t="s">
        <v>1305</v>
      </c>
      <c r="G453" s="6" t="s">
        <v>17</v>
      </c>
      <c r="H453" s="6" t="s">
        <v>35</v>
      </c>
      <c r="I453" s="6">
        <v>1895</v>
      </c>
      <c r="J453" s="6">
        <v>870</v>
      </c>
      <c r="K453" s="6">
        <v>1</v>
      </c>
      <c r="L453" s="10">
        <f t="shared" si="7"/>
        <v>1.6486499999999999</v>
      </c>
      <c r="M453" s="6" t="s">
        <v>75</v>
      </c>
      <c r="N453" s="6"/>
      <c r="O453" s="6"/>
      <c r="P453" s="17" t="s">
        <v>54</v>
      </c>
      <c r="Q453" s="17"/>
      <c r="R453" s="17"/>
    </row>
    <row r="454" spans="1:18" ht="30" customHeight="1" x14ac:dyDescent="0.3">
      <c r="A454" s="7">
        <v>45953.63651527778</v>
      </c>
      <c r="B454" s="6" t="s">
        <v>7</v>
      </c>
      <c r="C454" s="6"/>
      <c r="D454" s="6" t="str">
        <f>VLOOKUP(B454,'Veri doğrulama'!$D$6:$E$13,2,0)</f>
        <v>SIDDIK KAPLAN</v>
      </c>
      <c r="E454" s="6"/>
      <c r="F454" s="6" t="s">
        <v>1304</v>
      </c>
      <c r="G454" s="6" t="s">
        <v>1004</v>
      </c>
      <c r="H454" s="6" t="s">
        <v>34</v>
      </c>
      <c r="I454" s="6">
        <v>1600</v>
      </c>
      <c r="J454" s="6">
        <v>800</v>
      </c>
      <c r="K454" s="6">
        <v>1</v>
      </c>
      <c r="L454" s="10">
        <f t="shared" si="7"/>
        <v>1.28</v>
      </c>
      <c r="M454" s="6" t="s">
        <v>43</v>
      </c>
      <c r="N454" s="6"/>
      <c r="O454" s="6"/>
      <c r="P454" s="17" t="s">
        <v>54</v>
      </c>
      <c r="Q454" s="17"/>
      <c r="R454" s="17"/>
    </row>
    <row r="455" spans="1:18" ht="30" customHeight="1" x14ac:dyDescent="0.3">
      <c r="A455" s="7">
        <v>45953.597365856484</v>
      </c>
      <c r="B455" s="6" t="s">
        <v>5</v>
      </c>
      <c r="C455" s="6"/>
      <c r="D455" s="6" t="str">
        <f>VLOOKUP(B455,'Veri doğrulama'!$D$6:$E$13,2,0)</f>
        <v>MEHMET ÖZEN</v>
      </c>
      <c r="E455" s="6"/>
      <c r="F455" s="6" t="s">
        <v>1303</v>
      </c>
      <c r="G455" s="6" t="s">
        <v>17</v>
      </c>
      <c r="H455" s="6" t="s">
        <v>35</v>
      </c>
      <c r="I455" s="6">
        <v>1800</v>
      </c>
      <c r="J455" s="6">
        <v>150</v>
      </c>
      <c r="K455" s="6">
        <v>1</v>
      </c>
      <c r="L455" s="10">
        <f t="shared" si="7"/>
        <v>0.27</v>
      </c>
      <c r="M455" s="6" t="s">
        <v>102</v>
      </c>
      <c r="N455" s="6"/>
      <c r="O455" s="6"/>
      <c r="P455" s="17" t="s">
        <v>54</v>
      </c>
      <c r="Q455" s="17"/>
      <c r="R455" s="17"/>
    </row>
    <row r="456" spans="1:18" ht="30" customHeight="1" x14ac:dyDescent="0.3">
      <c r="A456" s="7">
        <v>45953.481804166666</v>
      </c>
      <c r="B456" s="6" t="s">
        <v>7</v>
      </c>
      <c r="C456" s="6"/>
      <c r="D456" s="6" t="str">
        <f>VLOOKUP(B456,'Veri doğrulama'!$D$6:$E$13,2,0)</f>
        <v>SIDDIK KAPLAN</v>
      </c>
      <c r="E456" s="6"/>
      <c r="F456" s="6" t="s">
        <v>1301</v>
      </c>
      <c r="G456" s="6" t="s">
        <v>30</v>
      </c>
      <c r="H456" s="6" t="s">
        <v>34</v>
      </c>
      <c r="I456" s="6">
        <v>1200</v>
      </c>
      <c r="J456" s="6">
        <v>700</v>
      </c>
      <c r="K456" s="6">
        <v>1</v>
      </c>
      <c r="L456" s="10">
        <f t="shared" ref="L456:L519" si="8">I456*J456/1000000*K456</f>
        <v>0.84</v>
      </c>
      <c r="M456" s="6" t="s">
        <v>43</v>
      </c>
      <c r="N456" s="6" t="s">
        <v>1302</v>
      </c>
      <c r="O456" s="6"/>
      <c r="P456" s="17" t="s">
        <v>54</v>
      </c>
      <c r="Q456" s="17"/>
      <c r="R456" s="17"/>
    </row>
    <row r="457" spans="1:18" ht="30" customHeight="1" x14ac:dyDescent="0.3">
      <c r="A457" s="7">
        <v>45953.478490393521</v>
      </c>
      <c r="B457" s="6" t="s">
        <v>5</v>
      </c>
      <c r="C457" s="6"/>
      <c r="D457" s="6" t="str">
        <f>VLOOKUP(B457,'Veri doğrulama'!$D$6:$E$13,2,0)</f>
        <v>MEHMET ÖZEN</v>
      </c>
      <c r="E457" s="6" t="s">
        <v>1299</v>
      </c>
      <c r="F457" s="6" t="s">
        <v>1300</v>
      </c>
      <c r="G457" s="6" t="s">
        <v>16</v>
      </c>
      <c r="H457" s="6" t="s">
        <v>34</v>
      </c>
      <c r="I457" s="6">
        <v>1000</v>
      </c>
      <c r="J457" s="6">
        <v>600</v>
      </c>
      <c r="K457" s="6">
        <v>1</v>
      </c>
      <c r="L457" s="10">
        <f t="shared" si="8"/>
        <v>0.6</v>
      </c>
      <c r="M457" s="6" t="s">
        <v>42</v>
      </c>
      <c r="N457" s="6"/>
      <c r="O457" s="6"/>
      <c r="P457" s="17" t="s">
        <v>54</v>
      </c>
      <c r="Q457" s="17"/>
      <c r="R457" s="17"/>
    </row>
    <row r="458" spans="1:18" ht="30" customHeight="1" x14ac:dyDescent="0.3">
      <c r="A458" s="7">
        <v>45953.373304745372</v>
      </c>
      <c r="B458" s="6" t="s">
        <v>5</v>
      </c>
      <c r="C458" s="6"/>
      <c r="D458" s="6" t="str">
        <f>VLOOKUP(B458,'Veri doğrulama'!$D$6:$E$13,2,0)</f>
        <v>MEHMET ÖZEN</v>
      </c>
      <c r="E458" s="6"/>
      <c r="F458" s="6" t="s">
        <v>1298</v>
      </c>
      <c r="G458" s="6" t="s">
        <v>16</v>
      </c>
      <c r="H458" s="6" t="s">
        <v>34</v>
      </c>
      <c r="I458" s="6">
        <v>701</v>
      </c>
      <c r="J458" s="6">
        <v>397</v>
      </c>
      <c r="K458" s="6">
        <v>1</v>
      </c>
      <c r="L458" s="10">
        <f t="shared" si="8"/>
        <v>0.27829700000000002</v>
      </c>
      <c r="M458" s="6" t="s">
        <v>156</v>
      </c>
      <c r="N458" s="6"/>
      <c r="O458" s="6"/>
      <c r="P458" s="17" t="s">
        <v>54</v>
      </c>
      <c r="Q458" s="17"/>
      <c r="R458" s="17"/>
    </row>
    <row r="459" spans="1:18" ht="30" customHeight="1" x14ac:dyDescent="0.3">
      <c r="A459" s="7">
        <v>45952.608689699075</v>
      </c>
      <c r="B459" s="6" t="s">
        <v>81</v>
      </c>
      <c r="C459" s="6"/>
      <c r="D459" s="6" t="str">
        <f>VLOOKUP(B459,'Veri doğrulama'!$D$6:$E$13,2,0)</f>
        <v>İBRAHİM ÇELİK</v>
      </c>
      <c r="E459" s="6"/>
      <c r="F459" s="6" t="s">
        <v>1271</v>
      </c>
      <c r="G459" s="6" t="s">
        <v>1004</v>
      </c>
      <c r="H459" s="6" t="s">
        <v>34</v>
      </c>
      <c r="I459" s="6">
        <v>1022</v>
      </c>
      <c r="J459" s="6">
        <v>457</v>
      </c>
      <c r="K459" s="6">
        <v>1</v>
      </c>
      <c r="L459" s="10">
        <f t="shared" si="8"/>
        <v>0.46705400000000002</v>
      </c>
      <c r="M459" s="6" t="s">
        <v>43</v>
      </c>
      <c r="N459" s="6" t="s">
        <v>1142</v>
      </c>
      <c r="O459" s="6"/>
      <c r="P459" s="17" t="s">
        <v>54</v>
      </c>
      <c r="Q459" s="17"/>
      <c r="R459" s="17"/>
    </row>
    <row r="460" spans="1:18" ht="30" customHeight="1" x14ac:dyDescent="0.3">
      <c r="A460" s="7">
        <v>45952.606819097222</v>
      </c>
      <c r="B460" s="6" t="s">
        <v>81</v>
      </c>
      <c r="C460" s="6"/>
      <c r="D460" s="6" t="str">
        <f>VLOOKUP(B460,'Veri doğrulama'!$D$6:$E$13,2,0)</f>
        <v>İBRAHİM ÇELİK</v>
      </c>
      <c r="E460" s="6"/>
      <c r="F460" s="6" t="s">
        <v>1271</v>
      </c>
      <c r="G460" s="6" t="s">
        <v>1004</v>
      </c>
      <c r="H460" s="6" t="s">
        <v>34</v>
      </c>
      <c r="I460" s="6">
        <v>1022</v>
      </c>
      <c r="J460" s="6">
        <v>818</v>
      </c>
      <c r="K460" s="6">
        <v>1</v>
      </c>
      <c r="L460" s="10">
        <f t="shared" si="8"/>
        <v>0.83599599999999996</v>
      </c>
      <c r="M460" s="6" t="s">
        <v>43</v>
      </c>
      <c r="N460" s="6" t="s">
        <v>1142</v>
      </c>
      <c r="O460" s="6"/>
      <c r="P460" s="17" t="s">
        <v>54</v>
      </c>
      <c r="Q460" s="17"/>
      <c r="R460" s="17"/>
    </row>
    <row r="461" spans="1:18" ht="30" customHeight="1" x14ac:dyDescent="0.3">
      <c r="A461" s="7">
        <v>45952.562012962961</v>
      </c>
      <c r="B461" s="6" t="s">
        <v>4</v>
      </c>
      <c r="C461" s="6"/>
      <c r="D461" s="6" t="str">
        <f>VLOOKUP(B461,'Veri doğrulama'!$D$6:$E$13,2,0)</f>
        <v>MEHMET YAZICI</v>
      </c>
      <c r="E461" s="6"/>
      <c r="F461" s="6" t="s">
        <v>1297</v>
      </c>
      <c r="G461" s="6" t="s">
        <v>16</v>
      </c>
      <c r="H461" s="6" t="s">
        <v>34</v>
      </c>
      <c r="I461" s="6">
        <v>730</v>
      </c>
      <c r="J461" s="6">
        <v>252</v>
      </c>
      <c r="K461" s="6">
        <v>1</v>
      </c>
      <c r="L461" s="10">
        <f t="shared" si="8"/>
        <v>0.18396000000000001</v>
      </c>
      <c r="M461" s="6" t="s">
        <v>75</v>
      </c>
      <c r="N461" s="6"/>
      <c r="O461" s="6"/>
      <c r="P461" s="17" t="s">
        <v>54</v>
      </c>
      <c r="Q461" s="17"/>
      <c r="R461" s="17"/>
    </row>
    <row r="462" spans="1:18" ht="30" customHeight="1" x14ac:dyDescent="0.3">
      <c r="A462" s="7">
        <v>45952.561444328705</v>
      </c>
      <c r="B462" s="6" t="s">
        <v>4</v>
      </c>
      <c r="C462" s="6"/>
      <c r="D462" s="6" t="str">
        <f>VLOOKUP(B462,'Veri doğrulama'!$D$6:$E$13,2,0)</f>
        <v>MEHMET YAZICI</v>
      </c>
      <c r="E462" s="6"/>
      <c r="F462" s="6" t="s">
        <v>303</v>
      </c>
      <c r="G462" s="6" t="s">
        <v>16</v>
      </c>
      <c r="H462" s="6" t="s">
        <v>34</v>
      </c>
      <c r="I462" s="6">
        <v>696</v>
      </c>
      <c r="J462" s="6">
        <v>435</v>
      </c>
      <c r="K462" s="6">
        <v>2</v>
      </c>
      <c r="L462" s="10">
        <f t="shared" si="8"/>
        <v>0.60551999999999995</v>
      </c>
      <c r="M462" s="6" t="s">
        <v>102</v>
      </c>
      <c r="N462" s="6"/>
      <c r="O462" s="6"/>
      <c r="P462" s="17" t="s">
        <v>54</v>
      </c>
      <c r="Q462" s="17"/>
      <c r="R462" s="17"/>
    </row>
    <row r="463" spans="1:18" ht="30" customHeight="1" x14ac:dyDescent="0.3">
      <c r="A463" s="7">
        <v>45952.560714814812</v>
      </c>
      <c r="B463" s="6" t="s">
        <v>4</v>
      </c>
      <c r="C463" s="6"/>
      <c r="D463" s="6" t="str">
        <f>VLOOKUP(B463,'Veri doğrulama'!$D$6:$E$13,2,0)</f>
        <v>MEHMET YAZICI</v>
      </c>
      <c r="E463" s="6"/>
      <c r="F463" s="6" t="s">
        <v>1296</v>
      </c>
      <c r="G463" s="6" t="s">
        <v>16</v>
      </c>
      <c r="H463" s="6" t="s">
        <v>34</v>
      </c>
      <c r="I463" s="6">
        <v>762</v>
      </c>
      <c r="J463" s="6">
        <v>375</v>
      </c>
      <c r="K463" s="6">
        <v>1</v>
      </c>
      <c r="L463" s="10">
        <f t="shared" si="8"/>
        <v>0.28575</v>
      </c>
      <c r="M463" s="6" t="s">
        <v>39</v>
      </c>
      <c r="N463" s="6"/>
      <c r="O463" s="6"/>
      <c r="P463" s="17" t="s">
        <v>54</v>
      </c>
      <c r="Q463" s="17"/>
      <c r="R463" s="17"/>
    </row>
    <row r="464" spans="1:18" ht="30" customHeight="1" x14ac:dyDescent="0.3">
      <c r="A464" s="7">
        <v>45952.560115046297</v>
      </c>
      <c r="B464" s="6" t="s">
        <v>4</v>
      </c>
      <c r="C464" s="6"/>
      <c r="D464" s="6" t="str">
        <f>VLOOKUP(B464,'Veri doğrulama'!$D$6:$E$13,2,0)</f>
        <v>MEHMET YAZICI</v>
      </c>
      <c r="E464" s="6"/>
      <c r="F464" s="6" t="s">
        <v>1295</v>
      </c>
      <c r="G464" s="6" t="s">
        <v>16</v>
      </c>
      <c r="H464" s="6" t="s">
        <v>34</v>
      </c>
      <c r="I464" s="6">
        <v>762</v>
      </c>
      <c r="J464" s="6">
        <v>355</v>
      </c>
      <c r="K464" s="6">
        <v>1</v>
      </c>
      <c r="L464" s="10">
        <f t="shared" si="8"/>
        <v>0.27050999999999997</v>
      </c>
      <c r="M464" s="6" t="s">
        <v>75</v>
      </c>
      <c r="N464" s="6"/>
      <c r="O464" s="6"/>
      <c r="P464" s="17" t="s">
        <v>54</v>
      </c>
      <c r="Q464" s="17"/>
      <c r="R464" s="17"/>
    </row>
    <row r="465" spans="1:18" ht="30" customHeight="1" x14ac:dyDescent="0.3">
      <c r="A465" s="7">
        <v>45951.345957523146</v>
      </c>
      <c r="B465" s="6" t="s">
        <v>5</v>
      </c>
      <c r="C465" s="6"/>
      <c r="D465" s="6" t="str">
        <f>VLOOKUP(B465,'Veri doğrulama'!$D$6:$E$13,2,0)</f>
        <v>MEHMET ÖZEN</v>
      </c>
      <c r="E465" s="6"/>
      <c r="F465" s="6" t="s">
        <v>1293</v>
      </c>
      <c r="G465" s="6" t="s">
        <v>17</v>
      </c>
      <c r="H465" s="6" t="s">
        <v>34</v>
      </c>
      <c r="I465" s="6">
        <v>1200</v>
      </c>
      <c r="J465" s="6">
        <v>1400</v>
      </c>
      <c r="K465" s="6">
        <v>2</v>
      </c>
      <c r="L465" s="10">
        <f t="shared" si="8"/>
        <v>3.36</v>
      </c>
      <c r="M465" s="6" t="s">
        <v>156</v>
      </c>
      <c r="N465" s="6" t="s">
        <v>1294</v>
      </c>
      <c r="O465" s="6"/>
      <c r="P465" s="17" t="s">
        <v>54</v>
      </c>
      <c r="Q465" s="17" t="s">
        <v>54</v>
      </c>
      <c r="R465" s="17"/>
    </row>
    <row r="466" spans="1:18" ht="30" customHeight="1" x14ac:dyDescent="0.3">
      <c r="A466" s="7">
        <v>45951.343143865743</v>
      </c>
      <c r="B466" s="6" t="s">
        <v>5</v>
      </c>
      <c r="C466" s="6"/>
      <c r="D466" s="6" t="str">
        <f>VLOOKUP(B466,'Veri doğrulama'!$D$6:$E$13,2,0)</f>
        <v>MEHMET ÖZEN</v>
      </c>
      <c r="E466" s="6"/>
      <c r="F466" s="6" t="s">
        <v>555</v>
      </c>
      <c r="G466" s="6" t="s">
        <v>16</v>
      </c>
      <c r="H466" s="6" t="s">
        <v>34</v>
      </c>
      <c r="I466" s="6">
        <v>1200</v>
      </c>
      <c r="J466" s="6">
        <v>700</v>
      </c>
      <c r="K466" s="6">
        <v>1</v>
      </c>
      <c r="L466" s="10">
        <f t="shared" si="8"/>
        <v>0.84</v>
      </c>
      <c r="M466" s="6" t="s">
        <v>596</v>
      </c>
      <c r="N466" s="6"/>
      <c r="O466" s="6"/>
      <c r="P466" s="17" t="s">
        <v>54</v>
      </c>
      <c r="Q466" s="17" t="s">
        <v>54</v>
      </c>
      <c r="R466" s="17"/>
    </row>
    <row r="467" spans="1:18" ht="30" customHeight="1" x14ac:dyDescent="0.3">
      <c r="A467" s="7">
        <v>45951.342518750003</v>
      </c>
      <c r="B467" s="6" t="s">
        <v>5</v>
      </c>
      <c r="C467" s="6"/>
      <c r="D467" s="6" t="str">
        <f>VLOOKUP(B467,'Veri doğrulama'!$D$6:$E$13,2,0)</f>
        <v>MEHMET ÖZEN</v>
      </c>
      <c r="E467" s="6"/>
      <c r="F467" s="6" t="s">
        <v>1292</v>
      </c>
      <c r="G467" s="6" t="s">
        <v>16</v>
      </c>
      <c r="H467" s="6" t="s">
        <v>34</v>
      </c>
      <c r="I467" s="6">
        <v>539</v>
      </c>
      <c r="J467" s="6">
        <v>556</v>
      </c>
      <c r="K467" s="6">
        <v>2</v>
      </c>
      <c r="L467" s="10">
        <f t="shared" si="8"/>
        <v>0.59936800000000001</v>
      </c>
      <c r="M467" s="6" t="s">
        <v>103</v>
      </c>
      <c r="N467" s="6"/>
      <c r="O467" s="6"/>
      <c r="P467" s="17" t="s">
        <v>54</v>
      </c>
      <c r="Q467" s="17" t="s">
        <v>54</v>
      </c>
      <c r="R467" s="17"/>
    </row>
    <row r="468" spans="1:18" ht="30" customHeight="1" x14ac:dyDescent="0.3">
      <c r="A468" s="7">
        <v>45950.624475231481</v>
      </c>
      <c r="B468" s="6" t="s">
        <v>5</v>
      </c>
      <c r="C468" s="6"/>
      <c r="D468" s="6" t="str">
        <f>VLOOKUP(B468,'Veri doğrulama'!$D$6:$E$13,2,0)</f>
        <v>MEHMET ÖZEN</v>
      </c>
      <c r="E468" s="6"/>
      <c r="F468" s="6" t="s">
        <v>1291</v>
      </c>
      <c r="G468" s="6" t="s">
        <v>16</v>
      </c>
      <c r="H468" s="6" t="s">
        <v>34</v>
      </c>
      <c r="I468" s="6">
        <v>2000</v>
      </c>
      <c r="J468" s="6">
        <v>590</v>
      </c>
      <c r="K468" s="6">
        <v>1</v>
      </c>
      <c r="L468" s="10">
        <f t="shared" si="8"/>
        <v>1.18</v>
      </c>
      <c r="M468" s="6" t="s">
        <v>596</v>
      </c>
      <c r="N468" s="6"/>
      <c r="O468" s="6"/>
      <c r="P468" s="17" t="s">
        <v>54</v>
      </c>
      <c r="Q468" s="17" t="s">
        <v>54</v>
      </c>
      <c r="R468" s="17"/>
    </row>
    <row r="469" spans="1:18" ht="30" customHeight="1" x14ac:dyDescent="0.3">
      <c r="A469" s="7">
        <v>45950.602987152779</v>
      </c>
      <c r="B469" s="6" t="s">
        <v>5</v>
      </c>
      <c r="C469" s="6"/>
      <c r="D469" s="6" t="str">
        <f>VLOOKUP(B469,'Veri doğrulama'!$D$6:$E$13,2,0)</f>
        <v>MEHMET ÖZEN</v>
      </c>
      <c r="E469" s="6"/>
      <c r="F469" s="6" t="s">
        <v>1290</v>
      </c>
      <c r="G469" s="6" t="s">
        <v>16</v>
      </c>
      <c r="H469" s="6" t="s">
        <v>34</v>
      </c>
      <c r="I469" s="6">
        <v>1300</v>
      </c>
      <c r="J469" s="6">
        <v>320</v>
      </c>
      <c r="K469" s="6">
        <v>1</v>
      </c>
      <c r="L469" s="10">
        <f t="shared" si="8"/>
        <v>0.41599999999999998</v>
      </c>
      <c r="M469" s="6" t="s">
        <v>156</v>
      </c>
      <c r="N469" s="6"/>
      <c r="O469" s="6"/>
      <c r="P469" s="17" t="s">
        <v>54</v>
      </c>
      <c r="Q469" s="17" t="s">
        <v>54</v>
      </c>
      <c r="R469" s="17"/>
    </row>
    <row r="470" spans="1:18" ht="30" customHeight="1" x14ac:dyDescent="0.3">
      <c r="A470" s="7">
        <v>45950.570219907408</v>
      </c>
      <c r="B470" s="6" t="s">
        <v>7</v>
      </c>
      <c r="C470" s="6"/>
      <c r="D470" s="6" t="str">
        <f>VLOOKUP(B470,'Veri doğrulama'!$D$6:$E$13,2,0)</f>
        <v>SIDDIK KAPLAN</v>
      </c>
      <c r="E470" s="6"/>
      <c r="F470" s="6" t="s">
        <v>1288</v>
      </c>
      <c r="G470" s="6" t="s">
        <v>15</v>
      </c>
      <c r="H470" s="6" t="s">
        <v>34</v>
      </c>
      <c r="I470" s="6">
        <v>1200</v>
      </c>
      <c r="J470" s="6">
        <v>1400</v>
      </c>
      <c r="K470" s="6">
        <v>1</v>
      </c>
      <c r="L470" s="10">
        <f t="shared" si="8"/>
        <v>1.68</v>
      </c>
      <c r="M470" s="6" t="s">
        <v>43</v>
      </c>
      <c r="N470" s="6" t="s">
        <v>1289</v>
      </c>
      <c r="O470" s="6"/>
      <c r="P470" s="17" t="s">
        <v>54</v>
      </c>
      <c r="Q470" s="17" t="s">
        <v>54</v>
      </c>
      <c r="R470" s="17"/>
    </row>
    <row r="471" spans="1:18" ht="30" customHeight="1" x14ac:dyDescent="0.3">
      <c r="A471" s="7">
        <v>45950.416307638887</v>
      </c>
      <c r="B471" s="6" t="s">
        <v>5</v>
      </c>
      <c r="C471" s="6"/>
      <c r="D471" s="6" t="str">
        <f>VLOOKUP(B471,'Veri doğrulama'!$D$6:$E$13,2,0)</f>
        <v>MEHMET ÖZEN</v>
      </c>
      <c r="E471" s="6" t="s">
        <v>1286</v>
      </c>
      <c r="F471" s="6" t="s">
        <v>1287</v>
      </c>
      <c r="G471" s="6" t="s">
        <v>15</v>
      </c>
      <c r="H471" s="6" t="s">
        <v>34</v>
      </c>
      <c r="I471" s="6">
        <v>1810</v>
      </c>
      <c r="J471" s="6">
        <v>483</v>
      </c>
      <c r="K471" s="6">
        <v>2</v>
      </c>
      <c r="L471" s="10">
        <f t="shared" si="8"/>
        <v>1.7484599999999999</v>
      </c>
      <c r="M471" s="6" t="s">
        <v>42</v>
      </c>
      <c r="N471" s="6"/>
      <c r="O471" s="6"/>
      <c r="P471" s="17" t="s">
        <v>54</v>
      </c>
      <c r="Q471" s="17" t="s">
        <v>54</v>
      </c>
      <c r="R471" s="17"/>
    </row>
    <row r="472" spans="1:18" ht="30" customHeight="1" x14ac:dyDescent="0.3">
      <c r="A472" s="7">
        <v>45950.39007523148</v>
      </c>
      <c r="B472" s="6" t="s">
        <v>5</v>
      </c>
      <c r="C472" s="6"/>
      <c r="D472" s="6" t="str">
        <f>VLOOKUP(B472,'Veri doğrulama'!$D$6:$E$13,2,0)</f>
        <v>MEHMET ÖZEN</v>
      </c>
      <c r="E472" s="6"/>
      <c r="F472" s="6" t="s">
        <v>142</v>
      </c>
      <c r="G472" s="6" t="s">
        <v>16</v>
      </c>
      <c r="H472" s="6" t="s">
        <v>34</v>
      </c>
      <c r="I472" s="6">
        <v>785</v>
      </c>
      <c r="J472" s="6">
        <v>415</v>
      </c>
      <c r="K472" s="6">
        <v>1</v>
      </c>
      <c r="L472" s="10">
        <f t="shared" si="8"/>
        <v>0.32577499999999998</v>
      </c>
      <c r="M472" s="6" t="s">
        <v>102</v>
      </c>
      <c r="N472" s="6"/>
      <c r="O472" s="6"/>
      <c r="P472" s="17" t="s">
        <v>54</v>
      </c>
      <c r="Q472" s="17" t="s">
        <v>54</v>
      </c>
      <c r="R472" s="17"/>
    </row>
    <row r="473" spans="1:18" ht="30" customHeight="1" x14ac:dyDescent="0.3">
      <c r="A473" s="7">
        <v>45947.569798032404</v>
      </c>
      <c r="B473" s="6" t="s">
        <v>5</v>
      </c>
      <c r="C473" s="6"/>
      <c r="D473" s="6" t="str">
        <f>VLOOKUP(B473,'Veri doğrulama'!$D$6:$E$13,2,0)</f>
        <v>MEHMET ÖZEN</v>
      </c>
      <c r="E473" s="6" t="s">
        <v>1284</v>
      </c>
      <c r="F473" s="6" t="s">
        <v>1285</v>
      </c>
      <c r="G473" s="6" t="s">
        <v>28</v>
      </c>
      <c r="H473" s="6" t="s">
        <v>34</v>
      </c>
      <c r="I473" s="6">
        <v>1800</v>
      </c>
      <c r="J473" s="6">
        <v>360</v>
      </c>
      <c r="K473" s="6">
        <v>1</v>
      </c>
      <c r="L473" s="10">
        <f t="shared" si="8"/>
        <v>0.64800000000000002</v>
      </c>
      <c r="M473" s="6" t="s">
        <v>41</v>
      </c>
      <c r="N473" s="6"/>
      <c r="O473" s="6"/>
      <c r="P473" s="17" t="s">
        <v>54</v>
      </c>
      <c r="Q473" s="17" t="s">
        <v>54</v>
      </c>
      <c r="R473" s="17"/>
    </row>
    <row r="474" spans="1:18" ht="30" customHeight="1" x14ac:dyDescent="0.3">
      <c r="A474" s="7">
        <v>45946.625356597222</v>
      </c>
      <c r="B474" s="6" t="s">
        <v>5</v>
      </c>
      <c r="C474" s="6"/>
      <c r="D474" s="6" t="str">
        <f>VLOOKUP(B474,'Veri doğrulama'!$D$6:$E$13,2,0)</f>
        <v>MEHMET ÖZEN</v>
      </c>
      <c r="E474" s="6"/>
      <c r="F474" s="6" t="s">
        <v>1282</v>
      </c>
      <c r="G474" s="6" t="s">
        <v>18</v>
      </c>
      <c r="H474" s="6" t="s">
        <v>34</v>
      </c>
      <c r="I474" s="6">
        <v>1800</v>
      </c>
      <c r="J474" s="6">
        <v>1100</v>
      </c>
      <c r="K474" s="6">
        <v>1</v>
      </c>
      <c r="L474" s="10">
        <f t="shared" si="8"/>
        <v>1.98</v>
      </c>
      <c r="M474" s="6" t="s">
        <v>43</v>
      </c>
      <c r="N474" s="6" t="s">
        <v>1283</v>
      </c>
      <c r="O474" s="6"/>
      <c r="P474" s="17" t="s">
        <v>54</v>
      </c>
      <c r="Q474" s="17" t="s">
        <v>54</v>
      </c>
      <c r="R474" s="17"/>
    </row>
    <row r="475" spans="1:18" ht="30" customHeight="1" x14ac:dyDescent="0.3">
      <c r="A475" s="7">
        <v>45946.472892129626</v>
      </c>
      <c r="B475" s="6" t="s">
        <v>5</v>
      </c>
      <c r="C475" s="6"/>
      <c r="D475" s="6" t="str">
        <f>VLOOKUP(B475,'Veri doğrulama'!$D$6:$E$13,2,0)</f>
        <v>MEHMET ÖZEN</v>
      </c>
      <c r="E475" s="6"/>
      <c r="F475" s="6" t="s">
        <v>1281</v>
      </c>
      <c r="G475" s="6" t="s">
        <v>27</v>
      </c>
      <c r="H475" s="6" t="s">
        <v>34</v>
      </c>
      <c r="I475" s="6">
        <v>1800</v>
      </c>
      <c r="J475" s="6">
        <v>800</v>
      </c>
      <c r="K475" s="6">
        <v>1</v>
      </c>
      <c r="L475" s="10">
        <f t="shared" si="8"/>
        <v>1.44</v>
      </c>
      <c r="M475" s="6" t="s">
        <v>252</v>
      </c>
      <c r="N475" s="6"/>
      <c r="O475" s="6"/>
      <c r="P475" s="17" t="s">
        <v>54</v>
      </c>
      <c r="Q475" s="17" t="s">
        <v>54</v>
      </c>
      <c r="R475" s="17"/>
    </row>
    <row r="476" spans="1:18" ht="30" customHeight="1" x14ac:dyDescent="0.3">
      <c r="A476" s="7">
        <v>45946.469927430553</v>
      </c>
      <c r="B476" s="6" t="s">
        <v>5</v>
      </c>
      <c r="C476" s="6"/>
      <c r="D476" s="6" t="str">
        <f>VLOOKUP(B476,'Veri doğrulama'!$D$6:$E$13,2,0)</f>
        <v>MEHMET ÖZEN</v>
      </c>
      <c r="E476" s="6"/>
      <c r="F476" s="6" t="s">
        <v>1280</v>
      </c>
      <c r="G476" s="6" t="s">
        <v>16</v>
      </c>
      <c r="H476" s="6" t="s">
        <v>35</v>
      </c>
      <c r="I476" s="6">
        <v>1800</v>
      </c>
      <c r="J476" s="6">
        <v>800</v>
      </c>
      <c r="K476" s="6">
        <v>1</v>
      </c>
      <c r="L476" s="10">
        <f t="shared" si="8"/>
        <v>1.44</v>
      </c>
      <c r="M476" s="6" t="s">
        <v>103</v>
      </c>
      <c r="N476" s="6"/>
      <c r="O476" s="6"/>
      <c r="P476" s="17" t="s">
        <v>54</v>
      </c>
      <c r="Q476" s="17" t="s">
        <v>54</v>
      </c>
      <c r="R476" s="17"/>
    </row>
    <row r="477" spans="1:18" ht="30" customHeight="1" x14ac:dyDescent="0.3">
      <c r="A477" s="7">
        <v>45946.452360300929</v>
      </c>
      <c r="B477" s="6" t="s">
        <v>5</v>
      </c>
      <c r="C477" s="6"/>
      <c r="D477" s="6" t="str">
        <f>VLOOKUP(B477,'Veri doğrulama'!$D$6:$E$13,2,0)</f>
        <v>MEHMET ÖZEN</v>
      </c>
      <c r="E477" s="6" t="s">
        <v>1278</v>
      </c>
      <c r="F477" s="6" t="s">
        <v>1279</v>
      </c>
      <c r="G477" s="6" t="s">
        <v>26</v>
      </c>
      <c r="H477" s="6" t="s">
        <v>33</v>
      </c>
      <c r="I477" s="6">
        <v>2345</v>
      </c>
      <c r="J477" s="6">
        <v>410</v>
      </c>
      <c r="K477" s="6">
        <v>1</v>
      </c>
      <c r="L477" s="10">
        <f t="shared" si="8"/>
        <v>0.96145000000000003</v>
      </c>
      <c r="M477" s="6" t="s">
        <v>41</v>
      </c>
      <c r="N477" s="6"/>
      <c r="O477" s="6"/>
      <c r="P477" s="17" t="s">
        <v>54</v>
      </c>
      <c r="Q477" s="17" t="s">
        <v>54</v>
      </c>
      <c r="R477" s="17"/>
    </row>
    <row r="478" spans="1:18" ht="30" customHeight="1" x14ac:dyDescent="0.3">
      <c r="A478" s="7">
        <v>45945.734578356482</v>
      </c>
      <c r="B478" s="6" t="s">
        <v>5</v>
      </c>
      <c r="C478" s="6"/>
      <c r="D478" s="6" t="str">
        <f>VLOOKUP(B478,'Veri doğrulama'!$D$6:$E$13,2,0)</f>
        <v>MEHMET ÖZEN</v>
      </c>
      <c r="E478" s="6" t="s">
        <v>1276</v>
      </c>
      <c r="F478" s="6" t="s">
        <v>1277</v>
      </c>
      <c r="G478" s="6" t="s">
        <v>28</v>
      </c>
      <c r="H478" s="6" t="s">
        <v>35</v>
      </c>
      <c r="I478" s="6">
        <v>2010</v>
      </c>
      <c r="J478" s="6">
        <v>460</v>
      </c>
      <c r="K478" s="6">
        <v>1</v>
      </c>
      <c r="L478" s="10">
        <f t="shared" si="8"/>
        <v>0.92459999999999998</v>
      </c>
      <c r="M478" s="6" t="s">
        <v>42</v>
      </c>
      <c r="N478" s="6"/>
      <c r="O478" s="6"/>
      <c r="P478" s="17" t="s">
        <v>54</v>
      </c>
      <c r="Q478" s="17" t="s">
        <v>54</v>
      </c>
      <c r="R478" s="17"/>
    </row>
    <row r="479" spans="1:18" ht="30" customHeight="1" x14ac:dyDescent="0.3">
      <c r="A479" s="7">
        <v>45945.510555787034</v>
      </c>
      <c r="B479" s="6" t="s">
        <v>5</v>
      </c>
      <c r="C479" s="6"/>
      <c r="D479" s="6" t="str">
        <f>VLOOKUP(B479,'Veri doğrulama'!$D$6:$E$13,2,0)</f>
        <v>MEHMET ÖZEN</v>
      </c>
      <c r="E479" s="6" t="s">
        <v>1274</v>
      </c>
      <c r="F479" s="6" t="s">
        <v>1275</v>
      </c>
      <c r="G479" s="6" t="s">
        <v>16</v>
      </c>
      <c r="H479" s="6" t="s">
        <v>35</v>
      </c>
      <c r="I479" s="6">
        <v>1800</v>
      </c>
      <c r="J479" s="6">
        <v>800</v>
      </c>
      <c r="K479" s="6">
        <v>1</v>
      </c>
      <c r="L479" s="10">
        <f t="shared" si="8"/>
        <v>1.44</v>
      </c>
      <c r="M479" s="6" t="s">
        <v>103</v>
      </c>
      <c r="N479" s="6"/>
      <c r="O479" s="6"/>
      <c r="P479" s="17" t="s">
        <v>54</v>
      </c>
      <c r="Q479" s="17" t="s">
        <v>54</v>
      </c>
      <c r="R479" s="17"/>
    </row>
    <row r="480" spans="1:18" ht="30" customHeight="1" x14ac:dyDescent="0.3">
      <c r="A480" s="7">
        <v>45945.475419328701</v>
      </c>
      <c r="B480" s="6" t="s">
        <v>4</v>
      </c>
      <c r="C480" s="6"/>
      <c r="D480" s="6" t="str">
        <f>VLOOKUP(B480,'Veri doğrulama'!$D$6:$E$13,2,0)</f>
        <v>MEHMET YAZICI</v>
      </c>
      <c r="E480" s="6"/>
      <c r="F480" s="6" t="s">
        <v>1272</v>
      </c>
      <c r="G480" s="6" t="s">
        <v>16</v>
      </c>
      <c r="H480" s="6" t="s">
        <v>34</v>
      </c>
      <c r="I480" s="6">
        <v>2386</v>
      </c>
      <c r="J480" s="6">
        <v>335</v>
      </c>
      <c r="K480" s="6">
        <v>1</v>
      </c>
      <c r="L480" s="10">
        <f t="shared" si="8"/>
        <v>0.79930999999999996</v>
      </c>
      <c r="M480" s="6" t="s">
        <v>596</v>
      </c>
      <c r="N480" s="6" t="s">
        <v>1273</v>
      </c>
      <c r="O480" s="6"/>
      <c r="P480" s="17" t="s">
        <v>54</v>
      </c>
      <c r="Q480" s="17" t="s">
        <v>54</v>
      </c>
      <c r="R480" s="17"/>
    </row>
    <row r="481" spans="1:18" ht="30" customHeight="1" x14ac:dyDescent="0.3">
      <c r="A481" s="7">
        <v>45945.413610995369</v>
      </c>
      <c r="B481" s="6" t="s">
        <v>5</v>
      </c>
      <c r="C481" s="6"/>
      <c r="D481" s="6" t="str">
        <f>VLOOKUP(B481,'Veri doğrulama'!$D$6:$E$13,2,0)</f>
        <v>MEHMET ÖZEN</v>
      </c>
      <c r="E481" s="6"/>
      <c r="F481" s="6" t="s">
        <v>1245</v>
      </c>
      <c r="G481" s="6" t="s">
        <v>14</v>
      </c>
      <c r="H481" s="6" t="s">
        <v>34</v>
      </c>
      <c r="I481" s="6">
        <v>2210</v>
      </c>
      <c r="J481" s="6">
        <v>910</v>
      </c>
      <c r="K481" s="6">
        <v>1</v>
      </c>
      <c r="L481" s="10">
        <f t="shared" si="8"/>
        <v>2.0110999999999999</v>
      </c>
      <c r="M481" s="6"/>
      <c r="N481" s="6"/>
      <c r="O481" s="6"/>
      <c r="P481" s="17" t="s">
        <v>54</v>
      </c>
      <c r="Q481" s="17" t="s">
        <v>54</v>
      </c>
      <c r="R481" s="17"/>
    </row>
    <row r="482" spans="1:18" ht="30" customHeight="1" x14ac:dyDescent="0.3">
      <c r="A482" s="7">
        <v>45945.406091087963</v>
      </c>
      <c r="B482" s="6" t="s">
        <v>81</v>
      </c>
      <c r="C482" s="6"/>
      <c r="D482" s="6" t="str">
        <f>VLOOKUP(B482,'Veri doğrulama'!$D$6:$E$13,2,0)</f>
        <v>İBRAHİM ÇELİK</v>
      </c>
      <c r="E482" s="6"/>
      <c r="F482" s="6" t="s">
        <v>1271</v>
      </c>
      <c r="G482" s="6" t="s">
        <v>22</v>
      </c>
      <c r="H482" s="6" t="s">
        <v>34</v>
      </c>
      <c r="I482" s="6">
        <v>448</v>
      </c>
      <c r="J482" s="6">
        <v>200</v>
      </c>
      <c r="K482" s="6">
        <v>1</v>
      </c>
      <c r="L482" s="10">
        <f t="shared" si="8"/>
        <v>8.9599999999999999E-2</v>
      </c>
      <c r="M482" s="6" t="s">
        <v>43</v>
      </c>
      <c r="N482" s="6" t="s">
        <v>1142</v>
      </c>
      <c r="O482" s="6"/>
      <c r="P482" s="17" t="s">
        <v>54</v>
      </c>
      <c r="Q482" s="17" t="s">
        <v>54</v>
      </c>
      <c r="R482" s="17"/>
    </row>
    <row r="483" spans="1:18" ht="30" customHeight="1" x14ac:dyDescent="0.3">
      <c r="A483" s="7">
        <v>45945.405222800924</v>
      </c>
      <c r="B483" s="6" t="s">
        <v>81</v>
      </c>
      <c r="C483" s="6"/>
      <c r="D483" s="6" t="str">
        <f>VLOOKUP(B483,'Veri doğrulama'!$D$6:$E$13,2,0)</f>
        <v>İBRAHİM ÇELİK</v>
      </c>
      <c r="E483" s="6"/>
      <c r="F483" s="6" t="s">
        <v>1271</v>
      </c>
      <c r="G483" s="6" t="s">
        <v>22</v>
      </c>
      <c r="H483" s="6" t="s">
        <v>34</v>
      </c>
      <c r="I483" s="6">
        <v>698</v>
      </c>
      <c r="J483" s="6">
        <v>448</v>
      </c>
      <c r="K483" s="6">
        <v>2</v>
      </c>
      <c r="L483" s="10">
        <f t="shared" si="8"/>
        <v>0.62540799999999996</v>
      </c>
      <c r="M483" s="6" t="s">
        <v>103</v>
      </c>
      <c r="N483" s="6" t="s">
        <v>1142</v>
      </c>
      <c r="O483" s="6"/>
      <c r="P483" s="17" t="s">
        <v>54</v>
      </c>
      <c r="Q483" s="17" t="s">
        <v>54</v>
      </c>
      <c r="R483" s="17"/>
    </row>
    <row r="484" spans="1:18" ht="30" customHeight="1" x14ac:dyDescent="0.3">
      <c r="A484" s="7">
        <v>45944.758927546296</v>
      </c>
      <c r="B484" s="6" t="s">
        <v>4</v>
      </c>
      <c r="C484" s="6"/>
      <c r="D484" s="6" t="str">
        <f>VLOOKUP(B484,'Veri doğrulama'!$D$6:$E$13,2,0)</f>
        <v>MEHMET YAZICI</v>
      </c>
      <c r="E484" s="6"/>
      <c r="F484" s="6" t="s">
        <v>714</v>
      </c>
      <c r="G484" s="6" t="s">
        <v>17</v>
      </c>
      <c r="H484" s="6" t="s">
        <v>34</v>
      </c>
      <c r="I484" s="6">
        <v>539</v>
      </c>
      <c r="J484" s="6">
        <v>556</v>
      </c>
      <c r="K484" s="6">
        <v>1</v>
      </c>
      <c r="L484" s="10">
        <f t="shared" si="8"/>
        <v>0.29968400000000001</v>
      </c>
      <c r="M484" s="6" t="s">
        <v>103</v>
      </c>
      <c r="N484" s="6"/>
      <c r="O484" s="6"/>
      <c r="P484" s="17" t="s">
        <v>54</v>
      </c>
      <c r="Q484" s="17" t="s">
        <v>54</v>
      </c>
      <c r="R484" s="17"/>
    </row>
    <row r="485" spans="1:18" ht="30" customHeight="1" x14ac:dyDescent="0.3">
      <c r="A485" s="7">
        <v>45944.75824664352</v>
      </c>
      <c r="B485" s="6" t="s">
        <v>4</v>
      </c>
      <c r="C485" s="6"/>
      <c r="D485" s="6" t="str">
        <f>VLOOKUP(B485,'Veri doğrulama'!$D$6:$E$13,2,0)</f>
        <v>MEHMET YAZICI</v>
      </c>
      <c r="E485" s="6"/>
      <c r="F485" s="6" t="s">
        <v>194</v>
      </c>
      <c r="G485" s="6" t="s">
        <v>17</v>
      </c>
      <c r="H485" s="6" t="s">
        <v>34</v>
      </c>
      <c r="I485" s="6">
        <v>1200</v>
      </c>
      <c r="J485" s="6">
        <v>1400</v>
      </c>
      <c r="K485" s="6">
        <v>3</v>
      </c>
      <c r="L485" s="10">
        <f t="shared" si="8"/>
        <v>5.04</v>
      </c>
      <c r="M485" s="6" t="s">
        <v>102</v>
      </c>
      <c r="N485" s="6"/>
      <c r="O485" s="6"/>
      <c r="P485" s="17" t="s">
        <v>54</v>
      </c>
      <c r="Q485" s="17" t="s">
        <v>54</v>
      </c>
      <c r="R485" s="17"/>
    </row>
    <row r="486" spans="1:18" ht="30" customHeight="1" x14ac:dyDescent="0.3">
      <c r="A486" s="7">
        <v>45944.708326273147</v>
      </c>
      <c r="B486" s="6" t="s">
        <v>5</v>
      </c>
      <c r="C486" s="6"/>
      <c r="D486" s="6" t="str">
        <f>VLOOKUP(B486,'Veri doğrulama'!$D$6:$E$13,2,0)</f>
        <v>MEHMET ÖZEN</v>
      </c>
      <c r="E486" s="6">
        <v>25059</v>
      </c>
      <c r="F486" s="6" t="s">
        <v>1270</v>
      </c>
      <c r="G486" s="6" t="s">
        <v>13</v>
      </c>
      <c r="H486" s="6" t="s">
        <v>34</v>
      </c>
      <c r="I486" s="6">
        <v>1815</v>
      </c>
      <c r="J486" s="6">
        <v>397</v>
      </c>
      <c r="K486" s="6">
        <v>1</v>
      </c>
      <c r="L486" s="10">
        <f t="shared" si="8"/>
        <v>0.72055499999999995</v>
      </c>
      <c r="M486" s="6" t="s">
        <v>156</v>
      </c>
      <c r="N486" s="6"/>
      <c r="O486" s="6"/>
      <c r="P486" s="17" t="s">
        <v>54</v>
      </c>
      <c r="Q486" s="17" t="s">
        <v>54</v>
      </c>
      <c r="R486" s="17"/>
    </row>
    <row r="487" spans="1:18" ht="30" customHeight="1" x14ac:dyDescent="0.3">
      <c r="A487" s="7">
        <v>45944.707318518522</v>
      </c>
      <c r="B487" s="6" t="s">
        <v>5</v>
      </c>
      <c r="C487" s="6"/>
      <c r="D487" s="6" t="str">
        <f>VLOOKUP(B487,'Veri doğrulama'!$D$6:$E$13,2,0)</f>
        <v>MEHMET ÖZEN</v>
      </c>
      <c r="E487" s="6" t="s">
        <v>1268</v>
      </c>
      <c r="F487" s="6" t="s">
        <v>1269</v>
      </c>
      <c r="G487" s="6" t="s">
        <v>14</v>
      </c>
      <c r="H487" s="6" t="s">
        <v>34</v>
      </c>
      <c r="I487" s="6">
        <v>378</v>
      </c>
      <c r="J487" s="6">
        <v>320</v>
      </c>
      <c r="K487" s="6">
        <v>1</v>
      </c>
      <c r="L487" s="10">
        <f t="shared" si="8"/>
        <v>0.12096</v>
      </c>
      <c r="M487" s="6" t="s">
        <v>75</v>
      </c>
      <c r="N487" s="6"/>
      <c r="O487" s="6"/>
      <c r="P487" s="17" t="s">
        <v>54</v>
      </c>
      <c r="Q487" s="17" t="s">
        <v>54</v>
      </c>
      <c r="R487" s="17"/>
    </row>
    <row r="488" spans="1:18" ht="30" customHeight="1" x14ac:dyDescent="0.3">
      <c r="A488" s="7">
        <v>45944.599824999998</v>
      </c>
      <c r="B488" s="6" t="s">
        <v>5</v>
      </c>
      <c r="C488" s="6"/>
      <c r="D488" s="6" t="str">
        <f>VLOOKUP(B488,'Veri doğrulama'!$D$6:$E$13,2,0)</f>
        <v>MEHMET ÖZEN</v>
      </c>
      <c r="E488" s="6"/>
      <c r="F488" s="6" t="s">
        <v>1267</v>
      </c>
      <c r="G488" s="6" t="s">
        <v>15</v>
      </c>
      <c r="H488" s="6" t="s">
        <v>34</v>
      </c>
      <c r="I488" s="6">
        <v>800</v>
      </c>
      <c r="J488" s="6">
        <v>500</v>
      </c>
      <c r="K488" s="6">
        <v>1</v>
      </c>
      <c r="L488" s="10">
        <f t="shared" si="8"/>
        <v>0.4</v>
      </c>
      <c r="M488" s="6" t="s">
        <v>102</v>
      </c>
      <c r="N488" s="6"/>
      <c r="O488" s="6"/>
      <c r="P488" s="17" t="s">
        <v>54</v>
      </c>
      <c r="Q488" s="17" t="s">
        <v>54</v>
      </c>
      <c r="R488" s="17"/>
    </row>
    <row r="489" spans="1:18" ht="30" customHeight="1" x14ac:dyDescent="0.3">
      <c r="A489" s="7">
        <v>45944.581143518517</v>
      </c>
      <c r="B489" s="6" t="s">
        <v>4</v>
      </c>
      <c r="C489" s="6"/>
      <c r="D489" s="6" t="str">
        <f>VLOOKUP(B489,'Veri doğrulama'!$D$6:$E$13,2,0)</f>
        <v>MEHMET YAZICI</v>
      </c>
      <c r="E489" s="6"/>
      <c r="F489" s="6" t="s">
        <v>434</v>
      </c>
      <c r="G489" s="6" t="s">
        <v>19</v>
      </c>
      <c r="H489" s="6" t="s">
        <v>35</v>
      </c>
      <c r="I489" s="6">
        <v>2163</v>
      </c>
      <c r="J489" s="6">
        <v>699</v>
      </c>
      <c r="K489" s="6">
        <v>1</v>
      </c>
      <c r="L489" s="10">
        <f t="shared" si="8"/>
        <v>1.5119370000000001</v>
      </c>
      <c r="M489" s="6" t="s">
        <v>103</v>
      </c>
      <c r="N489" s="6"/>
      <c r="O489" s="6"/>
      <c r="P489" s="17" t="s">
        <v>54</v>
      </c>
      <c r="Q489" s="17" t="s">
        <v>54</v>
      </c>
      <c r="R489" s="17"/>
    </row>
    <row r="490" spans="1:18" ht="30" customHeight="1" x14ac:dyDescent="0.3">
      <c r="A490" s="7">
        <v>45944.436118287034</v>
      </c>
      <c r="B490" s="6" t="s">
        <v>5</v>
      </c>
      <c r="C490" s="6"/>
      <c r="D490" s="6" t="str">
        <f>VLOOKUP(B490,'Veri doğrulama'!$D$6:$E$13,2,0)</f>
        <v>MEHMET ÖZEN</v>
      </c>
      <c r="E490" s="6"/>
      <c r="F490" s="6" t="s">
        <v>1266</v>
      </c>
      <c r="G490" s="6" t="s">
        <v>22</v>
      </c>
      <c r="H490" s="6" t="s">
        <v>34</v>
      </c>
      <c r="I490" s="6">
        <v>698</v>
      </c>
      <c r="J490" s="6">
        <v>447</v>
      </c>
      <c r="K490" s="6">
        <v>2</v>
      </c>
      <c r="L490" s="10">
        <f t="shared" si="8"/>
        <v>0.62401200000000001</v>
      </c>
      <c r="M490" s="6" t="s">
        <v>43</v>
      </c>
      <c r="N490" s="6"/>
      <c r="O490" s="6"/>
      <c r="P490" s="17" t="s">
        <v>54</v>
      </c>
      <c r="Q490" s="17" t="s">
        <v>54</v>
      </c>
      <c r="R490" s="17"/>
    </row>
    <row r="491" spans="1:18" ht="30" customHeight="1" x14ac:dyDescent="0.3">
      <c r="A491" s="7">
        <v>45943.577365393518</v>
      </c>
      <c r="B491" s="6" t="s">
        <v>5</v>
      </c>
      <c r="C491" s="6"/>
      <c r="D491" s="6" t="str">
        <f>VLOOKUP(B491,'Veri doğrulama'!$D$6:$E$13,2,0)</f>
        <v>MEHMET ÖZEN</v>
      </c>
      <c r="E491" s="6"/>
      <c r="F491" s="6" t="s">
        <v>1265</v>
      </c>
      <c r="G491" s="6" t="s">
        <v>26</v>
      </c>
      <c r="H491" s="6" t="s">
        <v>34</v>
      </c>
      <c r="I491" s="6">
        <v>2035</v>
      </c>
      <c r="J491" s="6">
        <v>585</v>
      </c>
      <c r="K491" s="6">
        <v>1</v>
      </c>
      <c r="L491" s="10">
        <f t="shared" si="8"/>
        <v>1.1904749999999999</v>
      </c>
      <c r="M491" s="6" t="s">
        <v>42</v>
      </c>
      <c r="N491" s="6"/>
      <c r="O491" s="6"/>
      <c r="P491" s="17" t="s">
        <v>54</v>
      </c>
      <c r="Q491" s="17" t="s">
        <v>54</v>
      </c>
      <c r="R491" s="17"/>
    </row>
    <row r="492" spans="1:18" ht="30" customHeight="1" x14ac:dyDescent="0.3">
      <c r="A492" s="7">
        <v>45943.382036921299</v>
      </c>
      <c r="B492" s="6" t="s">
        <v>5</v>
      </c>
      <c r="C492" s="6"/>
      <c r="D492" s="6" t="str">
        <f>VLOOKUP(B492,'Veri doğrulama'!$D$6:$E$13,2,0)</f>
        <v>MEHMET ÖZEN</v>
      </c>
      <c r="E492" s="6"/>
      <c r="F492" s="6" t="s">
        <v>1264</v>
      </c>
      <c r="G492" s="6" t="s">
        <v>24</v>
      </c>
      <c r="H492" s="6" t="s">
        <v>35</v>
      </c>
      <c r="I492" s="6">
        <v>900</v>
      </c>
      <c r="J492" s="6">
        <v>600</v>
      </c>
      <c r="K492" s="6">
        <v>1</v>
      </c>
      <c r="L492" s="10">
        <f t="shared" si="8"/>
        <v>0.54</v>
      </c>
      <c r="M492" s="6" t="s">
        <v>103</v>
      </c>
      <c r="N492" s="6"/>
      <c r="O492" s="6"/>
      <c r="P492" s="17" t="s">
        <v>54</v>
      </c>
      <c r="Q492" s="17" t="s">
        <v>54</v>
      </c>
      <c r="R492" s="17"/>
    </row>
    <row r="493" spans="1:18" ht="30" customHeight="1" x14ac:dyDescent="0.3">
      <c r="A493" s="7">
        <v>45943.367507754629</v>
      </c>
      <c r="B493" s="6" t="s">
        <v>4</v>
      </c>
      <c r="C493" s="6"/>
      <c r="D493" s="6" t="str">
        <f>VLOOKUP(B493,'Veri doğrulama'!$D$6:$E$13,2,0)</f>
        <v>MEHMET YAZICI</v>
      </c>
      <c r="E493" s="6"/>
      <c r="F493" s="6" t="s">
        <v>1263</v>
      </c>
      <c r="G493" s="6" t="s">
        <v>15</v>
      </c>
      <c r="H493" s="6" t="s">
        <v>34</v>
      </c>
      <c r="I493" s="6">
        <v>163</v>
      </c>
      <c r="J493" s="6">
        <v>393</v>
      </c>
      <c r="K493" s="6">
        <v>150</v>
      </c>
      <c r="L493" s="10">
        <f t="shared" si="8"/>
        <v>9.6088500000000003</v>
      </c>
      <c r="M493" s="6" t="s">
        <v>39</v>
      </c>
      <c r="N493" s="6" t="s">
        <v>1262</v>
      </c>
      <c r="O493" s="6"/>
      <c r="P493" s="17" t="s">
        <v>54</v>
      </c>
      <c r="Q493" s="17" t="s">
        <v>54</v>
      </c>
      <c r="R493" s="17"/>
    </row>
    <row r="494" spans="1:18" ht="30" customHeight="1" x14ac:dyDescent="0.3">
      <c r="A494" s="7">
        <v>45940.448010879627</v>
      </c>
      <c r="B494" s="6" t="s">
        <v>5</v>
      </c>
      <c r="C494" s="6"/>
      <c r="D494" s="6" t="str">
        <f>VLOOKUP(B494,'Veri doğrulama'!$D$6:$E$13,2,0)</f>
        <v>MEHMET ÖZEN</v>
      </c>
      <c r="E494" s="6" t="s">
        <v>1260</v>
      </c>
      <c r="F494" s="6" t="s">
        <v>1261</v>
      </c>
      <c r="G494" s="6" t="s">
        <v>14</v>
      </c>
      <c r="H494" s="6" t="s">
        <v>34</v>
      </c>
      <c r="I494" s="6">
        <v>1970</v>
      </c>
      <c r="J494" s="6">
        <v>520</v>
      </c>
      <c r="K494" s="6">
        <v>1</v>
      </c>
      <c r="L494" s="10">
        <f t="shared" si="8"/>
        <v>1.0244</v>
      </c>
      <c r="M494" s="6" t="s">
        <v>102</v>
      </c>
      <c r="N494" s="6" t="s">
        <v>1171</v>
      </c>
      <c r="O494" s="6"/>
      <c r="P494" s="17" t="s">
        <v>54</v>
      </c>
      <c r="Q494" s="17" t="s">
        <v>54</v>
      </c>
      <c r="R494" s="17"/>
    </row>
    <row r="495" spans="1:18" ht="30" customHeight="1" x14ac:dyDescent="0.3">
      <c r="A495" s="7">
        <v>45940.41331423611</v>
      </c>
      <c r="B495" s="6" t="s">
        <v>5</v>
      </c>
      <c r="C495" s="6"/>
      <c r="D495" s="6" t="str">
        <f>VLOOKUP(B495,'Veri doğrulama'!$D$6:$E$13,2,0)</f>
        <v>MEHMET ÖZEN</v>
      </c>
      <c r="E495" s="6"/>
      <c r="F495" s="6" t="s">
        <v>1259</v>
      </c>
      <c r="G495" s="6" t="s">
        <v>19</v>
      </c>
      <c r="H495" s="6" t="s">
        <v>34</v>
      </c>
      <c r="I495" s="6">
        <v>2000</v>
      </c>
      <c r="J495" s="6">
        <v>1100</v>
      </c>
      <c r="K495" s="6">
        <v>1</v>
      </c>
      <c r="L495" s="10">
        <f t="shared" si="8"/>
        <v>2.2000000000000002</v>
      </c>
      <c r="M495" s="6" t="s">
        <v>103</v>
      </c>
      <c r="N495" s="6"/>
      <c r="O495" s="6"/>
      <c r="P495" s="17" t="s">
        <v>54</v>
      </c>
      <c r="Q495" s="17" t="s">
        <v>54</v>
      </c>
      <c r="R495" s="17"/>
    </row>
    <row r="496" spans="1:18" ht="30" customHeight="1" x14ac:dyDescent="0.3">
      <c r="A496" s="7">
        <v>45940.412379745372</v>
      </c>
      <c r="B496" s="6" t="s">
        <v>7</v>
      </c>
      <c r="C496" s="6"/>
      <c r="D496" s="6" t="str">
        <f>VLOOKUP(B496,'Veri doğrulama'!$D$6:$E$13,2,0)</f>
        <v>SIDDIK KAPLAN</v>
      </c>
      <c r="E496" s="6"/>
      <c r="F496" s="6" t="s">
        <v>1258</v>
      </c>
      <c r="G496" s="6" t="s">
        <v>15</v>
      </c>
      <c r="H496" s="6" t="s">
        <v>34</v>
      </c>
      <c r="I496" s="6">
        <v>1400</v>
      </c>
      <c r="J496" s="6">
        <v>800</v>
      </c>
      <c r="K496" s="6">
        <v>1</v>
      </c>
      <c r="L496" s="10">
        <f t="shared" si="8"/>
        <v>1.1200000000000001</v>
      </c>
      <c r="M496" s="6" t="s">
        <v>43</v>
      </c>
      <c r="N496" s="6"/>
      <c r="O496" s="6"/>
      <c r="P496" s="17" t="s">
        <v>54</v>
      </c>
      <c r="Q496" s="17" t="s">
        <v>54</v>
      </c>
      <c r="R496" s="17"/>
    </row>
    <row r="497" spans="1:18" ht="30" customHeight="1" x14ac:dyDescent="0.3">
      <c r="A497" s="7">
        <v>45939.768154398145</v>
      </c>
      <c r="B497" s="6" t="s">
        <v>4</v>
      </c>
      <c r="C497" s="6"/>
      <c r="D497" s="6" t="str">
        <f>VLOOKUP(B497,'Veri doğrulama'!$D$6:$E$13,2,0)</f>
        <v>MEHMET YAZICI</v>
      </c>
      <c r="E497" s="6"/>
      <c r="F497" s="6" t="s">
        <v>1257</v>
      </c>
      <c r="G497" s="6" t="s">
        <v>15</v>
      </c>
      <c r="H497" s="6" t="s">
        <v>34</v>
      </c>
      <c r="I497" s="6">
        <v>800</v>
      </c>
      <c r="J497" s="6">
        <v>500</v>
      </c>
      <c r="K497" s="6">
        <v>1</v>
      </c>
      <c r="L497" s="10">
        <f t="shared" si="8"/>
        <v>0.4</v>
      </c>
      <c r="M497" s="6" t="s">
        <v>156</v>
      </c>
      <c r="N497" s="6"/>
      <c r="O497" s="6"/>
      <c r="P497" s="17" t="s">
        <v>54</v>
      </c>
      <c r="Q497" s="17" t="s">
        <v>54</v>
      </c>
      <c r="R497" s="17"/>
    </row>
    <row r="498" spans="1:18" ht="30" customHeight="1" x14ac:dyDescent="0.3">
      <c r="A498" s="7">
        <v>45939.762860185183</v>
      </c>
      <c r="B498" s="6" t="s">
        <v>5</v>
      </c>
      <c r="C498" s="6"/>
      <c r="D498" s="6" t="str">
        <f>VLOOKUP(B498,'Veri doğrulama'!$D$6:$E$13,2,0)</f>
        <v>MEHMET ÖZEN</v>
      </c>
      <c r="E498" s="6"/>
      <c r="F498" s="6" t="s">
        <v>1256</v>
      </c>
      <c r="G498" s="6" t="s">
        <v>28</v>
      </c>
      <c r="H498" s="6" t="s">
        <v>34</v>
      </c>
      <c r="I498" s="6">
        <v>1200</v>
      </c>
      <c r="J498" s="6">
        <v>1400</v>
      </c>
      <c r="K498" s="6">
        <v>1</v>
      </c>
      <c r="L498" s="10">
        <f t="shared" si="8"/>
        <v>1.68</v>
      </c>
      <c r="M498" s="6" t="s">
        <v>43</v>
      </c>
      <c r="N498" s="6"/>
      <c r="O498" s="6"/>
      <c r="P498" s="17" t="s">
        <v>54</v>
      </c>
      <c r="Q498" s="17" t="s">
        <v>54</v>
      </c>
      <c r="R498" s="17"/>
    </row>
    <row r="499" spans="1:18" ht="30" customHeight="1" x14ac:dyDescent="0.3">
      <c r="A499" s="7">
        <v>45939.762194097224</v>
      </c>
      <c r="B499" s="6" t="s">
        <v>5</v>
      </c>
      <c r="C499" s="6"/>
      <c r="D499" s="6" t="str">
        <f>VLOOKUP(B499,'Veri doğrulama'!$D$6:$E$13,2,0)</f>
        <v>MEHMET ÖZEN</v>
      </c>
      <c r="E499" s="6"/>
      <c r="F499" s="6" t="s">
        <v>1255</v>
      </c>
      <c r="G499" s="6" t="s">
        <v>18</v>
      </c>
      <c r="H499" s="6" t="s">
        <v>35</v>
      </c>
      <c r="I499" s="6">
        <v>1895</v>
      </c>
      <c r="J499" s="6">
        <v>870</v>
      </c>
      <c r="K499" s="6">
        <v>1</v>
      </c>
      <c r="L499" s="10">
        <f t="shared" si="8"/>
        <v>1.6486499999999999</v>
      </c>
      <c r="M499" s="6" t="s">
        <v>43</v>
      </c>
      <c r="N499" s="6"/>
      <c r="O499" s="6"/>
      <c r="P499" s="17" t="s">
        <v>54</v>
      </c>
      <c r="Q499" s="17" t="s">
        <v>54</v>
      </c>
      <c r="R499" s="17"/>
    </row>
    <row r="500" spans="1:18" ht="30" customHeight="1" x14ac:dyDescent="0.3">
      <c r="A500" s="7">
        <v>45939.659156828704</v>
      </c>
      <c r="B500" s="6" t="s">
        <v>5</v>
      </c>
      <c r="C500" s="6"/>
      <c r="D500" s="6" t="str">
        <f>VLOOKUP(B500,'Veri doğrulama'!$D$6:$E$13,2,0)</f>
        <v>MEHMET ÖZEN</v>
      </c>
      <c r="E500" s="6"/>
      <c r="F500" s="6" t="s">
        <v>1254</v>
      </c>
      <c r="G500" s="6" t="s">
        <v>26</v>
      </c>
      <c r="H500" s="6" t="s">
        <v>34</v>
      </c>
      <c r="I500" s="6">
        <v>2000</v>
      </c>
      <c r="J500" s="6">
        <v>590</v>
      </c>
      <c r="K500" s="6">
        <v>1</v>
      </c>
      <c r="L500" s="10">
        <f t="shared" si="8"/>
        <v>1.18</v>
      </c>
      <c r="M500" s="6" t="s">
        <v>596</v>
      </c>
      <c r="N500" s="6"/>
      <c r="O500" s="6"/>
      <c r="P500" s="17" t="s">
        <v>54</v>
      </c>
      <c r="Q500" s="17" t="s">
        <v>54</v>
      </c>
      <c r="R500" s="17"/>
    </row>
    <row r="501" spans="1:18" ht="30" customHeight="1" x14ac:dyDescent="0.3">
      <c r="A501" s="7">
        <v>45939.503909143517</v>
      </c>
      <c r="B501" s="6" t="s">
        <v>5</v>
      </c>
      <c r="C501" s="6"/>
      <c r="D501" s="6" t="str">
        <f>VLOOKUP(B501,'Veri doğrulama'!$D$6:$E$13,2,0)</f>
        <v>MEHMET ÖZEN</v>
      </c>
      <c r="E501" s="6"/>
      <c r="F501" s="6" t="s">
        <v>1253</v>
      </c>
      <c r="G501" s="6" t="s">
        <v>17</v>
      </c>
      <c r="H501" s="6" t="s">
        <v>34</v>
      </c>
      <c r="I501" s="6">
        <v>1420</v>
      </c>
      <c r="J501" s="6">
        <v>1220</v>
      </c>
      <c r="K501" s="6">
        <v>1</v>
      </c>
      <c r="L501" s="10">
        <f t="shared" si="8"/>
        <v>1.7323999999999999</v>
      </c>
      <c r="M501" s="6" t="s">
        <v>41</v>
      </c>
      <c r="N501" s="6"/>
      <c r="O501" s="6"/>
      <c r="P501" s="17" t="s">
        <v>54</v>
      </c>
      <c r="Q501" s="17" t="s">
        <v>54</v>
      </c>
      <c r="R501" s="17"/>
    </row>
    <row r="502" spans="1:18" ht="30" customHeight="1" x14ac:dyDescent="0.3">
      <c r="A502" s="7">
        <v>45939.502494560184</v>
      </c>
      <c r="B502" s="6" t="s">
        <v>5</v>
      </c>
      <c r="C502" s="6"/>
      <c r="D502" s="6" t="str">
        <f>VLOOKUP(B502,'Veri doğrulama'!$D$6:$E$13,2,0)</f>
        <v>MEHMET ÖZEN</v>
      </c>
      <c r="E502" s="6"/>
      <c r="F502" s="6" t="s">
        <v>1252</v>
      </c>
      <c r="G502" s="6" t="s">
        <v>17</v>
      </c>
      <c r="H502" s="6" t="s">
        <v>34</v>
      </c>
      <c r="I502" s="6">
        <v>1420</v>
      </c>
      <c r="J502" s="6">
        <v>1420</v>
      </c>
      <c r="K502" s="6">
        <v>4</v>
      </c>
      <c r="L502" s="10">
        <f t="shared" si="8"/>
        <v>8.0655999999999999</v>
      </c>
      <c r="M502" s="6" t="s">
        <v>41</v>
      </c>
      <c r="N502" s="6"/>
      <c r="O502" s="6"/>
      <c r="P502" s="17" t="s">
        <v>54</v>
      </c>
      <c r="Q502" s="17" t="s">
        <v>54</v>
      </c>
      <c r="R502" s="17"/>
    </row>
    <row r="503" spans="1:18" ht="30" customHeight="1" x14ac:dyDescent="0.3">
      <c r="A503" s="7">
        <v>45938.585800347224</v>
      </c>
      <c r="B503" s="6" t="s">
        <v>5</v>
      </c>
      <c r="C503" s="6"/>
      <c r="D503" s="6" t="str">
        <f>VLOOKUP(B503,'Veri doğrulama'!$D$6:$E$13,2,0)</f>
        <v>MEHMET ÖZEN</v>
      </c>
      <c r="E503" s="6" t="s">
        <v>1251</v>
      </c>
      <c r="F503" s="6" t="s">
        <v>634</v>
      </c>
      <c r="G503" s="6" t="s">
        <v>16</v>
      </c>
      <c r="H503" s="6" t="s">
        <v>34</v>
      </c>
      <c r="I503" s="6">
        <v>1400</v>
      </c>
      <c r="J503" s="6">
        <v>800</v>
      </c>
      <c r="K503" s="6">
        <v>1</v>
      </c>
      <c r="L503" s="10">
        <f t="shared" si="8"/>
        <v>1.1200000000000001</v>
      </c>
      <c r="M503" s="6" t="s">
        <v>103</v>
      </c>
      <c r="N503" s="6" t="s">
        <v>1171</v>
      </c>
      <c r="O503" s="6"/>
      <c r="P503" s="17" t="s">
        <v>54</v>
      </c>
      <c r="Q503" s="17" t="s">
        <v>54</v>
      </c>
      <c r="R503" s="17"/>
    </row>
    <row r="504" spans="1:18" ht="30" customHeight="1" x14ac:dyDescent="0.3">
      <c r="A504" s="7">
        <v>45938.502439236108</v>
      </c>
      <c r="B504" s="6" t="s">
        <v>5</v>
      </c>
      <c r="C504" s="6"/>
      <c r="D504" s="6" t="str">
        <f>VLOOKUP(B504,'Veri doğrulama'!$D$6:$E$13,2,0)</f>
        <v>MEHMET ÖZEN</v>
      </c>
      <c r="E504" s="6"/>
      <c r="F504" s="6" t="s">
        <v>1250</v>
      </c>
      <c r="G504" s="6" t="s">
        <v>16</v>
      </c>
      <c r="H504" s="6" t="s">
        <v>34</v>
      </c>
      <c r="I504" s="6">
        <v>539</v>
      </c>
      <c r="J504" s="6">
        <v>432</v>
      </c>
      <c r="K504" s="6">
        <v>1</v>
      </c>
      <c r="L504" s="10">
        <f t="shared" si="8"/>
        <v>0.232848</v>
      </c>
      <c r="M504" s="6" t="s">
        <v>102</v>
      </c>
      <c r="N504" s="6"/>
      <c r="O504" s="6"/>
      <c r="P504" s="17" t="s">
        <v>54</v>
      </c>
      <c r="Q504" s="17" t="s">
        <v>54</v>
      </c>
      <c r="R504" s="17"/>
    </row>
    <row r="505" spans="1:18" ht="30" customHeight="1" x14ac:dyDescent="0.3">
      <c r="A505" s="7">
        <v>45938.469952199077</v>
      </c>
      <c r="B505" s="6" t="s">
        <v>5</v>
      </c>
      <c r="C505" s="6"/>
      <c r="D505" s="6" t="str">
        <f>VLOOKUP(B505,'Veri doğrulama'!$D$6:$E$13,2,0)</f>
        <v>MEHMET ÖZEN</v>
      </c>
      <c r="E505" s="6"/>
      <c r="F505" s="6" t="s">
        <v>1249</v>
      </c>
      <c r="G505" s="6" t="s">
        <v>13</v>
      </c>
      <c r="H505" s="6" t="s">
        <v>34</v>
      </c>
      <c r="I505" s="6">
        <v>2200</v>
      </c>
      <c r="J505" s="6">
        <v>450</v>
      </c>
      <c r="K505" s="6">
        <v>1</v>
      </c>
      <c r="L505" s="10">
        <f t="shared" si="8"/>
        <v>0.99</v>
      </c>
      <c r="M505" s="6" t="s">
        <v>596</v>
      </c>
      <c r="N505" s="6"/>
      <c r="O505" s="6"/>
      <c r="P505" s="17" t="s">
        <v>54</v>
      </c>
      <c r="Q505" s="17" t="s">
        <v>54</v>
      </c>
      <c r="R505" s="17"/>
    </row>
    <row r="506" spans="1:18" ht="30" customHeight="1" x14ac:dyDescent="0.3">
      <c r="A506" s="7">
        <v>45938.357471180556</v>
      </c>
      <c r="B506" s="6" t="s">
        <v>5</v>
      </c>
      <c r="C506" s="6"/>
      <c r="D506" s="6" t="str">
        <f>VLOOKUP(B506,'Veri doğrulama'!$D$6:$E$13,2,0)</f>
        <v>MEHMET ÖZEN</v>
      </c>
      <c r="E506" s="6"/>
      <c r="F506" s="6" t="s">
        <v>1248</v>
      </c>
      <c r="G506" s="6" t="s">
        <v>16</v>
      </c>
      <c r="H506" s="6" t="s">
        <v>34</v>
      </c>
      <c r="I506" s="6">
        <v>1600</v>
      </c>
      <c r="J506" s="6">
        <v>1200</v>
      </c>
      <c r="K506" s="6">
        <v>1</v>
      </c>
      <c r="L506" s="10">
        <f t="shared" si="8"/>
        <v>1.92</v>
      </c>
      <c r="M506" s="6" t="s">
        <v>156</v>
      </c>
      <c r="N506" s="6"/>
      <c r="O506" s="6"/>
      <c r="P506" s="17" t="s">
        <v>54</v>
      </c>
      <c r="Q506" s="17" t="s">
        <v>54</v>
      </c>
      <c r="R506" s="17"/>
    </row>
    <row r="507" spans="1:18" ht="30" customHeight="1" x14ac:dyDescent="0.3">
      <c r="A507" s="7">
        <v>45938.356610763891</v>
      </c>
      <c r="B507" s="6" t="s">
        <v>5</v>
      </c>
      <c r="C507" s="6"/>
      <c r="D507" s="6" t="str">
        <f>VLOOKUP(B507,'Veri doğrulama'!$D$6:$E$13,2,0)</f>
        <v>MEHMET ÖZEN</v>
      </c>
      <c r="E507" s="6"/>
      <c r="F507" s="6" t="s">
        <v>1247</v>
      </c>
      <c r="G507" s="6" t="s">
        <v>19</v>
      </c>
      <c r="H507" s="6" t="s">
        <v>34</v>
      </c>
      <c r="I507" s="6">
        <v>2000</v>
      </c>
      <c r="J507" s="6">
        <v>1100</v>
      </c>
      <c r="K507" s="6">
        <v>1</v>
      </c>
      <c r="L507" s="10">
        <f t="shared" si="8"/>
        <v>2.2000000000000002</v>
      </c>
      <c r="M507" s="6" t="s">
        <v>156</v>
      </c>
      <c r="N507" s="6"/>
      <c r="O507" s="6"/>
      <c r="P507" s="17" t="s">
        <v>54</v>
      </c>
      <c r="Q507" s="17" t="s">
        <v>54</v>
      </c>
      <c r="R507" s="17"/>
    </row>
    <row r="508" spans="1:18" ht="30" customHeight="1" x14ac:dyDescent="0.3">
      <c r="A508" s="7">
        <v>45938.355657754626</v>
      </c>
      <c r="B508" s="6" t="s">
        <v>5</v>
      </c>
      <c r="C508" s="6"/>
      <c r="D508" s="6" t="str">
        <f>VLOOKUP(B508,'Veri doğrulama'!$D$6:$E$13,2,0)</f>
        <v>MEHMET ÖZEN</v>
      </c>
      <c r="E508" s="6"/>
      <c r="F508" s="6" t="s">
        <v>1246</v>
      </c>
      <c r="G508" s="6" t="s">
        <v>14</v>
      </c>
      <c r="H508" s="6" t="s">
        <v>34</v>
      </c>
      <c r="I508" s="6">
        <v>2210</v>
      </c>
      <c r="J508" s="6">
        <v>510</v>
      </c>
      <c r="K508" s="6">
        <v>1</v>
      </c>
      <c r="L508" s="10">
        <f t="shared" si="8"/>
        <v>1.1271</v>
      </c>
      <c r="M508" s="6" t="s">
        <v>103</v>
      </c>
      <c r="N508" s="6"/>
      <c r="O508" s="6"/>
      <c r="P508" s="17" t="s">
        <v>54</v>
      </c>
      <c r="Q508" s="17" t="s">
        <v>54</v>
      </c>
      <c r="R508" s="17"/>
    </row>
    <row r="509" spans="1:18" ht="30" customHeight="1" x14ac:dyDescent="0.3">
      <c r="A509" s="7">
        <v>45938.355111226854</v>
      </c>
      <c r="B509" s="6" t="s">
        <v>5</v>
      </c>
      <c r="C509" s="6"/>
      <c r="D509" s="6" t="str">
        <f>VLOOKUP(B509,'Veri doğrulama'!$D$6:$E$13,2,0)</f>
        <v>MEHMET ÖZEN</v>
      </c>
      <c r="E509" s="6"/>
      <c r="F509" s="6" t="s">
        <v>1245</v>
      </c>
      <c r="G509" s="6" t="s">
        <v>14</v>
      </c>
      <c r="H509" s="6" t="s">
        <v>34</v>
      </c>
      <c r="I509" s="6">
        <v>2210</v>
      </c>
      <c r="J509" s="6">
        <v>910</v>
      </c>
      <c r="K509" s="6">
        <v>2</v>
      </c>
      <c r="L509" s="10">
        <f t="shared" si="8"/>
        <v>4.0221999999999998</v>
      </c>
      <c r="M509" s="6" t="s">
        <v>103</v>
      </c>
      <c r="N509" s="6"/>
      <c r="O509" s="6"/>
      <c r="P509" s="17" t="s">
        <v>54</v>
      </c>
      <c r="Q509" s="17" t="s">
        <v>54</v>
      </c>
      <c r="R509" s="17"/>
    </row>
    <row r="510" spans="1:18" ht="30" customHeight="1" x14ac:dyDescent="0.3">
      <c r="A510" s="7">
        <v>45937.768778819445</v>
      </c>
      <c r="B510" s="6" t="s">
        <v>4</v>
      </c>
      <c r="C510" s="6"/>
      <c r="D510" s="6" t="str">
        <f>VLOOKUP(B510,'Veri doğrulama'!$D$6:$E$13,2,0)</f>
        <v>MEHMET YAZICI</v>
      </c>
      <c r="E510" s="6"/>
      <c r="F510" s="6" t="s">
        <v>1244</v>
      </c>
      <c r="G510" s="6" t="s">
        <v>19</v>
      </c>
      <c r="H510" s="6" t="s">
        <v>34</v>
      </c>
      <c r="I510" s="6">
        <v>600</v>
      </c>
      <c r="J510" s="6">
        <v>324</v>
      </c>
      <c r="K510" s="6">
        <v>1</v>
      </c>
      <c r="L510" s="10">
        <f t="shared" si="8"/>
        <v>0.19439999999999999</v>
      </c>
      <c r="M510" s="6" t="s">
        <v>102</v>
      </c>
      <c r="N510" s="6"/>
      <c r="O510" s="6"/>
      <c r="P510" s="17" t="s">
        <v>54</v>
      </c>
      <c r="Q510" s="17" t="s">
        <v>54</v>
      </c>
      <c r="R510" s="17"/>
    </row>
    <row r="511" spans="1:18" ht="30" customHeight="1" x14ac:dyDescent="0.3">
      <c r="A511" s="7">
        <v>45937.768254513889</v>
      </c>
      <c r="B511" s="6" t="s">
        <v>4</v>
      </c>
      <c r="C511" s="6"/>
      <c r="D511" s="6" t="str">
        <f>VLOOKUP(B511,'Veri doğrulama'!$D$6:$E$13,2,0)</f>
        <v>MEHMET YAZICI</v>
      </c>
      <c r="E511" s="6"/>
      <c r="F511" s="6" t="s">
        <v>1243</v>
      </c>
      <c r="G511" s="6" t="s">
        <v>19</v>
      </c>
      <c r="H511" s="6" t="s">
        <v>34</v>
      </c>
      <c r="I511" s="6">
        <v>665</v>
      </c>
      <c r="J511" s="6">
        <v>330</v>
      </c>
      <c r="K511" s="6">
        <v>1</v>
      </c>
      <c r="L511" s="10">
        <f t="shared" si="8"/>
        <v>0.21945000000000001</v>
      </c>
      <c r="M511" s="6" t="s">
        <v>102</v>
      </c>
      <c r="N511" s="6"/>
      <c r="O511" s="6"/>
      <c r="P511" s="17" t="s">
        <v>54</v>
      </c>
      <c r="Q511" s="17" t="s">
        <v>54</v>
      </c>
      <c r="R511" s="17"/>
    </row>
    <row r="512" spans="1:18" ht="30" customHeight="1" x14ac:dyDescent="0.3">
      <c r="A512" s="7">
        <v>45937.767720833333</v>
      </c>
      <c r="B512" s="6" t="s">
        <v>4</v>
      </c>
      <c r="C512" s="6"/>
      <c r="D512" s="6" t="str">
        <f>VLOOKUP(B512,'Veri doğrulama'!$D$6:$E$13,2,0)</f>
        <v>MEHMET YAZICI</v>
      </c>
      <c r="E512" s="6"/>
      <c r="F512" s="6" t="s">
        <v>1242</v>
      </c>
      <c r="G512" s="6" t="s">
        <v>19</v>
      </c>
      <c r="H512" s="6" t="s">
        <v>34</v>
      </c>
      <c r="I512" s="6">
        <v>324</v>
      </c>
      <c r="J512" s="6">
        <v>560</v>
      </c>
      <c r="K512" s="6">
        <v>1</v>
      </c>
      <c r="L512" s="10">
        <f t="shared" si="8"/>
        <v>0.18143999999999999</v>
      </c>
      <c r="M512" s="6" t="s">
        <v>102</v>
      </c>
      <c r="N512" s="6"/>
      <c r="O512" s="6"/>
      <c r="P512" s="17" t="s">
        <v>54</v>
      </c>
      <c r="Q512" s="17" t="s">
        <v>54</v>
      </c>
      <c r="R512" s="17"/>
    </row>
    <row r="513" spans="1:18" ht="30" customHeight="1" x14ac:dyDescent="0.3">
      <c r="A513" s="7">
        <v>45937.76693784722</v>
      </c>
      <c r="B513" s="6" t="s">
        <v>4</v>
      </c>
      <c r="C513" s="6"/>
      <c r="D513" s="6" t="str">
        <f>VLOOKUP(B513,'Veri doğrulama'!$D$6:$E$13,2,0)</f>
        <v>MEHMET YAZICI</v>
      </c>
      <c r="E513" s="6"/>
      <c r="F513" s="6" t="s">
        <v>1241</v>
      </c>
      <c r="G513" s="6" t="s">
        <v>20</v>
      </c>
      <c r="H513" s="6" t="s">
        <v>34</v>
      </c>
      <c r="I513" s="6">
        <v>390</v>
      </c>
      <c r="J513" s="6">
        <v>279</v>
      </c>
      <c r="K513" s="6">
        <v>1</v>
      </c>
      <c r="L513" s="10">
        <f t="shared" si="8"/>
        <v>0.10881</v>
      </c>
      <c r="M513" s="6" t="s">
        <v>75</v>
      </c>
      <c r="N513" s="6"/>
      <c r="O513" s="6"/>
      <c r="P513" s="17" t="s">
        <v>54</v>
      </c>
      <c r="Q513" s="17" t="s">
        <v>54</v>
      </c>
      <c r="R513" s="17"/>
    </row>
    <row r="514" spans="1:18" ht="30" customHeight="1" x14ac:dyDescent="0.3">
      <c r="A514" s="7">
        <v>45937.766132870369</v>
      </c>
      <c r="B514" s="6" t="s">
        <v>4</v>
      </c>
      <c r="C514" s="6"/>
      <c r="D514" s="6" t="str">
        <f>VLOOKUP(B514,'Veri doğrulama'!$D$6:$E$13,2,0)</f>
        <v>MEHMET YAZICI</v>
      </c>
      <c r="E514" s="6"/>
      <c r="F514" s="6" t="s">
        <v>816</v>
      </c>
      <c r="G514" s="6" t="s">
        <v>15</v>
      </c>
      <c r="H514" s="6" t="s">
        <v>34</v>
      </c>
      <c r="I514" s="6">
        <v>557</v>
      </c>
      <c r="J514" s="6">
        <v>247</v>
      </c>
      <c r="K514" s="6">
        <v>1</v>
      </c>
      <c r="L514" s="10">
        <f t="shared" si="8"/>
        <v>0.13757900000000001</v>
      </c>
      <c r="M514" s="6" t="s">
        <v>75</v>
      </c>
      <c r="N514" s="6"/>
      <c r="O514" s="6"/>
      <c r="P514" s="17" t="s">
        <v>54</v>
      </c>
      <c r="Q514" s="17" t="s">
        <v>54</v>
      </c>
      <c r="R514" s="17"/>
    </row>
    <row r="515" spans="1:18" ht="30" customHeight="1" x14ac:dyDescent="0.3">
      <c r="A515" s="7">
        <v>45937.598880324076</v>
      </c>
      <c r="B515" s="6" t="s">
        <v>5</v>
      </c>
      <c r="C515" s="6"/>
      <c r="D515" s="6" t="str">
        <f>VLOOKUP(B515,'Veri doğrulama'!$D$6:$E$13,2,0)</f>
        <v>MEHMET ÖZEN</v>
      </c>
      <c r="E515" s="6"/>
      <c r="F515" s="6" t="s">
        <v>1068</v>
      </c>
      <c r="G515" s="6" t="s">
        <v>16</v>
      </c>
      <c r="H515" s="6" t="s">
        <v>34</v>
      </c>
      <c r="I515" s="6">
        <v>2000</v>
      </c>
      <c r="J515" s="6">
        <v>1000</v>
      </c>
      <c r="K515" s="6">
        <v>1</v>
      </c>
      <c r="L515" s="10">
        <f t="shared" si="8"/>
        <v>2</v>
      </c>
      <c r="M515" s="6" t="s">
        <v>42</v>
      </c>
      <c r="N515" s="6"/>
      <c r="O515" s="6"/>
      <c r="P515" s="17" t="s">
        <v>54</v>
      </c>
      <c r="Q515" s="17" t="s">
        <v>54</v>
      </c>
      <c r="R515" s="17"/>
    </row>
    <row r="516" spans="1:18" ht="30" customHeight="1" x14ac:dyDescent="0.3">
      <c r="A516" s="7">
        <v>45937.596753472222</v>
      </c>
      <c r="B516" s="6" t="s">
        <v>5</v>
      </c>
      <c r="C516" s="6"/>
      <c r="D516" s="6" t="str">
        <f>VLOOKUP(B516,'Veri doğrulama'!$D$6:$E$13,2,0)</f>
        <v>MEHMET ÖZEN</v>
      </c>
      <c r="E516" s="6"/>
      <c r="F516" s="6" t="s">
        <v>1240</v>
      </c>
      <c r="G516" s="6" t="s">
        <v>14</v>
      </c>
      <c r="H516" s="6" t="s">
        <v>34</v>
      </c>
      <c r="I516" s="6">
        <v>2028</v>
      </c>
      <c r="J516" s="6">
        <v>380</v>
      </c>
      <c r="K516" s="6">
        <v>1</v>
      </c>
      <c r="L516" s="10">
        <f t="shared" si="8"/>
        <v>0.77063999999999999</v>
      </c>
      <c r="M516" s="6" t="s">
        <v>42</v>
      </c>
      <c r="N516" s="6"/>
      <c r="O516" s="6"/>
      <c r="P516" s="17" t="s">
        <v>54</v>
      </c>
      <c r="Q516" s="17" t="s">
        <v>54</v>
      </c>
      <c r="R516" s="17"/>
    </row>
    <row r="517" spans="1:18" ht="30" customHeight="1" x14ac:dyDescent="0.3">
      <c r="A517" s="7">
        <v>45937.554761921296</v>
      </c>
      <c r="B517" s="6" t="s">
        <v>5</v>
      </c>
      <c r="C517" s="6"/>
      <c r="D517" s="6" t="str">
        <f>VLOOKUP(B517,'Veri doğrulama'!$D$6:$E$13,2,0)</f>
        <v>MEHMET ÖZEN</v>
      </c>
      <c r="E517" s="6"/>
      <c r="F517" s="6" t="s">
        <v>1239</v>
      </c>
      <c r="G517" s="6" t="s">
        <v>14</v>
      </c>
      <c r="H517" s="6" t="s">
        <v>34</v>
      </c>
      <c r="I517" s="6">
        <v>762</v>
      </c>
      <c r="J517" s="6">
        <v>395</v>
      </c>
      <c r="K517" s="6">
        <v>1</v>
      </c>
      <c r="L517" s="10">
        <f t="shared" si="8"/>
        <v>0.30098999999999998</v>
      </c>
      <c r="M517" s="6" t="s">
        <v>156</v>
      </c>
      <c r="N517" s="6"/>
      <c r="O517" s="6"/>
      <c r="P517" s="17" t="s">
        <v>54</v>
      </c>
      <c r="Q517" s="17" t="s">
        <v>54</v>
      </c>
      <c r="R517" s="17"/>
    </row>
    <row r="518" spans="1:18" ht="30" customHeight="1" x14ac:dyDescent="0.3">
      <c r="A518" s="7">
        <v>45937.466813888888</v>
      </c>
      <c r="B518" s="6" t="s">
        <v>5</v>
      </c>
      <c r="C518" s="6"/>
      <c r="D518" s="6" t="str">
        <f>VLOOKUP(B518,'Veri doğrulama'!$D$6:$E$13,2,0)</f>
        <v>MEHMET ÖZEN</v>
      </c>
      <c r="E518" s="6"/>
      <c r="F518" s="6" t="s">
        <v>1238</v>
      </c>
      <c r="G518" s="6" t="s">
        <v>18</v>
      </c>
      <c r="H518" s="6" t="s">
        <v>34</v>
      </c>
      <c r="I518" s="6">
        <v>638</v>
      </c>
      <c r="J518" s="6">
        <v>510</v>
      </c>
      <c r="K518" s="6">
        <v>1</v>
      </c>
      <c r="L518" s="10">
        <f t="shared" si="8"/>
        <v>0.32538</v>
      </c>
      <c r="M518" s="6" t="s">
        <v>42</v>
      </c>
      <c r="N518" s="6"/>
      <c r="O518" s="6"/>
      <c r="P518" s="17" t="s">
        <v>54</v>
      </c>
      <c r="Q518" s="17" t="s">
        <v>54</v>
      </c>
      <c r="R518" s="17"/>
    </row>
    <row r="519" spans="1:18" ht="30" customHeight="1" x14ac:dyDescent="0.3">
      <c r="A519" s="7">
        <v>45937.459581365743</v>
      </c>
      <c r="B519" s="6" t="s">
        <v>5</v>
      </c>
      <c r="C519" s="6"/>
      <c r="D519" s="6" t="str">
        <f>VLOOKUP(B519,'Veri doğrulama'!$D$6:$E$13,2,0)</f>
        <v>MEHMET ÖZEN</v>
      </c>
      <c r="E519" s="6"/>
      <c r="F519" s="6" t="s">
        <v>769</v>
      </c>
      <c r="G519" s="6" t="s">
        <v>14</v>
      </c>
      <c r="H519" s="6" t="s">
        <v>34</v>
      </c>
      <c r="I519" s="6">
        <v>1800</v>
      </c>
      <c r="J519" s="6">
        <v>350</v>
      </c>
      <c r="K519" s="6">
        <v>1</v>
      </c>
      <c r="L519" s="10">
        <f t="shared" si="8"/>
        <v>0.63</v>
      </c>
      <c r="M519" s="6" t="s">
        <v>156</v>
      </c>
      <c r="N519" s="6"/>
      <c r="O519" s="6"/>
      <c r="P519" s="17" t="s">
        <v>54</v>
      </c>
      <c r="Q519" s="17" t="s">
        <v>54</v>
      </c>
      <c r="R519" s="17"/>
    </row>
    <row r="520" spans="1:18" ht="30" customHeight="1" x14ac:dyDescent="0.3">
      <c r="A520" s="7">
        <v>45937.411828935183</v>
      </c>
      <c r="B520" s="6" t="s">
        <v>4</v>
      </c>
      <c r="C520" s="6"/>
      <c r="D520" s="6" t="str">
        <f>VLOOKUP(B520,'Veri doğrulama'!$D$6:$E$13,2,0)</f>
        <v>MEHMET YAZICI</v>
      </c>
      <c r="E520" s="6"/>
      <c r="F520" s="6" t="s">
        <v>1235</v>
      </c>
      <c r="G520" s="6" t="s">
        <v>14</v>
      </c>
      <c r="H520" s="6" t="s">
        <v>34</v>
      </c>
      <c r="I520" s="6">
        <v>2028</v>
      </c>
      <c r="J520" s="6">
        <v>380</v>
      </c>
      <c r="K520" s="6">
        <v>1</v>
      </c>
      <c r="L520" s="10">
        <f t="shared" ref="L520:L533" si="9">I520*J520/1000000*K520</f>
        <v>0.77063999999999999</v>
      </c>
      <c r="M520" s="6" t="s">
        <v>42</v>
      </c>
      <c r="N520" s="6" t="s">
        <v>1237</v>
      </c>
      <c r="O520" s="6"/>
      <c r="P520" s="17" t="s">
        <v>54</v>
      </c>
      <c r="Q520" s="17" t="s">
        <v>54</v>
      </c>
      <c r="R520" s="17"/>
    </row>
    <row r="521" spans="1:18" ht="30" customHeight="1" x14ac:dyDescent="0.3">
      <c r="A521" s="7">
        <v>45937.363035069444</v>
      </c>
      <c r="B521" s="6" t="s">
        <v>5</v>
      </c>
      <c r="C521" s="6"/>
      <c r="D521" s="6" t="str">
        <f>VLOOKUP(B521,'Veri doğrulama'!$D$6:$E$13,2,0)</f>
        <v>MEHMET ÖZEN</v>
      </c>
      <c r="E521" s="6" t="s">
        <v>1230</v>
      </c>
      <c r="F521" s="6" t="s">
        <v>1231</v>
      </c>
      <c r="G521" s="6" t="s">
        <v>18</v>
      </c>
      <c r="H521" s="6" t="s">
        <v>34</v>
      </c>
      <c r="I521" s="6">
        <v>1720</v>
      </c>
      <c r="J521" s="6">
        <v>1520</v>
      </c>
      <c r="K521" s="6">
        <v>1</v>
      </c>
      <c r="L521" s="10">
        <f t="shared" si="9"/>
        <v>2.6143999999999998</v>
      </c>
      <c r="M521" s="6" t="s">
        <v>42</v>
      </c>
      <c r="N521" s="6"/>
      <c r="O521" s="6"/>
      <c r="P521" s="17" t="s">
        <v>54</v>
      </c>
      <c r="Q521" s="17" t="s">
        <v>54</v>
      </c>
      <c r="R521" s="17"/>
    </row>
    <row r="522" spans="1:18" ht="30" customHeight="1" x14ac:dyDescent="0.3">
      <c r="A522" s="7">
        <v>45937.361205671295</v>
      </c>
      <c r="B522" s="6" t="s">
        <v>5</v>
      </c>
      <c r="C522" s="6"/>
      <c r="D522" s="6" t="str">
        <f>VLOOKUP(B522,'Veri doğrulama'!$D$6:$E$13,2,0)</f>
        <v>MEHMET ÖZEN</v>
      </c>
      <c r="E522" s="6"/>
      <c r="F522" s="6" t="s">
        <v>1229</v>
      </c>
      <c r="G522" s="6" t="s">
        <v>16</v>
      </c>
      <c r="H522" s="6" t="s">
        <v>34</v>
      </c>
      <c r="I522" s="6">
        <v>762</v>
      </c>
      <c r="J522" s="6">
        <v>396</v>
      </c>
      <c r="K522" s="6">
        <v>1</v>
      </c>
      <c r="L522" s="10">
        <f t="shared" si="9"/>
        <v>0.30175200000000002</v>
      </c>
      <c r="M522" s="6" t="s">
        <v>156</v>
      </c>
      <c r="N522" s="6"/>
      <c r="O522" s="6"/>
      <c r="P522" s="17" t="s">
        <v>54</v>
      </c>
      <c r="Q522" s="17" t="s">
        <v>54</v>
      </c>
      <c r="R522" s="17"/>
    </row>
    <row r="523" spans="1:18" ht="30" customHeight="1" x14ac:dyDescent="0.3">
      <c r="A523" s="7">
        <v>45936.718334259262</v>
      </c>
      <c r="B523" s="6" t="s">
        <v>5</v>
      </c>
      <c r="C523" s="6"/>
      <c r="D523" s="6" t="str">
        <f>VLOOKUP(B523,'Veri doğrulama'!$D$6:$E$13,2,0)</f>
        <v>MEHMET ÖZEN</v>
      </c>
      <c r="E523" s="6"/>
      <c r="F523" s="6" t="s">
        <v>1228</v>
      </c>
      <c r="G523" s="6" t="s">
        <v>18</v>
      </c>
      <c r="H523" s="6" t="s">
        <v>34</v>
      </c>
      <c r="I523" s="6">
        <v>539</v>
      </c>
      <c r="J523" s="6">
        <v>406</v>
      </c>
      <c r="K523" s="6">
        <v>1</v>
      </c>
      <c r="L523" s="10">
        <f t="shared" si="9"/>
        <v>0.218834</v>
      </c>
      <c r="M523" s="6" t="s">
        <v>156</v>
      </c>
      <c r="N523" s="6"/>
      <c r="O523" s="6"/>
      <c r="P523" s="17" t="s">
        <v>54</v>
      </c>
      <c r="Q523" s="17" t="s">
        <v>54</v>
      </c>
      <c r="R523" s="17"/>
    </row>
    <row r="524" spans="1:18" ht="30" customHeight="1" x14ac:dyDescent="0.3">
      <c r="A524" s="7">
        <v>45936.715655208332</v>
      </c>
      <c r="B524" s="6" t="s">
        <v>5</v>
      </c>
      <c r="C524" s="6"/>
      <c r="D524" s="6" t="str">
        <f>VLOOKUP(B524,'Veri doğrulama'!$D$6:$E$13,2,0)</f>
        <v>MEHMET ÖZEN</v>
      </c>
      <c r="E524" s="6"/>
      <c r="F524" s="6" t="s">
        <v>1227</v>
      </c>
      <c r="G524" s="6" t="s">
        <v>18</v>
      </c>
      <c r="H524" s="6" t="s">
        <v>34</v>
      </c>
      <c r="I524" s="6">
        <v>1600</v>
      </c>
      <c r="J524" s="6">
        <v>385</v>
      </c>
      <c r="K524" s="6">
        <v>1</v>
      </c>
      <c r="L524" s="10">
        <f t="shared" si="9"/>
        <v>0.61599999999999999</v>
      </c>
      <c r="M524" s="6" t="s">
        <v>103</v>
      </c>
      <c r="N524" s="6"/>
      <c r="O524" s="6"/>
      <c r="P524" s="17" t="s">
        <v>54</v>
      </c>
      <c r="Q524" s="17" t="s">
        <v>54</v>
      </c>
      <c r="R524" s="17"/>
    </row>
    <row r="525" spans="1:18" ht="30" customHeight="1" x14ac:dyDescent="0.3">
      <c r="A525" s="7">
        <v>45936.707397106482</v>
      </c>
      <c r="B525" s="6" t="s">
        <v>5</v>
      </c>
      <c r="C525" s="6"/>
      <c r="D525" s="6" t="str">
        <f>VLOOKUP(B525,'Veri doğrulama'!$D$6:$E$13,2,0)</f>
        <v>MEHMET ÖZEN</v>
      </c>
      <c r="E525" s="6" t="s">
        <v>1222</v>
      </c>
      <c r="F525" s="6" t="s">
        <v>1226</v>
      </c>
      <c r="G525" s="6" t="s">
        <v>18</v>
      </c>
      <c r="H525" s="6" t="s">
        <v>34</v>
      </c>
      <c r="I525" s="6">
        <v>2210</v>
      </c>
      <c r="J525" s="6">
        <v>510</v>
      </c>
      <c r="K525" s="6">
        <v>1</v>
      </c>
      <c r="L525" s="10">
        <f t="shared" si="9"/>
        <v>1.1271</v>
      </c>
      <c r="M525" s="6" t="s">
        <v>38</v>
      </c>
      <c r="N525" s="6"/>
      <c r="O525" s="6"/>
      <c r="P525" s="17" t="s">
        <v>54</v>
      </c>
      <c r="Q525" s="17" t="s">
        <v>54</v>
      </c>
      <c r="R525" s="17"/>
    </row>
    <row r="526" spans="1:18" ht="30" customHeight="1" x14ac:dyDescent="0.3">
      <c r="A526" s="7">
        <v>45936.359875810187</v>
      </c>
      <c r="B526" s="6" t="s">
        <v>7</v>
      </c>
      <c r="C526" s="6"/>
      <c r="D526" s="6" t="str">
        <f>VLOOKUP(B526,'Veri doğrulama'!$D$6:$E$13,2,0)</f>
        <v>SIDDIK KAPLAN</v>
      </c>
      <c r="E526" s="6"/>
      <c r="F526" s="6" t="s">
        <v>1225</v>
      </c>
      <c r="G526" s="6" t="s">
        <v>18</v>
      </c>
      <c r="H526" s="6" t="s">
        <v>34</v>
      </c>
      <c r="I526" s="6">
        <v>1600</v>
      </c>
      <c r="J526" s="6">
        <v>800</v>
      </c>
      <c r="K526" s="6">
        <v>1</v>
      </c>
      <c r="L526" s="10">
        <f t="shared" si="9"/>
        <v>1.28</v>
      </c>
      <c r="M526" s="6" t="s">
        <v>43</v>
      </c>
      <c r="N526" s="6" t="s">
        <v>231</v>
      </c>
      <c r="O526" s="6"/>
      <c r="P526" s="17" t="s">
        <v>54</v>
      </c>
      <c r="Q526" s="17" t="s">
        <v>54</v>
      </c>
      <c r="R526" s="17"/>
    </row>
    <row r="527" spans="1:18" ht="30" customHeight="1" x14ac:dyDescent="0.3">
      <c r="A527" s="7">
        <v>45933.706137384259</v>
      </c>
      <c r="B527" s="6" t="s">
        <v>5</v>
      </c>
      <c r="C527" s="6"/>
      <c r="D527" s="6" t="str">
        <f>VLOOKUP(B527,'Veri doğrulama'!$D$6:$E$13,2,0)</f>
        <v>MEHMET ÖZEN</v>
      </c>
      <c r="E527" s="6"/>
      <c r="F527" s="6" t="s">
        <v>1224</v>
      </c>
      <c r="G527" s="6" t="s">
        <v>29</v>
      </c>
      <c r="H527" s="6" t="s">
        <v>34</v>
      </c>
      <c r="I527" s="6">
        <v>762</v>
      </c>
      <c r="J527" s="6">
        <v>340</v>
      </c>
      <c r="K527" s="6">
        <v>1</v>
      </c>
      <c r="L527" s="10">
        <f t="shared" si="9"/>
        <v>0.25907999999999998</v>
      </c>
      <c r="M527" s="6" t="s">
        <v>42</v>
      </c>
      <c r="N527" s="6"/>
      <c r="O527" s="6"/>
      <c r="P527" s="17" t="s">
        <v>54</v>
      </c>
      <c r="Q527" s="17" t="s">
        <v>54</v>
      </c>
      <c r="R527" s="17"/>
    </row>
    <row r="528" spans="1:18" ht="30" customHeight="1" x14ac:dyDescent="0.3">
      <c r="A528" s="7">
        <v>45933.569380092595</v>
      </c>
      <c r="B528" s="6" t="s">
        <v>5</v>
      </c>
      <c r="C528" s="6"/>
      <c r="D528" s="6" t="str">
        <f>VLOOKUP(B528,'Veri doğrulama'!$D$6:$E$13,2,0)</f>
        <v>MEHMET ÖZEN</v>
      </c>
      <c r="E528" s="6" t="s">
        <v>1222</v>
      </c>
      <c r="F528" s="6" t="s">
        <v>1223</v>
      </c>
      <c r="G528" s="6" t="s">
        <v>18</v>
      </c>
      <c r="H528" s="6" t="s">
        <v>34</v>
      </c>
      <c r="I528" s="6">
        <v>2210</v>
      </c>
      <c r="J528" s="6">
        <v>510</v>
      </c>
      <c r="K528" s="6">
        <v>1</v>
      </c>
      <c r="L528" s="10">
        <f t="shared" si="9"/>
        <v>1.1271</v>
      </c>
      <c r="M528" s="6" t="s">
        <v>75</v>
      </c>
      <c r="N528" s="6"/>
      <c r="O528" s="6"/>
      <c r="P528" s="17" t="s">
        <v>54</v>
      </c>
      <c r="Q528" s="17" t="s">
        <v>54</v>
      </c>
      <c r="R528" s="17"/>
    </row>
    <row r="529" spans="1:18" ht="30" customHeight="1" x14ac:dyDescent="0.3">
      <c r="A529" s="7">
        <v>45933.501693287035</v>
      </c>
      <c r="B529" s="6" t="s">
        <v>4</v>
      </c>
      <c r="C529" s="6"/>
      <c r="D529" s="6" t="str">
        <f>VLOOKUP(B529,'Veri doğrulama'!$D$6:$E$13,2,0)</f>
        <v>MEHMET YAZICI</v>
      </c>
      <c r="E529" s="6"/>
      <c r="F529" s="6" t="s">
        <v>1221</v>
      </c>
      <c r="G529" s="6" t="s">
        <v>18</v>
      </c>
      <c r="H529" s="6" t="s">
        <v>34</v>
      </c>
      <c r="I529" s="6">
        <v>556</v>
      </c>
      <c r="J529" s="6">
        <v>539</v>
      </c>
      <c r="K529" s="6">
        <v>2</v>
      </c>
      <c r="L529" s="10">
        <f t="shared" si="9"/>
        <v>0.59936800000000001</v>
      </c>
      <c r="M529" s="6" t="s">
        <v>37</v>
      </c>
      <c r="N529" s="6"/>
      <c r="O529" s="6"/>
      <c r="P529" s="17" t="s">
        <v>54</v>
      </c>
      <c r="Q529" s="17" t="s">
        <v>54</v>
      </c>
      <c r="R529" s="17"/>
    </row>
    <row r="530" spans="1:18" ht="30" customHeight="1" x14ac:dyDescent="0.3">
      <c r="A530" s="7">
        <v>45933.452164699076</v>
      </c>
      <c r="B530" s="6" t="s">
        <v>5</v>
      </c>
      <c r="C530" s="6"/>
      <c r="D530" s="6" t="str">
        <f>VLOOKUP(B530,'Veri doğrulama'!$D$6:$E$13,2,0)</f>
        <v>MEHMET ÖZEN</v>
      </c>
      <c r="E530" s="6" t="s">
        <v>1199</v>
      </c>
      <c r="F530" s="6" t="s">
        <v>1220</v>
      </c>
      <c r="G530" s="6" t="s">
        <v>16</v>
      </c>
      <c r="H530" s="6" t="s">
        <v>34</v>
      </c>
      <c r="I530" s="6">
        <v>1620</v>
      </c>
      <c r="J530" s="6">
        <v>1370</v>
      </c>
      <c r="K530" s="6">
        <v>1</v>
      </c>
      <c r="L530" s="10">
        <f t="shared" si="9"/>
        <v>2.2193999999999998</v>
      </c>
      <c r="M530" s="6" t="s">
        <v>42</v>
      </c>
      <c r="N530" s="6"/>
      <c r="O530" s="6"/>
      <c r="P530" s="17" t="s">
        <v>54</v>
      </c>
      <c r="Q530" s="17" t="s">
        <v>54</v>
      </c>
      <c r="R530" s="17"/>
    </row>
    <row r="531" spans="1:18" ht="30" customHeight="1" x14ac:dyDescent="0.3">
      <c r="A531" s="7">
        <v>45933.40996365741</v>
      </c>
      <c r="B531" s="6" t="s">
        <v>5</v>
      </c>
      <c r="C531" s="6"/>
      <c r="D531" s="6" t="str">
        <f>VLOOKUP(B531,'Veri doğrulama'!$D$6:$E$13,2,0)</f>
        <v>MEHMET ÖZEN</v>
      </c>
      <c r="E531" s="6" t="s">
        <v>1218</v>
      </c>
      <c r="F531" s="6" t="s">
        <v>1219</v>
      </c>
      <c r="G531" s="6" t="s">
        <v>26</v>
      </c>
      <c r="H531" s="6" t="s">
        <v>34</v>
      </c>
      <c r="I531" s="6">
        <v>1420</v>
      </c>
      <c r="J531" s="6">
        <v>1420</v>
      </c>
      <c r="K531" s="6">
        <v>1</v>
      </c>
      <c r="L531" s="10">
        <f t="shared" si="9"/>
        <v>2.0164</v>
      </c>
      <c r="M531" s="6" t="s">
        <v>42</v>
      </c>
      <c r="N531" s="6"/>
      <c r="O531" s="6"/>
      <c r="P531" s="17" t="s">
        <v>54</v>
      </c>
      <c r="Q531" s="17" t="s">
        <v>54</v>
      </c>
      <c r="R531" s="17"/>
    </row>
    <row r="532" spans="1:18" ht="30" customHeight="1" x14ac:dyDescent="0.3">
      <c r="A532" s="7">
        <v>45933.36175891204</v>
      </c>
      <c r="B532" s="6" t="s">
        <v>5</v>
      </c>
      <c r="C532" s="6"/>
      <c r="D532" s="6" t="str">
        <f>VLOOKUP(B532,'Veri doğrulama'!$D$6:$E$13,2,0)</f>
        <v>MEHMET ÖZEN</v>
      </c>
      <c r="E532" s="6"/>
      <c r="F532" s="6" t="s">
        <v>1217</v>
      </c>
      <c r="G532" s="6" t="s">
        <v>17</v>
      </c>
      <c r="H532" s="6" t="s">
        <v>34</v>
      </c>
      <c r="I532" s="6">
        <v>1100</v>
      </c>
      <c r="J532" s="6">
        <v>360</v>
      </c>
      <c r="K532" s="6">
        <v>2</v>
      </c>
      <c r="L532" s="10">
        <f t="shared" si="9"/>
        <v>0.79200000000000004</v>
      </c>
      <c r="M532" s="6" t="s">
        <v>75</v>
      </c>
      <c r="N532" s="6"/>
      <c r="O532" s="6"/>
      <c r="P532" s="17" t="s">
        <v>54</v>
      </c>
      <c r="Q532" s="17" t="s">
        <v>54</v>
      </c>
      <c r="R532" s="17"/>
    </row>
    <row r="533" spans="1:18" ht="30" customHeight="1" x14ac:dyDescent="0.3">
      <c r="A533" s="7">
        <v>45933.351309375001</v>
      </c>
      <c r="B533" s="6" t="s">
        <v>5</v>
      </c>
      <c r="C533" s="6"/>
      <c r="D533" s="6" t="str">
        <f>VLOOKUP(B533,'Veri doğrulama'!$D$6:$E$13,2,0)</f>
        <v>MEHMET ÖZEN</v>
      </c>
      <c r="E533" s="6"/>
      <c r="F533" s="6" t="s">
        <v>1216</v>
      </c>
      <c r="G533" s="6" t="s">
        <v>16</v>
      </c>
      <c r="H533" s="6" t="s">
        <v>34</v>
      </c>
      <c r="I533" s="6">
        <v>1877</v>
      </c>
      <c r="J533" s="6">
        <v>375</v>
      </c>
      <c r="K533" s="6">
        <v>2</v>
      </c>
      <c r="L533" s="10">
        <f t="shared" si="9"/>
        <v>1.4077500000000001</v>
      </c>
      <c r="M533" s="6" t="s">
        <v>103</v>
      </c>
      <c r="N533" s="6"/>
      <c r="O533" s="6"/>
      <c r="P533" s="17" t="s">
        <v>54</v>
      </c>
      <c r="Q533" s="17" t="s">
        <v>54</v>
      </c>
      <c r="R533" s="17"/>
    </row>
    <row r="534" spans="1:18" ht="30" customHeight="1" x14ac:dyDescent="0.3">
      <c r="A534" s="7">
        <v>45933</v>
      </c>
      <c r="B534" s="6" t="s">
        <v>4</v>
      </c>
      <c r="C534" s="6"/>
      <c r="D534" s="6" t="str">
        <f>VLOOKUP(B534,'Veri doğrulama'!$D$6:$E$13,2,0)</f>
        <v>MEHMET YAZICI</v>
      </c>
      <c r="E534" s="6"/>
      <c r="F534" s="6" t="s">
        <v>518</v>
      </c>
      <c r="G534" s="6" t="s">
        <v>24</v>
      </c>
      <c r="H534" s="6" t="s">
        <v>34</v>
      </c>
      <c r="I534" s="6">
        <v>700</v>
      </c>
      <c r="J534" s="6">
        <v>397</v>
      </c>
      <c r="K534" s="6">
        <v>1</v>
      </c>
      <c r="L534" s="10">
        <v>0.28000000000000003</v>
      </c>
      <c r="M534" s="6" t="s">
        <v>102</v>
      </c>
      <c r="N534" s="6"/>
      <c r="O534" s="6"/>
      <c r="P534" s="17" t="s">
        <v>54</v>
      </c>
      <c r="Q534" s="17" t="s">
        <v>54</v>
      </c>
      <c r="R534" s="17"/>
    </row>
    <row r="535" spans="1:18" ht="30" customHeight="1" x14ac:dyDescent="0.3">
      <c r="A535" s="7">
        <v>45933</v>
      </c>
      <c r="B535" s="6" t="s">
        <v>4</v>
      </c>
      <c r="C535" s="6"/>
      <c r="D535" s="6" t="str">
        <f>VLOOKUP(B535,'Veri doğrulama'!$D$6:$E$13,2,0)</f>
        <v>MEHMET YAZICI</v>
      </c>
      <c r="E535" s="6"/>
      <c r="F535" s="6" t="s">
        <v>416</v>
      </c>
      <c r="G535" s="6" t="s">
        <v>17</v>
      </c>
      <c r="H535" s="6" t="s">
        <v>34</v>
      </c>
      <c r="I535" s="6">
        <v>470</v>
      </c>
      <c r="J535" s="6">
        <v>447</v>
      </c>
      <c r="K535" s="6">
        <v>1</v>
      </c>
      <c r="L535" s="10">
        <v>0.21</v>
      </c>
      <c r="M535" s="6" t="s">
        <v>75</v>
      </c>
      <c r="N535" s="6"/>
      <c r="O535" s="6"/>
      <c r="P535" s="17" t="s">
        <v>54</v>
      </c>
      <c r="Q535" s="17" t="s">
        <v>54</v>
      </c>
      <c r="R535" s="17"/>
    </row>
    <row r="536" spans="1:18" ht="30" customHeight="1" x14ac:dyDescent="0.3">
      <c r="A536" s="7">
        <v>45933</v>
      </c>
      <c r="B536" s="6" t="s">
        <v>4</v>
      </c>
      <c r="C536" s="6"/>
      <c r="D536" s="6" t="str">
        <f>VLOOKUP(B536,'Veri doğrulama'!$D$6:$E$13,2,0)</f>
        <v>MEHMET YAZICI</v>
      </c>
      <c r="E536" s="6"/>
      <c r="F536" s="6" t="s">
        <v>817</v>
      </c>
      <c r="G536" s="6" t="s">
        <v>17</v>
      </c>
      <c r="H536" s="6" t="s">
        <v>34</v>
      </c>
      <c r="I536" s="6">
        <v>448</v>
      </c>
      <c r="J536" s="6">
        <v>353</v>
      </c>
      <c r="K536" s="6">
        <v>1</v>
      </c>
      <c r="L536" s="10">
        <v>0.16</v>
      </c>
      <c r="M536" s="6" t="s">
        <v>75</v>
      </c>
      <c r="N536" s="6"/>
      <c r="O536" s="6"/>
      <c r="P536" s="17" t="s">
        <v>54</v>
      </c>
      <c r="Q536" s="17" t="s">
        <v>54</v>
      </c>
      <c r="R536" s="17"/>
    </row>
    <row r="537" spans="1:18" ht="30" customHeight="1" x14ac:dyDescent="0.3">
      <c r="A537" s="7">
        <v>45933</v>
      </c>
      <c r="B537" s="6" t="s">
        <v>4</v>
      </c>
      <c r="C537" s="6"/>
      <c r="D537" s="6" t="str">
        <f>VLOOKUP(B537,'Veri doğrulama'!$D$6:$E$13,2,0)</f>
        <v>MEHMET YAZICI</v>
      </c>
      <c r="E537" s="6"/>
      <c r="F537" s="6" t="s">
        <v>262</v>
      </c>
      <c r="G537" s="6" t="s">
        <v>17</v>
      </c>
      <c r="H537" s="6" t="s">
        <v>34</v>
      </c>
      <c r="I537" s="6">
        <v>518</v>
      </c>
      <c r="J537" s="6">
        <v>397</v>
      </c>
      <c r="K537" s="6">
        <v>1</v>
      </c>
      <c r="L537" s="10">
        <v>0.21</v>
      </c>
      <c r="M537" s="6" t="s">
        <v>75</v>
      </c>
      <c r="N537" s="6"/>
      <c r="O537" s="6"/>
      <c r="P537" s="17" t="s">
        <v>54</v>
      </c>
      <c r="Q537" s="17" t="s">
        <v>54</v>
      </c>
      <c r="R537" s="17"/>
    </row>
    <row r="538" spans="1:18" ht="30" customHeight="1" x14ac:dyDescent="0.3">
      <c r="A538" s="7">
        <v>45933</v>
      </c>
      <c r="B538" s="6" t="s">
        <v>4</v>
      </c>
      <c r="C538" s="6"/>
      <c r="D538" s="6" t="str">
        <f>VLOOKUP(B538,'Veri doğrulama'!$D$6:$E$13,2,0)</f>
        <v>MEHMET YAZICI</v>
      </c>
      <c r="E538" s="6"/>
      <c r="F538" s="6" t="s">
        <v>1232</v>
      </c>
      <c r="G538" s="6" t="s">
        <v>17</v>
      </c>
      <c r="H538" s="6" t="s">
        <v>34</v>
      </c>
      <c r="I538" s="6">
        <v>1150</v>
      </c>
      <c r="J538" s="6">
        <v>406</v>
      </c>
      <c r="K538" s="6">
        <v>1</v>
      </c>
      <c r="L538" s="10">
        <v>0.47</v>
      </c>
      <c r="M538" s="6" t="s">
        <v>102</v>
      </c>
      <c r="N538" s="6"/>
      <c r="O538" s="6"/>
      <c r="P538" s="17" t="s">
        <v>54</v>
      </c>
      <c r="Q538" s="17" t="s">
        <v>54</v>
      </c>
      <c r="R538" s="17"/>
    </row>
    <row r="539" spans="1:18" ht="30" customHeight="1" x14ac:dyDescent="0.3">
      <c r="A539" s="7">
        <v>45933</v>
      </c>
      <c r="B539" s="6" t="s">
        <v>4</v>
      </c>
      <c r="C539" s="6"/>
      <c r="D539" s="6" t="str">
        <f>VLOOKUP(B539,'Veri doğrulama'!$D$6:$E$13,2,0)</f>
        <v>MEHMET YAZICI</v>
      </c>
      <c r="E539" s="6"/>
      <c r="F539" s="6" t="s">
        <v>1233</v>
      </c>
      <c r="G539" s="6" t="s">
        <v>17</v>
      </c>
      <c r="H539" s="6" t="s">
        <v>34</v>
      </c>
      <c r="I539" s="6">
        <v>555</v>
      </c>
      <c r="J539" s="6">
        <v>447</v>
      </c>
      <c r="K539" s="6">
        <v>1</v>
      </c>
      <c r="L539" s="10">
        <v>0.25</v>
      </c>
      <c r="M539" s="6" t="s">
        <v>75</v>
      </c>
      <c r="N539" s="6"/>
      <c r="O539" s="6"/>
      <c r="P539" s="17" t="s">
        <v>54</v>
      </c>
      <c r="Q539" s="17" t="s">
        <v>54</v>
      </c>
      <c r="R539" s="17"/>
    </row>
    <row r="540" spans="1:18" ht="30" customHeight="1" x14ac:dyDescent="0.3">
      <c r="A540" s="7">
        <v>45933</v>
      </c>
      <c r="B540" s="6" t="s">
        <v>4</v>
      </c>
      <c r="C540" s="6"/>
      <c r="D540" s="6" t="str">
        <f>VLOOKUP(B540,'Veri doğrulama'!$D$6:$E$13,2,0)</f>
        <v>MEHMET YAZICI</v>
      </c>
      <c r="E540" s="6"/>
      <c r="F540" s="6" t="s">
        <v>1234</v>
      </c>
      <c r="G540" s="6" t="s">
        <v>17</v>
      </c>
      <c r="H540" s="6" t="s">
        <v>34</v>
      </c>
      <c r="I540" s="6">
        <v>446</v>
      </c>
      <c r="J540" s="6">
        <v>211</v>
      </c>
      <c r="K540" s="6">
        <v>1</v>
      </c>
      <c r="L540" s="10">
        <v>0.09</v>
      </c>
      <c r="M540" s="6" t="s">
        <v>75</v>
      </c>
      <c r="N540" s="6"/>
      <c r="O540" s="6"/>
      <c r="P540" s="17" t="s">
        <v>54</v>
      </c>
      <c r="Q540" s="17" t="s">
        <v>54</v>
      </c>
      <c r="R540" s="17"/>
    </row>
    <row r="541" spans="1:18" ht="30" customHeight="1" x14ac:dyDescent="0.3">
      <c r="A541" s="7">
        <v>45933</v>
      </c>
      <c r="B541" s="6" t="s">
        <v>4</v>
      </c>
      <c r="C541" s="6"/>
      <c r="D541" s="6" t="str">
        <f>VLOOKUP(B541,'Veri doğrulama'!$D$6:$E$13,2,0)</f>
        <v>MEHMET YAZICI</v>
      </c>
      <c r="E541" s="6"/>
      <c r="F541" s="6" t="s">
        <v>817</v>
      </c>
      <c r="G541" s="6" t="s">
        <v>17</v>
      </c>
      <c r="H541" s="6" t="s">
        <v>34</v>
      </c>
      <c r="I541" s="6">
        <v>353</v>
      </c>
      <c r="J541" s="6">
        <v>448</v>
      </c>
      <c r="K541" s="6">
        <v>1</v>
      </c>
      <c r="L541" s="10">
        <v>0.16</v>
      </c>
      <c r="M541" s="6" t="s">
        <v>75</v>
      </c>
      <c r="N541" s="6"/>
      <c r="O541" s="6"/>
      <c r="P541" s="17" t="s">
        <v>54</v>
      </c>
      <c r="Q541" s="17" t="s">
        <v>54</v>
      </c>
      <c r="R541" s="17"/>
    </row>
    <row r="542" spans="1:18" ht="30" customHeight="1" x14ac:dyDescent="0.3">
      <c r="A542" s="7">
        <v>45933</v>
      </c>
      <c r="B542" s="6" t="s">
        <v>4</v>
      </c>
      <c r="C542" s="6"/>
      <c r="D542" s="6" t="str">
        <f>VLOOKUP(B542,'Veri doğrulama'!$D$6:$E$13,2,0)</f>
        <v>MEHMET YAZICI</v>
      </c>
      <c r="E542" s="6"/>
      <c r="F542" s="6" t="s">
        <v>1235</v>
      </c>
      <c r="G542" s="6" t="s">
        <v>18</v>
      </c>
      <c r="H542" s="6" t="s">
        <v>34</v>
      </c>
      <c r="I542" s="6">
        <v>2028</v>
      </c>
      <c r="J542" s="6">
        <v>380</v>
      </c>
      <c r="K542" s="6">
        <v>1</v>
      </c>
      <c r="L542" s="10">
        <v>0.77</v>
      </c>
      <c r="M542" s="6" t="s">
        <v>75</v>
      </c>
      <c r="N542" s="6"/>
      <c r="O542" s="6"/>
      <c r="P542" s="17" t="s">
        <v>54</v>
      </c>
      <c r="Q542" s="17" t="s">
        <v>54</v>
      </c>
      <c r="R542" s="17"/>
    </row>
    <row r="543" spans="1:18" ht="30" customHeight="1" x14ac:dyDescent="0.3">
      <c r="A543" s="7">
        <v>45933</v>
      </c>
      <c r="B543" s="6" t="s">
        <v>4</v>
      </c>
      <c r="C543" s="6"/>
      <c r="D543" s="6" t="str">
        <f>VLOOKUP(B543,'Veri doğrulama'!$D$6:$E$13,2,0)</f>
        <v>MEHMET YAZICI</v>
      </c>
      <c r="E543" s="6"/>
      <c r="F543" s="6" t="s">
        <v>1236</v>
      </c>
      <c r="G543" s="6" t="s">
        <v>24</v>
      </c>
      <c r="H543" s="6" t="s">
        <v>34</v>
      </c>
      <c r="I543" s="6">
        <v>900</v>
      </c>
      <c r="J543" s="6">
        <v>600</v>
      </c>
      <c r="K543" s="6">
        <v>1</v>
      </c>
      <c r="L543" s="10">
        <v>0.54</v>
      </c>
      <c r="M543" s="6" t="s">
        <v>75</v>
      </c>
      <c r="N543" s="6"/>
      <c r="O543" s="6"/>
      <c r="P543" s="17" t="s">
        <v>54</v>
      </c>
      <c r="Q543" s="17" t="s">
        <v>54</v>
      </c>
      <c r="R543" s="17"/>
    </row>
    <row r="544" spans="1:18" ht="30" customHeight="1" x14ac:dyDescent="0.3">
      <c r="A544" s="7">
        <v>45932.761758796296</v>
      </c>
      <c r="B544" s="6" t="s">
        <v>5</v>
      </c>
      <c r="C544" s="6"/>
      <c r="D544" s="6" t="str">
        <f>VLOOKUP(B544,'Veri doğrulama'!$D$6:$E$13,2,0)</f>
        <v>MEHMET ÖZEN</v>
      </c>
      <c r="E544" s="6"/>
      <c r="F544" s="6" t="s">
        <v>1215</v>
      </c>
      <c r="G544" s="6" t="s">
        <v>17</v>
      </c>
      <c r="H544" s="6" t="s">
        <v>34</v>
      </c>
      <c r="I544" s="6">
        <v>1115</v>
      </c>
      <c r="J544" s="6">
        <v>397</v>
      </c>
      <c r="K544" s="6">
        <v>1</v>
      </c>
      <c r="L544" s="10">
        <f t="shared" ref="L544:L575" si="10">I544*J544/1000000*K544</f>
        <v>0.44265500000000002</v>
      </c>
      <c r="M544" s="6" t="s">
        <v>75</v>
      </c>
      <c r="N544" s="6"/>
      <c r="O544" s="6"/>
      <c r="P544" s="17" t="s">
        <v>54</v>
      </c>
      <c r="Q544" s="17" t="s">
        <v>54</v>
      </c>
      <c r="R544" s="17"/>
    </row>
    <row r="545" spans="1:18" ht="30" customHeight="1" x14ac:dyDescent="0.3">
      <c r="A545" s="7">
        <v>45932.760220601849</v>
      </c>
      <c r="B545" s="6" t="s">
        <v>5</v>
      </c>
      <c r="C545" s="6"/>
      <c r="D545" s="6" t="str">
        <f>VLOOKUP(B545,'Veri doğrulama'!$D$6:$E$13,2,0)</f>
        <v>MEHMET ÖZEN</v>
      </c>
      <c r="E545" s="6" t="s">
        <v>1213</v>
      </c>
      <c r="F545" s="6" t="s">
        <v>1214</v>
      </c>
      <c r="G545" s="6" t="s">
        <v>17</v>
      </c>
      <c r="H545" s="6" t="s">
        <v>34</v>
      </c>
      <c r="I545" s="6">
        <v>1150</v>
      </c>
      <c r="J545" s="6">
        <v>557</v>
      </c>
      <c r="K545" s="6">
        <v>2</v>
      </c>
      <c r="L545" s="10">
        <f t="shared" si="10"/>
        <v>1.2810999999999999</v>
      </c>
      <c r="M545" s="6" t="s">
        <v>75</v>
      </c>
      <c r="N545" s="6"/>
      <c r="O545" s="6"/>
      <c r="P545" s="17" t="s">
        <v>54</v>
      </c>
      <c r="Q545" s="17" t="s">
        <v>54</v>
      </c>
      <c r="R545" s="17"/>
    </row>
    <row r="546" spans="1:18" ht="30" customHeight="1" x14ac:dyDescent="0.3">
      <c r="A546" s="7">
        <v>45932.499969328703</v>
      </c>
      <c r="B546" s="6" t="s">
        <v>7</v>
      </c>
      <c r="C546" s="6"/>
      <c r="D546" s="6" t="str">
        <f>VLOOKUP(B546,'Veri doğrulama'!$D$6:$E$13,2,0)</f>
        <v>SIDDIK KAPLAN</v>
      </c>
      <c r="E546" s="6"/>
      <c r="F546" s="6" t="s">
        <v>1212</v>
      </c>
      <c r="G546" s="6" t="s">
        <v>18</v>
      </c>
      <c r="H546" s="6" t="s">
        <v>34</v>
      </c>
      <c r="I546" s="6">
        <v>1162</v>
      </c>
      <c r="J546" s="6">
        <v>496</v>
      </c>
      <c r="K546" s="6">
        <v>1</v>
      </c>
      <c r="L546" s="10">
        <f t="shared" si="10"/>
        <v>0.57635199999999998</v>
      </c>
      <c r="M546" s="6" t="s">
        <v>37</v>
      </c>
      <c r="N546" s="6"/>
      <c r="O546" s="6"/>
      <c r="P546" s="17" t="s">
        <v>54</v>
      </c>
      <c r="Q546" s="17" t="s">
        <v>54</v>
      </c>
      <c r="R546" s="17"/>
    </row>
    <row r="547" spans="1:18" ht="30" customHeight="1" x14ac:dyDescent="0.3">
      <c r="A547" s="7">
        <v>45932.480339236114</v>
      </c>
      <c r="B547" s="6" t="s">
        <v>5</v>
      </c>
      <c r="C547" s="6"/>
      <c r="D547" s="6" t="str">
        <f>VLOOKUP(B547,'Veri doğrulama'!$D$6:$E$13,2,0)</f>
        <v>MEHMET ÖZEN</v>
      </c>
      <c r="E547" s="6" t="s">
        <v>1210</v>
      </c>
      <c r="F547" s="6" t="s">
        <v>1211</v>
      </c>
      <c r="G547" s="6" t="s">
        <v>17</v>
      </c>
      <c r="H547" s="6" t="s">
        <v>34</v>
      </c>
      <c r="I547" s="6">
        <v>1620</v>
      </c>
      <c r="J547" s="6">
        <v>1420</v>
      </c>
      <c r="K547" s="6">
        <v>1</v>
      </c>
      <c r="L547" s="10">
        <f t="shared" si="10"/>
        <v>2.3003999999999998</v>
      </c>
      <c r="M547" s="6" t="s">
        <v>103</v>
      </c>
      <c r="N547" s="6"/>
      <c r="O547" s="6"/>
      <c r="P547" s="17" t="s">
        <v>54</v>
      </c>
      <c r="Q547" s="17" t="s">
        <v>54</v>
      </c>
      <c r="R547" s="17"/>
    </row>
    <row r="548" spans="1:18" ht="30" customHeight="1" x14ac:dyDescent="0.3">
      <c r="A548" s="7">
        <v>45932.45229108796</v>
      </c>
      <c r="B548" s="6" t="s">
        <v>5</v>
      </c>
      <c r="C548" s="6"/>
      <c r="D548" s="6" t="str">
        <f>VLOOKUP(B548,'Veri doğrulama'!$D$6:$E$13,2,0)</f>
        <v>MEHMET ÖZEN</v>
      </c>
      <c r="E548" s="6"/>
      <c r="F548" s="6" t="s">
        <v>1209</v>
      </c>
      <c r="G548" s="6" t="s">
        <v>18</v>
      </c>
      <c r="H548" s="6" t="s">
        <v>34</v>
      </c>
      <c r="I548" s="6">
        <v>1400</v>
      </c>
      <c r="J548" s="6">
        <v>600</v>
      </c>
      <c r="K548" s="6">
        <v>1</v>
      </c>
      <c r="L548" s="10">
        <f t="shared" si="10"/>
        <v>0.84</v>
      </c>
      <c r="M548" s="6" t="s">
        <v>103</v>
      </c>
      <c r="N548" s="6"/>
      <c r="O548" s="6"/>
      <c r="P548" s="17" t="s">
        <v>54</v>
      </c>
      <c r="Q548" s="17" t="s">
        <v>54</v>
      </c>
      <c r="R548" s="17"/>
    </row>
    <row r="549" spans="1:18" ht="30" customHeight="1" x14ac:dyDescent="0.3">
      <c r="A549" s="7">
        <v>45932.359876620372</v>
      </c>
      <c r="B549" s="6" t="s">
        <v>5</v>
      </c>
      <c r="C549" s="6"/>
      <c r="D549" s="6" t="str">
        <f>VLOOKUP(B549,'Veri doğrulama'!$D$6:$E$13,2,0)</f>
        <v>MEHMET ÖZEN</v>
      </c>
      <c r="E549" s="6" t="s">
        <v>1206</v>
      </c>
      <c r="F549" s="6" t="s">
        <v>1208</v>
      </c>
      <c r="G549" s="6" t="s">
        <v>16</v>
      </c>
      <c r="H549" s="6" t="s">
        <v>34</v>
      </c>
      <c r="I549" s="6">
        <v>1600</v>
      </c>
      <c r="J549" s="6">
        <v>800</v>
      </c>
      <c r="K549" s="6">
        <v>1</v>
      </c>
      <c r="L549" s="10">
        <f t="shared" si="10"/>
        <v>1.28</v>
      </c>
      <c r="M549" s="6" t="s">
        <v>42</v>
      </c>
      <c r="N549" s="6"/>
      <c r="O549" s="6"/>
      <c r="P549" s="17" t="s">
        <v>54</v>
      </c>
      <c r="Q549" s="17" t="s">
        <v>54</v>
      </c>
      <c r="R549" s="17"/>
    </row>
    <row r="550" spans="1:18" ht="30" customHeight="1" x14ac:dyDescent="0.3">
      <c r="A550" s="7">
        <v>45932.354743865741</v>
      </c>
      <c r="B550" s="6" t="s">
        <v>5</v>
      </c>
      <c r="C550" s="6"/>
      <c r="D550" s="6" t="str">
        <f>VLOOKUP(B550,'Veri doğrulama'!$D$6:$E$13,2,0)</f>
        <v>MEHMET ÖZEN</v>
      </c>
      <c r="E550" s="6" t="s">
        <v>1206</v>
      </c>
      <c r="F550" s="6" t="s">
        <v>1207</v>
      </c>
      <c r="G550" s="6" t="s">
        <v>16</v>
      </c>
      <c r="H550" s="6" t="s">
        <v>34</v>
      </c>
      <c r="I550" s="6">
        <v>1600</v>
      </c>
      <c r="J550" s="6">
        <v>800</v>
      </c>
      <c r="K550" s="6">
        <v>2</v>
      </c>
      <c r="L550" s="10">
        <f t="shared" si="10"/>
        <v>2.56</v>
      </c>
      <c r="M550" s="6" t="s">
        <v>102</v>
      </c>
      <c r="N550" s="6" t="s">
        <v>1154</v>
      </c>
      <c r="O550" s="6"/>
      <c r="P550" s="17" t="s">
        <v>54</v>
      </c>
      <c r="Q550" s="17" t="s">
        <v>54</v>
      </c>
      <c r="R550" s="17"/>
    </row>
    <row r="551" spans="1:18" ht="30" customHeight="1" x14ac:dyDescent="0.3">
      <c r="A551" s="7">
        <v>45931.465818865741</v>
      </c>
      <c r="B551" s="6" t="s">
        <v>7</v>
      </c>
      <c r="C551" s="6"/>
      <c r="D551" s="6" t="str">
        <f>VLOOKUP(B551,'Veri doğrulama'!$D$6:$E$13,2,0)</f>
        <v>SIDDIK KAPLAN</v>
      </c>
      <c r="E551" s="6"/>
      <c r="F551" s="6" t="s">
        <v>1205</v>
      </c>
      <c r="G551" s="6" t="s">
        <v>14</v>
      </c>
      <c r="H551" s="6" t="s">
        <v>35</v>
      </c>
      <c r="I551" s="6">
        <v>850</v>
      </c>
      <c r="J551" s="6">
        <v>300</v>
      </c>
      <c r="K551" s="6">
        <v>2</v>
      </c>
      <c r="L551" s="10">
        <f t="shared" si="10"/>
        <v>0.51</v>
      </c>
      <c r="M551" s="6" t="s">
        <v>43</v>
      </c>
      <c r="N551" s="6"/>
      <c r="O551" s="6"/>
      <c r="P551" s="17" t="s">
        <v>54</v>
      </c>
      <c r="Q551" s="17" t="s">
        <v>54</v>
      </c>
      <c r="R551" s="17"/>
    </row>
    <row r="552" spans="1:18" ht="30" customHeight="1" x14ac:dyDescent="0.3">
      <c r="A552" s="7">
        <v>45931.464022337961</v>
      </c>
      <c r="B552" s="6" t="s">
        <v>5</v>
      </c>
      <c r="C552" s="6"/>
      <c r="D552" s="6" t="str">
        <f>VLOOKUP(B552,'Veri doğrulama'!$D$6:$E$13,2,0)</f>
        <v>MEHMET ÖZEN</v>
      </c>
      <c r="E552" s="6" t="s">
        <v>1202</v>
      </c>
      <c r="F552" s="6" t="s">
        <v>1204</v>
      </c>
      <c r="G552" s="6" t="s">
        <v>16</v>
      </c>
      <c r="H552" s="6" t="s">
        <v>34</v>
      </c>
      <c r="I552" s="6">
        <v>600</v>
      </c>
      <c r="J552" s="6">
        <v>450</v>
      </c>
      <c r="K552" s="6">
        <v>1</v>
      </c>
      <c r="L552" s="10">
        <f t="shared" si="10"/>
        <v>0.27</v>
      </c>
      <c r="M552" s="6" t="s">
        <v>103</v>
      </c>
      <c r="N552" s="6"/>
      <c r="O552" s="6"/>
      <c r="P552" s="17" t="s">
        <v>54</v>
      </c>
      <c r="Q552" s="17" t="s">
        <v>54</v>
      </c>
      <c r="R552" s="17"/>
    </row>
    <row r="553" spans="1:18" ht="30" customHeight="1" x14ac:dyDescent="0.3">
      <c r="A553" s="7">
        <v>45931.460807175928</v>
      </c>
      <c r="B553" s="6" t="s">
        <v>5</v>
      </c>
      <c r="C553" s="6"/>
      <c r="D553" s="6" t="str">
        <f>VLOOKUP(B553,'Veri doğrulama'!$D$6:$E$13,2,0)</f>
        <v>MEHMET ÖZEN</v>
      </c>
      <c r="E553" s="6"/>
      <c r="F553" s="6" t="s">
        <v>205</v>
      </c>
      <c r="G553" s="6" t="s">
        <v>19</v>
      </c>
      <c r="H553" s="6" t="s">
        <v>34</v>
      </c>
      <c r="I553" s="6">
        <v>2200</v>
      </c>
      <c r="J553" s="6">
        <v>415</v>
      </c>
      <c r="K553" s="6">
        <v>1</v>
      </c>
      <c r="L553" s="10">
        <f t="shared" si="10"/>
        <v>0.91300000000000003</v>
      </c>
      <c r="M553" s="6" t="s">
        <v>42</v>
      </c>
      <c r="N553" s="6"/>
      <c r="O553" s="6"/>
      <c r="P553" s="17" t="s">
        <v>54</v>
      </c>
      <c r="Q553" s="17" t="s">
        <v>54</v>
      </c>
      <c r="R553" s="17"/>
    </row>
    <row r="554" spans="1:18" ht="30" customHeight="1" x14ac:dyDescent="0.3">
      <c r="A554" s="7">
        <v>45931.428169444443</v>
      </c>
      <c r="B554" s="6" t="s">
        <v>5</v>
      </c>
      <c r="C554" s="6"/>
      <c r="D554" s="6" t="str">
        <f>VLOOKUP(B554,'Veri doğrulama'!$D$6:$E$13,2,0)</f>
        <v>MEHMET ÖZEN</v>
      </c>
      <c r="E554" s="6" t="s">
        <v>1202</v>
      </c>
      <c r="F554" s="6" t="s">
        <v>1203</v>
      </c>
      <c r="G554" s="6" t="s">
        <v>16</v>
      </c>
      <c r="H554" s="6" t="s">
        <v>34</v>
      </c>
      <c r="I554" s="6">
        <v>556</v>
      </c>
      <c r="J554" s="6">
        <v>450</v>
      </c>
      <c r="K554" s="6">
        <v>1</v>
      </c>
      <c r="L554" s="10">
        <f t="shared" si="10"/>
        <v>0.25019999999999998</v>
      </c>
      <c r="M554" s="6" t="s">
        <v>42</v>
      </c>
      <c r="N554" s="6"/>
      <c r="O554" s="6"/>
      <c r="P554" s="17" t="s">
        <v>54</v>
      </c>
      <c r="Q554" s="17" t="s">
        <v>54</v>
      </c>
      <c r="R554" s="17"/>
    </row>
    <row r="555" spans="1:18" ht="30" customHeight="1" x14ac:dyDescent="0.3">
      <c r="A555" s="7">
        <v>45931.354772685183</v>
      </c>
      <c r="B555" s="6" t="s">
        <v>5</v>
      </c>
      <c r="C555" s="6"/>
      <c r="D555" s="6" t="str">
        <f>VLOOKUP(B555,'Veri doğrulama'!$D$6:$E$13,2,0)</f>
        <v>MEHMET ÖZEN</v>
      </c>
      <c r="E555" s="6"/>
      <c r="F555" s="6" t="s">
        <v>548</v>
      </c>
      <c r="G555" s="6" t="s">
        <v>19</v>
      </c>
      <c r="H555" s="6" t="s">
        <v>34</v>
      </c>
      <c r="I555" s="6">
        <v>1800</v>
      </c>
      <c r="J555" s="6">
        <v>600</v>
      </c>
      <c r="K555" s="6">
        <v>1</v>
      </c>
      <c r="L555" s="10">
        <f t="shared" si="10"/>
        <v>1.08</v>
      </c>
      <c r="M555" s="6" t="s">
        <v>103</v>
      </c>
      <c r="N555" s="6"/>
      <c r="O555" s="6"/>
      <c r="P555" s="17" t="s">
        <v>54</v>
      </c>
      <c r="Q555" s="17" t="s">
        <v>54</v>
      </c>
      <c r="R555" s="17"/>
    </row>
    <row r="556" spans="1:18" ht="30" customHeight="1" x14ac:dyDescent="0.3">
      <c r="A556" s="7">
        <v>45930.730542361111</v>
      </c>
      <c r="B556" s="6" t="s">
        <v>4</v>
      </c>
      <c r="C556" s="6"/>
      <c r="D556" s="6" t="str">
        <f>VLOOKUP(B556,'Veri doğrulama'!$D$6:$E$13,2,0)</f>
        <v>MEHMET YAZICI</v>
      </c>
      <c r="E556" s="6">
        <v>24795</v>
      </c>
      <c r="F556" s="6" t="s">
        <v>1201</v>
      </c>
      <c r="G556" s="6" t="s">
        <v>26</v>
      </c>
      <c r="H556" s="6" t="s">
        <v>35</v>
      </c>
      <c r="I556" s="6">
        <v>2370</v>
      </c>
      <c r="J556" s="6">
        <v>128</v>
      </c>
      <c r="K556" s="6">
        <v>1</v>
      </c>
      <c r="L556" s="10">
        <f t="shared" si="10"/>
        <v>0.30336000000000002</v>
      </c>
      <c r="M556" s="6" t="s">
        <v>156</v>
      </c>
      <c r="N556" s="6"/>
      <c r="O556" s="6"/>
      <c r="P556" s="17" t="s">
        <v>54</v>
      </c>
      <c r="Q556" s="17" t="s">
        <v>54</v>
      </c>
      <c r="R556" s="17"/>
    </row>
    <row r="557" spans="1:18" ht="30" customHeight="1" x14ac:dyDescent="0.3">
      <c r="A557" s="7">
        <v>45930.647556365744</v>
      </c>
      <c r="B557" s="6" t="s">
        <v>5</v>
      </c>
      <c r="C557" s="6"/>
      <c r="D557" s="6" t="str">
        <f>VLOOKUP(B557,'Veri doğrulama'!$D$6:$E$13,2,0)</f>
        <v>MEHMET ÖZEN</v>
      </c>
      <c r="E557" s="6" t="s">
        <v>1199</v>
      </c>
      <c r="F557" s="6" t="s">
        <v>1200</v>
      </c>
      <c r="G557" s="6" t="s">
        <v>16</v>
      </c>
      <c r="H557" s="6" t="s">
        <v>34</v>
      </c>
      <c r="I557" s="6">
        <v>1620</v>
      </c>
      <c r="J557" s="6">
        <v>1370</v>
      </c>
      <c r="K557" s="6">
        <v>1</v>
      </c>
      <c r="L557" s="10">
        <f t="shared" si="10"/>
        <v>2.2193999999999998</v>
      </c>
      <c r="M557" s="6" t="s">
        <v>103</v>
      </c>
      <c r="N557" s="6"/>
      <c r="O557" s="6"/>
      <c r="P557" s="17" t="s">
        <v>54</v>
      </c>
      <c r="Q557" s="17" t="s">
        <v>54</v>
      </c>
      <c r="R557" s="17"/>
    </row>
    <row r="558" spans="1:18" ht="30" customHeight="1" x14ac:dyDescent="0.3">
      <c r="A558" s="7">
        <v>45930.586346643518</v>
      </c>
      <c r="B558" s="6" t="s">
        <v>5</v>
      </c>
      <c r="C558" s="6"/>
      <c r="D558" s="6" t="str">
        <f>VLOOKUP(B558,'Veri doğrulama'!$D$6:$E$13,2,0)</f>
        <v>MEHMET ÖZEN</v>
      </c>
      <c r="E558" s="6"/>
      <c r="F558" s="6" t="s">
        <v>161</v>
      </c>
      <c r="G558" s="6" t="s">
        <v>18</v>
      </c>
      <c r="H558" s="6" t="s">
        <v>34</v>
      </c>
      <c r="I558" s="6">
        <v>1200</v>
      </c>
      <c r="J558" s="6">
        <v>700</v>
      </c>
      <c r="K558" s="6">
        <v>1</v>
      </c>
      <c r="L558" s="10">
        <f t="shared" si="10"/>
        <v>0.84</v>
      </c>
      <c r="M558" s="6" t="s">
        <v>103</v>
      </c>
      <c r="N558" s="6" t="s">
        <v>1154</v>
      </c>
      <c r="O558" s="6"/>
      <c r="P558" s="17" t="s">
        <v>54</v>
      </c>
      <c r="Q558" s="17" t="s">
        <v>54</v>
      </c>
      <c r="R558" s="17"/>
    </row>
    <row r="559" spans="1:18" ht="30" customHeight="1" x14ac:dyDescent="0.3">
      <c r="A559" s="7">
        <v>45930.44168009259</v>
      </c>
      <c r="B559" s="6" t="s">
        <v>4</v>
      </c>
      <c r="C559" s="6"/>
      <c r="D559" s="6" t="str">
        <f>VLOOKUP(B559,'Veri doğrulama'!$D$6:$E$13,2,0)</f>
        <v>MEHMET YAZICI</v>
      </c>
      <c r="E559" s="6"/>
      <c r="F559" s="6" t="s">
        <v>1198</v>
      </c>
      <c r="G559" s="6" t="s">
        <v>16</v>
      </c>
      <c r="H559" s="6" t="s">
        <v>34</v>
      </c>
      <c r="I559" s="6">
        <v>450</v>
      </c>
      <c r="J559" s="6">
        <v>556</v>
      </c>
      <c r="K559" s="6">
        <v>1</v>
      </c>
      <c r="L559" s="10">
        <f t="shared" si="10"/>
        <v>0.25019999999999998</v>
      </c>
      <c r="M559" s="6" t="s">
        <v>156</v>
      </c>
      <c r="N559" s="6"/>
      <c r="O559" s="6"/>
      <c r="P559" s="17" t="s">
        <v>54</v>
      </c>
      <c r="Q559" s="17" t="s">
        <v>54</v>
      </c>
      <c r="R559" s="17"/>
    </row>
    <row r="560" spans="1:18" ht="30" customHeight="1" x14ac:dyDescent="0.3">
      <c r="A560" s="7">
        <v>45930.441130208332</v>
      </c>
      <c r="B560" s="6" t="s">
        <v>4</v>
      </c>
      <c r="C560" s="6"/>
      <c r="D560" s="6" t="str">
        <f>VLOOKUP(B560,'Veri doğrulama'!$D$6:$E$13,2,0)</f>
        <v>MEHMET YAZICI</v>
      </c>
      <c r="E560" s="6"/>
      <c r="F560" s="6" t="s">
        <v>1197</v>
      </c>
      <c r="G560" s="6" t="s">
        <v>16</v>
      </c>
      <c r="H560" s="6" t="s">
        <v>34</v>
      </c>
      <c r="I560" s="6">
        <v>1140</v>
      </c>
      <c r="J560" s="6">
        <v>450</v>
      </c>
      <c r="K560" s="6">
        <v>1</v>
      </c>
      <c r="L560" s="10">
        <f t="shared" si="10"/>
        <v>0.51300000000000001</v>
      </c>
      <c r="M560" s="6" t="s">
        <v>75</v>
      </c>
      <c r="N560" s="6"/>
      <c r="O560" s="6"/>
      <c r="P560" s="17" t="s">
        <v>54</v>
      </c>
      <c r="Q560" s="17" t="s">
        <v>54</v>
      </c>
      <c r="R560" s="17"/>
    </row>
    <row r="561" spans="1:18" ht="30" customHeight="1" x14ac:dyDescent="0.3">
      <c r="A561" s="7">
        <v>45930.394468634258</v>
      </c>
      <c r="B561" s="6" t="s">
        <v>5</v>
      </c>
      <c r="C561" s="6"/>
      <c r="D561" s="6" t="str">
        <f>VLOOKUP(B561,'Veri doğrulama'!$D$6:$E$13,2,0)</f>
        <v>MEHMET ÖZEN</v>
      </c>
      <c r="E561" s="6"/>
      <c r="F561" s="6" t="s">
        <v>1196</v>
      </c>
      <c r="G561" s="6" t="s">
        <v>14</v>
      </c>
      <c r="H561" s="6" t="s">
        <v>35</v>
      </c>
      <c r="I561" s="6">
        <v>714</v>
      </c>
      <c r="J561" s="6">
        <v>549</v>
      </c>
      <c r="K561" s="6">
        <v>8</v>
      </c>
      <c r="L561" s="10">
        <f t="shared" si="10"/>
        <v>3.135888</v>
      </c>
      <c r="M561" s="6" t="s">
        <v>43</v>
      </c>
      <c r="N561" s="6" t="s">
        <v>524</v>
      </c>
      <c r="O561" s="6"/>
      <c r="P561" s="17" t="s">
        <v>54</v>
      </c>
      <c r="Q561" s="17" t="s">
        <v>54</v>
      </c>
      <c r="R561" s="17"/>
    </row>
    <row r="562" spans="1:18" ht="30" customHeight="1" x14ac:dyDescent="0.3">
      <c r="A562" s="7">
        <v>45930.39342615741</v>
      </c>
      <c r="B562" s="6" t="s">
        <v>5</v>
      </c>
      <c r="C562" s="6"/>
      <c r="D562" s="6" t="str">
        <f>VLOOKUP(B562,'Veri doğrulama'!$D$6:$E$13,2,0)</f>
        <v>MEHMET ÖZEN</v>
      </c>
      <c r="E562" s="6"/>
      <c r="F562" s="6" t="s">
        <v>1195</v>
      </c>
      <c r="G562" s="6" t="s">
        <v>14</v>
      </c>
      <c r="H562" s="6" t="s">
        <v>35</v>
      </c>
      <c r="I562" s="6">
        <v>714</v>
      </c>
      <c r="J562" s="6">
        <v>849</v>
      </c>
      <c r="K562" s="6">
        <v>14</v>
      </c>
      <c r="L562" s="10">
        <f t="shared" si="10"/>
        <v>8.4866039999999998</v>
      </c>
      <c r="M562" s="6" t="s">
        <v>43</v>
      </c>
      <c r="N562" s="6" t="s">
        <v>524</v>
      </c>
      <c r="O562" s="6"/>
      <c r="P562" s="17" t="s">
        <v>54</v>
      </c>
      <c r="Q562" s="17" t="s">
        <v>54</v>
      </c>
      <c r="R562" s="17"/>
    </row>
    <row r="563" spans="1:18" ht="30" customHeight="1" x14ac:dyDescent="0.3">
      <c r="A563" s="7">
        <v>45930.372170138886</v>
      </c>
      <c r="B563" s="6" t="s">
        <v>5</v>
      </c>
      <c r="C563" s="6"/>
      <c r="D563" s="6" t="str">
        <f>VLOOKUP(B563,'Veri doğrulama'!$D$6:$E$13,2,0)</f>
        <v>MEHMET ÖZEN</v>
      </c>
      <c r="E563" s="6"/>
      <c r="F563" s="6" t="s">
        <v>1194</v>
      </c>
      <c r="G563" s="6" t="s">
        <v>18</v>
      </c>
      <c r="H563" s="6" t="s">
        <v>34</v>
      </c>
      <c r="I563" s="6">
        <v>1400</v>
      </c>
      <c r="J563" s="6">
        <v>800</v>
      </c>
      <c r="K563" s="6">
        <v>1</v>
      </c>
      <c r="L563" s="10">
        <f t="shared" si="10"/>
        <v>1.1200000000000001</v>
      </c>
      <c r="M563" s="6" t="s">
        <v>42</v>
      </c>
      <c r="N563" s="6"/>
      <c r="O563" s="6"/>
      <c r="P563" s="17" t="s">
        <v>54</v>
      </c>
      <c r="Q563" s="17" t="s">
        <v>54</v>
      </c>
      <c r="R563" s="17"/>
    </row>
    <row r="564" spans="1:18" ht="30" customHeight="1" x14ac:dyDescent="0.3">
      <c r="A564" s="7">
        <v>45929.61912476852</v>
      </c>
      <c r="B564" s="6" t="s">
        <v>4</v>
      </c>
      <c r="C564" s="6"/>
      <c r="D564" s="6" t="str">
        <f>VLOOKUP(B564,'Veri doğrulama'!$D$6:$E$13,2,0)</f>
        <v>MEHMET YAZICI</v>
      </c>
      <c r="E564" s="6"/>
      <c r="F564" s="6" t="s">
        <v>714</v>
      </c>
      <c r="G564" s="6" t="s">
        <v>18</v>
      </c>
      <c r="H564" s="6" t="s">
        <v>34</v>
      </c>
      <c r="I564" s="6">
        <v>539</v>
      </c>
      <c r="J564" s="6">
        <v>556</v>
      </c>
      <c r="K564" s="6">
        <v>1</v>
      </c>
      <c r="L564" s="10">
        <f t="shared" si="10"/>
        <v>0.29968400000000001</v>
      </c>
      <c r="M564" s="6" t="s">
        <v>156</v>
      </c>
      <c r="N564" s="6"/>
      <c r="O564" s="6"/>
      <c r="P564" s="17" t="s">
        <v>54</v>
      </c>
      <c r="Q564" s="17" t="s">
        <v>54</v>
      </c>
      <c r="R564" s="17"/>
    </row>
    <row r="565" spans="1:18" ht="30" customHeight="1" x14ac:dyDescent="0.3">
      <c r="A565" s="7">
        <v>45929.606700115743</v>
      </c>
      <c r="B565" s="6" t="s">
        <v>5</v>
      </c>
      <c r="C565" s="6"/>
      <c r="D565" s="6" t="str">
        <f>VLOOKUP(B565,'Veri doğrulama'!$D$6:$E$13,2,0)</f>
        <v>MEHMET ÖZEN</v>
      </c>
      <c r="E565" s="6"/>
      <c r="F565" s="6" t="s">
        <v>1193</v>
      </c>
      <c r="G565" s="6" t="s">
        <v>19</v>
      </c>
      <c r="H565" s="6" t="s">
        <v>34</v>
      </c>
      <c r="I565" s="6">
        <v>2220</v>
      </c>
      <c r="J565" s="6">
        <v>970</v>
      </c>
      <c r="K565" s="6">
        <v>1</v>
      </c>
      <c r="L565" s="10">
        <f t="shared" si="10"/>
        <v>2.1534</v>
      </c>
      <c r="M565" s="6" t="s">
        <v>103</v>
      </c>
      <c r="N565" s="6"/>
      <c r="O565" s="6"/>
      <c r="P565" s="17" t="s">
        <v>54</v>
      </c>
      <c r="Q565" s="17" t="s">
        <v>54</v>
      </c>
      <c r="R565" s="17"/>
    </row>
    <row r="566" spans="1:18" ht="30" customHeight="1" x14ac:dyDescent="0.3">
      <c r="A566" s="7">
        <v>45929.483294560188</v>
      </c>
      <c r="B566" s="6" t="s">
        <v>5</v>
      </c>
      <c r="C566" s="6"/>
      <c r="D566" s="6" t="str">
        <f>VLOOKUP(B566,'Veri doğrulama'!$D$6:$E$13,2,0)</f>
        <v>MEHMET ÖZEN</v>
      </c>
      <c r="E566" s="6"/>
      <c r="F566" s="6" t="s">
        <v>1192</v>
      </c>
      <c r="G566" s="6" t="s">
        <v>18</v>
      </c>
      <c r="H566" s="6" t="s">
        <v>34</v>
      </c>
      <c r="I566" s="6">
        <v>726</v>
      </c>
      <c r="J566" s="6">
        <v>392</v>
      </c>
      <c r="K566" s="6">
        <v>1</v>
      </c>
      <c r="L566" s="10">
        <f t="shared" si="10"/>
        <v>0.28459200000000001</v>
      </c>
      <c r="M566" s="6" t="s">
        <v>42</v>
      </c>
      <c r="N566" s="6"/>
      <c r="O566" s="6"/>
      <c r="P566" s="17" t="s">
        <v>54</v>
      </c>
      <c r="Q566" s="17" t="s">
        <v>54</v>
      </c>
      <c r="R566" s="17"/>
    </row>
    <row r="567" spans="1:18" ht="30" customHeight="1" x14ac:dyDescent="0.3">
      <c r="A567" s="7">
        <v>45926.750548263888</v>
      </c>
      <c r="B567" s="6" t="s">
        <v>4</v>
      </c>
      <c r="C567" s="6"/>
      <c r="D567" s="6" t="str">
        <f>VLOOKUP(B567,'Veri doğrulama'!$D$6:$E$13,2,0)</f>
        <v>MEHMET YAZICI</v>
      </c>
      <c r="E567" s="6"/>
      <c r="F567" s="6" t="s">
        <v>570</v>
      </c>
      <c r="G567" s="6" t="s">
        <v>14</v>
      </c>
      <c r="H567" s="6" t="s">
        <v>35</v>
      </c>
      <c r="I567" s="6">
        <v>550</v>
      </c>
      <c r="J567" s="6">
        <v>710</v>
      </c>
      <c r="K567" s="6">
        <v>1</v>
      </c>
      <c r="L567" s="10">
        <f t="shared" si="10"/>
        <v>0.39050000000000001</v>
      </c>
      <c r="M567" s="6" t="s">
        <v>103</v>
      </c>
      <c r="N567" s="6"/>
      <c r="O567" s="6"/>
      <c r="P567" s="17" t="s">
        <v>54</v>
      </c>
      <c r="Q567" s="17" t="s">
        <v>54</v>
      </c>
      <c r="R567" s="17"/>
    </row>
    <row r="568" spans="1:18" ht="30" customHeight="1" x14ac:dyDescent="0.3">
      <c r="A568" s="7">
        <v>45926.750004513888</v>
      </c>
      <c r="B568" s="6" t="s">
        <v>4</v>
      </c>
      <c r="C568" s="6"/>
      <c r="D568" s="6" t="str">
        <f>VLOOKUP(B568,'Veri doğrulama'!$D$6:$E$13,2,0)</f>
        <v>MEHMET YAZICI</v>
      </c>
      <c r="E568" s="6"/>
      <c r="F568" s="6" t="s">
        <v>568</v>
      </c>
      <c r="G568" s="6" t="s">
        <v>15</v>
      </c>
      <c r="H568" s="6" t="s">
        <v>35</v>
      </c>
      <c r="I568" s="6">
        <v>717</v>
      </c>
      <c r="J568" s="6">
        <v>598</v>
      </c>
      <c r="K568" s="6">
        <v>1</v>
      </c>
      <c r="L568" s="10">
        <f t="shared" si="10"/>
        <v>0.42876599999999998</v>
      </c>
      <c r="M568" s="6" t="s">
        <v>75</v>
      </c>
      <c r="N568" s="6"/>
      <c r="O568" s="6"/>
      <c r="P568" s="17" t="s">
        <v>54</v>
      </c>
      <c r="Q568" s="17" t="s">
        <v>54</v>
      </c>
      <c r="R568" s="17"/>
    </row>
    <row r="569" spans="1:18" ht="30" customHeight="1" x14ac:dyDescent="0.3">
      <c r="A569" s="7">
        <v>45926.749211689814</v>
      </c>
      <c r="B569" s="6" t="s">
        <v>4</v>
      </c>
      <c r="C569" s="6"/>
      <c r="D569" s="6" t="str">
        <f>VLOOKUP(B569,'Veri doğrulama'!$D$6:$E$13,2,0)</f>
        <v>MEHMET YAZICI</v>
      </c>
      <c r="E569" s="6"/>
      <c r="F569" s="6" t="s">
        <v>378</v>
      </c>
      <c r="G569" s="6" t="s">
        <v>17</v>
      </c>
      <c r="H569" s="6" t="s">
        <v>34</v>
      </c>
      <c r="I569" s="6">
        <v>549</v>
      </c>
      <c r="J569" s="6">
        <v>544</v>
      </c>
      <c r="K569" s="6">
        <v>2</v>
      </c>
      <c r="L569" s="10">
        <f t="shared" si="10"/>
        <v>0.59731199999999995</v>
      </c>
      <c r="M569" s="6" t="s">
        <v>42</v>
      </c>
      <c r="N569" s="6"/>
      <c r="O569" s="6"/>
      <c r="P569" s="17" t="s">
        <v>54</v>
      </c>
      <c r="Q569" s="17" t="s">
        <v>54</v>
      </c>
      <c r="R569" s="17"/>
    </row>
    <row r="570" spans="1:18" ht="30" customHeight="1" x14ac:dyDescent="0.3">
      <c r="A570" s="7">
        <v>45926.670969444443</v>
      </c>
      <c r="B570" s="6" t="s">
        <v>5</v>
      </c>
      <c r="C570" s="6"/>
      <c r="D570" s="6" t="str">
        <f>VLOOKUP(B570,'Veri doğrulama'!$D$6:$E$13,2,0)</f>
        <v>MEHMET ÖZEN</v>
      </c>
      <c r="E570" s="6"/>
      <c r="F570" s="6" t="s">
        <v>1191</v>
      </c>
      <c r="G570" s="6" t="s">
        <v>14</v>
      </c>
      <c r="H570" s="6" t="s">
        <v>35</v>
      </c>
      <c r="I570" s="6">
        <v>1595</v>
      </c>
      <c r="J570" s="6">
        <v>180</v>
      </c>
      <c r="K570" s="6">
        <v>1</v>
      </c>
      <c r="L570" s="10">
        <f t="shared" si="10"/>
        <v>0.28710000000000002</v>
      </c>
      <c r="M570" s="6" t="s">
        <v>42</v>
      </c>
      <c r="N570" s="6"/>
      <c r="O570" s="6"/>
      <c r="P570" s="17" t="s">
        <v>54</v>
      </c>
      <c r="Q570" s="17" t="s">
        <v>54</v>
      </c>
      <c r="R570" s="17"/>
    </row>
    <row r="571" spans="1:18" ht="30" customHeight="1" x14ac:dyDescent="0.3">
      <c r="A571" s="7">
        <v>45926.670130787039</v>
      </c>
      <c r="B571" s="6" t="s">
        <v>5</v>
      </c>
      <c r="C571" s="6"/>
      <c r="D571" s="6" t="str">
        <f>VLOOKUP(B571,'Veri doğrulama'!$D$6:$E$13,2,0)</f>
        <v>MEHMET ÖZEN</v>
      </c>
      <c r="E571" s="6"/>
      <c r="F571" s="6" t="s">
        <v>1190</v>
      </c>
      <c r="G571" s="6" t="s">
        <v>15</v>
      </c>
      <c r="H571" s="6" t="s">
        <v>35</v>
      </c>
      <c r="I571" s="6">
        <v>1595</v>
      </c>
      <c r="J571" s="6">
        <v>180</v>
      </c>
      <c r="K571" s="6">
        <v>1</v>
      </c>
      <c r="L571" s="10">
        <f t="shared" si="10"/>
        <v>0.28710000000000002</v>
      </c>
      <c r="M571" s="6" t="s">
        <v>42</v>
      </c>
      <c r="N571" s="6"/>
      <c r="O571" s="6"/>
      <c r="P571" s="17" t="s">
        <v>54</v>
      </c>
      <c r="Q571" s="17" t="s">
        <v>54</v>
      </c>
      <c r="R571" s="17"/>
    </row>
    <row r="572" spans="1:18" ht="30" customHeight="1" x14ac:dyDescent="0.3">
      <c r="A572" s="7">
        <v>45925.759050462962</v>
      </c>
      <c r="B572" s="6" t="s">
        <v>5</v>
      </c>
      <c r="C572" s="6"/>
      <c r="D572" s="6" t="str">
        <f>VLOOKUP(B572,'Veri doğrulama'!$D$6:$E$13,2,0)</f>
        <v>MEHMET ÖZEN</v>
      </c>
      <c r="E572" s="6" t="s">
        <v>1188</v>
      </c>
      <c r="F572" s="6" t="s">
        <v>1189</v>
      </c>
      <c r="G572" s="6" t="s">
        <v>18</v>
      </c>
      <c r="H572" s="6" t="s">
        <v>34</v>
      </c>
      <c r="I572" s="6">
        <v>1142</v>
      </c>
      <c r="J572" s="6">
        <v>450</v>
      </c>
      <c r="K572" s="6">
        <v>1</v>
      </c>
      <c r="L572" s="10">
        <f t="shared" si="10"/>
        <v>0.51390000000000002</v>
      </c>
      <c r="M572" s="6" t="s">
        <v>75</v>
      </c>
      <c r="N572" s="6"/>
      <c r="O572" s="6"/>
      <c r="P572" s="17" t="s">
        <v>54</v>
      </c>
      <c r="Q572" s="17" t="s">
        <v>54</v>
      </c>
      <c r="R572" s="17"/>
    </row>
    <row r="573" spans="1:18" ht="30" customHeight="1" x14ac:dyDescent="0.3">
      <c r="A573" s="7">
        <v>45925.657392361114</v>
      </c>
      <c r="B573" s="6" t="s">
        <v>5</v>
      </c>
      <c r="C573" s="6"/>
      <c r="D573" s="6" t="str">
        <f>VLOOKUP(B573,'Veri doğrulama'!$D$6:$E$13,2,0)</f>
        <v>MEHMET ÖZEN</v>
      </c>
      <c r="E573" s="6" t="s">
        <v>1187</v>
      </c>
      <c r="F573" s="6" t="s">
        <v>1086</v>
      </c>
      <c r="G573" s="6" t="s">
        <v>19</v>
      </c>
      <c r="H573" s="6" t="s">
        <v>34</v>
      </c>
      <c r="I573" s="6">
        <v>2600</v>
      </c>
      <c r="J573" s="6">
        <v>300</v>
      </c>
      <c r="K573" s="6">
        <v>1</v>
      </c>
      <c r="L573" s="10">
        <f t="shared" si="10"/>
        <v>0.78</v>
      </c>
      <c r="M573" s="6" t="s">
        <v>103</v>
      </c>
      <c r="N573" s="6"/>
      <c r="O573" s="6"/>
      <c r="P573" s="17" t="s">
        <v>54</v>
      </c>
      <c r="Q573" s="17" t="s">
        <v>54</v>
      </c>
      <c r="R573" s="17"/>
    </row>
    <row r="574" spans="1:18" ht="30" customHeight="1" x14ac:dyDescent="0.3">
      <c r="A574" s="7">
        <v>45925.647726157411</v>
      </c>
      <c r="B574" s="6" t="s">
        <v>5</v>
      </c>
      <c r="C574" s="6"/>
      <c r="D574" s="6" t="str">
        <f>VLOOKUP(B574,'Veri doğrulama'!$D$6:$E$13,2,0)</f>
        <v>MEHMET ÖZEN</v>
      </c>
      <c r="E574" s="6" t="s">
        <v>1186</v>
      </c>
      <c r="F574" s="6" t="s">
        <v>1086</v>
      </c>
      <c r="G574" s="6" t="s">
        <v>18</v>
      </c>
      <c r="H574" s="6" t="s">
        <v>34</v>
      </c>
      <c r="I574" s="6">
        <v>2600</v>
      </c>
      <c r="J574" s="6">
        <v>300</v>
      </c>
      <c r="K574" s="6">
        <v>1</v>
      </c>
      <c r="L574" s="10">
        <f t="shared" si="10"/>
        <v>0.78</v>
      </c>
      <c r="M574" s="6" t="s">
        <v>75</v>
      </c>
      <c r="N574" s="6"/>
      <c r="O574" s="6"/>
      <c r="P574" s="17" t="s">
        <v>54</v>
      </c>
      <c r="Q574" s="17" t="s">
        <v>54</v>
      </c>
      <c r="R574" s="17"/>
    </row>
    <row r="575" spans="1:18" ht="30" customHeight="1" x14ac:dyDescent="0.3">
      <c r="A575" s="7">
        <v>45925.646815046297</v>
      </c>
      <c r="B575" s="6" t="s">
        <v>5</v>
      </c>
      <c r="C575" s="6"/>
      <c r="D575" s="6" t="str">
        <f>VLOOKUP(B575,'Veri doğrulama'!$D$6:$E$13,2,0)</f>
        <v>MEHMET ÖZEN</v>
      </c>
      <c r="E575" s="6"/>
      <c r="F575" s="6" t="s">
        <v>1185</v>
      </c>
      <c r="G575" s="6" t="s">
        <v>18</v>
      </c>
      <c r="H575" s="6" t="s">
        <v>34</v>
      </c>
      <c r="I575" s="6">
        <v>800</v>
      </c>
      <c r="J575" s="6">
        <v>450</v>
      </c>
      <c r="K575" s="6">
        <v>1</v>
      </c>
      <c r="L575" s="10">
        <f t="shared" si="10"/>
        <v>0.36</v>
      </c>
      <c r="M575" s="6" t="s">
        <v>103</v>
      </c>
      <c r="N575" s="6"/>
      <c r="O575" s="6"/>
      <c r="P575" s="17" t="s">
        <v>54</v>
      </c>
      <c r="Q575" s="17" t="s">
        <v>54</v>
      </c>
      <c r="R575" s="17"/>
    </row>
    <row r="576" spans="1:18" ht="30" customHeight="1" x14ac:dyDescent="0.3">
      <c r="A576" s="7">
        <v>45925.637476851851</v>
      </c>
      <c r="B576" s="6" t="s">
        <v>4</v>
      </c>
      <c r="C576" s="6"/>
      <c r="D576" s="6" t="str">
        <f>VLOOKUP(B576,'Veri doğrulama'!$D$6:$E$13,2,0)</f>
        <v>MEHMET YAZICI</v>
      </c>
      <c r="E576" s="6"/>
      <c r="F576" s="6" t="s">
        <v>1184</v>
      </c>
      <c r="G576" s="6" t="s">
        <v>16</v>
      </c>
      <c r="H576" s="6" t="s">
        <v>34</v>
      </c>
      <c r="I576" s="6">
        <v>1162</v>
      </c>
      <c r="J576" s="6">
        <v>375</v>
      </c>
      <c r="K576" s="6">
        <v>1</v>
      </c>
      <c r="L576" s="10">
        <f t="shared" ref="L576:L607" si="11">I576*J576/1000000*K576</f>
        <v>0.43575000000000003</v>
      </c>
      <c r="M576" s="6" t="s">
        <v>75</v>
      </c>
      <c r="N576" s="6"/>
      <c r="O576" s="6"/>
      <c r="P576" s="17" t="s">
        <v>54</v>
      </c>
      <c r="Q576" s="17" t="s">
        <v>54</v>
      </c>
      <c r="R576" s="17"/>
    </row>
    <row r="577" spans="1:18" ht="30" customHeight="1" x14ac:dyDescent="0.3">
      <c r="A577" s="7">
        <v>45925.636944444443</v>
      </c>
      <c r="B577" s="6" t="s">
        <v>4</v>
      </c>
      <c r="C577" s="6"/>
      <c r="D577" s="6" t="str">
        <f>VLOOKUP(B577,'Veri doğrulama'!$D$6:$E$13,2,0)</f>
        <v>MEHMET YAZICI</v>
      </c>
      <c r="E577" s="6"/>
      <c r="F577" s="6" t="s">
        <v>1183</v>
      </c>
      <c r="G577" s="6" t="s">
        <v>16</v>
      </c>
      <c r="H577" s="6" t="s">
        <v>34</v>
      </c>
      <c r="I577" s="6">
        <v>1400</v>
      </c>
      <c r="J577" s="6">
        <v>1200</v>
      </c>
      <c r="K577" s="6">
        <v>2</v>
      </c>
      <c r="L577" s="10">
        <f t="shared" si="11"/>
        <v>3.36</v>
      </c>
      <c r="M577" s="6" t="s">
        <v>75</v>
      </c>
      <c r="N577" s="6"/>
      <c r="O577" s="6"/>
      <c r="P577" s="17" t="s">
        <v>54</v>
      </c>
      <c r="Q577" s="17" t="s">
        <v>54</v>
      </c>
      <c r="R577" s="17"/>
    </row>
    <row r="578" spans="1:18" ht="30" customHeight="1" x14ac:dyDescent="0.3">
      <c r="A578" s="7">
        <v>45925.620909606485</v>
      </c>
      <c r="B578" s="6" t="s">
        <v>7</v>
      </c>
      <c r="C578" s="6"/>
      <c r="D578" s="6" t="str">
        <f>VLOOKUP(B578,'Veri doğrulama'!$D$6:$E$13,2,0)</f>
        <v>SIDDIK KAPLAN</v>
      </c>
      <c r="E578" s="6"/>
      <c r="F578" s="6" t="s">
        <v>1182</v>
      </c>
      <c r="G578" s="6" t="s">
        <v>146</v>
      </c>
      <c r="H578" s="6" t="s">
        <v>34</v>
      </c>
      <c r="I578" s="6">
        <v>1810</v>
      </c>
      <c r="J578" s="6">
        <v>1010</v>
      </c>
      <c r="K578" s="6">
        <v>1</v>
      </c>
      <c r="L578" s="10">
        <f t="shared" si="11"/>
        <v>1.8281000000000001</v>
      </c>
      <c r="M578" s="6" t="s">
        <v>43</v>
      </c>
      <c r="N578" s="6"/>
      <c r="O578" s="6"/>
      <c r="P578" s="17" t="s">
        <v>54</v>
      </c>
      <c r="Q578" s="17" t="s">
        <v>54</v>
      </c>
      <c r="R578" s="17"/>
    </row>
    <row r="579" spans="1:18" ht="30" customHeight="1" x14ac:dyDescent="0.3">
      <c r="A579" s="7">
        <v>45925.617406134261</v>
      </c>
      <c r="B579" s="6" t="s">
        <v>5</v>
      </c>
      <c r="C579" s="6"/>
      <c r="D579" s="6" t="str">
        <f>VLOOKUP(B579,'Veri doğrulama'!$D$6:$E$13,2,0)</f>
        <v>MEHMET ÖZEN</v>
      </c>
      <c r="E579" s="6"/>
      <c r="F579" s="6" t="s">
        <v>1181</v>
      </c>
      <c r="G579" s="6" t="s">
        <v>15</v>
      </c>
      <c r="H579" s="6" t="s">
        <v>34</v>
      </c>
      <c r="I579" s="6">
        <v>1410</v>
      </c>
      <c r="J579" s="6">
        <v>1410</v>
      </c>
      <c r="K579" s="6">
        <v>1</v>
      </c>
      <c r="L579" s="10">
        <f t="shared" si="11"/>
        <v>1.9881</v>
      </c>
      <c r="M579" s="6" t="s">
        <v>42</v>
      </c>
      <c r="N579" s="6"/>
      <c r="O579" s="6"/>
      <c r="P579" s="17" t="s">
        <v>54</v>
      </c>
      <c r="Q579" s="17" t="s">
        <v>54</v>
      </c>
      <c r="R579" s="17"/>
    </row>
    <row r="580" spans="1:18" ht="30" customHeight="1" x14ac:dyDescent="0.3">
      <c r="A580" s="7">
        <v>45925.584739930557</v>
      </c>
      <c r="B580" s="6" t="s">
        <v>5</v>
      </c>
      <c r="C580" s="6"/>
      <c r="D580" s="6" t="str">
        <f>VLOOKUP(B580,'Veri doğrulama'!$D$6:$E$13,2,0)</f>
        <v>MEHMET ÖZEN</v>
      </c>
      <c r="E580" s="6"/>
      <c r="F580" s="6" t="s">
        <v>1180</v>
      </c>
      <c r="G580" s="6" t="s">
        <v>13</v>
      </c>
      <c r="H580" s="6" t="s">
        <v>34</v>
      </c>
      <c r="I580" s="6">
        <v>820</v>
      </c>
      <c r="J580" s="6">
        <v>432</v>
      </c>
      <c r="K580" s="6">
        <v>1</v>
      </c>
      <c r="L580" s="10">
        <f t="shared" si="11"/>
        <v>0.35424</v>
      </c>
      <c r="M580" s="6" t="s">
        <v>42</v>
      </c>
      <c r="N580" s="6"/>
      <c r="O580" s="6"/>
      <c r="P580" s="17" t="s">
        <v>54</v>
      </c>
      <c r="Q580" s="17" t="s">
        <v>54</v>
      </c>
      <c r="R580" s="17"/>
    </row>
    <row r="581" spans="1:18" ht="30" customHeight="1" x14ac:dyDescent="0.3">
      <c r="A581" s="7">
        <v>45924.602486111115</v>
      </c>
      <c r="B581" s="6" t="s">
        <v>5</v>
      </c>
      <c r="C581" s="6"/>
      <c r="D581" s="6" t="str">
        <f>VLOOKUP(B581,'Veri doğrulama'!$D$6:$E$13,2,0)</f>
        <v>MEHMET ÖZEN</v>
      </c>
      <c r="E581" s="6" t="s">
        <v>1167</v>
      </c>
      <c r="F581" s="6" t="s">
        <v>1179</v>
      </c>
      <c r="G581" s="6" t="s">
        <v>18</v>
      </c>
      <c r="H581" s="6" t="s">
        <v>34</v>
      </c>
      <c r="I581" s="6">
        <v>1400</v>
      </c>
      <c r="J581" s="6">
        <v>800</v>
      </c>
      <c r="K581" s="6">
        <v>1</v>
      </c>
      <c r="L581" s="10">
        <f t="shared" si="11"/>
        <v>1.1200000000000001</v>
      </c>
      <c r="M581" s="6" t="s">
        <v>75</v>
      </c>
      <c r="N581" s="6" t="s">
        <v>1154</v>
      </c>
      <c r="O581" s="6"/>
      <c r="P581" s="17" t="s">
        <v>54</v>
      </c>
      <c r="Q581" s="17" t="s">
        <v>54</v>
      </c>
      <c r="R581" s="17"/>
    </row>
    <row r="582" spans="1:18" ht="30" customHeight="1" x14ac:dyDescent="0.3">
      <c r="A582" s="7">
        <v>45924.509391203705</v>
      </c>
      <c r="B582" s="6" t="s">
        <v>4</v>
      </c>
      <c r="C582" s="6"/>
      <c r="D582" s="6" t="str">
        <f>VLOOKUP(B582,'Veri doğrulama'!$D$6:$E$13,2,0)</f>
        <v>MEHMET YAZICI</v>
      </c>
      <c r="E582" s="6"/>
      <c r="F582" s="6" t="s">
        <v>1178</v>
      </c>
      <c r="G582" s="6" t="s">
        <v>29</v>
      </c>
      <c r="H582" s="6" t="s">
        <v>34</v>
      </c>
      <c r="I582" s="6">
        <v>1800</v>
      </c>
      <c r="J582" s="6">
        <v>350</v>
      </c>
      <c r="K582" s="6">
        <v>1</v>
      </c>
      <c r="L582" s="10">
        <f t="shared" si="11"/>
        <v>0.63</v>
      </c>
      <c r="M582" s="6" t="s">
        <v>75</v>
      </c>
      <c r="N582" s="6"/>
      <c r="O582" s="6"/>
      <c r="P582" s="17" t="s">
        <v>54</v>
      </c>
      <c r="Q582" s="17" t="s">
        <v>54</v>
      </c>
      <c r="R582" s="17"/>
    </row>
    <row r="583" spans="1:18" ht="30" customHeight="1" x14ac:dyDescent="0.3">
      <c r="A583" s="7">
        <v>45924.411195833331</v>
      </c>
      <c r="B583" s="6" t="s">
        <v>5</v>
      </c>
      <c r="C583" s="6"/>
      <c r="D583" s="6" t="str">
        <f>VLOOKUP(B583,'Veri doğrulama'!$D$6:$E$13,2,0)</f>
        <v>MEHMET ÖZEN</v>
      </c>
      <c r="E583" s="6"/>
      <c r="F583" s="6" t="s">
        <v>1177</v>
      </c>
      <c r="G583" s="6" t="s">
        <v>27</v>
      </c>
      <c r="H583" s="6" t="s">
        <v>34</v>
      </c>
      <c r="I583" s="6">
        <v>802</v>
      </c>
      <c r="J583" s="6">
        <v>340</v>
      </c>
      <c r="K583" s="6">
        <v>1</v>
      </c>
      <c r="L583" s="10">
        <f t="shared" si="11"/>
        <v>0.27267999999999998</v>
      </c>
      <c r="M583" s="6" t="s">
        <v>75</v>
      </c>
      <c r="N583" s="6"/>
      <c r="O583" s="6"/>
      <c r="P583" s="17" t="s">
        <v>54</v>
      </c>
      <c r="Q583" s="17" t="s">
        <v>54</v>
      </c>
      <c r="R583" s="17"/>
    </row>
    <row r="584" spans="1:18" ht="30" customHeight="1" x14ac:dyDescent="0.3">
      <c r="A584" s="7">
        <v>45924.41002048611</v>
      </c>
      <c r="B584" s="6" t="s">
        <v>5</v>
      </c>
      <c r="C584" s="6"/>
      <c r="D584" s="6" t="str">
        <f>VLOOKUP(B584,'Veri doğrulama'!$D$6:$E$13,2,0)</f>
        <v>MEHMET ÖZEN</v>
      </c>
      <c r="E584" s="6"/>
      <c r="F584" s="6" t="s">
        <v>1176</v>
      </c>
      <c r="G584" s="6" t="s">
        <v>27</v>
      </c>
      <c r="H584" s="6" t="s">
        <v>35</v>
      </c>
      <c r="I584" s="6">
        <v>1600</v>
      </c>
      <c r="J584" s="6">
        <v>390</v>
      </c>
      <c r="K584" s="6">
        <v>1</v>
      </c>
      <c r="L584" s="10">
        <f t="shared" si="11"/>
        <v>0.624</v>
      </c>
      <c r="M584" s="6" t="s">
        <v>103</v>
      </c>
      <c r="N584" s="6"/>
      <c r="O584" s="6"/>
      <c r="P584" s="17" t="s">
        <v>54</v>
      </c>
      <c r="Q584" s="17" t="s">
        <v>54</v>
      </c>
      <c r="R584" s="17"/>
    </row>
    <row r="585" spans="1:18" ht="30" customHeight="1" x14ac:dyDescent="0.3">
      <c r="A585" s="7">
        <v>45923.673657754633</v>
      </c>
      <c r="B585" s="6" t="s">
        <v>5</v>
      </c>
      <c r="C585" s="6"/>
      <c r="D585" s="6" t="str">
        <f>VLOOKUP(B585,'Veri doğrulama'!$D$6:$E$13,2,0)</f>
        <v>MEHMET ÖZEN</v>
      </c>
      <c r="E585" s="6" t="s">
        <v>1174</v>
      </c>
      <c r="F585" s="6" t="s">
        <v>1175</v>
      </c>
      <c r="G585" s="6" t="s">
        <v>18</v>
      </c>
      <c r="H585" s="6" t="s">
        <v>34</v>
      </c>
      <c r="I585" s="6">
        <v>800</v>
      </c>
      <c r="J585" s="6">
        <v>550</v>
      </c>
      <c r="K585" s="6">
        <v>1</v>
      </c>
      <c r="L585" s="10">
        <f t="shared" si="11"/>
        <v>0.44</v>
      </c>
      <c r="M585" s="6" t="s">
        <v>156</v>
      </c>
      <c r="N585" s="6" t="s">
        <v>1171</v>
      </c>
      <c r="O585" s="6"/>
      <c r="P585" s="17" t="s">
        <v>54</v>
      </c>
      <c r="Q585" s="17" t="s">
        <v>54</v>
      </c>
      <c r="R585" s="17"/>
    </row>
    <row r="586" spans="1:18" ht="30" customHeight="1" x14ac:dyDescent="0.3">
      <c r="A586" s="7">
        <v>45923.645895601854</v>
      </c>
      <c r="B586" s="6" t="s">
        <v>7</v>
      </c>
      <c r="C586" s="6"/>
      <c r="D586" s="6" t="str">
        <f>VLOOKUP(B586,'Veri doğrulama'!$D$6:$E$13,2,0)</f>
        <v>SIDDIK KAPLAN</v>
      </c>
      <c r="E586" s="6">
        <v>24626</v>
      </c>
      <c r="F586" s="6" t="s">
        <v>1170</v>
      </c>
      <c r="G586" s="6" t="s">
        <v>18</v>
      </c>
      <c r="H586" s="6" t="s">
        <v>34</v>
      </c>
      <c r="I586" s="6">
        <v>2400</v>
      </c>
      <c r="J586" s="6">
        <v>1100</v>
      </c>
      <c r="K586" s="6">
        <v>1</v>
      </c>
      <c r="L586" s="10">
        <f t="shared" si="11"/>
        <v>2.64</v>
      </c>
      <c r="M586" s="6" t="s">
        <v>43</v>
      </c>
      <c r="N586" s="6"/>
      <c r="O586" s="6"/>
      <c r="P586" s="17" t="s">
        <v>54</v>
      </c>
      <c r="Q586" s="17" t="s">
        <v>54</v>
      </c>
      <c r="R586" s="17"/>
    </row>
    <row r="587" spans="1:18" ht="30" customHeight="1" x14ac:dyDescent="0.3">
      <c r="A587" s="7">
        <v>45923.614022222224</v>
      </c>
      <c r="B587" s="6" t="s">
        <v>5</v>
      </c>
      <c r="C587" s="6"/>
      <c r="D587" s="6" t="str">
        <f>VLOOKUP(B587,'Veri doğrulama'!$D$6:$E$13,2,0)</f>
        <v>MEHMET ÖZEN</v>
      </c>
      <c r="E587" s="6" t="s">
        <v>1172</v>
      </c>
      <c r="F587" s="6" t="s">
        <v>1173</v>
      </c>
      <c r="G587" s="6" t="s">
        <v>15</v>
      </c>
      <c r="H587" s="6" t="s">
        <v>34</v>
      </c>
      <c r="I587" s="6">
        <v>1410</v>
      </c>
      <c r="J587" s="6">
        <v>1410</v>
      </c>
      <c r="K587" s="6">
        <v>1</v>
      </c>
      <c r="L587" s="10">
        <f t="shared" si="11"/>
        <v>1.9881</v>
      </c>
      <c r="M587" s="6" t="s">
        <v>42</v>
      </c>
      <c r="N587" s="6" t="s">
        <v>310</v>
      </c>
      <c r="O587" s="6"/>
      <c r="P587" s="17" t="s">
        <v>54</v>
      </c>
      <c r="Q587" s="17" t="s">
        <v>54</v>
      </c>
      <c r="R587" s="17"/>
    </row>
    <row r="588" spans="1:18" ht="30" customHeight="1" x14ac:dyDescent="0.3">
      <c r="A588" s="7">
        <v>45923.597813657405</v>
      </c>
      <c r="B588" s="6" t="s">
        <v>5</v>
      </c>
      <c r="C588" s="6"/>
      <c r="D588" s="6" t="str">
        <f>VLOOKUP(B588,'Veri doğrulama'!$D$6:$E$13,2,0)</f>
        <v>MEHMET ÖZEN</v>
      </c>
      <c r="E588" s="6" t="s">
        <v>1169</v>
      </c>
      <c r="F588" s="6" t="s">
        <v>1170</v>
      </c>
      <c r="G588" s="6" t="s">
        <v>18</v>
      </c>
      <c r="H588" s="6" t="s">
        <v>34</v>
      </c>
      <c r="I588" s="6">
        <v>2400</v>
      </c>
      <c r="J588" s="6">
        <v>1100</v>
      </c>
      <c r="K588" s="6">
        <v>1</v>
      </c>
      <c r="L588" s="10">
        <f t="shared" si="11"/>
        <v>2.64</v>
      </c>
      <c r="M588" s="6" t="s">
        <v>156</v>
      </c>
      <c r="N588" s="6" t="s">
        <v>1171</v>
      </c>
      <c r="O588" s="6"/>
      <c r="P588" s="17" t="s">
        <v>54</v>
      </c>
      <c r="Q588" s="17" t="s">
        <v>54</v>
      </c>
      <c r="R588" s="17"/>
    </row>
    <row r="589" spans="1:18" ht="30" customHeight="1" x14ac:dyDescent="0.3">
      <c r="A589" s="7">
        <v>45923.560272685187</v>
      </c>
      <c r="B589" s="6" t="s">
        <v>5</v>
      </c>
      <c r="C589" s="6"/>
      <c r="D589" s="6" t="str">
        <f>VLOOKUP(B589,'Veri doğrulama'!$D$6:$E$13,2,0)</f>
        <v>MEHMET ÖZEN</v>
      </c>
      <c r="E589" s="6" t="s">
        <v>1167</v>
      </c>
      <c r="F589" s="6" t="s">
        <v>1168</v>
      </c>
      <c r="G589" s="6" t="s">
        <v>18</v>
      </c>
      <c r="H589" s="6" t="s">
        <v>34</v>
      </c>
      <c r="I589" s="6">
        <v>1400</v>
      </c>
      <c r="J589" s="6">
        <v>800</v>
      </c>
      <c r="K589" s="6">
        <v>1</v>
      </c>
      <c r="L589" s="10">
        <f t="shared" si="11"/>
        <v>1.1200000000000001</v>
      </c>
      <c r="M589" s="6" t="s">
        <v>75</v>
      </c>
      <c r="N589" s="6" t="s">
        <v>1154</v>
      </c>
      <c r="O589" s="6"/>
      <c r="P589" s="17" t="s">
        <v>54</v>
      </c>
      <c r="Q589" s="17" t="s">
        <v>54</v>
      </c>
      <c r="R589" s="17"/>
    </row>
    <row r="590" spans="1:18" ht="30" customHeight="1" x14ac:dyDescent="0.3">
      <c r="A590" s="7">
        <v>45923.559161805555</v>
      </c>
      <c r="B590" s="6" t="s">
        <v>5</v>
      </c>
      <c r="C590" s="6"/>
      <c r="D590" s="6" t="str">
        <f>VLOOKUP(B590,'Veri doğrulama'!$D$6:$E$13,2,0)</f>
        <v>MEHMET ÖZEN</v>
      </c>
      <c r="E590" s="6" t="s">
        <v>1165</v>
      </c>
      <c r="F590" s="6" t="s">
        <v>1166</v>
      </c>
      <c r="G590" s="6" t="s">
        <v>26</v>
      </c>
      <c r="H590" s="6" t="s">
        <v>34</v>
      </c>
      <c r="I590" s="6">
        <v>2200</v>
      </c>
      <c r="J590" s="6">
        <v>450</v>
      </c>
      <c r="K590" s="6">
        <v>1</v>
      </c>
      <c r="L590" s="10">
        <f t="shared" si="11"/>
        <v>0.99</v>
      </c>
      <c r="M590" s="6" t="s">
        <v>75</v>
      </c>
      <c r="N590" s="6" t="s">
        <v>1154</v>
      </c>
      <c r="O590" s="6"/>
      <c r="P590" s="17" t="s">
        <v>54</v>
      </c>
      <c r="Q590" s="17" t="s">
        <v>54</v>
      </c>
      <c r="R590" s="17"/>
    </row>
    <row r="591" spans="1:18" ht="30" customHeight="1" x14ac:dyDescent="0.3">
      <c r="A591" s="7">
        <v>45922.712764699078</v>
      </c>
      <c r="B591" s="6" t="s">
        <v>4</v>
      </c>
      <c r="C591" s="6"/>
      <c r="D591" s="6" t="str">
        <f>VLOOKUP(B591,'Veri doğrulama'!$D$6:$E$13,2,0)</f>
        <v>MEHMET YAZICI</v>
      </c>
      <c r="E591" s="6"/>
      <c r="F591" s="6" t="s">
        <v>1163</v>
      </c>
      <c r="G591" s="6" t="s">
        <v>26</v>
      </c>
      <c r="H591" s="6" t="s">
        <v>34</v>
      </c>
      <c r="I591" s="6">
        <v>2200</v>
      </c>
      <c r="J591" s="6">
        <v>450</v>
      </c>
      <c r="K591" s="6">
        <v>1</v>
      </c>
      <c r="L591" s="10">
        <f t="shared" si="11"/>
        <v>0.99</v>
      </c>
      <c r="M591" s="6" t="s">
        <v>42</v>
      </c>
      <c r="N591" s="6" t="s">
        <v>1164</v>
      </c>
      <c r="O591" s="6"/>
      <c r="P591" s="17" t="s">
        <v>54</v>
      </c>
      <c r="Q591" s="17" t="s">
        <v>54</v>
      </c>
      <c r="R591" s="17"/>
    </row>
    <row r="592" spans="1:18" ht="30" customHeight="1" x14ac:dyDescent="0.3">
      <c r="A592" s="7">
        <v>45922.592359606482</v>
      </c>
      <c r="B592" s="6" t="s">
        <v>4</v>
      </c>
      <c r="C592" s="6"/>
      <c r="D592" s="6" t="str">
        <f>VLOOKUP(B592,'Veri doğrulama'!$D$6:$E$13,2,0)</f>
        <v>MEHMET YAZICI</v>
      </c>
      <c r="E592" s="6"/>
      <c r="F592" s="6" t="s">
        <v>1162</v>
      </c>
      <c r="G592" s="6" t="s">
        <v>15</v>
      </c>
      <c r="H592" s="6" t="s">
        <v>34</v>
      </c>
      <c r="I592" s="6">
        <v>700</v>
      </c>
      <c r="J592" s="6">
        <v>397</v>
      </c>
      <c r="K592" s="6">
        <v>1</v>
      </c>
      <c r="L592" s="10">
        <f t="shared" si="11"/>
        <v>0.27789999999999998</v>
      </c>
      <c r="M592" s="6" t="s">
        <v>103</v>
      </c>
      <c r="N592" s="6"/>
      <c r="O592" s="6"/>
      <c r="P592" s="17" t="s">
        <v>54</v>
      </c>
      <c r="Q592" s="17" t="s">
        <v>54</v>
      </c>
      <c r="R592" s="17"/>
    </row>
    <row r="593" spans="1:18" ht="30" customHeight="1" x14ac:dyDescent="0.3">
      <c r="A593" s="7">
        <v>45922.591602083332</v>
      </c>
      <c r="B593" s="6" t="s">
        <v>4</v>
      </c>
      <c r="C593" s="6"/>
      <c r="D593" s="6" t="str">
        <f>VLOOKUP(B593,'Veri doğrulama'!$D$6:$E$13,2,0)</f>
        <v>MEHMET YAZICI</v>
      </c>
      <c r="E593" s="6"/>
      <c r="F593" s="6" t="s">
        <v>1161</v>
      </c>
      <c r="G593" s="6" t="s">
        <v>28</v>
      </c>
      <c r="H593" s="6" t="s">
        <v>34</v>
      </c>
      <c r="I593" s="6">
        <v>480</v>
      </c>
      <c r="J593" s="6">
        <v>430</v>
      </c>
      <c r="K593" s="6">
        <v>1</v>
      </c>
      <c r="L593" s="10">
        <f t="shared" si="11"/>
        <v>0.2064</v>
      </c>
      <c r="M593" s="6" t="s">
        <v>103</v>
      </c>
      <c r="N593" s="6"/>
      <c r="O593" s="6"/>
      <c r="P593" s="17" t="s">
        <v>54</v>
      </c>
      <c r="Q593" s="17" t="s">
        <v>54</v>
      </c>
      <c r="R593" s="17"/>
    </row>
    <row r="594" spans="1:18" ht="30" customHeight="1" x14ac:dyDescent="0.3">
      <c r="A594" s="7">
        <v>45919.467588888889</v>
      </c>
      <c r="B594" s="6" t="s">
        <v>5</v>
      </c>
      <c r="C594" s="6"/>
      <c r="D594" s="6" t="str">
        <f>VLOOKUP(B594,'Veri doğrulama'!$D$6:$E$13,2,0)</f>
        <v>MEHMET ÖZEN</v>
      </c>
      <c r="E594" s="6" t="s">
        <v>1158</v>
      </c>
      <c r="F594" s="6" t="s">
        <v>1159</v>
      </c>
      <c r="G594" s="6" t="s">
        <v>18</v>
      </c>
      <c r="H594" s="6" t="s">
        <v>34</v>
      </c>
      <c r="I594" s="6">
        <v>1800</v>
      </c>
      <c r="J594" s="6">
        <v>600</v>
      </c>
      <c r="K594" s="6">
        <v>3</v>
      </c>
      <c r="L594" s="10">
        <f t="shared" si="11"/>
        <v>3.24</v>
      </c>
      <c r="M594" s="6" t="s">
        <v>103</v>
      </c>
      <c r="N594" s="6" t="s">
        <v>1154</v>
      </c>
      <c r="O594" s="6"/>
      <c r="P594" s="17" t="s">
        <v>54</v>
      </c>
      <c r="Q594" s="17" t="s">
        <v>54</v>
      </c>
      <c r="R594" s="17"/>
    </row>
    <row r="595" spans="1:18" ht="30" customHeight="1" x14ac:dyDescent="0.3">
      <c r="A595" s="7">
        <v>45918.663332175929</v>
      </c>
      <c r="B595" s="6" t="s">
        <v>5</v>
      </c>
      <c r="C595" s="6"/>
      <c r="D595" s="6" t="str">
        <f>VLOOKUP(B595,'Veri doğrulama'!$D$6:$E$13,2,0)</f>
        <v>MEHMET ÖZEN</v>
      </c>
      <c r="E595" s="6"/>
      <c r="F595" s="6" t="s">
        <v>1160</v>
      </c>
      <c r="G595" s="6" t="s">
        <v>17</v>
      </c>
      <c r="H595" s="6" t="s">
        <v>34</v>
      </c>
      <c r="I595" s="6">
        <v>2200</v>
      </c>
      <c r="J595" s="6">
        <v>450</v>
      </c>
      <c r="K595" s="6">
        <v>1</v>
      </c>
      <c r="L595" s="10">
        <f t="shared" si="11"/>
        <v>0.99</v>
      </c>
      <c r="M595" s="6" t="s">
        <v>103</v>
      </c>
      <c r="N595" s="6"/>
      <c r="O595" s="6"/>
      <c r="P595" s="17" t="s">
        <v>54</v>
      </c>
      <c r="Q595" s="17" t="s">
        <v>54</v>
      </c>
      <c r="R595" s="17"/>
    </row>
    <row r="596" spans="1:18" ht="30" customHeight="1" x14ac:dyDescent="0.3">
      <c r="A596" s="7">
        <v>45917.617158564812</v>
      </c>
      <c r="B596" s="6" t="s">
        <v>5</v>
      </c>
      <c r="C596" s="6"/>
      <c r="D596" s="6" t="str">
        <f>VLOOKUP(B596,'Veri doğrulama'!$D$6:$E$13,2,0)</f>
        <v>MEHMET ÖZEN</v>
      </c>
      <c r="E596" s="6"/>
      <c r="F596" s="6" t="s">
        <v>1157</v>
      </c>
      <c r="G596" s="6" t="s">
        <v>18</v>
      </c>
      <c r="H596" s="6" t="s">
        <v>34</v>
      </c>
      <c r="I596" s="6">
        <v>1800</v>
      </c>
      <c r="J596" s="6">
        <v>390</v>
      </c>
      <c r="K596" s="6">
        <v>1</v>
      </c>
      <c r="L596" s="10">
        <f t="shared" si="11"/>
        <v>0.70199999999999996</v>
      </c>
      <c r="M596" s="6" t="s">
        <v>43</v>
      </c>
      <c r="N596" s="6" t="s">
        <v>524</v>
      </c>
      <c r="O596" s="6"/>
      <c r="P596" s="17" t="s">
        <v>54</v>
      </c>
      <c r="Q596" s="17" t="s">
        <v>54</v>
      </c>
      <c r="R596" s="17"/>
    </row>
    <row r="597" spans="1:18" ht="30" customHeight="1" x14ac:dyDescent="0.3">
      <c r="A597" s="7">
        <v>45917.616243287041</v>
      </c>
      <c r="B597" s="6" t="s">
        <v>5</v>
      </c>
      <c r="C597" s="6"/>
      <c r="D597" s="6" t="str">
        <f>VLOOKUP(B597,'Veri doğrulama'!$D$6:$E$13,2,0)</f>
        <v>MEHMET ÖZEN</v>
      </c>
      <c r="E597" s="6"/>
      <c r="F597" s="6" t="s">
        <v>1156</v>
      </c>
      <c r="G597" s="6" t="s">
        <v>19</v>
      </c>
      <c r="H597" s="6" t="s">
        <v>34</v>
      </c>
      <c r="I597" s="6">
        <v>1810</v>
      </c>
      <c r="J597" s="6">
        <v>545</v>
      </c>
      <c r="K597" s="6">
        <v>1</v>
      </c>
      <c r="L597" s="10">
        <f t="shared" si="11"/>
        <v>0.98645000000000005</v>
      </c>
      <c r="M597" s="6" t="s">
        <v>42</v>
      </c>
      <c r="N597" s="6"/>
      <c r="O597" s="6"/>
      <c r="P597" s="17" t="s">
        <v>54</v>
      </c>
      <c r="Q597" s="17" t="s">
        <v>54</v>
      </c>
      <c r="R597" s="17"/>
    </row>
    <row r="598" spans="1:18" ht="30" customHeight="1" x14ac:dyDescent="0.3">
      <c r="A598" s="7">
        <v>45917.591812962964</v>
      </c>
      <c r="B598" s="6" t="s">
        <v>7</v>
      </c>
      <c r="C598" s="6"/>
      <c r="D598" s="6" t="str">
        <f>VLOOKUP(B598,'Veri doğrulama'!$D$6:$E$13,2,0)</f>
        <v>SIDDIK KAPLAN</v>
      </c>
      <c r="E598" s="6"/>
      <c r="F598" s="6" t="s">
        <v>1155</v>
      </c>
      <c r="G598" s="6" t="s">
        <v>24</v>
      </c>
      <c r="H598" s="6" t="s">
        <v>34</v>
      </c>
      <c r="I598" s="6">
        <v>650</v>
      </c>
      <c r="J598" s="6">
        <v>500</v>
      </c>
      <c r="K598" s="6">
        <v>1</v>
      </c>
      <c r="L598" s="10">
        <f t="shared" si="11"/>
        <v>0.32500000000000001</v>
      </c>
      <c r="M598" s="6" t="s">
        <v>43</v>
      </c>
      <c r="N598" s="6"/>
      <c r="O598" s="6"/>
      <c r="P598" s="17" t="s">
        <v>54</v>
      </c>
      <c r="Q598" s="17" t="s">
        <v>54</v>
      </c>
      <c r="R598" s="17"/>
    </row>
    <row r="599" spans="1:18" ht="30" customHeight="1" x14ac:dyDescent="0.3">
      <c r="A599" s="7">
        <v>45917.402098032406</v>
      </c>
      <c r="B599" s="6" t="s">
        <v>5</v>
      </c>
      <c r="C599" s="6"/>
      <c r="D599" s="6" t="str">
        <f>VLOOKUP(B599,'Veri doğrulama'!$D$6:$E$13,2,0)</f>
        <v>MEHMET ÖZEN</v>
      </c>
      <c r="E599" s="6" t="s">
        <v>1152</v>
      </c>
      <c r="F599" s="6" t="s">
        <v>1153</v>
      </c>
      <c r="G599" s="6" t="s">
        <v>17</v>
      </c>
      <c r="H599" s="6" t="s">
        <v>34</v>
      </c>
      <c r="I599" s="6">
        <v>2200</v>
      </c>
      <c r="J599" s="6">
        <v>450</v>
      </c>
      <c r="K599" s="6">
        <v>1</v>
      </c>
      <c r="L599" s="10">
        <f t="shared" si="11"/>
        <v>0.99</v>
      </c>
      <c r="M599" s="6" t="s">
        <v>156</v>
      </c>
      <c r="N599" s="6" t="s">
        <v>1154</v>
      </c>
      <c r="O599" s="6"/>
      <c r="P599" s="17" t="s">
        <v>54</v>
      </c>
      <c r="Q599" s="17" t="s">
        <v>54</v>
      </c>
      <c r="R599" s="17" t="s">
        <v>54</v>
      </c>
    </row>
    <row r="600" spans="1:18" ht="30" customHeight="1" x14ac:dyDescent="0.3">
      <c r="A600" s="7">
        <v>45917.366260763891</v>
      </c>
      <c r="B600" s="6" t="s">
        <v>5</v>
      </c>
      <c r="C600" s="6"/>
      <c r="D600" s="6" t="str">
        <f>VLOOKUP(B600,'Veri doğrulama'!$D$6:$E$13,2,0)</f>
        <v>MEHMET ÖZEN</v>
      </c>
      <c r="E600" s="6" t="s">
        <v>1152</v>
      </c>
      <c r="F600" s="6" t="s">
        <v>1153</v>
      </c>
      <c r="G600" s="6" t="s">
        <v>17</v>
      </c>
      <c r="H600" s="6" t="s">
        <v>34</v>
      </c>
      <c r="I600" s="6">
        <v>575</v>
      </c>
      <c r="J600" s="6">
        <v>410</v>
      </c>
      <c r="K600" s="6">
        <v>1</v>
      </c>
      <c r="L600" s="10">
        <f t="shared" si="11"/>
        <v>0.23574999999999999</v>
      </c>
      <c r="M600" s="6" t="s">
        <v>103</v>
      </c>
      <c r="N600" s="6"/>
      <c r="O600" s="6"/>
      <c r="P600" s="17" t="s">
        <v>54</v>
      </c>
      <c r="Q600" s="17" t="s">
        <v>54</v>
      </c>
      <c r="R600" s="17" t="s">
        <v>54</v>
      </c>
    </row>
    <row r="601" spans="1:18" ht="30" customHeight="1" x14ac:dyDescent="0.3">
      <c r="A601" s="7">
        <v>45917.351606481483</v>
      </c>
      <c r="B601" s="6" t="s">
        <v>5</v>
      </c>
      <c r="C601" s="6"/>
      <c r="D601" s="6" t="str">
        <f>VLOOKUP(B601,'Veri doğrulama'!$D$6:$E$13,2,0)</f>
        <v>MEHMET ÖZEN</v>
      </c>
      <c r="E601" s="6" t="s">
        <v>1150</v>
      </c>
      <c r="F601" s="6" t="s">
        <v>1151</v>
      </c>
      <c r="G601" s="6" t="s">
        <v>16</v>
      </c>
      <c r="H601" s="6" t="s">
        <v>34</v>
      </c>
      <c r="I601" s="6">
        <v>1600</v>
      </c>
      <c r="J601" s="6">
        <v>800</v>
      </c>
      <c r="K601" s="6">
        <v>1</v>
      </c>
      <c r="L601" s="10">
        <f t="shared" si="11"/>
        <v>1.28</v>
      </c>
      <c r="M601" s="6" t="s">
        <v>102</v>
      </c>
      <c r="N601" s="6"/>
      <c r="O601" s="6"/>
      <c r="P601" s="17" t="s">
        <v>54</v>
      </c>
      <c r="Q601" s="17" t="s">
        <v>54</v>
      </c>
      <c r="R601" s="17" t="s">
        <v>54</v>
      </c>
    </row>
    <row r="602" spans="1:18" ht="30" customHeight="1" x14ac:dyDescent="0.3">
      <c r="A602" s="7">
        <v>45916.728095254628</v>
      </c>
      <c r="B602" s="6" t="s">
        <v>4</v>
      </c>
      <c r="C602" s="6"/>
      <c r="D602" s="6" t="str">
        <f>VLOOKUP(B602,'Veri doğrulama'!$D$6:$E$13,2,0)</f>
        <v>MEHMET YAZICI</v>
      </c>
      <c r="E602" s="6" t="s">
        <v>1149</v>
      </c>
      <c r="F602" s="6" t="s">
        <v>165</v>
      </c>
      <c r="G602" s="6" t="s">
        <v>16</v>
      </c>
      <c r="H602" s="6" t="s">
        <v>34</v>
      </c>
      <c r="I602" s="6">
        <v>1800</v>
      </c>
      <c r="J602" s="6">
        <v>800</v>
      </c>
      <c r="K602" s="6">
        <v>1</v>
      </c>
      <c r="L602" s="10">
        <f t="shared" si="11"/>
        <v>1.44</v>
      </c>
      <c r="M602" s="6" t="s">
        <v>75</v>
      </c>
      <c r="N602" s="6"/>
      <c r="O602" s="6"/>
      <c r="P602" s="17" t="s">
        <v>54</v>
      </c>
      <c r="Q602" s="17" t="s">
        <v>54</v>
      </c>
      <c r="R602" s="17" t="s">
        <v>54</v>
      </c>
    </row>
    <row r="603" spans="1:18" ht="30" customHeight="1" x14ac:dyDescent="0.3">
      <c r="A603" s="7">
        <v>45916.726720370367</v>
      </c>
      <c r="B603" s="6" t="s">
        <v>4</v>
      </c>
      <c r="C603" s="6"/>
      <c r="D603" s="6" t="str">
        <f>VLOOKUP(B603,'Veri doğrulama'!$D$6:$E$13,2,0)</f>
        <v>MEHMET YAZICI</v>
      </c>
      <c r="E603" s="6"/>
      <c r="F603" s="6" t="s">
        <v>1148</v>
      </c>
      <c r="G603" s="6" t="s">
        <v>19</v>
      </c>
      <c r="H603" s="6" t="s">
        <v>34</v>
      </c>
      <c r="I603" s="6">
        <v>698</v>
      </c>
      <c r="J603" s="6">
        <v>435</v>
      </c>
      <c r="K603" s="6">
        <v>1</v>
      </c>
      <c r="L603" s="10">
        <f t="shared" si="11"/>
        <v>0.30363000000000001</v>
      </c>
      <c r="M603" s="6" t="s">
        <v>102</v>
      </c>
      <c r="N603" s="6"/>
      <c r="O603" s="6"/>
      <c r="P603" s="17" t="s">
        <v>54</v>
      </c>
      <c r="Q603" s="17" t="s">
        <v>54</v>
      </c>
      <c r="R603" s="17" t="s">
        <v>54</v>
      </c>
    </row>
    <row r="604" spans="1:18" ht="30" customHeight="1" x14ac:dyDescent="0.3">
      <c r="A604" s="7">
        <v>45916.726029166668</v>
      </c>
      <c r="B604" s="6" t="s">
        <v>4</v>
      </c>
      <c r="C604" s="6"/>
      <c r="D604" s="6" t="str">
        <f>VLOOKUP(B604,'Veri doğrulama'!$D$6:$E$13,2,0)</f>
        <v>MEHMET YAZICI</v>
      </c>
      <c r="E604" s="6"/>
      <c r="F604" s="6" t="s">
        <v>1147</v>
      </c>
      <c r="G604" s="6" t="s">
        <v>15</v>
      </c>
      <c r="H604" s="6" t="s">
        <v>34</v>
      </c>
      <c r="I604" s="6">
        <v>580</v>
      </c>
      <c r="J604" s="6">
        <v>447</v>
      </c>
      <c r="K604" s="6">
        <v>1</v>
      </c>
      <c r="L604" s="10">
        <f t="shared" si="11"/>
        <v>0.25925999999999999</v>
      </c>
      <c r="M604" s="6" t="s">
        <v>75</v>
      </c>
      <c r="N604" s="6"/>
      <c r="O604" s="6"/>
      <c r="P604" s="17" t="s">
        <v>54</v>
      </c>
      <c r="Q604" s="17" t="s">
        <v>54</v>
      </c>
      <c r="R604" s="17" t="s">
        <v>54</v>
      </c>
    </row>
    <row r="605" spans="1:18" ht="30" customHeight="1" x14ac:dyDescent="0.3">
      <c r="A605" s="7">
        <v>45916.719215972225</v>
      </c>
      <c r="B605" s="6" t="s">
        <v>4</v>
      </c>
      <c r="C605" s="6"/>
      <c r="D605" s="6" t="str">
        <f>VLOOKUP(B605,'Veri doğrulama'!$D$6:$E$13,2,0)</f>
        <v>MEHMET YAZICI</v>
      </c>
      <c r="E605" s="6"/>
      <c r="F605" s="6" t="s">
        <v>1146</v>
      </c>
      <c r="G605" s="6" t="s">
        <v>111</v>
      </c>
      <c r="H605" s="6" t="s">
        <v>34</v>
      </c>
      <c r="I605" s="6">
        <v>200</v>
      </c>
      <c r="J605" s="6">
        <v>535</v>
      </c>
      <c r="K605" s="6">
        <v>1</v>
      </c>
      <c r="L605" s="10">
        <f t="shared" si="11"/>
        <v>0.107</v>
      </c>
      <c r="M605" s="6" t="s">
        <v>75</v>
      </c>
      <c r="N605" s="6"/>
      <c r="O605" s="6"/>
      <c r="P605" s="17" t="s">
        <v>54</v>
      </c>
      <c r="Q605" s="17" t="s">
        <v>54</v>
      </c>
      <c r="R605" s="17" t="s">
        <v>54</v>
      </c>
    </row>
    <row r="606" spans="1:18" ht="30" customHeight="1" x14ac:dyDescent="0.3">
      <c r="A606" s="7">
        <v>45916.718459837961</v>
      </c>
      <c r="B606" s="6" t="s">
        <v>4</v>
      </c>
      <c r="C606" s="6"/>
      <c r="D606" s="6" t="str">
        <f>VLOOKUP(B606,'Veri doğrulama'!$D$6:$E$13,2,0)</f>
        <v>MEHMET YAZICI</v>
      </c>
      <c r="E606" s="6" t="s">
        <v>1144</v>
      </c>
      <c r="F606" s="6" t="s">
        <v>1145</v>
      </c>
      <c r="G606" s="6" t="s">
        <v>19</v>
      </c>
      <c r="H606" s="6" t="s">
        <v>34</v>
      </c>
      <c r="I606" s="6">
        <v>650</v>
      </c>
      <c r="J606" s="6">
        <v>292</v>
      </c>
      <c r="K606" s="6">
        <v>1</v>
      </c>
      <c r="L606" s="10">
        <f t="shared" si="11"/>
        <v>0.1898</v>
      </c>
      <c r="M606" s="6" t="s">
        <v>102</v>
      </c>
      <c r="N606" s="6"/>
      <c r="O606" s="6"/>
      <c r="P606" s="17" t="s">
        <v>54</v>
      </c>
      <c r="Q606" s="17" t="s">
        <v>54</v>
      </c>
      <c r="R606" s="17" t="s">
        <v>54</v>
      </c>
    </row>
    <row r="607" spans="1:18" ht="30" customHeight="1" x14ac:dyDescent="0.3">
      <c r="A607" s="7">
        <v>45916.707969328701</v>
      </c>
      <c r="B607" s="6" t="s">
        <v>5</v>
      </c>
      <c r="C607" s="6"/>
      <c r="D607" s="6" t="str">
        <f>VLOOKUP(B607,'Veri doğrulama'!$D$6:$E$13,2,0)</f>
        <v>MEHMET ÖZEN</v>
      </c>
      <c r="E607" s="6">
        <v>24434</v>
      </c>
      <c r="F607" s="6" t="s">
        <v>1143</v>
      </c>
      <c r="G607" s="6" t="s">
        <v>16</v>
      </c>
      <c r="H607" s="6" t="s">
        <v>34</v>
      </c>
      <c r="I607" s="6">
        <v>1800</v>
      </c>
      <c r="J607" s="6">
        <v>800</v>
      </c>
      <c r="K607" s="6">
        <v>1</v>
      </c>
      <c r="L607" s="10">
        <f t="shared" si="11"/>
        <v>1.44</v>
      </c>
      <c r="M607" s="6" t="s">
        <v>103</v>
      </c>
      <c r="N607" s="6"/>
      <c r="O607" s="6"/>
      <c r="P607" s="17" t="s">
        <v>54</v>
      </c>
      <c r="Q607" s="17" t="s">
        <v>54</v>
      </c>
      <c r="R607" s="17" t="s">
        <v>54</v>
      </c>
    </row>
    <row r="608" spans="1:18" ht="30" customHeight="1" x14ac:dyDescent="0.3">
      <c r="A608" s="7">
        <v>45916.573272569447</v>
      </c>
      <c r="B608" s="6" t="s">
        <v>81</v>
      </c>
      <c r="C608" s="6"/>
      <c r="D608" s="6" t="str">
        <f>VLOOKUP(B608,'Veri doğrulama'!$D$6:$E$13,2,0)</f>
        <v>İBRAHİM ÇELİK</v>
      </c>
      <c r="E608" s="6" t="s">
        <v>988</v>
      </c>
      <c r="F608" s="6" t="s">
        <v>1141</v>
      </c>
      <c r="G608" s="6" t="s">
        <v>16</v>
      </c>
      <c r="H608" s="6" t="s">
        <v>34</v>
      </c>
      <c r="I608" s="6">
        <v>1815</v>
      </c>
      <c r="J608" s="6">
        <v>397</v>
      </c>
      <c r="K608" s="6">
        <v>1</v>
      </c>
      <c r="L608" s="10">
        <f t="shared" ref="L608:L639" si="12">I608*J608/1000000*K608</f>
        <v>0.72055499999999995</v>
      </c>
      <c r="M608" s="6" t="s">
        <v>42</v>
      </c>
      <c r="N608" s="6" t="s">
        <v>1142</v>
      </c>
      <c r="O608" s="6"/>
      <c r="P608" s="17" t="s">
        <v>54</v>
      </c>
      <c r="Q608" s="17" t="s">
        <v>54</v>
      </c>
      <c r="R608" s="17" t="s">
        <v>54</v>
      </c>
    </row>
    <row r="609" spans="1:18" ht="30" customHeight="1" x14ac:dyDescent="0.3">
      <c r="A609" s="7">
        <v>45916.50258252315</v>
      </c>
      <c r="B609" s="6" t="s">
        <v>5</v>
      </c>
      <c r="C609" s="6"/>
      <c r="D609" s="6" t="str">
        <f>VLOOKUP(B609,'Veri doğrulama'!$D$6:$E$13,2,0)</f>
        <v>MEHMET ÖZEN</v>
      </c>
      <c r="E609" s="6">
        <v>24456</v>
      </c>
      <c r="F609" s="6" t="s">
        <v>700</v>
      </c>
      <c r="G609" s="6" t="s">
        <v>19</v>
      </c>
      <c r="H609" s="6" t="s">
        <v>34</v>
      </c>
      <c r="I609" s="6">
        <v>2000</v>
      </c>
      <c r="J609" s="6">
        <v>900</v>
      </c>
      <c r="K609" s="6">
        <v>1</v>
      </c>
      <c r="L609" s="10">
        <f t="shared" si="12"/>
        <v>1.8</v>
      </c>
      <c r="M609" s="6" t="s">
        <v>102</v>
      </c>
      <c r="N609" s="6"/>
      <c r="O609" s="6"/>
      <c r="P609" s="17" t="s">
        <v>54</v>
      </c>
      <c r="Q609" s="17" t="s">
        <v>54</v>
      </c>
      <c r="R609" s="17" t="s">
        <v>54</v>
      </c>
    </row>
    <row r="610" spans="1:18" ht="30" customHeight="1" x14ac:dyDescent="0.3">
      <c r="A610" s="7">
        <v>45915.364513773151</v>
      </c>
      <c r="B610" s="6" t="s">
        <v>4</v>
      </c>
      <c r="C610" s="6"/>
      <c r="D610" s="6" t="str">
        <f>VLOOKUP(B610,'Veri doğrulama'!$D$6:$E$13,2,0)</f>
        <v>MEHMET YAZICI</v>
      </c>
      <c r="E610" s="6"/>
      <c r="F610" s="6" t="s">
        <v>213</v>
      </c>
      <c r="G610" s="6" t="s">
        <v>19</v>
      </c>
      <c r="H610" s="6" t="s">
        <v>34</v>
      </c>
      <c r="I610" s="6">
        <v>2386</v>
      </c>
      <c r="J610" s="6">
        <v>350</v>
      </c>
      <c r="K610" s="6">
        <v>1</v>
      </c>
      <c r="L610" s="10">
        <f t="shared" si="12"/>
        <v>0.83509999999999995</v>
      </c>
      <c r="M610" s="6" t="s">
        <v>102</v>
      </c>
      <c r="N610" s="6"/>
      <c r="O610" s="6"/>
      <c r="P610" s="17" t="s">
        <v>54</v>
      </c>
      <c r="Q610" s="17" t="s">
        <v>54</v>
      </c>
      <c r="R610" s="17" t="s">
        <v>54</v>
      </c>
    </row>
    <row r="611" spans="1:18" ht="30" customHeight="1" x14ac:dyDescent="0.3">
      <c r="A611" s="7">
        <v>45912.737750231485</v>
      </c>
      <c r="B611" s="6" t="s">
        <v>4</v>
      </c>
      <c r="C611" s="6"/>
      <c r="D611" s="6" t="str">
        <f>VLOOKUP(B611,'Veri doğrulama'!$D$6:$E$13,2,0)</f>
        <v>MEHMET YAZICI</v>
      </c>
      <c r="E611" s="6"/>
      <c r="F611" s="6" t="s">
        <v>1140</v>
      </c>
      <c r="G611" s="6" t="s">
        <v>14</v>
      </c>
      <c r="H611" s="6" t="s">
        <v>34</v>
      </c>
      <c r="I611" s="6">
        <v>650</v>
      </c>
      <c r="J611" s="6">
        <v>292</v>
      </c>
      <c r="K611" s="6">
        <v>1</v>
      </c>
      <c r="L611" s="10">
        <f t="shared" si="12"/>
        <v>0.1898</v>
      </c>
      <c r="M611" s="6" t="s">
        <v>75</v>
      </c>
      <c r="N611" s="6"/>
      <c r="O611" s="6"/>
      <c r="P611" s="17" t="s">
        <v>54</v>
      </c>
      <c r="Q611" s="17" t="s">
        <v>54</v>
      </c>
      <c r="R611" s="17" t="s">
        <v>54</v>
      </c>
    </row>
    <row r="612" spans="1:18" ht="30" customHeight="1" x14ac:dyDescent="0.3">
      <c r="A612" s="7">
        <v>45912.737202893521</v>
      </c>
      <c r="B612" s="6" t="s">
        <v>4</v>
      </c>
      <c r="C612" s="6"/>
      <c r="D612" s="6" t="str">
        <f>VLOOKUP(B612,'Veri doğrulama'!$D$6:$E$13,2,0)</f>
        <v>MEHMET YAZICI</v>
      </c>
      <c r="E612" s="6"/>
      <c r="F612" s="6" t="s">
        <v>1139</v>
      </c>
      <c r="G612" s="6" t="s">
        <v>15</v>
      </c>
      <c r="H612" s="6" t="s">
        <v>34</v>
      </c>
      <c r="I612" s="6">
        <v>1400</v>
      </c>
      <c r="J612" s="6">
        <v>800</v>
      </c>
      <c r="K612" s="6">
        <v>1</v>
      </c>
      <c r="L612" s="10">
        <f t="shared" si="12"/>
        <v>1.1200000000000001</v>
      </c>
      <c r="M612" s="6" t="s">
        <v>103</v>
      </c>
      <c r="N612" s="6"/>
      <c r="O612" s="6"/>
      <c r="P612" s="17" t="s">
        <v>54</v>
      </c>
      <c r="Q612" s="17" t="s">
        <v>54</v>
      </c>
      <c r="R612" s="17" t="s">
        <v>54</v>
      </c>
    </row>
    <row r="613" spans="1:18" ht="30" customHeight="1" x14ac:dyDescent="0.3">
      <c r="A613" s="7">
        <v>45912.696839467593</v>
      </c>
      <c r="B613" s="6" t="s">
        <v>81</v>
      </c>
      <c r="C613" s="6"/>
      <c r="D613" s="6" t="str">
        <f>VLOOKUP(B613,'Veri doğrulama'!$D$6:$E$13,2,0)</f>
        <v>İBRAHİM ÇELİK</v>
      </c>
      <c r="E613" s="6"/>
      <c r="F613" s="6" t="s">
        <v>1136</v>
      </c>
      <c r="G613" s="6" t="s">
        <v>1137</v>
      </c>
      <c r="H613" s="6" t="s">
        <v>34</v>
      </c>
      <c r="I613" s="6">
        <v>1120</v>
      </c>
      <c r="J613" s="6">
        <v>1120</v>
      </c>
      <c r="K613" s="6">
        <v>1</v>
      </c>
      <c r="L613" s="10">
        <f t="shared" si="12"/>
        <v>1.2544</v>
      </c>
      <c r="M613" s="6" t="s">
        <v>43</v>
      </c>
      <c r="N613" s="6" t="s">
        <v>1138</v>
      </c>
      <c r="O613" s="6"/>
      <c r="P613" s="17" t="s">
        <v>54</v>
      </c>
      <c r="Q613" s="17" t="s">
        <v>54</v>
      </c>
      <c r="R613" s="17" t="s">
        <v>54</v>
      </c>
    </row>
    <row r="614" spans="1:18" ht="30" customHeight="1" x14ac:dyDescent="0.3">
      <c r="A614" s="7">
        <v>45912.65090104167</v>
      </c>
      <c r="B614" s="6" t="s">
        <v>5</v>
      </c>
      <c r="C614" s="6"/>
      <c r="D614" s="6" t="str">
        <f>VLOOKUP(B614,'Veri doğrulama'!$D$6:$E$13,2,0)</f>
        <v>MEHMET ÖZEN</v>
      </c>
      <c r="E614" s="6"/>
      <c r="F614" s="6" t="s">
        <v>1135</v>
      </c>
      <c r="G614" s="6" t="s">
        <v>19</v>
      </c>
      <c r="H614" s="6" t="s">
        <v>33</v>
      </c>
      <c r="I614" s="6">
        <v>2220</v>
      </c>
      <c r="J614" s="6">
        <v>970</v>
      </c>
      <c r="K614" s="6">
        <v>1</v>
      </c>
      <c r="L614" s="10">
        <f t="shared" si="12"/>
        <v>2.1534</v>
      </c>
      <c r="M614" s="6" t="s">
        <v>42</v>
      </c>
      <c r="N614" s="6"/>
      <c r="O614" s="6"/>
      <c r="P614" s="17" t="s">
        <v>54</v>
      </c>
      <c r="Q614" s="17" t="s">
        <v>54</v>
      </c>
      <c r="R614" s="17" t="s">
        <v>54</v>
      </c>
    </row>
    <row r="615" spans="1:18" ht="30" customHeight="1" x14ac:dyDescent="0.3">
      <c r="A615" s="7">
        <v>45912.647043287034</v>
      </c>
      <c r="B615" s="6" t="s">
        <v>5</v>
      </c>
      <c r="C615" s="6"/>
      <c r="D615" s="6" t="str">
        <f>VLOOKUP(B615,'Veri doğrulama'!$D$6:$E$13,2,0)</f>
        <v>MEHMET ÖZEN</v>
      </c>
      <c r="E615" s="6"/>
      <c r="F615" s="6" t="s">
        <v>1134</v>
      </c>
      <c r="G615" s="6" t="s">
        <v>19</v>
      </c>
      <c r="H615" s="6" t="s">
        <v>34</v>
      </c>
      <c r="I615" s="6">
        <v>2220</v>
      </c>
      <c r="J615" s="6">
        <v>970</v>
      </c>
      <c r="K615" s="6">
        <v>1</v>
      </c>
      <c r="L615" s="10">
        <f t="shared" si="12"/>
        <v>2.1534</v>
      </c>
      <c r="M615" s="6" t="s">
        <v>43</v>
      </c>
      <c r="N615" s="6" t="s">
        <v>468</v>
      </c>
      <c r="O615" s="6"/>
      <c r="P615" s="17" t="s">
        <v>54</v>
      </c>
      <c r="Q615" s="17" t="s">
        <v>54</v>
      </c>
      <c r="R615" s="17" t="s">
        <v>54</v>
      </c>
    </row>
    <row r="616" spans="1:18" ht="30" customHeight="1" x14ac:dyDescent="0.3">
      <c r="A616" s="7">
        <v>45912.349662499997</v>
      </c>
      <c r="B616" s="6" t="s">
        <v>5</v>
      </c>
      <c r="C616" s="6"/>
      <c r="D616" s="6" t="str">
        <f>VLOOKUP(B616,'Veri doğrulama'!$D$6:$E$13,2,0)</f>
        <v>MEHMET ÖZEN</v>
      </c>
      <c r="E616" s="6"/>
      <c r="F616" s="6" t="s">
        <v>1133</v>
      </c>
      <c r="G616" s="6" t="s">
        <v>19</v>
      </c>
      <c r="H616" s="6" t="s">
        <v>34</v>
      </c>
      <c r="I616" s="6">
        <v>2386</v>
      </c>
      <c r="J616" s="6">
        <v>350</v>
      </c>
      <c r="K616" s="6">
        <v>1</v>
      </c>
      <c r="L616" s="10">
        <f t="shared" si="12"/>
        <v>0.83509999999999995</v>
      </c>
      <c r="M616" s="6" t="s">
        <v>102</v>
      </c>
      <c r="N616" s="6"/>
      <c r="O616" s="6"/>
      <c r="P616" s="17" t="s">
        <v>54</v>
      </c>
      <c r="Q616" s="17" t="s">
        <v>54</v>
      </c>
      <c r="R616" s="17" t="s">
        <v>54</v>
      </c>
    </row>
    <row r="617" spans="1:18" ht="30" customHeight="1" x14ac:dyDescent="0.3">
      <c r="A617" s="7">
        <v>45912.349002546296</v>
      </c>
      <c r="B617" s="6" t="s">
        <v>5</v>
      </c>
      <c r="C617" s="6"/>
      <c r="D617" s="6" t="str">
        <f>VLOOKUP(B617,'Veri doğrulama'!$D$6:$E$13,2,0)</f>
        <v>MEHMET ÖZEN</v>
      </c>
      <c r="E617" s="6"/>
      <c r="F617" s="6" t="s">
        <v>1132</v>
      </c>
      <c r="G617" s="6" t="s">
        <v>27</v>
      </c>
      <c r="H617" s="6" t="s">
        <v>34</v>
      </c>
      <c r="I617" s="6">
        <v>2386</v>
      </c>
      <c r="J617" s="6">
        <v>586</v>
      </c>
      <c r="K617" s="6">
        <v>1</v>
      </c>
      <c r="L617" s="10">
        <f t="shared" si="12"/>
        <v>1.398196</v>
      </c>
      <c r="M617" s="6" t="s">
        <v>102</v>
      </c>
      <c r="N617" s="6"/>
      <c r="O617" s="6"/>
      <c r="P617" s="17" t="s">
        <v>54</v>
      </c>
      <c r="Q617" s="17" t="s">
        <v>54</v>
      </c>
      <c r="R617" s="17" t="s">
        <v>54</v>
      </c>
    </row>
    <row r="618" spans="1:18" ht="30" customHeight="1" x14ac:dyDescent="0.3">
      <c r="A618" s="7">
        <v>45911.606907754627</v>
      </c>
      <c r="B618" s="6" t="s">
        <v>4</v>
      </c>
      <c r="C618" s="6"/>
      <c r="D618" s="6" t="str">
        <f>VLOOKUP(B618,'Veri doğrulama'!$D$6:$E$13,2,0)</f>
        <v>MEHMET YAZICI</v>
      </c>
      <c r="E618" s="6"/>
      <c r="F618" s="6" t="s">
        <v>1131</v>
      </c>
      <c r="G618" s="6" t="s">
        <v>15</v>
      </c>
      <c r="H618" s="6" t="s">
        <v>34</v>
      </c>
      <c r="I618" s="6">
        <v>1600</v>
      </c>
      <c r="J618" s="6">
        <v>1600</v>
      </c>
      <c r="K618" s="6">
        <v>1</v>
      </c>
      <c r="L618" s="10">
        <f t="shared" si="12"/>
        <v>2.56</v>
      </c>
      <c r="M618" s="6" t="s">
        <v>102</v>
      </c>
      <c r="N618" s="6"/>
      <c r="O618" s="6"/>
      <c r="P618" s="17" t="s">
        <v>54</v>
      </c>
      <c r="Q618" s="17" t="s">
        <v>54</v>
      </c>
      <c r="R618" s="17" t="s">
        <v>54</v>
      </c>
    </row>
    <row r="619" spans="1:18" ht="30" customHeight="1" x14ac:dyDescent="0.3">
      <c r="A619" s="7">
        <v>45911.579656481481</v>
      </c>
      <c r="B619" s="6" t="s">
        <v>7</v>
      </c>
      <c r="C619" s="6"/>
      <c r="D619" s="6" t="str">
        <f>VLOOKUP(B619,'Veri doğrulama'!$D$6:$E$13,2,0)</f>
        <v>SIDDIK KAPLAN</v>
      </c>
      <c r="E619" s="6"/>
      <c r="F619" s="6" t="s">
        <v>1129</v>
      </c>
      <c r="G619" s="6" t="s">
        <v>15</v>
      </c>
      <c r="H619" s="6" t="s">
        <v>34</v>
      </c>
      <c r="I619" s="6">
        <v>1400</v>
      </c>
      <c r="J619" s="6">
        <v>800</v>
      </c>
      <c r="K619" s="6">
        <v>1</v>
      </c>
      <c r="L619" s="10">
        <f t="shared" si="12"/>
        <v>1.1200000000000001</v>
      </c>
      <c r="M619" s="6" t="s">
        <v>43</v>
      </c>
      <c r="N619" s="6" t="s">
        <v>1130</v>
      </c>
      <c r="O619" s="6"/>
      <c r="P619" s="17" t="s">
        <v>54</v>
      </c>
      <c r="Q619" s="17" t="s">
        <v>54</v>
      </c>
      <c r="R619" s="17" t="s">
        <v>54</v>
      </c>
    </row>
    <row r="620" spans="1:18" ht="30" customHeight="1" x14ac:dyDescent="0.3">
      <c r="A620" s="7">
        <v>45911.505379745373</v>
      </c>
      <c r="B620" s="6" t="s">
        <v>4</v>
      </c>
      <c r="C620" s="6"/>
      <c r="D620" s="6" t="str">
        <f>VLOOKUP(B620,'Veri doğrulama'!$D$6:$E$13,2,0)</f>
        <v>MEHMET YAZICI</v>
      </c>
      <c r="E620" s="6">
        <v>24512</v>
      </c>
      <c r="F620" s="6" t="s">
        <v>1128</v>
      </c>
      <c r="G620" s="6" t="s">
        <v>19</v>
      </c>
      <c r="H620" s="6" t="s">
        <v>34</v>
      </c>
      <c r="I620" s="6">
        <v>695</v>
      </c>
      <c r="J620" s="6">
        <v>447</v>
      </c>
      <c r="K620" s="6">
        <v>1</v>
      </c>
      <c r="L620" s="10">
        <f t="shared" si="12"/>
        <v>0.31066500000000002</v>
      </c>
      <c r="M620" s="6" t="s">
        <v>102</v>
      </c>
      <c r="N620" s="6"/>
      <c r="O620" s="6"/>
      <c r="P620" s="17" t="s">
        <v>54</v>
      </c>
      <c r="Q620" s="17" t="s">
        <v>54</v>
      </c>
      <c r="R620" s="17" t="s">
        <v>54</v>
      </c>
    </row>
    <row r="621" spans="1:18" ht="30" customHeight="1" x14ac:dyDescent="0.3">
      <c r="A621" s="7">
        <v>45911.385192708331</v>
      </c>
      <c r="B621" s="6" t="s">
        <v>5</v>
      </c>
      <c r="C621" s="6"/>
      <c r="D621" s="6" t="str">
        <f>VLOOKUP(B621,'Veri doğrulama'!$D$6:$E$13,2,0)</f>
        <v>MEHMET ÖZEN</v>
      </c>
      <c r="E621" s="6"/>
      <c r="F621" s="6" t="s">
        <v>116</v>
      </c>
      <c r="G621" s="6" t="s">
        <v>26</v>
      </c>
      <c r="H621" s="6" t="s">
        <v>34</v>
      </c>
      <c r="I621" s="6">
        <v>2600</v>
      </c>
      <c r="J621" s="6">
        <v>600</v>
      </c>
      <c r="K621" s="6">
        <v>1</v>
      </c>
      <c r="L621" s="10">
        <f t="shared" si="12"/>
        <v>1.56</v>
      </c>
      <c r="M621" s="6" t="s">
        <v>37</v>
      </c>
      <c r="N621" s="6"/>
      <c r="O621" s="6"/>
      <c r="P621" s="17" t="s">
        <v>54</v>
      </c>
      <c r="Q621" s="17" t="s">
        <v>54</v>
      </c>
      <c r="R621" s="17" t="s">
        <v>54</v>
      </c>
    </row>
    <row r="622" spans="1:18" ht="30" customHeight="1" x14ac:dyDescent="0.3">
      <c r="A622" s="7">
        <v>45910.75408796296</v>
      </c>
      <c r="B622" s="6" t="s">
        <v>4</v>
      </c>
      <c r="C622" s="6"/>
      <c r="D622" s="6" t="str">
        <f>VLOOKUP(B622,'Veri doğrulama'!$D$6:$E$13,2,0)</f>
        <v>MEHMET YAZICI</v>
      </c>
      <c r="E622" s="6">
        <v>24482</v>
      </c>
      <c r="F622" s="6" t="s">
        <v>1125</v>
      </c>
      <c r="G622" s="6" t="s">
        <v>13</v>
      </c>
      <c r="H622" s="6" t="s">
        <v>34</v>
      </c>
      <c r="I622" s="6">
        <v>2200</v>
      </c>
      <c r="J622" s="6">
        <v>410</v>
      </c>
      <c r="K622" s="6">
        <v>1</v>
      </c>
      <c r="L622" s="10">
        <f t="shared" si="12"/>
        <v>0.90200000000000002</v>
      </c>
      <c r="M622" s="6" t="s">
        <v>75</v>
      </c>
      <c r="N622" s="6"/>
      <c r="O622" s="6"/>
      <c r="P622" s="17" t="s">
        <v>54</v>
      </c>
      <c r="Q622" s="17" t="s">
        <v>54</v>
      </c>
      <c r="R622" s="17" t="s">
        <v>54</v>
      </c>
    </row>
    <row r="623" spans="1:18" ht="30" customHeight="1" x14ac:dyDescent="0.3">
      <c r="A623" s="7">
        <v>45910.696414004633</v>
      </c>
      <c r="B623" s="6" t="s">
        <v>5</v>
      </c>
      <c r="C623" s="6"/>
      <c r="D623" s="6" t="str">
        <f>VLOOKUP(B623,'Veri doğrulama'!$D$6:$E$13,2,0)</f>
        <v>MEHMET ÖZEN</v>
      </c>
      <c r="E623" s="6"/>
      <c r="F623" s="6" t="s">
        <v>538</v>
      </c>
      <c r="G623" s="6" t="s">
        <v>18</v>
      </c>
      <c r="H623" s="6" t="s">
        <v>34</v>
      </c>
      <c r="I623" s="6">
        <v>2200</v>
      </c>
      <c r="J623" s="6">
        <v>410</v>
      </c>
      <c r="K623" s="6">
        <v>1</v>
      </c>
      <c r="L623" s="10">
        <f t="shared" si="12"/>
        <v>0.90200000000000002</v>
      </c>
      <c r="M623" s="6" t="s">
        <v>42</v>
      </c>
      <c r="N623" s="6"/>
      <c r="O623" s="6"/>
      <c r="P623" s="17" t="s">
        <v>54</v>
      </c>
      <c r="Q623" s="17" t="s">
        <v>54</v>
      </c>
      <c r="R623" s="17" t="s">
        <v>54</v>
      </c>
    </row>
    <row r="624" spans="1:18" ht="30" customHeight="1" x14ac:dyDescent="0.3">
      <c r="A624" s="7">
        <v>45910.695740740739</v>
      </c>
      <c r="B624" s="6" t="s">
        <v>5</v>
      </c>
      <c r="C624" s="6"/>
      <c r="D624" s="6" t="str">
        <f>VLOOKUP(B624,'Veri doğrulama'!$D$6:$E$13,2,0)</f>
        <v>MEHMET ÖZEN</v>
      </c>
      <c r="E624" s="6"/>
      <c r="F624" s="6" t="s">
        <v>733</v>
      </c>
      <c r="G624" s="6" t="s">
        <v>18</v>
      </c>
      <c r="H624" s="6" t="s">
        <v>34</v>
      </c>
      <c r="I624" s="6">
        <v>2200</v>
      </c>
      <c r="J624" s="6">
        <v>450</v>
      </c>
      <c r="K624" s="6">
        <v>1</v>
      </c>
      <c r="L624" s="10">
        <f t="shared" si="12"/>
        <v>0.99</v>
      </c>
      <c r="M624" s="6" t="s">
        <v>42</v>
      </c>
      <c r="N624" s="6"/>
      <c r="O624" s="6"/>
      <c r="P624" s="17" t="s">
        <v>54</v>
      </c>
      <c r="Q624" s="17" t="s">
        <v>54</v>
      </c>
      <c r="R624" s="17" t="s">
        <v>54</v>
      </c>
    </row>
    <row r="625" spans="1:18" ht="30" customHeight="1" x14ac:dyDescent="0.3">
      <c r="A625" s="7">
        <v>45910.61003541667</v>
      </c>
      <c r="B625" s="6" t="s">
        <v>5</v>
      </c>
      <c r="C625" s="6"/>
      <c r="D625" s="6" t="str">
        <f>VLOOKUP(B625,'Veri doğrulama'!$D$6:$E$13,2,0)</f>
        <v>MEHMET ÖZEN</v>
      </c>
      <c r="E625" s="6"/>
      <c r="F625" s="6" t="s">
        <v>1126</v>
      </c>
      <c r="G625" s="6" t="s">
        <v>13</v>
      </c>
      <c r="H625" s="6" t="s">
        <v>34</v>
      </c>
      <c r="I625" s="6">
        <v>1200</v>
      </c>
      <c r="J625" s="6">
        <v>500</v>
      </c>
      <c r="K625" s="6">
        <v>1</v>
      </c>
      <c r="L625" s="10">
        <f t="shared" si="12"/>
        <v>0.6</v>
      </c>
      <c r="M625" s="6" t="s">
        <v>42</v>
      </c>
      <c r="N625" s="6"/>
      <c r="O625" s="6"/>
      <c r="P625" s="17" t="s">
        <v>54</v>
      </c>
      <c r="Q625" s="17" t="s">
        <v>54</v>
      </c>
      <c r="R625" s="17" t="s">
        <v>54</v>
      </c>
    </row>
    <row r="626" spans="1:18" ht="30" customHeight="1" x14ac:dyDescent="0.3">
      <c r="A626" s="7">
        <v>45910.608943749998</v>
      </c>
      <c r="B626" s="6" t="s">
        <v>7</v>
      </c>
      <c r="C626" s="6"/>
      <c r="D626" s="6" t="str">
        <f>VLOOKUP(B626,'Veri doğrulama'!$D$6:$E$13,2,0)</f>
        <v>SIDDIK KAPLAN</v>
      </c>
      <c r="E626" s="6"/>
      <c r="F626" s="6" t="s">
        <v>1127</v>
      </c>
      <c r="G626" s="6" t="s">
        <v>19</v>
      </c>
      <c r="H626" s="6" t="s">
        <v>34</v>
      </c>
      <c r="I626" s="6">
        <v>1200</v>
      </c>
      <c r="J626" s="6">
        <v>500</v>
      </c>
      <c r="K626" s="6">
        <v>1</v>
      </c>
      <c r="L626" s="10">
        <f t="shared" si="12"/>
        <v>0.6</v>
      </c>
      <c r="M626" s="6" t="s">
        <v>102</v>
      </c>
      <c r="N626" s="6"/>
      <c r="O626" s="6"/>
      <c r="P626" s="17" t="s">
        <v>54</v>
      </c>
      <c r="Q626" s="17" t="s">
        <v>54</v>
      </c>
      <c r="R626" s="17" t="s">
        <v>54</v>
      </c>
    </row>
    <row r="627" spans="1:18" ht="30" customHeight="1" x14ac:dyDescent="0.3">
      <c r="A627" s="7">
        <v>45910.504857638887</v>
      </c>
      <c r="B627" s="6" t="s">
        <v>4</v>
      </c>
      <c r="C627" s="6"/>
      <c r="D627" s="6" t="str">
        <f>VLOOKUP(B627,'Veri doğrulama'!$D$6:$E$13,2,0)</f>
        <v>MEHMET YAZICI</v>
      </c>
      <c r="E627" s="6">
        <v>24251</v>
      </c>
      <c r="F627" s="6" t="s">
        <v>281</v>
      </c>
      <c r="G627" s="6" t="s">
        <v>29</v>
      </c>
      <c r="H627" s="6" t="s">
        <v>34</v>
      </c>
      <c r="I627" s="6">
        <v>1800</v>
      </c>
      <c r="J627" s="6">
        <v>390</v>
      </c>
      <c r="K627" s="6">
        <v>1</v>
      </c>
      <c r="L627" s="10">
        <f t="shared" si="12"/>
        <v>0.70199999999999996</v>
      </c>
      <c r="M627" s="6" t="s">
        <v>42</v>
      </c>
      <c r="N627" s="6" t="s">
        <v>159</v>
      </c>
      <c r="O627" s="6"/>
      <c r="P627" s="17" t="s">
        <v>54</v>
      </c>
      <c r="Q627" s="17" t="s">
        <v>54</v>
      </c>
      <c r="R627" s="17" t="s">
        <v>54</v>
      </c>
    </row>
    <row r="628" spans="1:18" ht="30" customHeight="1" x14ac:dyDescent="0.3">
      <c r="A628" s="7">
        <v>45910.462000925923</v>
      </c>
      <c r="B628" s="6" t="s">
        <v>5</v>
      </c>
      <c r="C628" s="6"/>
      <c r="D628" s="6" t="str">
        <f>VLOOKUP(B628,'Veri doğrulama'!$D$6:$E$13,2,0)</f>
        <v>MEHMET ÖZEN</v>
      </c>
      <c r="E628" s="6" t="s">
        <v>1123</v>
      </c>
      <c r="F628" s="6" t="s">
        <v>1124</v>
      </c>
      <c r="G628" s="6" t="s">
        <v>16</v>
      </c>
      <c r="H628" s="6" t="s">
        <v>34</v>
      </c>
      <c r="I628" s="6">
        <v>1800</v>
      </c>
      <c r="J628" s="6">
        <v>800</v>
      </c>
      <c r="K628" s="6">
        <v>1</v>
      </c>
      <c r="L628" s="10">
        <f t="shared" si="12"/>
        <v>1.44</v>
      </c>
      <c r="M628" s="6" t="s">
        <v>102</v>
      </c>
      <c r="N628" s="6"/>
      <c r="O628" s="6"/>
      <c r="P628" s="17" t="s">
        <v>54</v>
      </c>
      <c r="Q628" s="17" t="s">
        <v>54</v>
      </c>
      <c r="R628" s="17" t="s">
        <v>54</v>
      </c>
    </row>
    <row r="629" spans="1:18" ht="30" customHeight="1" x14ac:dyDescent="0.3">
      <c r="A629" s="7">
        <v>45909.607757291669</v>
      </c>
      <c r="B629" s="6" t="s">
        <v>5</v>
      </c>
      <c r="C629" s="6"/>
      <c r="D629" s="6" t="str">
        <f>VLOOKUP(B629,'Veri doğrulama'!$D$6:$E$13,2,0)</f>
        <v>MEHMET ÖZEN</v>
      </c>
      <c r="E629" s="6" t="s">
        <v>1121</v>
      </c>
      <c r="F629" s="6" t="s">
        <v>1122</v>
      </c>
      <c r="G629" s="6" t="s">
        <v>1010</v>
      </c>
      <c r="H629" s="6" t="s">
        <v>35</v>
      </c>
      <c r="I629" s="6">
        <v>1900</v>
      </c>
      <c r="J629" s="6">
        <v>1380</v>
      </c>
      <c r="K629" s="6">
        <v>1</v>
      </c>
      <c r="L629" s="10">
        <f t="shared" si="12"/>
        <v>2.6219999999999999</v>
      </c>
      <c r="M629" s="6" t="s">
        <v>42</v>
      </c>
      <c r="N629" s="6" t="s">
        <v>853</v>
      </c>
      <c r="O629" s="6"/>
      <c r="P629" s="17" t="s">
        <v>54</v>
      </c>
      <c r="Q629" s="17" t="s">
        <v>54</v>
      </c>
      <c r="R629" s="17" t="s">
        <v>54</v>
      </c>
    </row>
    <row r="630" spans="1:18" ht="30" customHeight="1" x14ac:dyDescent="0.3">
      <c r="A630" s="7">
        <v>45909.457169328707</v>
      </c>
      <c r="B630" s="6" t="s">
        <v>5</v>
      </c>
      <c r="C630" s="6"/>
      <c r="D630" s="6" t="str">
        <f>VLOOKUP(B630,'Veri doğrulama'!$D$6:$E$13,2,0)</f>
        <v>MEHMET ÖZEN</v>
      </c>
      <c r="E630" s="6"/>
      <c r="F630" s="6" t="s">
        <v>1120</v>
      </c>
      <c r="G630" s="6" t="s">
        <v>16</v>
      </c>
      <c r="H630" s="6" t="s">
        <v>34</v>
      </c>
      <c r="I630" s="6">
        <v>2600</v>
      </c>
      <c r="J630" s="6">
        <v>900</v>
      </c>
      <c r="K630" s="6">
        <v>1</v>
      </c>
      <c r="L630" s="10">
        <f t="shared" si="12"/>
        <v>2.34</v>
      </c>
      <c r="M630" s="6" t="s">
        <v>103</v>
      </c>
      <c r="N630" s="6"/>
      <c r="O630" s="6"/>
      <c r="P630" s="17" t="s">
        <v>54</v>
      </c>
      <c r="Q630" s="17" t="s">
        <v>54</v>
      </c>
      <c r="R630" s="17" t="s">
        <v>54</v>
      </c>
    </row>
    <row r="631" spans="1:18" ht="30" customHeight="1" x14ac:dyDescent="0.3">
      <c r="A631" s="7">
        <v>45909.377656712961</v>
      </c>
      <c r="B631" s="6" t="s">
        <v>5</v>
      </c>
      <c r="C631" s="6"/>
      <c r="D631" s="6" t="str">
        <f>VLOOKUP(B631,'Veri doğrulama'!$D$6:$E$13,2,0)</f>
        <v>MEHMET ÖZEN</v>
      </c>
      <c r="E631" s="6"/>
      <c r="F631" s="6" t="s">
        <v>1119</v>
      </c>
      <c r="G631" s="6" t="s">
        <v>24</v>
      </c>
      <c r="H631" s="6" t="s">
        <v>34</v>
      </c>
      <c r="I631" s="6">
        <v>1790</v>
      </c>
      <c r="J631" s="6">
        <v>840</v>
      </c>
      <c r="K631" s="6">
        <v>1</v>
      </c>
      <c r="L631" s="10">
        <f t="shared" si="12"/>
        <v>1.5036</v>
      </c>
      <c r="M631" s="6" t="s">
        <v>43</v>
      </c>
      <c r="N631" s="6"/>
      <c r="O631" s="6"/>
      <c r="P631" s="17" t="s">
        <v>54</v>
      </c>
      <c r="Q631" s="17" t="s">
        <v>54</v>
      </c>
      <c r="R631" s="17" t="s">
        <v>54</v>
      </c>
    </row>
    <row r="632" spans="1:18" ht="30" customHeight="1" x14ac:dyDescent="0.3">
      <c r="A632" s="7">
        <v>45909.359490740739</v>
      </c>
      <c r="B632" s="6" t="s">
        <v>5</v>
      </c>
      <c r="C632" s="6"/>
      <c r="D632" s="6" t="str">
        <f>VLOOKUP(B632,'Veri doğrulama'!$D$6:$E$13,2,0)</f>
        <v>MEHMET ÖZEN</v>
      </c>
      <c r="E632" s="6"/>
      <c r="F632" s="6" t="s">
        <v>1118</v>
      </c>
      <c r="G632" s="6" t="s">
        <v>16</v>
      </c>
      <c r="H632" s="6" t="s">
        <v>34</v>
      </c>
      <c r="I632" s="6">
        <v>2600</v>
      </c>
      <c r="J632" s="6">
        <v>900</v>
      </c>
      <c r="K632" s="6">
        <v>1</v>
      </c>
      <c r="L632" s="10">
        <f t="shared" si="12"/>
        <v>2.34</v>
      </c>
      <c r="M632" s="6" t="s">
        <v>43</v>
      </c>
      <c r="N632" s="6"/>
      <c r="O632" s="6"/>
      <c r="P632" s="17" t="s">
        <v>54</v>
      </c>
      <c r="Q632" s="17" t="s">
        <v>54</v>
      </c>
      <c r="R632" s="17" t="s">
        <v>54</v>
      </c>
    </row>
    <row r="633" spans="1:18" ht="30" customHeight="1" x14ac:dyDescent="0.3">
      <c r="A633" s="7">
        <v>45908.688687037036</v>
      </c>
      <c r="B633" s="6" t="s">
        <v>5</v>
      </c>
      <c r="C633" s="6"/>
      <c r="D633" s="6" t="str">
        <f>VLOOKUP(B633,'Veri doğrulama'!$D$6:$E$13,2,0)</f>
        <v>MEHMET ÖZEN</v>
      </c>
      <c r="E633" s="6"/>
      <c r="F633" s="6" t="s">
        <v>1117</v>
      </c>
      <c r="G633" s="6" t="s">
        <v>29</v>
      </c>
      <c r="H633" s="6" t="s">
        <v>34</v>
      </c>
      <c r="I633" s="6">
        <v>762</v>
      </c>
      <c r="J633" s="6">
        <v>340</v>
      </c>
      <c r="K633" s="6">
        <v>1</v>
      </c>
      <c r="L633" s="10">
        <f t="shared" si="12"/>
        <v>0.25907999999999998</v>
      </c>
      <c r="M633" s="6" t="s">
        <v>75</v>
      </c>
      <c r="N633" s="6"/>
      <c r="O633" s="6"/>
      <c r="P633" s="17" t="s">
        <v>54</v>
      </c>
      <c r="Q633" s="17" t="s">
        <v>54</v>
      </c>
      <c r="R633" s="17" t="s">
        <v>54</v>
      </c>
    </row>
    <row r="634" spans="1:18" ht="30" customHeight="1" x14ac:dyDescent="0.3">
      <c r="A634" s="7">
        <v>45908.68661863426</v>
      </c>
      <c r="B634" s="6" t="s">
        <v>5</v>
      </c>
      <c r="C634" s="6"/>
      <c r="D634" s="6" t="str">
        <f>VLOOKUP(B634,'Veri doğrulama'!$D$6:$E$13,2,0)</f>
        <v>MEHMET ÖZEN</v>
      </c>
      <c r="E634" s="6"/>
      <c r="F634" s="6" t="s">
        <v>1116</v>
      </c>
      <c r="G634" s="6" t="s">
        <v>18</v>
      </c>
      <c r="H634" s="6" t="s">
        <v>34</v>
      </c>
      <c r="I634" s="6">
        <v>2600</v>
      </c>
      <c r="J634" s="6">
        <v>300</v>
      </c>
      <c r="K634" s="6">
        <v>2</v>
      </c>
      <c r="L634" s="10">
        <f t="shared" si="12"/>
        <v>1.56</v>
      </c>
      <c r="M634" s="6" t="s">
        <v>75</v>
      </c>
      <c r="N634" s="6"/>
      <c r="O634" s="6"/>
      <c r="P634" s="17" t="s">
        <v>54</v>
      </c>
      <c r="Q634" s="17" t="s">
        <v>54</v>
      </c>
      <c r="R634" s="17" t="s">
        <v>54</v>
      </c>
    </row>
    <row r="635" spans="1:18" ht="30" customHeight="1" x14ac:dyDescent="0.3">
      <c r="A635" s="7">
        <v>45908.638197569446</v>
      </c>
      <c r="B635" s="6" t="s">
        <v>5</v>
      </c>
      <c r="C635" s="6"/>
      <c r="D635" s="6" t="str">
        <f>VLOOKUP(B635,'Veri doğrulama'!$D$6:$E$13,2,0)</f>
        <v>MEHMET ÖZEN</v>
      </c>
      <c r="E635" s="6"/>
      <c r="F635" s="6" t="s">
        <v>1115</v>
      </c>
      <c r="G635" s="6" t="s">
        <v>18</v>
      </c>
      <c r="H635" s="6" t="s">
        <v>34</v>
      </c>
      <c r="I635" s="6">
        <v>2100</v>
      </c>
      <c r="J635" s="6">
        <v>1200</v>
      </c>
      <c r="K635" s="6">
        <v>1</v>
      </c>
      <c r="L635" s="10">
        <f t="shared" si="12"/>
        <v>2.52</v>
      </c>
      <c r="M635" s="6" t="s">
        <v>103</v>
      </c>
      <c r="N635" s="6"/>
      <c r="O635" s="6"/>
      <c r="P635" s="17" t="s">
        <v>54</v>
      </c>
      <c r="Q635" s="17" t="s">
        <v>54</v>
      </c>
      <c r="R635" s="17" t="s">
        <v>54</v>
      </c>
    </row>
    <row r="636" spans="1:18" ht="30" customHeight="1" x14ac:dyDescent="0.3">
      <c r="A636" s="7">
        <v>45908.57124085648</v>
      </c>
      <c r="B636" s="6" t="s">
        <v>5</v>
      </c>
      <c r="C636" s="6"/>
      <c r="D636" s="6" t="str">
        <f>VLOOKUP(B636,'Veri doğrulama'!$D$6:$E$13,2,0)</f>
        <v>MEHMET ÖZEN</v>
      </c>
      <c r="E636" s="6"/>
      <c r="F636" s="6" t="s">
        <v>1114</v>
      </c>
      <c r="G636" s="6" t="s">
        <v>16</v>
      </c>
      <c r="H636" s="6" t="s">
        <v>34</v>
      </c>
      <c r="I636" s="6">
        <v>1488</v>
      </c>
      <c r="J636" s="6">
        <v>395</v>
      </c>
      <c r="K636" s="6">
        <v>2</v>
      </c>
      <c r="L636" s="10">
        <f t="shared" si="12"/>
        <v>1.1755199999999999</v>
      </c>
      <c r="M636" s="6" t="s">
        <v>37</v>
      </c>
      <c r="N636" s="6"/>
      <c r="O636" s="6"/>
      <c r="P636" s="17" t="s">
        <v>54</v>
      </c>
      <c r="Q636" s="17" t="s">
        <v>54</v>
      </c>
      <c r="R636" s="17" t="s">
        <v>54</v>
      </c>
    </row>
    <row r="637" spans="1:18" ht="30" customHeight="1" x14ac:dyDescent="0.3">
      <c r="A637" s="7">
        <v>45908.506147106484</v>
      </c>
      <c r="B637" s="6" t="s">
        <v>5</v>
      </c>
      <c r="C637" s="6"/>
      <c r="D637" s="6" t="str">
        <f>VLOOKUP(B637,'Veri doğrulama'!$D$6:$E$13,2,0)</f>
        <v>MEHMET ÖZEN</v>
      </c>
      <c r="E637" s="6"/>
      <c r="F637" s="6" t="s">
        <v>631</v>
      </c>
      <c r="G637" s="6" t="s">
        <v>26</v>
      </c>
      <c r="H637" s="6" t="s">
        <v>33</v>
      </c>
      <c r="I637" s="6">
        <v>2390</v>
      </c>
      <c r="J637" s="6">
        <v>410</v>
      </c>
      <c r="K637" s="6">
        <v>1</v>
      </c>
      <c r="L637" s="10">
        <f t="shared" si="12"/>
        <v>0.97989999999999999</v>
      </c>
      <c r="M637" s="6" t="s">
        <v>38</v>
      </c>
      <c r="N637" s="6" t="s">
        <v>1113</v>
      </c>
      <c r="O637" s="6"/>
      <c r="P637" s="17" t="s">
        <v>54</v>
      </c>
      <c r="Q637" s="17" t="s">
        <v>54</v>
      </c>
      <c r="R637" s="17" t="s">
        <v>54</v>
      </c>
    </row>
    <row r="638" spans="1:18" ht="30" customHeight="1" x14ac:dyDescent="0.3">
      <c r="A638" s="7">
        <v>45908.467055208333</v>
      </c>
      <c r="B638" s="6" t="s">
        <v>4</v>
      </c>
      <c r="C638" s="6"/>
      <c r="D638" s="6" t="str">
        <f>VLOOKUP(B638,'Veri doğrulama'!$D$6:$E$13,2,0)</f>
        <v>MEHMET YAZICI</v>
      </c>
      <c r="E638" s="6"/>
      <c r="F638" s="6" t="s">
        <v>80</v>
      </c>
      <c r="G638" s="6" t="s">
        <v>19</v>
      </c>
      <c r="H638" s="6" t="s">
        <v>34</v>
      </c>
      <c r="I638" s="6">
        <v>1400</v>
      </c>
      <c r="J638" s="6">
        <v>800</v>
      </c>
      <c r="K638" s="6">
        <v>1</v>
      </c>
      <c r="L638" s="10">
        <f t="shared" si="12"/>
        <v>1.1200000000000001</v>
      </c>
      <c r="M638" s="6" t="s">
        <v>103</v>
      </c>
      <c r="N638" s="6"/>
      <c r="O638" s="6"/>
      <c r="P638" s="17" t="s">
        <v>54</v>
      </c>
      <c r="Q638" s="17" t="s">
        <v>54</v>
      </c>
      <c r="R638" s="17" t="s">
        <v>54</v>
      </c>
    </row>
    <row r="639" spans="1:18" ht="30" customHeight="1" x14ac:dyDescent="0.3">
      <c r="A639" s="7">
        <v>45908.396330902775</v>
      </c>
      <c r="B639" s="6" t="s">
        <v>5</v>
      </c>
      <c r="C639" s="6"/>
      <c r="D639" s="6" t="str">
        <f>VLOOKUP(B639,'Veri doğrulama'!$D$6:$E$13,2,0)</f>
        <v>MEHMET ÖZEN</v>
      </c>
      <c r="E639" s="6" t="s">
        <v>1111</v>
      </c>
      <c r="F639" s="6" t="s">
        <v>1112</v>
      </c>
      <c r="G639" s="6" t="s">
        <v>15</v>
      </c>
      <c r="H639" s="6" t="s">
        <v>34</v>
      </c>
      <c r="I639" s="6">
        <v>1600</v>
      </c>
      <c r="J639" s="6">
        <v>1600</v>
      </c>
      <c r="K639" s="6">
        <v>1</v>
      </c>
      <c r="L639" s="10">
        <f t="shared" si="12"/>
        <v>2.56</v>
      </c>
      <c r="M639" s="6" t="s">
        <v>156</v>
      </c>
      <c r="N639" s="6"/>
      <c r="O639" s="6"/>
      <c r="P639" s="17" t="s">
        <v>54</v>
      </c>
      <c r="Q639" s="17" t="s">
        <v>54</v>
      </c>
      <c r="R639" s="17" t="s">
        <v>54</v>
      </c>
    </row>
    <row r="640" spans="1:18" ht="30" customHeight="1" x14ac:dyDescent="0.3">
      <c r="A640" s="7">
        <v>45905.663768981482</v>
      </c>
      <c r="B640" s="6" t="s">
        <v>4</v>
      </c>
      <c r="C640" s="6"/>
      <c r="D640" s="6" t="str">
        <f>VLOOKUP(B640,'Veri doğrulama'!$D$6:$E$13,2,0)</f>
        <v>MEHMET YAZICI</v>
      </c>
      <c r="E640" s="6"/>
      <c r="F640" s="6" t="s">
        <v>1109</v>
      </c>
      <c r="G640" s="6" t="s">
        <v>16</v>
      </c>
      <c r="H640" s="6" t="s">
        <v>34</v>
      </c>
      <c r="I640" s="6">
        <v>1790</v>
      </c>
      <c r="J640" s="6">
        <v>840</v>
      </c>
      <c r="K640" s="6">
        <v>1</v>
      </c>
      <c r="L640" s="10">
        <f t="shared" ref="L640:L671" si="13">I640*J640/1000000*K640</f>
        <v>1.5036</v>
      </c>
      <c r="M640" s="6" t="s">
        <v>42</v>
      </c>
      <c r="N640" s="6" t="s">
        <v>1110</v>
      </c>
      <c r="O640" s="6"/>
      <c r="P640" s="17" t="s">
        <v>54</v>
      </c>
      <c r="Q640" s="17" t="s">
        <v>54</v>
      </c>
      <c r="R640" s="17" t="s">
        <v>54</v>
      </c>
    </row>
    <row r="641" spans="1:18" ht="30" customHeight="1" x14ac:dyDescent="0.3">
      <c r="A641" s="7">
        <v>45905.581993865744</v>
      </c>
      <c r="B641" s="6" t="s">
        <v>5</v>
      </c>
      <c r="C641" s="6"/>
      <c r="D641" s="6" t="str">
        <f>VLOOKUP(B641,'Veri doğrulama'!$D$6:$E$13,2,0)</f>
        <v>MEHMET ÖZEN</v>
      </c>
      <c r="E641" s="6"/>
      <c r="F641" s="6" t="s">
        <v>1108</v>
      </c>
      <c r="G641" s="6" t="s">
        <v>15</v>
      </c>
      <c r="H641" s="6" t="s">
        <v>34</v>
      </c>
      <c r="I641" s="6">
        <v>1400</v>
      </c>
      <c r="J641" s="6">
        <v>800</v>
      </c>
      <c r="K641" s="6">
        <v>2</v>
      </c>
      <c r="L641" s="10">
        <f t="shared" si="13"/>
        <v>2.2400000000000002</v>
      </c>
      <c r="M641" s="6" t="s">
        <v>102</v>
      </c>
      <c r="N641" s="6"/>
      <c r="O641" s="6"/>
      <c r="P641" s="17" t="s">
        <v>54</v>
      </c>
      <c r="Q641" s="17" t="s">
        <v>54</v>
      </c>
      <c r="R641" s="17" t="s">
        <v>54</v>
      </c>
    </row>
    <row r="642" spans="1:18" ht="30" customHeight="1" x14ac:dyDescent="0.3">
      <c r="A642" s="7">
        <v>45905.577961689814</v>
      </c>
      <c r="B642" s="6" t="s">
        <v>5</v>
      </c>
      <c r="C642" s="6"/>
      <c r="D642" s="6" t="str">
        <f>VLOOKUP(B642,'Veri doğrulama'!$D$6:$E$13,2,0)</f>
        <v>MEHMET ÖZEN</v>
      </c>
      <c r="E642" s="6"/>
      <c r="F642" s="6" t="s">
        <v>177</v>
      </c>
      <c r="G642" s="6" t="s">
        <v>15</v>
      </c>
      <c r="H642" s="6" t="s">
        <v>34</v>
      </c>
      <c r="I642" s="6">
        <v>1400</v>
      </c>
      <c r="J642" s="6">
        <v>800</v>
      </c>
      <c r="K642" s="6">
        <v>1</v>
      </c>
      <c r="L642" s="10">
        <f t="shared" si="13"/>
        <v>1.1200000000000001</v>
      </c>
      <c r="M642" s="6" t="s">
        <v>156</v>
      </c>
      <c r="N642" s="6"/>
      <c r="O642" s="6"/>
      <c r="P642" s="17" t="s">
        <v>54</v>
      </c>
      <c r="Q642" s="17" t="s">
        <v>54</v>
      </c>
      <c r="R642" s="17" t="s">
        <v>54</v>
      </c>
    </row>
    <row r="643" spans="1:18" ht="30" customHeight="1" x14ac:dyDescent="0.3">
      <c r="A643" s="7">
        <v>45905.44069502315</v>
      </c>
      <c r="B643" s="6" t="s">
        <v>5</v>
      </c>
      <c r="C643" s="6"/>
      <c r="D643" s="6" t="str">
        <f>VLOOKUP(B643,'Veri doğrulama'!$D$6:$E$13,2,0)</f>
        <v>MEHMET ÖZEN</v>
      </c>
      <c r="E643" s="6"/>
      <c r="F643" s="6" t="s">
        <v>1107</v>
      </c>
      <c r="G643" s="6" t="s">
        <v>18</v>
      </c>
      <c r="H643" s="6" t="s">
        <v>34</v>
      </c>
      <c r="I643" s="6">
        <v>1900</v>
      </c>
      <c r="J643" s="6">
        <v>1100</v>
      </c>
      <c r="K643" s="6">
        <v>1</v>
      </c>
      <c r="L643" s="10">
        <f t="shared" si="13"/>
        <v>2.09</v>
      </c>
      <c r="M643" s="6" t="s">
        <v>103</v>
      </c>
      <c r="N643" s="6"/>
      <c r="O643" s="6"/>
      <c r="P643" s="17" t="s">
        <v>54</v>
      </c>
      <c r="Q643" s="17" t="s">
        <v>54</v>
      </c>
      <c r="R643" s="17" t="s">
        <v>54</v>
      </c>
    </row>
    <row r="644" spans="1:18" ht="30" customHeight="1" x14ac:dyDescent="0.3">
      <c r="A644" s="7">
        <v>45905.379883217596</v>
      </c>
      <c r="B644" s="6" t="s">
        <v>5</v>
      </c>
      <c r="C644" s="6"/>
      <c r="D644" s="6" t="str">
        <f>VLOOKUP(B644,'Veri doğrulama'!$D$6:$E$13,2,0)</f>
        <v>MEHMET ÖZEN</v>
      </c>
      <c r="E644" s="6"/>
      <c r="F644" s="6" t="s">
        <v>1106</v>
      </c>
      <c r="G644" s="6" t="s">
        <v>16</v>
      </c>
      <c r="H644" s="6" t="s">
        <v>34</v>
      </c>
      <c r="I644" s="6">
        <v>1600</v>
      </c>
      <c r="J644" s="6">
        <v>800</v>
      </c>
      <c r="K644" s="6">
        <v>1</v>
      </c>
      <c r="L644" s="10">
        <f t="shared" si="13"/>
        <v>1.28</v>
      </c>
      <c r="M644" s="6" t="s">
        <v>75</v>
      </c>
      <c r="N644" s="6"/>
      <c r="O644" s="6"/>
      <c r="P644" s="17" t="s">
        <v>54</v>
      </c>
      <c r="Q644" s="17" t="s">
        <v>54</v>
      </c>
      <c r="R644" s="17" t="s">
        <v>54</v>
      </c>
    </row>
    <row r="645" spans="1:18" ht="30" customHeight="1" x14ac:dyDescent="0.3">
      <c r="A645" s="7">
        <v>45905.367407175923</v>
      </c>
      <c r="B645" s="6" t="s">
        <v>5</v>
      </c>
      <c r="C645" s="6"/>
      <c r="D645" s="6" t="str">
        <f>VLOOKUP(B645,'Veri doğrulama'!$D$6:$E$13,2,0)</f>
        <v>MEHMET ÖZEN</v>
      </c>
      <c r="E645" s="6"/>
      <c r="F645" s="6" t="s">
        <v>1105</v>
      </c>
      <c r="G645" s="6" t="s">
        <v>19</v>
      </c>
      <c r="H645" s="6" t="s">
        <v>35</v>
      </c>
      <c r="I645" s="6">
        <v>540</v>
      </c>
      <c r="J645" s="6">
        <v>540</v>
      </c>
      <c r="K645" s="6">
        <v>1</v>
      </c>
      <c r="L645" s="10">
        <f t="shared" si="13"/>
        <v>0.29160000000000003</v>
      </c>
      <c r="M645" s="6" t="s">
        <v>103</v>
      </c>
      <c r="N645" s="6"/>
      <c r="O645" s="6"/>
      <c r="P645" s="17" t="s">
        <v>54</v>
      </c>
      <c r="Q645" s="17" t="s">
        <v>54</v>
      </c>
      <c r="R645" s="17" t="s">
        <v>54</v>
      </c>
    </row>
    <row r="646" spans="1:18" ht="30" customHeight="1" x14ac:dyDescent="0.3">
      <c r="A646" s="7">
        <v>45905.366338888889</v>
      </c>
      <c r="B646" s="6" t="s">
        <v>5</v>
      </c>
      <c r="C646" s="6"/>
      <c r="D646" s="6" t="str">
        <f>VLOOKUP(B646,'Veri doğrulama'!$D$6:$E$13,2,0)</f>
        <v>MEHMET ÖZEN</v>
      </c>
      <c r="E646" s="6"/>
      <c r="F646" s="6" t="s">
        <v>1104</v>
      </c>
      <c r="G646" s="6" t="s">
        <v>19</v>
      </c>
      <c r="H646" s="6" t="s">
        <v>35</v>
      </c>
      <c r="I646" s="6">
        <v>1320</v>
      </c>
      <c r="J646" s="6">
        <v>1320</v>
      </c>
      <c r="K646" s="6">
        <v>1</v>
      </c>
      <c r="L646" s="10">
        <f t="shared" si="13"/>
        <v>1.7423999999999999</v>
      </c>
      <c r="M646" s="6" t="s">
        <v>43</v>
      </c>
      <c r="N646" s="6" t="s">
        <v>468</v>
      </c>
      <c r="O646" s="6"/>
      <c r="P646" s="17" t="s">
        <v>54</v>
      </c>
      <c r="Q646" s="17" t="s">
        <v>54</v>
      </c>
      <c r="R646" s="17" t="s">
        <v>54</v>
      </c>
    </row>
    <row r="647" spans="1:18" ht="30" customHeight="1" x14ac:dyDescent="0.3">
      <c r="A647" s="7">
        <v>45904.604721412034</v>
      </c>
      <c r="B647" s="6" t="s">
        <v>5</v>
      </c>
      <c r="C647" s="6"/>
      <c r="D647" s="6" t="str">
        <f>VLOOKUP(B647,'Veri doğrulama'!$D$6:$E$13,2,0)</f>
        <v>MEHMET ÖZEN</v>
      </c>
      <c r="E647" s="6"/>
      <c r="F647" s="6" t="s">
        <v>1103</v>
      </c>
      <c r="G647" s="6" t="s">
        <v>16</v>
      </c>
      <c r="H647" s="6" t="s">
        <v>34</v>
      </c>
      <c r="I647" s="6">
        <v>1870</v>
      </c>
      <c r="J647" s="6">
        <v>850</v>
      </c>
      <c r="K647" s="6">
        <v>1</v>
      </c>
      <c r="L647" s="10">
        <f t="shared" si="13"/>
        <v>1.5894999999999999</v>
      </c>
      <c r="M647" s="6" t="s">
        <v>156</v>
      </c>
      <c r="N647" s="6"/>
      <c r="O647" s="6"/>
      <c r="P647" s="17" t="s">
        <v>54</v>
      </c>
      <c r="Q647" s="17" t="s">
        <v>54</v>
      </c>
      <c r="R647" s="17" t="s">
        <v>54</v>
      </c>
    </row>
    <row r="648" spans="1:18" ht="30" customHeight="1" x14ac:dyDescent="0.3">
      <c r="A648" s="7">
        <v>45904.604121064818</v>
      </c>
      <c r="B648" s="6" t="s">
        <v>5</v>
      </c>
      <c r="C648" s="6"/>
      <c r="D648" s="6" t="str">
        <f>VLOOKUP(B648,'Veri doğrulama'!$D$6:$E$13,2,0)</f>
        <v>MEHMET ÖZEN</v>
      </c>
      <c r="E648" s="6"/>
      <c r="F648" s="6" t="s">
        <v>1102</v>
      </c>
      <c r="G648" s="6" t="s">
        <v>16</v>
      </c>
      <c r="H648" s="6" t="s">
        <v>34</v>
      </c>
      <c r="I648" s="6">
        <v>1750</v>
      </c>
      <c r="J648" s="6">
        <v>850</v>
      </c>
      <c r="K648" s="6">
        <v>2</v>
      </c>
      <c r="L648" s="10">
        <f t="shared" si="13"/>
        <v>2.9750000000000001</v>
      </c>
      <c r="M648" s="6" t="s">
        <v>156</v>
      </c>
      <c r="N648" s="6"/>
      <c r="O648" s="6"/>
      <c r="P648" s="17" t="s">
        <v>54</v>
      </c>
      <c r="Q648" s="17" t="s">
        <v>54</v>
      </c>
      <c r="R648" s="17" t="s">
        <v>54</v>
      </c>
    </row>
    <row r="649" spans="1:18" ht="30" customHeight="1" x14ac:dyDescent="0.3">
      <c r="A649" s="7">
        <v>45904.406609837963</v>
      </c>
      <c r="B649" s="6" t="s">
        <v>5</v>
      </c>
      <c r="C649" s="6"/>
      <c r="D649" s="6" t="str">
        <f>VLOOKUP(B649,'Veri doğrulama'!$D$6:$E$13,2,0)</f>
        <v>MEHMET ÖZEN</v>
      </c>
      <c r="E649" s="6"/>
      <c r="F649" s="6" t="s">
        <v>1101</v>
      </c>
      <c r="G649" s="6" t="s">
        <v>19</v>
      </c>
      <c r="H649" s="6" t="s">
        <v>35</v>
      </c>
      <c r="I649" s="6">
        <v>540</v>
      </c>
      <c r="J649" s="6">
        <v>540</v>
      </c>
      <c r="K649" s="6">
        <v>1</v>
      </c>
      <c r="L649" s="10">
        <f t="shared" si="13"/>
        <v>0.29160000000000003</v>
      </c>
      <c r="M649" s="6" t="s">
        <v>103</v>
      </c>
      <c r="N649" s="6"/>
      <c r="O649" s="6"/>
      <c r="P649" s="17" t="s">
        <v>54</v>
      </c>
      <c r="Q649" s="17" t="s">
        <v>54</v>
      </c>
      <c r="R649" s="17" t="s">
        <v>54</v>
      </c>
    </row>
    <row r="650" spans="1:18" ht="30" customHeight="1" x14ac:dyDescent="0.3">
      <c r="A650" s="7">
        <v>45904.373875925929</v>
      </c>
      <c r="B650" s="6" t="s">
        <v>4</v>
      </c>
      <c r="C650" s="6"/>
      <c r="D650" s="6" t="str">
        <f>VLOOKUP(B650,'Veri doğrulama'!$D$6:$E$13,2,0)</f>
        <v>MEHMET YAZICI</v>
      </c>
      <c r="E650" s="6"/>
      <c r="F650" s="6" t="s">
        <v>99</v>
      </c>
      <c r="G650" s="6" t="s">
        <v>15</v>
      </c>
      <c r="H650" s="6" t="s">
        <v>34</v>
      </c>
      <c r="I650" s="6">
        <v>1100</v>
      </c>
      <c r="J650" s="6">
        <v>360</v>
      </c>
      <c r="K650" s="6">
        <v>1</v>
      </c>
      <c r="L650" s="10">
        <f t="shared" si="13"/>
        <v>0.39600000000000002</v>
      </c>
      <c r="M650" s="6" t="s">
        <v>103</v>
      </c>
      <c r="N650" s="6"/>
      <c r="O650" s="6"/>
      <c r="P650" s="17" t="s">
        <v>54</v>
      </c>
      <c r="Q650" s="17" t="s">
        <v>54</v>
      </c>
      <c r="R650" s="17" t="s">
        <v>54</v>
      </c>
    </row>
    <row r="651" spans="1:18" ht="30" customHeight="1" x14ac:dyDescent="0.3">
      <c r="A651" s="7">
        <v>45904.373435879628</v>
      </c>
      <c r="B651" s="6" t="s">
        <v>4</v>
      </c>
      <c r="C651" s="6"/>
      <c r="D651" s="6" t="str">
        <f>VLOOKUP(B651,'Veri doğrulama'!$D$6:$E$13,2,0)</f>
        <v>MEHMET YAZICI</v>
      </c>
      <c r="E651" s="6"/>
      <c r="F651" s="6" t="s">
        <v>1100</v>
      </c>
      <c r="G651" s="6" t="s">
        <v>26</v>
      </c>
      <c r="H651" s="6" t="s">
        <v>34</v>
      </c>
      <c r="I651" s="6">
        <v>324</v>
      </c>
      <c r="J651" s="6">
        <v>382</v>
      </c>
      <c r="K651" s="6">
        <v>1</v>
      </c>
      <c r="L651" s="10">
        <f t="shared" si="13"/>
        <v>0.123768</v>
      </c>
      <c r="M651" s="6" t="s">
        <v>75</v>
      </c>
      <c r="N651" s="6"/>
      <c r="O651" s="6"/>
      <c r="P651" s="17" t="s">
        <v>54</v>
      </c>
      <c r="Q651" s="17" t="s">
        <v>54</v>
      </c>
      <c r="R651" s="17" t="s">
        <v>54</v>
      </c>
    </row>
    <row r="652" spans="1:18" ht="30" customHeight="1" x14ac:dyDescent="0.3">
      <c r="A652" s="7">
        <v>45904.372596180554</v>
      </c>
      <c r="B652" s="6" t="s">
        <v>4</v>
      </c>
      <c r="C652" s="6"/>
      <c r="D652" s="6" t="str">
        <f>VLOOKUP(B652,'Veri doğrulama'!$D$6:$E$13,2,0)</f>
        <v>MEHMET YAZICI</v>
      </c>
      <c r="E652" s="6"/>
      <c r="F652" s="6" t="s">
        <v>1099</v>
      </c>
      <c r="G652" s="6" t="s">
        <v>18</v>
      </c>
      <c r="H652" s="6" t="s">
        <v>34</v>
      </c>
      <c r="I652" s="6">
        <v>1600</v>
      </c>
      <c r="J652" s="6">
        <v>1600</v>
      </c>
      <c r="K652" s="6">
        <v>1</v>
      </c>
      <c r="L652" s="10">
        <f t="shared" si="13"/>
        <v>2.56</v>
      </c>
      <c r="M652" s="6" t="s">
        <v>42</v>
      </c>
      <c r="N652" s="6"/>
      <c r="O652" s="6"/>
      <c r="P652" s="17" t="s">
        <v>54</v>
      </c>
      <c r="Q652" s="17" t="s">
        <v>54</v>
      </c>
      <c r="R652" s="17" t="s">
        <v>54</v>
      </c>
    </row>
    <row r="653" spans="1:18" ht="30" customHeight="1" x14ac:dyDescent="0.3">
      <c r="A653" s="7">
        <v>45904.36957210648</v>
      </c>
      <c r="B653" s="6" t="s">
        <v>4</v>
      </c>
      <c r="C653" s="6"/>
      <c r="D653" s="6" t="str">
        <f>VLOOKUP(B653,'Veri doğrulama'!$D$6:$E$13,2,0)</f>
        <v>MEHMET YAZICI</v>
      </c>
      <c r="E653" s="6"/>
      <c r="F653" s="6" t="s">
        <v>1098</v>
      </c>
      <c r="G653" s="6" t="s">
        <v>20</v>
      </c>
      <c r="H653" s="6" t="s">
        <v>34</v>
      </c>
      <c r="I653" s="6">
        <v>1600</v>
      </c>
      <c r="J653" s="6">
        <v>1600</v>
      </c>
      <c r="K653" s="6">
        <v>1</v>
      </c>
      <c r="L653" s="10">
        <f t="shared" si="13"/>
        <v>2.56</v>
      </c>
      <c r="M653" s="6" t="s">
        <v>103</v>
      </c>
      <c r="N653" s="6"/>
      <c r="O653" s="6"/>
      <c r="P653" s="17" t="s">
        <v>54</v>
      </c>
      <c r="Q653" s="17" t="s">
        <v>54</v>
      </c>
      <c r="R653" s="17" t="s">
        <v>54</v>
      </c>
    </row>
    <row r="654" spans="1:18" ht="30" customHeight="1" x14ac:dyDescent="0.3">
      <c r="A654" s="7">
        <v>45903.621305208333</v>
      </c>
      <c r="B654" s="6" t="s">
        <v>5</v>
      </c>
      <c r="C654" s="6"/>
      <c r="D654" s="6" t="str">
        <f>VLOOKUP(B654,'Veri doğrulama'!$D$6:$E$13,2,0)</f>
        <v>MEHMET ÖZEN</v>
      </c>
      <c r="E654" s="6"/>
      <c r="F654" s="6" t="s">
        <v>1097</v>
      </c>
      <c r="G654" s="6" t="s">
        <v>15</v>
      </c>
      <c r="H654" s="6" t="s">
        <v>34</v>
      </c>
      <c r="I654" s="6">
        <v>1400</v>
      </c>
      <c r="J654" s="6">
        <v>600</v>
      </c>
      <c r="K654" s="6">
        <v>1</v>
      </c>
      <c r="L654" s="10">
        <f t="shared" si="13"/>
        <v>0.84</v>
      </c>
      <c r="M654" s="6" t="s">
        <v>103</v>
      </c>
      <c r="N654" s="6"/>
      <c r="O654" s="6"/>
      <c r="P654" s="17" t="s">
        <v>54</v>
      </c>
      <c r="Q654" s="17" t="s">
        <v>54</v>
      </c>
      <c r="R654" s="17" t="s">
        <v>54</v>
      </c>
    </row>
    <row r="655" spans="1:18" ht="30" customHeight="1" x14ac:dyDescent="0.3">
      <c r="A655" s="7">
        <v>45903.620449074071</v>
      </c>
      <c r="B655" s="6" t="s">
        <v>5</v>
      </c>
      <c r="C655" s="6"/>
      <c r="D655" s="6" t="str">
        <f>VLOOKUP(B655,'Veri doğrulama'!$D$6:$E$13,2,0)</f>
        <v>MEHMET ÖZEN</v>
      </c>
      <c r="E655" s="6"/>
      <c r="F655" s="6" t="s">
        <v>1096</v>
      </c>
      <c r="G655" s="6" t="s">
        <v>18</v>
      </c>
      <c r="H655" s="6" t="s">
        <v>34</v>
      </c>
      <c r="I655" s="6">
        <v>2000</v>
      </c>
      <c r="J655" s="6">
        <v>1000</v>
      </c>
      <c r="K655" s="6">
        <v>1</v>
      </c>
      <c r="L655" s="10">
        <f t="shared" si="13"/>
        <v>2</v>
      </c>
      <c r="M655" s="6" t="s">
        <v>43</v>
      </c>
      <c r="N655" s="6"/>
      <c r="O655" s="6"/>
      <c r="P655" s="17" t="s">
        <v>54</v>
      </c>
      <c r="Q655" s="17" t="s">
        <v>54</v>
      </c>
      <c r="R655" s="17" t="s">
        <v>54</v>
      </c>
    </row>
    <row r="656" spans="1:18" ht="30" customHeight="1" x14ac:dyDescent="0.3">
      <c r="A656" s="7">
        <v>45903.609189930554</v>
      </c>
      <c r="B656" s="6" t="s">
        <v>5</v>
      </c>
      <c r="C656" s="6"/>
      <c r="D656" s="6" t="str">
        <f>VLOOKUP(B656,'Veri doğrulama'!$D$6:$E$13,2,0)</f>
        <v>MEHMET ÖZEN</v>
      </c>
      <c r="E656" s="6"/>
      <c r="F656" s="6" t="s">
        <v>1077</v>
      </c>
      <c r="G656" s="6" t="s">
        <v>19</v>
      </c>
      <c r="H656" s="6" t="s">
        <v>34</v>
      </c>
      <c r="I656" s="6">
        <v>2386</v>
      </c>
      <c r="J656" s="6">
        <v>350</v>
      </c>
      <c r="K656" s="6">
        <v>1</v>
      </c>
      <c r="L656" s="10">
        <f t="shared" si="13"/>
        <v>0.83509999999999995</v>
      </c>
      <c r="M656" s="6" t="s">
        <v>596</v>
      </c>
      <c r="N656" s="6"/>
      <c r="O656" s="6"/>
      <c r="P656" s="17" t="s">
        <v>54</v>
      </c>
      <c r="Q656" s="17" t="s">
        <v>54</v>
      </c>
      <c r="R656" s="17" t="s">
        <v>54</v>
      </c>
    </row>
    <row r="657" spans="1:18" ht="30" customHeight="1" x14ac:dyDescent="0.3">
      <c r="A657" s="7">
        <v>45903.592368171296</v>
      </c>
      <c r="B657" s="6" t="s">
        <v>5</v>
      </c>
      <c r="C657" s="6"/>
      <c r="D657" s="6" t="str">
        <f>VLOOKUP(B657,'Veri doğrulama'!$D$6:$E$13,2,0)</f>
        <v>MEHMET ÖZEN</v>
      </c>
      <c r="E657" s="6"/>
      <c r="F657" s="6" t="s">
        <v>1095</v>
      </c>
      <c r="G657" s="6" t="s">
        <v>146</v>
      </c>
      <c r="H657" s="6" t="s">
        <v>34</v>
      </c>
      <c r="I657" s="6">
        <v>800</v>
      </c>
      <c r="J657" s="6">
        <v>450</v>
      </c>
      <c r="K657" s="6">
        <v>1</v>
      </c>
      <c r="L657" s="10">
        <f t="shared" si="13"/>
        <v>0.36</v>
      </c>
      <c r="M657" s="6" t="s">
        <v>103</v>
      </c>
      <c r="N657" s="6"/>
      <c r="O657" s="6"/>
      <c r="P657" s="17" t="s">
        <v>54</v>
      </c>
      <c r="Q657" s="17" t="s">
        <v>54</v>
      </c>
      <c r="R657" s="17" t="s">
        <v>54</v>
      </c>
    </row>
    <row r="658" spans="1:18" ht="30" customHeight="1" x14ac:dyDescent="0.3">
      <c r="A658" s="7">
        <v>45903.59053587963</v>
      </c>
      <c r="B658" s="6" t="s">
        <v>5</v>
      </c>
      <c r="C658" s="6"/>
      <c r="D658" s="6" t="str">
        <f>VLOOKUP(B658,'Veri doğrulama'!$D$6:$E$13,2,0)</f>
        <v>MEHMET ÖZEN</v>
      </c>
      <c r="E658" s="6"/>
      <c r="F658" s="6" t="s">
        <v>1094</v>
      </c>
      <c r="G658" s="6" t="s">
        <v>146</v>
      </c>
      <c r="H658" s="6" t="s">
        <v>34</v>
      </c>
      <c r="I658" s="6">
        <v>2000</v>
      </c>
      <c r="J658" s="6">
        <v>550</v>
      </c>
      <c r="K658" s="6">
        <v>1</v>
      </c>
      <c r="L658" s="10">
        <f t="shared" si="13"/>
        <v>1.1000000000000001</v>
      </c>
      <c r="M658" s="6" t="s">
        <v>38</v>
      </c>
      <c r="N658" s="6"/>
      <c r="O658" s="6"/>
      <c r="P658" s="17" t="s">
        <v>54</v>
      </c>
      <c r="Q658" s="17" t="s">
        <v>54</v>
      </c>
      <c r="R658" s="17" t="s">
        <v>54</v>
      </c>
    </row>
    <row r="659" spans="1:18" ht="30" customHeight="1" x14ac:dyDescent="0.3">
      <c r="A659" s="7">
        <v>45903.575306597224</v>
      </c>
      <c r="B659" s="6" t="s">
        <v>4</v>
      </c>
      <c r="C659" s="6"/>
      <c r="D659" s="6" t="str">
        <f>VLOOKUP(B659,'Veri doğrulama'!$D$6:$E$13,2,0)</f>
        <v>MEHMET YAZICI</v>
      </c>
      <c r="E659" s="6">
        <v>24347</v>
      </c>
      <c r="F659" s="6" t="s">
        <v>1093</v>
      </c>
      <c r="G659" s="6" t="s">
        <v>15</v>
      </c>
      <c r="H659" s="6" t="s">
        <v>34</v>
      </c>
      <c r="I659" s="6">
        <v>800</v>
      </c>
      <c r="J659" s="6">
        <v>360</v>
      </c>
      <c r="K659" s="6">
        <v>2</v>
      </c>
      <c r="L659" s="10">
        <f t="shared" si="13"/>
        <v>0.57599999999999996</v>
      </c>
      <c r="M659" s="6" t="s">
        <v>43</v>
      </c>
      <c r="N659" s="6"/>
      <c r="O659" s="6"/>
      <c r="P659" s="17" t="s">
        <v>54</v>
      </c>
      <c r="Q659" s="17" t="s">
        <v>54</v>
      </c>
      <c r="R659" s="17" t="s">
        <v>54</v>
      </c>
    </row>
    <row r="660" spans="1:18" ht="30" customHeight="1" x14ac:dyDescent="0.3">
      <c r="A660" s="7">
        <v>45903.574449537038</v>
      </c>
      <c r="B660" s="6" t="s">
        <v>4</v>
      </c>
      <c r="C660" s="6"/>
      <c r="D660" s="6" t="str">
        <f>VLOOKUP(B660,'Veri doğrulama'!$D$6:$E$13,2,0)</f>
        <v>MEHMET YAZICI</v>
      </c>
      <c r="E660" s="6"/>
      <c r="F660" s="6" t="s">
        <v>1092</v>
      </c>
      <c r="G660" s="6" t="s">
        <v>15</v>
      </c>
      <c r="H660" s="6" t="s">
        <v>34</v>
      </c>
      <c r="I660" s="6">
        <v>110</v>
      </c>
      <c r="J660" s="6">
        <v>360</v>
      </c>
      <c r="K660" s="6">
        <v>1</v>
      </c>
      <c r="L660" s="10">
        <f t="shared" si="13"/>
        <v>3.9600000000000003E-2</v>
      </c>
      <c r="M660" s="6" t="s">
        <v>103</v>
      </c>
      <c r="N660" s="6"/>
      <c r="O660" s="6"/>
      <c r="P660" s="17" t="s">
        <v>54</v>
      </c>
      <c r="Q660" s="17" t="s">
        <v>54</v>
      </c>
      <c r="R660" s="17" t="s">
        <v>54</v>
      </c>
    </row>
    <row r="661" spans="1:18" ht="30" customHeight="1" x14ac:dyDescent="0.3">
      <c r="A661" s="7">
        <v>45903.573698379631</v>
      </c>
      <c r="B661" s="6" t="s">
        <v>4</v>
      </c>
      <c r="C661" s="6"/>
      <c r="D661" s="6" t="str">
        <f>VLOOKUP(B661,'Veri doğrulama'!$D$6:$E$13,2,0)</f>
        <v>MEHMET YAZICI</v>
      </c>
      <c r="E661" s="6"/>
      <c r="F661" s="6" t="s">
        <v>1091</v>
      </c>
      <c r="G661" s="6" t="s">
        <v>15</v>
      </c>
      <c r="H661" s="6" t="s">
        <v>34</v>
      </c>
      <c r="I661" s="6">
        <v>760</v>
      </c>
      <c r="J661" s="6">
        <v>320</v>
      </c>
      <c r="K661" s="6">
        <v>1</v>
      </c>
      <c r="L661" s="10">
        <f t="shared" si="13"/>
        <v>0.2432</v>
      </c>
      <c r="M661" s="6" t="s">
        <v>43</v>
      </c>
      <c r="N661" s="6" t="s">
        <v>526</v>
      </c>
      <c r="O661" s="6"/>
      <c r="P661" s="17" t="s">
        <v>54</v>
      </c>
      <c r="Q661" s="17" t="s">
        <v>54</v>
      </c>
      <c r="R661" s="17" t="s">
        <v>54</v>
      </c>
    </row>
    <row r="662" spans="1:18" ht="30" customHeight="1" x14ac:dyDescent="0.3">
      <c r="A662" s="7">
        <v>45903.568444097225</v>
      </c>
      <c r="B662" s="6" t="s">
        <v>4</v>
      </c>
      <c r="C662" s="6"/>
      <c r="D662" s="6" t="str">
        <f>VLOOKUP(B662,'Veri doğrulama'!$D$6:$E$13,2,0)</f>
        <v>MEHMET YAZICI</v>
      </c>
      <c r="E662" s="6"/>
      <c r="F662" s="6" t="s">
        <v>1090</v>
      </c>
      <c r="G662" s="6" t="s">
        <v>15</v>
      </c>
      <c r="H662" s="6" t="s">
        <v>34</v>
      </c>
      <c r="I662" s="6">
        <v>1400</v>
      </c>
      <c r="J662" s="6">
        <v>800</v>
      </c>
      <c r="K662" s="6">
        <v>3</v>
      </c>
      <c r="L662" s="10">
        <f t="shared" si="13"/>
        <v>3.3600000000000003</v>
      </c>
      <c r="M662" s="6" t="s">
        <v>103</v>
      </c>
      <c r="N662" s="6" t="s">
        <v>651</v>
      </c>
      <c r="O662" s="6"/>
      <c r="P662" s="17" t="s">
        <v>54</v>
      </c>
      <c r="Q662" s="17" t="s">
        <v>54</v>
      </c>
      <c r="R662" s="17" t="s">
        <v>54</v>
      </c>
    </row>
    <row r="663" spans="1:18" ht="30" customHeight="1" x14ac:dyDescent="0.3">
      <c r="A663" s="7">
        <v>45903.428888425929</v>
      </c>
      <c r="B663" s="6" t="s">
        <v>5</v>
      </c>
      <c r="C663" s="6"/>
      <c r="D663" s="6" t="str">
        <f>VLOOKUP(B663,'Veri doğrulama'!$D$6:$E$13,2,0)</f>
        <v>MEHMET ÖZEN</v>
      </c>
      <c r="E663" s="6" t="s">
        <v>1088</v>
      </c>
      <c r="F663" s="6" t="s">
        <v>1089</v>
      </c>
      <c r="G663" s="6" t="s">
        <v>27</v>
      </c>
      <c r="H663" s="6" t="s">
        <v>34</v>
      </c>
      <c r="I663" s="6">
        <v>2420</v>
      </c>
      <c r="J663" s="6">
        <v>1120</v>
      </c>
      <c r="K663" s="6">
        <v>1</v>
      </c>
      <c r="L663" s="10">
        <f t="shared" si="13"/>
        <v>2.7103999999999999</v>
      </c>
      <c r="M663" s="6" t="s">
        <v>42</v>
      </c>
      <c r="N663" s="6" t="s">
        <v>411</v>
      </c>
      <c r="O663" s="6"/>
      <c r="P663" s="17" t="s">
        <v>54</v>
      </c>
      <c r="Q663" s="17" t="s">
        <v>54</v>
      </c>
      <c r="R663" s="17" t="s">
        <v>54</v>
      </c>
    </row>
    <row r="664" spans="1:18" ht="30" customHeight="1" x14ac:dyDescent="0.3">
      <c r="A664" s="7">
        <v>45903.33589224537</v>
      </c>
      <c r="B664" s="6" t="s">
        <v>5</v>
      </c>
      <c r="C664" s="6"/>
      <c r="D664" s="6" t="str">
        <f>VLOOKUP(B664,'Veri doğrulama'!$D$6:$E$13,2,0)</f>
        <v>MEHMET ÖZEN</v>
      </c>
      <c r="E664" s="6"/>
      <c r="F664" s="6" t="s">
        <v>1087</v>
      </c>
      <c r="G664" s="6" t="s">
        <v>20</v>
      </c>
      <c r="H664" s="6" t="s">
        <v>34</v>
      </c>
      <c r="I664" s="6">
        <v>1600</v>
      </c>
      <c r="J664" s="6">
        <v>1600</v>
      </c>
      <c r="K664" s="6">
        <v>1</v>
      </c>
      <c r="L664" s="10">
        <f t="shared" si="13"/>
        <v>2.56</v>
      </c>
      <c r="M664" s="6" t="s">
        <v>103</v>
      </c>
      <c r="N664" s="6"/>
      <c r="O664" s="6"/>
      <c r="P664" s="17" t="s">
        <v>54</v>
      </c>
      <c r="Q664" s="17" t="s">
        <v>54</v>
      </c>
      <c r="R664" s="17" t="s">
        <v>54</v>
      </c>
    </row>
    <row r="665" spans="1:18" ht="30" customHeight="1" x14ac:dyDescent="0.3">
      <c r="A665" s="7">
        <v>45902.68455474537</v>
      </c>
      <c r="B665" s="6" t="s">
        <v>5</v>
      </c>
      <c r="C665" s="6"/>
      <c r="D665" s="6" t="str">
        <f>VLOOKUP(B665,'Veri doğrulama'!$D$6:$E$13,2,0)</f>
        <v>MEHMET ÖZEN</v>
      </c>
      <c r="E665" s="6"/>
      <c r="F665" s="6" t="s">
        <v>1086</v>
      </c>
      <c r="G665" s="6" t="s">
        <v>26</v>
      </c>
      <c r="H665" s="6" t="s">
        <v>34</v>
      </c>
      <c r="I665" s="6">
        <v>2600</v>
      </c>
      <c r="J665" s="6">
        <v>600</v>
      </c>
      <c r="K665" s="6">
        <v>1</v>
      </c>
      <c r="L665" s="10">
        <f t="shared" si="13"/>
        <v>1.56</v>
      </c>
      <c r="M665" s="6" t="s">
        <v>596</v>
      </c>
      <c r="N665" s="6"/>
      <c r="O665" s="6"/>
      <c r="P665" s="17" t="s">
        <v>54</v>
      </c>
      <c r="Q665" s="17" t="s">
        <v>54</v>
      </c>
      <c r="R665" s="17" t="s">
        <v>54</v>
      </c>
    </row>
    <row r="666" spans="1:18" ht="30" customHeight="1" x14ac:dyDescent="0.3">
      <c r="A666" s="7">
        <v>45902.603749074071</v>
      </c>
      <c r="B666" s="6" t="s">
        <v>5</v>
      </c>
      <c r="C666" s="6"/>
      <c r="D666" s="6" t="str">
        <f>VLOOKUP(B666,'Veri doğrulama'!$D$6:$E$13,2,0)</f>
        <v>MEHMET ÖZEN</v>
      </c>
      <c r="E666" s="6"/>
      <c r="F666" s="6" t="s">
        <v>1085</v>
      </c>
      <c r="G666" s="6" t="s">
        <v>19</v>
      </c>
      <c r="H666" s="6" t="s">
        <v>34</v>
      </c>
      <c r="I666" s="6">
        <v>400</v>
      </c>
      <c r="J666" s="6">
        <v>360</v>
      </c>
      <c r="K666" s="6">
        <v>2</v>
      </c>
      <c r="L666" s="10">
        <f t="shared" si="13"/>
        <v>0.28799999999999998</v>
      </c>
      <c r="M666" s="6" t="s">
        <v>75</v>
      </c>
      <c r="N666" s="6"/>
      <c r="O666" s="6"/>
      <c r="P666" s="17" t="s">
        <v>54</v>
      </c>
      <c r="Q666" s="17" t="s">
        <v>54</v>
      </c>
      <c r="R666" s="17" t="s">
        <v>54</v>
      </c>
    </row>
    <row r="667" spans="1:18" ht="30" customHeight="1" x14ac:dyDescent="0.3">
      <c r="A667" s="7">
        <v>45902.602862962965</v>
      </c>
      <c r="B667" s="6" t="s">
        <v>5</v>
      </c>
      <c r="C667" s="6"/>
      <c r="D667" s="6" t="str">
        <f>VLOOKUP(B667,'Veri doğrulama'!$D$6:$E$13,2,0)</f>
        <v>MEHMET ÖZEN</v>
      </c>
      <c r="E667" s="6"/>
      <c r="F667" s="6" t="s">
        <v>1084</v>
      </c>
      <c r="G667" s="6" t="s">
        <v>16</v>
      </c>
      <c r="H667" s="6" t="s">
        <v>34</v>
      </c>
      <c r="I667" s="6">
        <v>1730</v>
      </c>
      <c r="J667" s="6">
        <v>300</v>
      </c>
      <c r="K667" s="6">
        <v>1</v>
      </c>
      <c r="L667" s="10">
        <f t="shared" si="13"/>
        <v>0.51900000000000002</v>
      </c>
      <c r="M667" s="6" t="s">
        <v>75</v>
      </c>
      <c r="N667" s="6"/>
      <c r="O667" s="6"/>
      <c r="P667" s="17" t="s">
        <v>54</v>
      </c>
      <c r="Q667" s="17" t="s">
        <v>54</v>
      </c>
      <c r="R667" s="17" t="s">
        <v>54</v>
      </c>
    </row>
    <row r="668" spans="1:18" ht="30" customHeight="1" x14ac:dyDescent="0.3">
      <c r="A668" s="7">
        <v>45902.602207870368</v>
      </c>
      <c r="B668" s="6" t="s">
        <v>5</v>
      </c>
      <c r="C668" s="6"/>
      <c r="D668" s="6" t="str">
        <f>VLOOKUP(B668,'Veri doğrulama'!$D$6:$E$13,2,0)</f>
        <v>MEHMET ÖZEN</v>
      </c>
      <c r="E668" s="6"/>
      <c r="F668" s="6" t="s">
        <v>1083</v>
      </c>
      <c r="G668" s="6" t="s">
        <v>16</v>
      </c>
      <c r="H668" s="6" t="s">
        <v>34</v>
      </c>
      <c r="I668" s="6">
        <v>539</v>
      </c>
      <c r="J668" s="6">
        <v>556</v>
      </c>
      <c r="K668" s="6">
        <v>1</v>
      </c>
      <c r="L668" s="10">
        <f t="shared" si="13"/>
        <v>0.29968400000000001</v>
      </c>
      <c r="M668" s="6" t="s">
        <v>75</v>
      </c>
      <c r="N668" s="6"/>
      <c r="O668" s="6"/>
      <c r="P668" s="17" t="s">
        <v>54</v>
      </c>
      <c r="Q668" s="17" t="s">
        <v>54</v>
      </c>
      <c r="R668" s="17" t="s">
        <v>54</v>
      </c>
    </row>
    <row r="669" spans="1:18" ht="30" customHeight="1" x14ac:dyDescent="0.3">
      <c r="A669" s="7">
        <v>45902.600963657409</v>
      </c>
      <c r="B669" s="6" t="s">
        <v>5</v>
      </c>
      <c r="C669" s="6"/>
      <c r="D669" s="6" t="str">
        <f>VLOOKUP(B669,'Veri doğrulama'!$D$6:$E$13,2,0)</f>
        <v>MEHMET ÖZEN</v>
      </c>
      <c r="E669" s="6"/>
      <c r="F669" s="6" t="s">
        <v>87</v>
      </c>
      <c r="G669" s="6" t="s">
        <v>15</v>
      </c>
      <c r="H669" s="6" t="s">
        <v>34</v>
      </c>
      <c r="I669" s="6">
        <v>1800</v>
      </c>
      <c r="J669" s="6">
        <v>350</v>
      </c>
      <c r="K669" s="6">
        <v>1</v>
      </c>
      <c r="L669" s="10">
        <f t="shared" si="13"/>
        <v>0.63</v>
      </c>
      <c r="M669" s="6" t="s">
        <v>596</v>
      </c>
      <c r="N669" s="6"/>
      <c r="O669" s="6"/>
      <c r="P669" s="17" t="s">
        <v>54</v>
      </c>
      <c r="Q669" s="17" t="s">
        <v>54</v>
      </c>
      <c r="R669" s="17" t="s">
        <v>54</v>
      </c>
    </row>
    <row r="670" spans="1:18" ht="30" customHeight="1" x14ac:dyDescent="0.3">
      <c r="A670" s="7">
        <v>45902.579757638887</v>
      </c>
      <c r="B670" s="6" t="s">
        <v>5</v>
      </c>
      <c r="C670" s="6"/>
      <c r="D670" s="6" t="str">
        <f>VLOOKUP(B670,'Veri doğrulama'!$D$6:$E$13,2,0)</f>
        <v>MEHMET ÖZEN</v>
      </c>
      <c r="E670" s="6"/>
      <c r="F670" s="6" t="s">
        <v>1082</v>
      </c>
      <c r="G670" s="6" t="s">
        <v>17</v>
      </c>
      <c r="H670" s="6" t="s">
        <v>35</v>
      </c>
      <c r="I670" s="6">
        <v>2200</v>
      </c>
      <c r="J670" s="6">
        <v>150</v>
      </c>
      <c r="K670" s="6">
        <v>1</v>
      </c>
      <c r="L670" s="10">
        <f t="shared" si="13"/>
        <v>0.33</v>
      </c>
      <c r="M670" s="6" t="s">
        <v>38</v>
      </c>
      <c r="N670" s="6"/>
      <c r="O670" s="6"/>
      <c r="P670" s="17" t="s">
        <v>54</v>
      </c>
      <c r="Q670" s="17" t="s">
        <v>54</v>
      </c>
      <c r="R670" s="17" t="s">
        <v>54</v>
      </c>
    </row>
    <row r="671" spans="1:18" ht="30" customHeight="1" x14ac:dyDescent="0.3">
      <c r="A671" s="7">
        <v>45902.509516435188</v>
      </c>
      <c r="B671" s="6" t="s">
        <v>4</v>
      </c>
      <c r="C671" s="6"/>
      <c r="D671" s="6" t="str">
        <f>VLOOKUP(B671,'Veri doğrulama'!$D$6:$E$13,2,0)</f>
        <v>MEHMET YAZICI</v>
      </c>
      <c r="E671" s="6"/>
      <c r="F671" s="6" t="s">
        <v>100</v>
      </c>
      <c r="G671" s="6" t="s">
        <v>15</v>
      </c>
      <c r="H671" s="6" t="s">
        <v>34</v>
      </c>
      <c r="I671" s="6">
        <v>735</v>
      </c>
      <c r="J671" s="6">
        <v>397</v>
      </c>
      <c r="K671" s="6">
        <v>1</v>
      </c>
      <c r="L671" s="10">
        <f t="shared" si="13"/>
        <v>0.29179500000000003</v>
      </c>
      <c r="M671" s="6" t="s">
        <v>75</v>
      </c>
      <c r="N671" s="6"/>
      <c r="O671" s="6"/>
      <c r="P671" s="17" t="s">
        <v>54</v>
      </c>
      <c r="Q671" s="17" t="s">
        <v>54</v>
      </c>
      <c r="R671" s="17" t="s">
        <v>54</v>
      </c>
    </row>
    <row r="672" spans="1:18" ht="30" customHeight="1" x14ac:dyDescent="0.3">
      <c r="A672" s="7">
        <v>45902.50761458333</v>
      </c>
      <c r="B672" s="6" t="s">
        <v>4</v>
      </c>
      <c r="C672" s="6"/>
      <c r="D672" s="6" t="str">
        <f>VLOOKUP(B672,'Veri doğrulama'!$D$6:$E$13,2,0)</f>
        <v>MEHMET YAZICI</v>
      </c>
      <c r="E672" s="6"/>
      <c r="F672" s="6" t="s">
        <v>1081</v>
      </c>
      <c r="G672" s="6" t="s">
        <v>16</v>
      </c>
      <c r="H672" s="6" t="s">
        <v>34</v>
      </c>
      <c r="I672" s="6">
        <v>1500</v>
      </c>
      <c r="J672" s="6">
        <v>250</v>
      </c>
      <c r="K672" s="6">
        <v>1</v>
      </c>
      <c r="L672" s="10">
        <f t="shared" ref="L672:L703" si="14">I672*J672/1000000*K672</f>
        <v>0.375</v>
      </c>
      <c r="M672" s="6" t="s">
        <v>103</v>
      </c>
      <c r="N672" s="6"/>
      <c r="O672" s="6"/>
      <c r="P672" s="17" t="s">
        <v>54</v>
      </c>
      <c r="Q672" s="17" t="s">
        <v>54</v>
      </c>
      <c r="R672" s="17" t="s">
        <v>54</v>
      </c>
    </row>
    <row r="673" spans="1:18" ht="30" customHeight="1" x14ac:dyDescent="0.3">
      <c r="A673" s="7">
        <v>45902.507194907404</v>
      </c>
      <c r="B673" s="6" t="s">
        <v>4</v>
      </c>
      <c r="C673" s="6"/>
      <c r="D673" s="6" t="str">
        <f>VLOOKUP(B673,'Veri doğrulama'!$D$6:$E$13,2,0)</f>
        <v>MEHMET YAZICI</v>
      </c>
      <c r="E673" s="6"/>
      <c r="F673" s="6" t="s">
        <v>1080</v>
      </c>
      <c r="G673" s="6" t="s">
        <v>16</v>
      </c>
      <c r="H673" s="6" t="s">
        <v>34</v>
      </c>
      <c r="I673" s="6">
        <v>700</v>
      </c>
      <c r="J673" s="6">
        <v>397</v>
      </c>
      <c r="K673" s="6">
        <v>1</v>
      </c>
      <c r="L673" s="10">
        <f t="shared" si="14"/>
        <v>0.27789999999999998</v>
      </c>
      <c r="M673" s="6" t="s">
        <v>103</v>
      </c>
      <c r="N673" s="6"/>
      <c r="O673" s="6"/>
      <c r="P673" s="17" t="s">
        <v>54</v>
      </c>
      <c r="Q673" s="17" t="s">
        <v>54</v>
      </c>
      <c r="R673" s="17" t="s">
        <v>54</v>
      </c>
    </row>
    <row r="674" spans="1:18" ht="30" customHeight="1" x14ac:dyDescent="0.3">
      <c r="A674" s="7">
        <v>45902.506715277777</v>
      </c>
      <c r="B674" s="6" t="s">
        <v>4</v>
      </c>
      <c r="C674" s="6"/>
      <c r="D674" s="6" t="str">
        <f>VLOOKUP(B674,'Veri doğrulama'!$D$6:$E$13,2,0)</f>
        <v>MEHMET YAZICI</v>
      </c>
      <c r="E674" s="6"/>
      <c r="F674" s="6" t="s">
        <v>773</v>
      </c>
      <c r="G674" s="6" t="s">
        <v>16</v>
      </c>
      <c r="H674" s="6" t="s">
        <v>34</v>
      </c>
      <c r="I674" s="6">
        <v>1400</v>
      </c>
      <c r="J674" s="6">
        <v>800</v>
      </c>
      <c r="K674" s="6">
        <v>1</v>
      </c>
      <c r="L674" s="10">
        <f t="shared" si="14"/>
        <v>1.1200000000000001</v>
      </c>
      <c r="M674" s="6" t="s">
        <v>75</v>
      </c>
      <c r="N674" s="6"/>
      <c r="O674" s="6"/>
      <c r="P674" s="17" t="s">
        <v>54</v>
      </c>
      <c r="Q674" s="17" t="s">
        <v>54</v>
      </c>
      <c r="R674" s="17" t="s">
        <v>54</v>
      </c>
    </row>
    <row r="675" spans="1:18" ht="30" customHeight="1" x14ac:dyDescent="0.3">
      <c r="A675" s="7">
        <v>45901.754631249998</v>
      </c>
      <c r="B675" s="6" t="s">
        <v>5</v>
      </c>
      <c r="C675" s="6"/>
      <c r="D675" s="6" t="str">
        <f>VLOOKUP(B675,'Veri doğrulama'!$D$6:$E$13,2,0)</f>
        <v>MEHMET ÖZEN</v>
      </c>
      <c r="E675" s="6"/>
      <c r="F675" s="6" t="s">
        <v>1079</v>
      </c>
      <c r="G675" s="6" t="s">
        <v>27</v>
      </c>
      <c r="H675" s="6" t="s">
        <v>35</v>
      </c>
      <c r="I675" s="6">
        <v>1800</v>
      </c>
      <c r="J675" s="6">
        <v>500</v>
      </c>
      <c r="K675" s="6">
        <v>1</v>
      </c>
      <c r="L675" s="10">
        <f t="shared" si="14"/>
        <v>0.9</v>
      </c>
      <c r="M675" s="6" t="s">
        <v>43</v>
      </c>
      <c r="N675" s="6"/>
      <c r="O675" s="6"/>
      <c r="P675" s="17" t="s">
        <v>54</v>
      </c>
      <c r="Q675" s="17" t="s">
        <v>54</v>
      </c>
      <c r="R675" s="17" t="s">
        <v>54</v>
      </c>
    </row>
    <row r="676" spans="1:18" ht="30" customHeight="1" x14ac:dyDescent="0.3">
      <c r="A676" s="7">
        <v>45901.67159247685</v>
      </c>
      <c r="B676" s="6" t="s">
        <v>5</v>
      </c>
      <c r="C676" s="6"/>
      <c r="D676" s="6" t="str">
        <f>VLOOKUP(B676,'Veri doğrulama'!$D$6:$E$13,2,0)</f>
        <v>MEHMET ÖZEN</v>
      </c>
      <c r="E676" s="6"/>
      <c r="F676" s="6" t="s">
        <v>1077</v>
      </c>
      <c r="G676" s="6" t="s">
        <v>19</v>
      </c>
      <c r="H676" s="6" t="s">
        <v>34</v>
      </c>
      <c r="I676" s="6">
        <v>2386</v>
      </c>
      <c r="J676" s="6">
        <v>350</v>
      </c>
      <c r="K676" s="6">
        <v>1</v>
      </c>
      <c r="L676" s="10">
        <f t="shared" si="14"/>
        <v>0.83509999999999995</v>
      </c>
      <c r="M676" s="6" t="s">
        <v>43</v>
      </c>
      <c r="N676" s="6" t="s">
        <v>1078</v>
      </c>
      <c r="O676" s="6"/>
      <c r="P676" s="17" t="s">
        <v>54</v>
      </c>
      <c r="Q676" s="17" t="s">
        <v>54</v>
      </c>
      <c r="R676" s="17" t="s">
        <v>54</v>
      </c>
    </row>
    <row r="677" spans="1:18" ht="30" customHeight="1" x14ac:dyDescent="0.3">
      <c r="A677" s="7">
        <v>45901.650771990739</v>
      </c>
      <c r="B677" s="6" t="s">
        <v>5</v>
      </c>
      <c r="C677" s="6"/>
      <c r="D677" s="6" t="str">
        <f>VLOOKUP(B677,'Veri doğrulama'!$D$6:$E$13,2,0)</f>
        <v>MEHMET ÖZEN</v>
      </c>
      <c r="E677" s="6"/>
      <c r="F677" s="6" t="s">
        <v>1076</v>
      </c>
      <c r="G677" s="6" t="s">
        <v>15</v>
      </c>
      <c r="H677" s="6" t="s">
        <v>34</v>
      </c>
      <c r="I677" s="6">
        <v>1200</v>
      </c>
      <c r="J677" s="6">
        <v>700</v>
      </c>
      <c r="K677" s="6">
        <v>1</v>
      </c>
      <c r="L677" s="10">
        <f t="shared" si="14"/>
        <v>0.84</v>
      </c>
      <c r="M677" s="6" t="s">
        <v>103</v>
      </c>
      <c r="N677" s="6"/>
      <c r="O677" s="6"/>
      <c r="P677" s="17" t="s">
        <v>54</v>
      </c>
      <c r="Q677" s="17" t="s">
        <v>54</v>
      </c>
      <c r="R677" s="17" t="s">
        <v>54</v>
      </c>
    </row>
    <row r="678" spans="1:18" ht="30" customHeight="1" x14ac:dyDescent="0.3">
      <c r="A678" s="7">
        <v>45901.614808449071</v>
      </c>
      <c r="B678" s="6" t="s">
        <v>5</v>
      </c>
      <c r="C678" s="6"/>
      <c r="D678" s="6" t="str">
        <f>VLOOKUP(B678,'Veri doğrulama'!$D$6:$E$13,2,0)</f>
        <v>MEHMET ÖZEN</v>
      </c>
      <c r="E678" s="6"/>
      <c r="F678" s="6" t="s">
        <v>1075</v>
      </c>
      <c r="G678" s="6" t="s">
        <v>16</v>
      </c>
      <c r="H678" s="6" t="s">
        <v>34</v>
      </c>
      <c r="I678" s="6">
        <v>2163</v>
      </c>
      <c r="J678" s="6">
        <v>679</v>
      </c>
      <c r="K678" s="6">
        <v>1</v>
      </c>
      <c r="L678" s="10">
        <f t="shared" si="14"/>
        <v>1.468677</v>
      </c>
      <c r="M678" s="6" t="s">
        <v>103</v>
      </c>
      <c r="N678" s="6"/>
      <c r="O678" s="6"/>
      <c r="P678" s="17" t="s">
        <v>54</v>
      </c>
      <c r="Q678" s="17" t="s">
        <v>54</v>
      </c>
      <c r="R678" s="17" t="s">
        <v>54</v>
      </c>
    </row>
    <row r="679" spans="1:18" ht="30" customHeight="1" x14ac:dyDescent="0.3">
      <c r="A679" s="7">
        <v>45901.601407523151</v>
      </c>
      <c r="B679" s="6" t="s">
        <v>5</v>
      </c>
      <c r="C679" s="6"/>
      <c r="D679" s="6" t="str">
        <f>VLOOKUP(B679,'Veri doğrulama'!$D$6:$E$13,2,0)</f>
        <v>MEHMET ÖZEN</v>
      </c>
      <c r="E679" s="6"/>
      <c r="F679" s="6" t="s">
        <v>1074</v>
      </c>
      <c r="G679" s="6" t="s">
        <v>18</v>
      </c>
      <c r="H679" s="6" t="s">
        <v>34</v>
      </c>
      <c r="I679" s="6">
        <v>1150</v>
      </c>
      <c r="J679" s="6">
        <v>557</v>
      </c>
      <c r="K679" s="6">
        <v>1</v>
      </c>
      <c r="L679" s="10">
        <f t="shared" si="14"/>
        <v>0.64054999999999995</v>
      </c>
      <c r="M679" s="6" t="s">
        <v>75</v>
      </c>
      <c r="N679" s="6"/>
      <c r="O679" s="6"/>
      <c r="P679" s="17" t="s">
        <v>54</v>
      </c>
      <c r="Q679" s="17" t="s">
        <v>54</v>
      </c>
      <c r="R679" s="17" t="s">
        <v>54</v>
      </c>
    </row>
    <row r="680" spans="1:18" ht="30" customHeight="1" x14ac:dyDescent="0.3">
      <c r="A680" s="7">
        <v>45901.498522106478</v>
      </c>
      <c r="B680" s="6" t="s">
        <v>5</v>
      </c>
      <c r="C680" s="6"/>
      <c r="D680" s="6" t="str">
        <f>VLOOKUP(B680,'Veri doğrulama'!$D$6:$E$13,2,0)</f>
        <v>MEHMET ÖZEN</v>
      </c>
      <c r="E680" s="6"/>
      <c r="F680" s="6" t="s">
        <v>709</v>
      </c>
      <c r="G680" s="6" t="s">
        <v>15</v>
      </c>
      <c r="H680" s="6" t="s">
        <v>34</v>
      </c>
      <c r="I680" s="6">
        <v>2000</v>
      </c>
      <c r="J680" s="6">
        <v>1000</v>
      </c>
      <c r="K680" s="6">
        <v>1</v>
      </c>
      <c r="L680" s="10">
        <f t="shared" si="14"/>
        <v>2</v>
      </c>
      <c r="M680" s="6" t="s">
        <v>42</v>
      </c>
      <c r="N680" s="6" t="s">
        <v>468</v>
      </c>
      <c r="O680" s="6"/>
      <c r="P680" s="17" t="s">
        <v>54</v>
      </c>
      <c r="Q680" s="17" t="s">
        <v>54</v>
      </c>
      <c r="R680" s="17" t="s">
        <v>54</v>
      </c>
    </row>
    <row r="681" spans="1:18" ht="30" customHeight="1" x14ac:dyDescent="0.3">
      <c r="A681" s="7">
        <v>45901.482051967592</v>
      </c>
      <c r="B681" s="6" t="s">
        <v>4</v>
      </c>
      <c r="C681" s="6"/>
      <c r="D681" s="6" t="str">
        <f>VLOOKUP(B681,'Veri doğrulama'!$D$6:$E$13,2,0)</f>
        <v>MEHMET YAZICI</v>
      </c>
      <c r="E681" s="6">
        <v>24149</v>
      </c>
      <c r="F681" s="6" t="s">
        <v>165</v>
      </c>
      <c r="G681" s="6" t="s">
        <v>16</v>
      </c>
      <c r="H681" s="6" t="s">
        <v>34</v>
      </c>
      <c r="I681" s="6">
        <v>1400</v>
      </c>
      <c r="J681" s="6">
        <v>800</v>
      </c>
      <c r="K681" s="6">
        <v>1</v>
      </c>
      <c r="L681" s="10">
        <f t="shared" si="14"/>
        <v>1.1200000000000001</v>
      </c>
      <c r="M681" s="6" t="s">
        <v>156</v>
      </c>
      <c r="N681" s="6"/>
      <c r="O681" s="6"/>
      <c r="P681" s="17" t="s">
        <v>54</v>
      </c>
      <c r="Q681" s="17" t="s">
        <v>54</v>
      </c>
      <c r="R681" s="17" t="s">
        <v>54</v>
      </c>
    </row>
    <row r="682" spans="1:18" ht="30" customHeight="1" x14ac:dyDescent="0.3">
      <c r="A682" s="7">
        <v>45901.414039930554</v>
      </c>
      <c r="B682" s="6" t="s">
        <v>4</v>
      </c>
      <c r="C682" s="6"/>
      <c r="D682" s="6" t="str">
        <f>VLOOKUP(B682,'Veri doğrulama'!$D$6:$E$13,2,0)</f>
        <v>MEHMET YAZICI</v>
      </c>
      <c r="E682" s="6" t="s">
        <v>1073</v>
      </c>
      <c r="F682" s="6" t="s">
        <v>773</v>
      </c>
      <c r="G682" s="6" t="s">
        <v>20</v>
      </c>
      <c r="H682" s="6" t="s">
        <v>34</v>
      </c>
      <c r="I682" s="6">
        <v>1600</v>
      </c>
      <c r="J682" s="6">
        <v>1600</v>
      </c>
      <c r="K682" s="6">
        <v>1</v>
      </c>
      <c r="L682" s="10">
        <f t="shared" si="14"/>
        <v>2.56</v>
      </c>
      <c r="M682" s="6" t="s">
        <v>103</v>
      </c>
      <c r="N682" s="6"/>
      <c r="O682" s="6"/>
      <c r="P682" s="17" t="s">
        <v>54</v>
      </c>
      <c r="Q682" s="17" t="s">
        <v>54</v>
      </c>
      <c r="R682" s="17" t="s">
        <v>54</v>
      </c>
    </row>
    <row r="683" spans="1:18" ht="30" customHeight="1" x14ac:dyDescent="0.3">
      <c r="A683" s="7">
        <v>45898.698426273149</v>
      </c>
      <c r="B683" s="6" t="s">
        <v>7</v>
      </c>
      <c r="C683" s="6"/>
      <c r="D683" s="6" t="str">
        <f>VLOOKUP(B683,'Veri doğrulama'!$D$6:$E$13,2,0)</f>
        <v>SIDDIK KAPLAN</v>
      </c>
      <c r="E683" s="6"/>
      <c r="F683" s="6" t="s">
        <v>1072</v>
      </c>
      <c r="G683" s="6" t="s">
        <v>15</v>
      </c>
      <c r="H683" s="6" t="s">
        <v>34</v>
      </c>
      <c r="I683" s="6">
        <v>1400</v>
      </c>
      <c r="J683" s="6">
        <v>800</v>
      </c>
      <c r="K683" s="6">
        <v>1</v>
      </c>
      <c r="L683" s="10">
        <f t="shared" si="14"/>
        <v>1.1200000000000001</v>
      </c>
      <c r="M683" s="6" t="s">
        <v>43</v>
      </c>
      <c r="N683" s="6"/>
      <c r="O683" s="6"/>
      <c r="P683" s="17" t="s">
        <v>54</v>
      </c>
      <c r="Q683" s="17" t="s">
        <v>54</v>
      </c>
      <c r="R683" s="17" t="s">
        <v>54</v>
      </c>
    </row>
    <row r="684" spans="1:18" ht="30" customHeight="1" x14ac:dyDescent="0.3">
      <c r="A684" s="7">
        <v>45898.687848263886</v>
      </c>
      <c r="B684" s="6" t="s">
        <v>7</v>
      </c>
      <c r="C684" s="6"/>
      <c r="D684" s="6" t="str">
        <f>VLOOKUP(B684,'Veri doğrulama'!$D$6:$E$13,2,0)</f>
        <v>SIDDIK KAPLAN</v>
      </c>
      <c r="E684" s="6"/>
      <c r="F684" s="6" t="s">
        <v>271</v>
      </c>
      <c r="G684" s="6" t="s">
        <v>24</v>
      </c>
      <c r="H684" s="6" t="s">
        <v>34</v>
      </c>
      <c r="I684" s="6">
        <v>900</v>
      </c>
      <c r="J684" s="6">
        <v>600</v>
      </c>
      <c r="K684" s="6">
        <v>1</v>
      </c>
      <c r="L684" s="10">
        <f t="shared" si="14"/>
        <v>0.54</v>
      </c>
      <c r="M684" s="6" t="s">
        <v>43</v>
      </c>
      <c r="N684" s="6"/>
      <c r="O684" s="6"/>
      <c r="P684" s="17" t="s">
        <v>54</v>
      </c>
      <c r="Q684" s="17" t="s">
        <v>54</v>
      </c>
      <c r="R684" s="17" t="s">
        <v>54</v>
      </c>
    </row>
    <row r="685" spans="1:18" ht="30" customHeight="1" x14ac:dyDescent="0.3">
      <c r="A685" s="7">
        <v>45898.502792361112</v>
      </c>
      <c r="B685" s="6" t="s">
        <v>5</v>
      </c>
      <c r="C685" s="6"/>
      <c r="D685" s="6" t="str">
        <f>VLOOKUP(B685,'Veri doğrulama'!$D$6:$E$13,2,0)</f>
        <v>MEHMET ÖZEN</v>
      </c>
      <c r="E685" s="6" t="s">
        <v>1070</v>
      </c>
      <c r="F685" s="6" t="s">
        <v>1071</v>
      </c>
      <c r="G685" s="6" t="s">
        <v>15</v>
      </c>
      <c r="H685" s="6" t="s">
        <v>34</v>
      </c>
      <c r="I685" s="6">
        <v>1410</v>
      </c>
      <c r="J685" s="6">
        <v>1410</v>
      </c>
      <c r="K685" s="6">
        <v>1</v>
      </c>
      <c r="L685" s="10">
        <f t="shared" si="14"/>
        <v>1.9881</v>
      </c>
      <c r="M685" s="6" t="s">
        <v>43</v>
      </c>
      <c r="N685" s="6" t="s">
        <v>468</v>
      </c>
      <c r="O685" s="6"/>
      <c r="P685" s="17" t="s">
        <v>54</v>
      </c>
      <c r="Q685" s="17" t="s">
        <v>54</v>
      </c>
      <c r="R685" s="17" t="s">
        <v>54</v>
      </c>
    </row>
    <row r="686" spans="1:18" ht="30" customHeight="1" x14ac:dyDescent="0.3">
      <c r="A686" s="7">
        <v>45897.561651620374</v>
      </c>
      <c r="B686" s="6" t="s">
        <v>7</v>
      </c>
      <c r="C686" s="6"/>
      <c r="D686" s="6" t="str">
        <f>VLOOKUP(B686,'Veri doğrulama'!$D$6:$E$13,2,0)</f>
        <v>SIDDIK KAPLAN</v>
      </c>
      <c r="E686" s="6"/>
      <c r="F686" s="6" t="s">
        <v>1068</v>
      </c>
      <c r="G686" s="6" t="s">
        <v>1004</v>
      </c>
      <c r="H686" s="6" t="s">
        <v>34</v>
      </c>
      <c r="I686" s="6">
        <v>1800</v>
      </c>
      <c r="J686" s="6">
        <v>1100</v>
      </c>
      <c r="K686" s="6">
        <v>1</v>
      </c>
      <c r="L686" s="10">
        <f t="shared" si="14"/>
        <v>1.98</v>
      </c>
      <c r="M686" s="6" t="s">
        <v>43</v>
      </c>
      <c r="N686" s="6" t="s">
        <v>1069</v>
      </c>
      <c r="O686" s="6"/>
      <c r="P686" s="17" t="s">
        <v>54</v>
      </c>
      <c r="Q686" s="17" t="s">
        <v>54</v>
      </c>
      <c r="R686" s="17" t="s">
        <v>54</v>
      </c>
    </row>
    <row r="687" spans="1:18" ht="30" customHeight="1" x14ac:dyDescent="0.3">
      <c r="A687" s="7">
        <v>45896.656356134263</v>
      </c>
      <c r="B687" s="6" t="s">
        <v>7</v>
      </c>
      <c r="C687" s="6"/>
      <c r="D687" s="6" t="str">
        <f>VLOOKUP(B687,'Veri doğrulama'!$D$6:$E$13,2,0)</f>
        <v>SIDDIK KAPLAN</v>
      </c>
      <c r="E687" s="6"/>
      <c r="F687" s="6" t="s">
        <v>1066</v>
      </c>
      <c r="G687" s="6" t="s">
        <v>22</v>
      </c>
      <c r="H687" s="6" t="s">
        <v>34</v>
      </c>
      <c r="I687" s="6">
        <v>470</v>
      </c>
      <c r="J687" s="6">
        <v>470</v>
      </c>
      <c r="K687" s="6">
        <v>7</v>
      </c>
      <c r="L687" s="10">
        <f t="shared" si="14"/>
        <v>1.5463</v>
      </c>
      <c r="M687" s="6" t="s">
        <v>43</v>
      </c>
      <c r="N687" s="6" t="s">
        <v>1067</v>
      </c>
      <c r="O687" s="6"/>
      <c r="P687" s="17" t="s">
        <v>54</v>
      </c>
      <c r="Q687" s="17" t="s">
        <v>54</v>
      </c>
      <c r="R687" s="17" t="s">
        <v>54</v>
      </c>
    </row>
    <row r="688" spans="1:18" ht="30" customHeight="1" x14ac:dyDescent="0.3">
      <c r="A688" s="7">
        <v>45895.335122453704</v>
      </c>
      <c r="B688" s="6" t="s">
        <v>5</v>
      </c>
      <c r="C688" s="6"/>
      <c r="D688" s="6" t="str">
        <f>VLOOKUP(B688,'Veri doğrulama'!$D$6:$E$13,2,0)</f>
        <v>MEHMET ÖZEN</v>
      </c>
      <c r="E688" s="6"/>
      <c r="F688" s="6" t="s">
        <v>1065</v>
      </c>
      <c r="G688" s="6" t="s">
        <v>24</v>
      </c>
      <c r="H688" s="6" t="s">
        <v>35</v>
      </c>
      <c r="I688" s="6">
        <v>890</v>
      </c>
      <c r="J688" s="6">
        <v>450</v>
      </c>
      <c r="K688" s="6">
        <v>1</v>
      </c>
      <c r="L688" s="10">
        <f t="shared" si="14"/>
        <v>0.40050000000000002</v>
      </c>
      <c r="M688" s="6" t="s">
        <v>75</v>
      </c>
      <c r="N688" s="6"/>
      <c r="O688" s="6"/>
      <c r="P688" s="17" t="s">
        <v>54</v>
      </c>
      <c r="Q688" s="17" t="s">
        <v>54</v>
      </c>
      <c r="R688" s="17" t="s">
        <v>54</v>
      </c>
    </row>
    <row r="689" spans="1:18" ht="30" customHeight="1" x14ac:dyDescent="0.3">
      <c r="A689" s="7">
        <v>45891.766255902781</v>
      </c>
      <c r="B689" s="6" t="s">
        <v>4</v>
      </c>
      <c r="C689" s="6"/>
      <c r="D689" s="6" t="str">
        <f>VLOOKUP(B689,'Veri doğrulama'!$D$6:$E$13,2,0)</f>
        <v>MEHMET YAZICI</v>
      </c>
      <c r="E689" s="6"/>
      <c r="F689" s="6" t="s">
        <v>1064</v>
      </c>
      <c r="G689" s="6" t="s">
        <v>17</v>
      </c>
      <c r="H689" s="6" t="s">
        <v>34</v>
      </c>
      <c r="I689" s="6">
        <v>1302</v>
      </c>
      <c r="J689" s="6">
        <v>497</v>
      </c>
      <c r="K689" s="6">
        <v>1</v>
      </c>
      <c r="L689" s="10">
        <f t="shared" si="14"/>
        <v>0.64709399999999995</v>
      </c>
      <c r="M689" s="6" t="s">
        <v>102</v>
      </c>
      <c r="N689" s="6"/>
      <c r="O689" s="6"/>
      <c r="P689" s="17" t="s">
        <v>54</v>
      </c>
      <c r="Q689" s="17" t="s">
        <v>54</v>
      </c>
      <c r="R689" s="17" t="s">
        <v>54</v>
      </c>
    </row>
    <row r="690" spans="1:18" ht="30" customHeight="1" x14ac:dyDescent="0.3">
      <c r="A690" s="7">
        <v>45891.765666319443</v>
      </c>
      <c r="B690" s="6" t="s">
        <v>4</v>
      </c>
      <c r="C690" s="6"/>
      <c r="D690" s="6" t="str">
        <f>VLOOKUP(B690,'Veri doğrulama'!$D$6:$E$13,2,0)</f>
        <v>MEHMET YAZICI</v>
      </c>
      <c r="E690" s="6"/>
      <c r="F690" s="6" t="s">
        <v>1063</v>
      </c>
      <c r="G690" s="6" t="s">
        <v>13</v>
      </c>
      <c r="H690" s="6" t="s">
        <v>34</v>
      </c>
      <c r="I690" s="6">
        <v>447</v>
      </c>
      <c r="J690" s="6">
        <v>470</v>
      </c>
      <c r="K690" s="6">
        <v>1</v>
      </c>
      <c r="L690" s="10">
        <f t="shared" si="14"/>
        <v>0.21009</v>
      </c>
      <c r="M690" s="6" t="s">
        <v>103</v>
      </c>
      <c r="N690" s="6"/>
      <c r="O690" s="6"/>
      <c r="P690" s="17" t="s">
        <v>54</v>
      </c>
      <c r="Q690" s="17" t="s">
        <v>54</v>
      </c>
      <c r="R690" s="17" t="s">
        <v>54</v>
      </c>
    </row>
    <row r="691" spans="1:18" ht="30" customHeight="1" x14ac:dyDescent="0.3">
      <c r="A691" s="7">
        <v>45891.76440162037</v>
      </c>
      <c r="B691" s="6" t="s">
        <v>4</v>
      </c>
      <c r="C691" s="6"/>
      <c r="D691" s="6" t="str">
        <f>VLOOKUP(B691,'Veri doğrulama'!$D$6:$E$13,2,0)</f>
        <v>MEHMET YAZICI</v>
      </c>
      <c r="E691" s="6"/>
      <c r="F691" s="6" t="s">
        <v>1062</v>
      </c>
      <c r="G691" s="6" t="s">
        <v>18</v>
      </c>
      <c r="H691" s="6" t="s">
        <v>34</v>
      </c>
      <c r="I691" s="6">
        <v>1462</v>
      </c>
      <c r="J691" s="6">
        <v>1888</v>
      </c>
      <c r="K691" s="6">
        <v>1</v>
      </c>
      <c r="L691" s="10">
        <f t="shared" si="14"/>
        <v>2.760256</v>
      </c>
      <c r="M691" s="6" t="s">
        <v>43</v>
      </c>
      <c r="N691" s="6"/>
      <c r="O691" s="6"/>
      <c r="P691" s="17" t="s">
        <v>54</v>
      </c>
      <c r="Q691" s="17" t="s">
        <v>54</v>
      </c>
      <c r="R691" s="17" t="s">
        <v>54</v>
      </c>
    </row>
    <row r="692" spans="1:18" ht="30" customHeight="1" x14ac:dyDescent="0.3">
      <c r="A692" s="7">
        <v>45891.333316087963</v>
      </c>
      <c r="B692" s="6" t="s">
        <v>4</v>
      </c>
      <c r="C692" s="6"/>
      <c r="D692" s="6" t="str">
        <f>VLOOKUP(B692,'Veri doğrulama'!$D$6:$E$13,2,0)</f>
        <v>MEHMET YAZICI</v>
      </c>
      <c r="E692" s="6"/>
      <c r="F692" s="6" t="s">
        <v>124</v>
      </c>
      <c r="G692" s="6" t="s">
        <v>26</v>
      </c>
      <c r="H692" s="6" t="s">
        <v>34</v>
      </c>
      <c r="I692" s="6">
        <v>684</v>
      </c>
      <c r="J692" s="6">
        <v>350</v>
      </c>
      <c r="K692" s="6">
        <v>1</v>
      </c>
      <c r="L692" s="10">
        <f t="shared" si="14"/>
        <v>0.2394</v>
      </c>
      <c r="M692" s="6" t="s">
        <v>43</v>
      </c>
      <c r="N692" s="6"/>
      <c r="O692" s="6"/>
      <c r="P692" s="17" t="s">
        <v>54</v>
      </c>
      <c r="Q692" s="17" t="s">
        <v>54</v>
      </c>
      <c r="R692" s="17" t="s">
        <v>54</v>
      </c>
    </row>
    <row r="693" spans="1:18" ht="30" customHeight="1" x14ac:dyDescent="0.3">
      <c r="A693" s="7">
        <v>45891.332685069443</v>
      </c>
      <c r="B693" s="6" t="s">
        <v>4</v>
      </c>
      <c r="C693" s="6"/>
      <c r="D693" s="6" t="str">
        <f>VLOOKUP(B693,'Veri doğrulama'!$D$6:$E$13,2,0)</f>
        <v>MEHMET YAZICI</v>
      </c>
      <c r="E693" s="6"/>
      <c r="F693" s="6" t="s">
        <v>824</v>
      </c>
      <c r="G693" s="6" t="s">
        <v>16</v>
      </c>
      <c r="H693" s="6" t="s">
        <v>34</v>
      </c>
      <c r="I693" s="6">
        <v>1877</v>
      </c>
      <c r="J693" s="6">
        <v>375</v>
      </c>
      <c r="K693" s="6">
        <v>1</v>
      </c>
      <c r="L693" s="10">
        <f t="shared" si="14"/>
        <v>0.70387500000000003</v>
      </c>
      <c r="M693" s="6" t="s">
        <v>103</v>
      </c>
      <c r="N693" s="6"/>
      <c r="O693" s="6"/>
      <c r="P693" s="17" t="s">
        <v>54</v>
      </c>
      <c r="Q693" s="17" t="s">
        <v>54</v>
      </c>
      <c r="R693" s="17" t="s">
        <v>54</v>
      </c>
    </row>
    <row r="694" spans="1:18" ht="30" customHeight="1" x14ac:dyDescent="0.3">
      <c r="A694" s="7">
        <v>45890.691748148151</v>
      </c>
      <c r="B694" s="6" t="s">
        <v>4</v>
      </c>
      <c r="C694" s="6"/>
      <c r="D694" s="6" t="str">
        <f>VLOOKUP(B694,'Veri doğrulama'!$D$6:$E$13,2,0)</f>
        <v>MEHMET YAZICI</v>
      </c>
      <c r="E694" s="6"/>
      <c r="F694" s="6" t="s">
        <v>117</v>
      </c>
      <c r="G694" s="6" t="s">
        <v>16</v>
      </c>
      <c r="H694" s="6" t="s">
        <v>34</v>
      </c>
      <c r="I694" s="6">
        <v>1962</v>
      </c>
      <c r="J694" s="6">
        <v>324</v>
      </c>
      <c r="K694" s="6">
        <v>1</v>
      </c>
      <c r="L694" s="10">
        <f t="shared" si="14"/>
        <v>0.63568800000000003</v>
      </c>
      <c r="M694" s="6" t="s">
        <v>75</v>
      </c>
      <c r="N694" s="6"/>
      <c r="O694" s="6"/>
      <c r="P694" s="17" t="s">
        <v>54</v>
      </c>
      <c r="Q694" s="17" t="s">
        <v>54</v>
      </c>
      <c r="R694" s="17" t="s">
        <v>54</v>
      </c>
    </row>
    <row r="695" spans="1:18" ht="30" customHeight="1" x14ac:dyDescent="0.3">
      <c r="A695" s="7">
        <v>45890.559056365739</v>
      </c>
      <c r="B695" s="6" t="s">
        <v>5</v>
      </c>
      <c r="C695" s="6"/>
      <c r="D695" s="6" t="str">
        <f>VLOOKUP(B695,'Veri doğrulama'!$D$6:$E$13,2,0)</f>
        <v>MEHMET ÖZEN</v>
      </c>
      <c r="E695" s="6"/>
      <c r="F695" s="6" t="s">
        <v>1061</v>
      </c>
      <c r="G695" s="6" t="s">
        <v>15</v>
      </c>
      <c r="H695" s="6" t="s">
        <v>34</v>
      </c>
      <c r="I695" s="6">
        <v>940</v>
      </c>
      <c r="J695" s="6">
        <v>680</v>
      </c>
      <c r="K695" s="6">
        <v>4</v>
      </c>
      <c r="L695" s="10">
        <f t="shared" si="14"/>
        <v>2.5568</v>
      </c>
      <c r="M695" s="6" t="s">
        <v>103</v>
      </c>
      <c r="N695" s="6"/>
      <c r="O695" s="6"/>
      <c r="P695" s="17" t="s">
        <v>54</v>
      </c>
      <c r="Q695" s="17" t="s">
        <v>54</v>
      </c>
      <c r="R695" s="17" t="s">
        <v>54</v>
      </c>
    </row>
    <row r="696" spans="1:18" ht="30" customHeight="1" x14ac:dyDescent="0.3">
      <c r="A696" s="7">
        <v>45890.393175231482</v>
      </c>
      <c r="B696" s="6" t="s">
        <v>5</v>
      </c>
      <c r="C696" s="6"/>
      <c r="D696" s="6" t="str">
        <f>VLOOKUP(B696,'Veri doğrulama'!$D$6:$E$13,2,0)</f>
        <v>MEHMET ÖZEN</v>
      </c>
      <c r="E696" s="6"/>
      <c r="F696" s="6" t="s">
        <v>1060</v>
      </c>
      <c r="G696" s="6" t="s">
        <v>16</v>
      </c>
      <c r="H696" s="6" t="s">
        <v>34</v>
      </c>
      <c r="I696" s="6">
        <v>1400</v>
      </c>
      <c r="J696" s="6">
        <v>800</v>
      </c>
      <c r="K696" s="6">
        <v>1</v>
      </c>
      <c r="L696" s="10">
        <f t="shared" si="14"/>
        <v>1.1200000000000001</v>
      </c>
      <c r="M696" s="6" t="s">
        <v>42</v>
      </c>
      <c r="N696" s="6"/>
      <c r="O696" s="6"/>
      <c r="P696" s="17" t="s">
        <v>54</v>
      </c>
      <c r="Q696" s="17" t="s">
        <v>54</v>
      </c>
      <c r="R696" s="17" t="s">
        <v>54</v>
      </c>
    </row>
    <row r="697" spans="1:18" ht="30" customHeight="1" x14ac:dyDescent="0.3">
      <c r="A697" s="7">
        <v>45890.382433101855</v>
      </c>
      <c r="B697" s="6" t="s">
        <v>4</v>
      </c>
      <c r="C697" s="6"/>
      <c r="D697" s="6" t="str">
        <f>VLOOKUP(B697,'Veri doğrulama'!$D$6:$E$13,2,0)</f>
        <v>MEHMET YAZICI</v>
      </c>
      <c r="E697" s="6"/>
      <c r="F697" s="6" t="s">
        <v>1059</v>
      </c>
      <c r="G697" s="6" t="s">
        <v>19</v>
      </c>
      <c r="H697" s="6" t="s">
        <v>34</v>
      </c>
      <c r="I697" s="6">
        <v>2600</v>
      </c>
      <c r="J697" s="6">
        <v>300</v>
      </c>
      <c r="K697" s="6">
        <v>4</v>
      </c>
      <c r="L697" s="10">
        <f t="shared" si="14"/>
        <v>3.12</v>
      </c>
      <c r="M697" s="6" t="s">
        <v>103</v>
      </c>
      <c r="N697" s="6"/>
      <c r="O697" s="6"/>
      <c r="P697" s="17" t="s">
        <v>54</v>
      </c>
      <c r="Q697" s="17" t="s">
        <v>54</v>
      </c>
      <c r="R697" s="17" t="s">
        <v>54</v>
      </c>
    </row>
    <row r="698" spans="1:18" ht="30" customHeight="1" x14ac:dyDescent="0.3">
      <c r="A698" s="7">
        <v>45890.380089814818</v>
      </c>
      <c r="B698" s="6" t="s">
        <v>4</v>
      </c>
      <c r="C698" s="6"/>
      <c r="D698" s="6" t="str">
        <f>VLOOKUP(B698,'Veri doğrulama'!$D$6:$E$13,2,0)</f>
        <v>MEHMET YAZICI</v>
      </c>
      <c r="E698" s="6"/>
      <c r="F698" s="6" t="s">
        <v>921</v>
      </c>
      <c r="G698" s="6" t="s">
        <v>17</v>
      </c>
      <c r="H698" s="6" t="s">
        <v>35</v>
      </c>
      <c r="I698" s="6">
        <v>1800</v>
      </c>
      <c r="J698" s="6">
        <v>150</v>
      </c>
      <c r="K698" s="6">
        <v>1</v>
      </c>
      <c r="L698" s="10">
        <f t="shared" si="14"/>
        <v>0.27</v>
      </c>
      <c r="M698" s="6" t="s">
        <v>75</v>
      </c>
      <c r="N698" s="6"/>
      <c r="O698" s="6"/>
      <c r="P698" s="17" t="s">
        <v>54</v>
      </c>
      <c r="Q698" s="17" t="s">
        <v>54</v>
      </c>
      <c r="R698" s="17" t="s">
        <v>54</v>
      </c>
    </row>
    <row r="699" spans="1:18" ht="30" customHeight="1" x14ac:dyDescent="0.3">
      <c r="A699" s="7">
        <v>45889.358266435185</v>
      </c>
      <c r="B699" s="6" t="s">
        <v>4</v>
      </c>
      <c r="C699" s="6"/>
      <c r="D699" s="6" t="str">
        <f>VLOOKUP(B699,'Veri doğrulama'!$D$6:$E$13,2,0)</f>
        <v>MEHMET YAZICI</v>
      </c>
      <c r="E699" s="6"/>
      <c r="F699" s="6" t="s">
        <v>1058</v>
      </c>
      <c r="G699" s="6" t="s">
        <v>1010</v>
      </c>
      <c r="H699" s="6" t="s">
        <v>34</v>
      </c>
      <c r="I699" s="6">
        <v>760</v>
      </c>
      <c r="J699" s="6">
        <v>400</v>
      </c>
      <c r="K699" s="6">
        <v>1</v>
      </c>
      <c r="L699" s="10">
        <f t="shared" si="14"/>
        <v>0.30399999999999999</v>
      </c>
      <c r="M699" s="6" t="s">
        <v>103</v>
      </c>
      <c r="N699" s="6"/>
      <c r="O699" s="6"/>
      <c r="P699" s="17" t="s">
        <v>54</v>
      </c>
      <c r="Q699" s="17" t="s">
        <v>54</v>
      </c>
      <c r="R699" s="17" t="s">
        <v>54</v>
      </c>
    </row>
    <row r="700" spans="1:18" ht="30" customHeight="1" x14ac:dyDescent="0.3">
      <c r="A700" s="7">
        <v>45889.357500810183</v>
      </c>
      <c r="B700" s="6" t="s">
        <v>4</v>
      </c>
      <c r="C700" s="6"/>
      <c r="D700" s="6" t="str">
        <f>VLOOKUP(B700,'Veri doğrulama'!$D$6:$E$13,2,0)</f>
        <v>MEHMET YAZICI</v>
      </c>
      <c r="E700" s="6"/>
      <c r="F700" s="6" t="s">
        <v>1057</v>
      </c>
      <c r="G700" s="6" t="s">
        <v>15</v>
      </c>
      <c r="H700" s="6" t="s">
        <v>34</v>
      </c>
      <c r="I700" s="6">
        <v>569</v>
      </c>
      <c r="J700" s="6">
        <v>426</v>
      </c>
      <c r="K700" s="6">
        <v>3</v>
      </c>
      <c r="L700" s="10">
        <f t="shared" si="14"/>
        <v>0.727182</v>
      </c>
      <c r="M700" s="6" t="s">
        <v>103</v>
      </c>
      <c r="N700" s="6"/>
      <c r="O700" s="6"/>
      <c r="P700" s="17" t="s">
        <v>54</v>
      </c>
      <c r="Q700" s="17" t="s">
        <v>54</v>
      </c>
      <c r="R700" s="17" t="s">
        <v>54</v>
      </c>
    </row>
    <row r="701" spans="1:18" ht="30" customHeight="1" x14ac:dyDescent="0.3">
      <c r="A701" s="7">
        <v>45889.356909490743</v>
      </c>
      <c r="B701" s="6" t="s">
        <v>4</v>
      </c>
      <c r="C701" s="6"/>
      <c r="D701" s="6" t="str">
        <f>VLOOKUP(B701,'Veri doğrulama'!$D$6:$E$13,2,0)</f>
        <v>MEHMET YAZICI</v>
      </c>
      <c r="E701" s="6"/>
      <c r="F701" s="6" t="s">
        <v>1056</v>
      </c>
      <c r="G701" s="6" t="s">
        <v>15</v>
      </c>
      <c r="H701" s="6" t="s">
        <v>34</v>
      </c>
      <c r="I701" s="6">
        <v>1400</v>
      </c>
      <c r="J701" s="6">
        <v>800</v>
      </c>
      <c r="K701" s="6">
        <v>2</v>
      </c>
      <c r="L701" s="10">
        <f t="shared" si="14"/>
        <v>2.2400000000000002</v>
      </c>
      <c r="M701" s="6" t="s">
        <v>103</v>
      </c>
      <c r="N701" s="6"/>
      <c r="O701" s="6"/>
      <c r="P701" s="17" t="s">
        <v>54</v>
      </c>
      <c r="Q701" s="17" t="s">
        <v>54</v>
      </c>
      <c r="R701" s="17" t="s">
        <v>54</v>
      </c>
    </row>
    <row r="702" spans="1:18" ht="30" customHeight="1" x14ac:dyDescent="0.3">
      <c r="A702" s="7">
        <v>45889.356514699073</v>
      </c>
      <c r="B702" s="6" t="s">
        <v>4</v>
      </c>
      <c r="C702" s="6"/>
      <c r="D702" s="6" t="str">
        <f>VLOOKUP(B702,'Veri doğrulama'!$D$6:$E$13,2,0)</f>
        <v>MEHMET YAZICI</v>
      </c>
      <c r="E702" s="6"/>
      <c r="F702" s="6" t="s">
        <v>1055</v>
      </c>
      <c r="G702" s="6" t="s">
        <v>15</v>
      </c>
      <c r="H702" s="6" t="s">
        <v>34</v>
      </c>
      <c r="I702" s="6">
        <v>940</v>
      </c>
      <c r="J702" s="6">
        <v>680</v>
      </c>
      <c r="K702" s="6">
        <v>2</v>
      </c>
      <c r="L702" s="10">
        <f t="shared" si="14"/>
        <v>1.2784</v>
      </c>
      <c r="M702" s="6" t="s">
        <v>103</v>
      </c>
      <c r="N702" s="6"/>
      <c r="O702" s="6"/>
      <c r="P702" s="17" t="s">
        <v>54</v>
      </c>
      <c r="Q702" s="17" t="s">
        <v>54</v>
      </c>
      <c r="R702" s="17" t="s">
        <v>54</v>
      </c>
    </row>
    <row r="703" spans="1:18" ht="30" customHeight="1" x14ac:dyDescent="0.3">
      <c r="A703" s="7">
        <v>45888.649231828706</v>
      </c>
      <c r="B703" s="6" t="s">
        <v>5</v>
      </c>
      <c r="C703" s="6"/>
      <c r="D703" s="6" t="str">
        <f>VLOOKUP(B703,'Veri doğrulama'!$D$6:$E$13,2,0)</f>
        <v>MEHMET ÖZEN</v>
      </c>
      <c r="E703" s="6"/>
      <c r="F703" s="6" t="s">
        <v>1054</v>
      </c>
      <c r="G703" s="6" t="s">
        <v>15</v>
      </c>
      <c r="H703" s="6" t="s">
        <v>35</v>
      </c>
      <c r="I703" s="6">
        <v>620</v>
      </c>
      <c r="J703" s="6">
        <v>620</v>
      </c>
      <c r="K703" s="6">
        <v>1</v>
      </c>
      <c r="L703" s="10">
        <f t="shared" si="14"/>
        <v>0.38440000000000002</v>
      </c>
      <c r="M703" s="6" t="s">
        <v>42</v>
      </c>
      <c r="N703" s="6"/>
      <c r="O703" s="6"/>
      <c r="P703" s="17" t="s">
        <v>54</v>
      </c>
      <c r="Q703" s="17" t="s">
        <v>54</v>
      </c>
      <c r="R703" s="17" t="s">
        <v>54</v>
      </c>
    </row>
    <row r="704" spans="1:18" ht="30" customHeight="1" x14ac:dyDescent="0.3">
      <c r="A704" s="7">
        <v>45888.592392708335</v>
      </c>
      <c r="B704" s="6" t="s">
        <v>5</v>
      </c>
      <c r="C704" s="6"/>
      <c r="D704" s="6" t="str">
        <f>VLOOKUP(B704,'Veri doğrulama'!$D$6:$E$13,2,0)</f>
        <v>MEHMET ÖZEN</v>
      </c>
      <c r="E704" s="6"/>
      <c r="F704" s="6" t="s">
        <v>1053</v>
      </c>
      <c r="G704" s="6" t="s">
        <v>16</v>
      </c>
      <c r="H704" s="6" t="s">
        <v>34</v>
      </c>
      <c r="I704" s="6">
        <v>1815</v>
      </c>
      <c r="J704" s="6">
        <v>397</v>
      </c>
      <c r="K704" s="6">
        <v>1</v>
      </c>
      <c r="L704" s="10">
        <f t="shared" ref="L704:L717" si="15">I704*J704/1000000*K704</f>
        <v>0.72055499999999995</v>
      </c>
      <c r="M704" s="6" t="s">
        <v>42</v>
      </c>
      <c r="N704" s="6"/>
      <c r="O704" s="6"/>
      <c r="P704" s="17" t="s">
        <v>54</v>
      </c>
      <c r="Q704" s="17" t="s">
        <v>54</v>
      </c>
      <c r="R704" s="17" t="s">
        <v>54</v>
      </c>
    </row>
    <row r="705" spans="1:18" ht="30" customHeight="1" x14ac:dyDescent="0.3">
      <c r="A705" s="7">
        <v>45888.475707291669</v>
      </c>
      <c r="B705" s="6" t="s">
        <v>5</v>
      </c>
      <c r="C705" s="6"/>
      <c r="D705" s="6" t="str">
        <f>VLOOKUP(B705,'Veri doğrulama'!$D$6:$E$13,2,0)</f>
        <v>MEHMET ÖZEN</v>
      </c>
      <c r="E705" s="6"/>
      <c r="F705" s="6" t="s">
        <v>1052</v>
      </c>
      <c r="G705" s="6" t="s">
        <v>18</v>
      </c>
      <c r="H705" s="6" t="s">
        <v>34</v>
      </c>
      <c r="I705" s="6">
        <v>1400</v>
      </c>
      <c r="J705" s="6">
        <v>1200</v>
      </c>
      <c r="K705" s="6">
        <v>1</v>
      </c>
      <c r="L705" s="10">
        <f t="shared" si="15"/>
        <v>1.68</v>
      </c>
      <c r="M705" s="6" t="s">
        <v>102</v>
      </c>
      <c r="N705" s="6"/>
      <c r="O705" s="6"/>
      <c r="P705" s="17" t="s">
        <v>54</v>
      </c>
      <c r="Q705" s="17" t="s">
        <v>54</v>
      </c>
      <c r="R705" s="17" t="s">
        <v>54</v>
      </c>
    </row>
    <row r="706" spans="1:18" ht="30" customHeight="1" x14ac:dyDescent="0.3">
      <c r="A706" s="7">
        <v>45888.386291782408</v>
      </c>
      <c r="B706" s="6" t="s">
        <v>5</v>
      </c>
      <c r="C706" s="6"/>
      <c r="D706" s="6" t="str">
        <f>VLOOKUP(B706,'Veri doğrulama'!$D$6:$E$13,2,0)</f>
        <v>MEHMET ÖZEN</v>
      </c>
      <c r="E706" s="6" t="s">
        <v>1050</v>
      </c>
      <c r="F706" s="6" t="s">
        <v>1051</v>
      </c>
      <c r="G706" s="6" t="s">
        <v>146</v>
      </c>
      <c r="H706" s="6" t="s">
        <v>34</v>
      </c>
      <c r="I706" s="6">
        <v>1120</v>
      </c>
      <c r="J706" s="6">
        <v>1120</v>
      </c>
      <c r="K706" s="6">
        <v>1</v>
      </c>
      <c r="L706" s="10">
        <f t="shared" si="15"/>
        <v>1.2544</v>
      </c>
      <c r="M706" s="6" t="s">
        <v>103</v>
      </c>
      <c r="N706" s="6"/>
      <c r="O706" s="6"/>
      <c r="P706" s="17" t="s">
        <v>54</v>
      </c>
      <c r="Q706" s="17" t="s">
        <v>54</v>
      </c>
      <c r="R706" s="17" t="s">
        <v>54</v>
      </c>
    </row>
    <row r="707" spans="1:18" ht="30" customHeight="1" x14ac:dyDescent="0.3">
      <c r="A707" s="7">
        <v>45888.381676736113</v>
      </c>
      <c r="B707" s="6" t="s">
        <v>4</v>
      </c>
      <c r="C707" s="6"/>
      <c r="D707" s="6" t="str">
        <f>VLOOKUP(B707,'Veri doğrulama'!$D$6:$E$13,2,0)</f>
        <v>MEHMET YAZICI</v>
      </c>
      <c r="E707" s="6"/>
      <c r="F707" s="6" t="s">
        <v>1049</v>
      </c>
      <c r="G707" s="6" t="s">
        <v>18</v>
      </c>
      <c r="H707" s="6" t="s">
        <v>34</v>
      </c>
      <c r="I707" s="6">
        <v>1400</v>
      </c>
      <c r="J707" s="6">
        <v>1200</v>
      </c>
      <c r="K707" s="6">
        <v>2</v>
      </c>
      <c r="L707" s="10">
        <f t="shared" si="15"/>
        <v>3.36</v>
      </c>
      <c r="M707" s="6" t="s">
        <v>75</v>
      </c>
      <c r="N707" s="6"/>
      <c r="O707" s="6"/>
      <c r="P707" s="17" t="s">
        <v>54</v>
      </c>
      <c r="Q707" s="17" t="s">
        <v>54</v>
      </c>
      <c r="R707" s="17" t="s">
        <v>54</v>
      </c>
    </row>
    <row r="708" spans="1:18" ht="30" customHeight="1" x14ac:dyDescent="0.3">
      <c r="A708" s="7">
        <v>45888.362191087966</v>
      </c>
      <c r="B708" s="6" t="s">
        <v>4</v>
      </c>
      <c r="C708" s="6"/>
      <c r="D708" s="6" t="str">
        <f>VLOOKUP(B708,'Veri doğrulama'!$D$6:$E$13,2,0)</f>
        <v>MEHMET YAZICI</v>
      </c>
      <c r="E708" s="6"/>
      <c r="F708" s="6" t="s">
        <v>1048</v>
      </c>
      <c r="G708" s="6" t="s">
        <v>17</v>
      </c>
      <c r="H708" s="6" t="s">
        <v>34</v>
      </c>
      <c r="I708" s="6">
        <v>318</v>
      </c>
      <c r="J708" s="6">
        <v>295</v>
      </c>
      <c r="K708" s="6">
        <v>1</v>
      </c>
      <c r="L708" s="10">
        <f t="shared" si="15"/>
        <v>9.3810000000000004E-2</v>
      </c>
      <c r="M708" s="6" t="s">
        <v>75</v>
      </c>
      <c r="N708" s="6"/>
      <c r="O708" s="6"/>
      <c r="P708" s="17" t="s">
        <v>54</v>
      </c>
      <c r="Q708" s="17" t="s">
        <v>54</v>
      </c>
      <c r="R708" s="17" t="s">
        <v>54</v>
      </c>
    </row>
    <row r="709" spans="1:18" ht="30" customHeight="1" x14ac:dyDescent="0.3">
      <c r="A709" s="7">
        <v>45888.361317361108</v>
      </c>
      <c r="B709" s="6" t="s">
        <v>4</v>
      </c>
      <c r="C709" s="6"/>
      <c r="D709" s="6" t="str">
        <f>VLOOKUP(B709,'Veri doğrulama'!$D$6:$E$13,2,0)</f>
        <v>MEHMET YAZICI</v>
      </c>
      <c r="E709" s="6"/>
      <c r="F709" s="6" t="s">
        <v>1047</v>
      </c>
      <c r="G709" s="6" t="s">
        <v>17</v>
      </c>
      <c r="H709" s="6" t="s">
        <v>34</v>
      </c>
      <c r="I709" s="6">
        <v>489</v>
      </c>
      <c r="J709" s="6">
        <v>440</v>
      </c>
      <c r="K709" s="6">
        <v>1</v>
      </c>
      <c r="L709" s="10">
        <f t="shared" si="15"/>
        <v>0.21515999999999999</v>
      </c>
      <c r="M709" s="6" t="s">
        <v>75</v>
      </c>
      <c r="N709" s="6"/>
      <c r="O709" s="6"/>
      <c r="P709" s="17" t="s">
        <v>54</v>
      </c>
      <c r="Q709" s="17" t="s">
        <v>54</v>
      </c>
      <c r="R709" s="17" t="s">
        <v>54</v>
      </c>
    </row>
    <row r="710" spans="1:18" ht="30" customHeight="1" x14ac:dyDescent="0.3">
      <c r="A710" s="7">
        <v>45888.360329861112</v>
      </c>
      <c r="B710" s="6" t="s">
        <v>4</v>
      </c>
      <c r="C710" s="6"/>
      <c r="D710" s="6" t="str">
        <f>VLOOKUP(B710,'Veri doğrulama'!$D$6:$E$13,2,0)</f>
        <v>MEHMET YAZICI</v>
      </c>
      <c r="E710" s="6"/>
      <c r="F710" s="6" t="s">
        <v>1046</v>
      </c>
      <c r="G710" s="6" t="s">
        <v>17</v>
      </c>
      <c r="H710" s="6" t="s">
        <v>34</v>
      </c>
      <c r="I710" s="6">
        <v>1800</v>
      </c>
      <c r="J710" s="6">
        <v>430</v>
      </c>
      <c r="K710" s="6">
        <v>1</v>
      </c>
      <c r="L710" s="10">
        <f t="shared" si="15"/>
        <v>0.77400000000000002</v>
      </c>
      <c r="M710" s="6" t="s">
        <v>75</v>
      </c>
      <c r="N710" s="6"/>
      <c r="O710" s="6"/>
      <c r="P710" s="17" t="s">
        <v>54</v>
      </c>
      <c r="Q710" s="17" t="s">
        <v>54</v>
      </c>
      <c r="R710" s="17" t="s">
        <v>54</v>
      </c>
    </row>
    <row r="711" spans="1:18" ht="30" customHeight="1" x14ac:dyDescent="0.3">
      <c r="A711" s="7">
        <v>45888.359199189814</v>
      </c>
      <c r="B711" s="6" t="s">
        <v>4</v>
      </c>
      <c r="C711" s="6"/>
      <c r="D711" s="6" t="str">
        <f>VLOOKUP(B711,'Veri doğrulama'!$D$6:$E$13,2,0)</f>
        <v>MEHMET YAZICI</v>
      </c>
      <c r="E711" s="6"/>
      <c r="F711" s="6" t="s">
        <v>1045</v>
      </c>
      <c r="G711" s="6" t="s">
        <v>16</v>
      </c>
      <c r="H711" s="6" t="s">
        <v>34</v>
      </c>
      <c r="I711" s="6">
        <v>1815</v>
      </c>
      <c r="J711" s="6">
        <v>397</v>
      </c>
      <c r="K711" s="6">
        <v>4</v>
      </c>
      <c r="L711" s="10">
        <f t="shared" si="15"/>
        <v>2.8822199999999998</v>
      </c>
      <c r="M711" s="6" t="s">
        <v>42</v>
      </c>
      <c r="N711" s="6"/>
      <c r="O711" s="6"/>
      <c r="P711" s="17" t="s">
        <v>54</v>
      </c>
      <c r="Q711" s="17" t="s">
        <v>54</v>
      </c>
      <c r="R711" s="17" t="s">
        <v>54</v>
      </c>
    </row>
    <row r="712" spans="1:18" ht="30" customHeight="1" x14ac:dyDescent="0.3">
      <c r="A712" s="7">
        <v>45888.358683101855</v>
      </c>
      <c r="B712" s="6" t="s">
        <v>4</v>
      </c>
      <c r="C712" s="6"/>
      <c r="D712" s="6" t="str">
        <f>VLOOKUP(B712,'Veri doğrulama'!$D$6:$E$13,2,0)</f>
        <v>MEHMET YAZICI</v>
      </c>
      <c r="E712" s="6"/>
      <c r="F712" s="6" t="s">
        <v>1044</v>
      </c>
      <c r="G712" s="6" t="s">
        <v>16</v>
      </c>
      <c r="H712" s="6" t="s">
        <v>34</v>
      </c>
      <c r="I712" s="6">
        <v>1877</v>
      </c>
      <c r="J712" s="6">
        <v>375</v>
      </c>
      <c r="K712" s="6">
        <v>3</v>
      </c>
      <c r="L712" s="10">
        <f t="shared" si="15"/>
        <v>2.1116250000000001</v>
      </c>
      <c r="M712" s="6" t="s">
        <v>42</v>
      </c>
      <c r="N712" s="6"/>
      <c r="O712" s="6"/>
      <c r="P712" s="17" t="s">
        <v>54</v>
      </c>
      <c r="Q712" s="17" t="s">
        <v>54</v>
      </c>
      <c r="R712" s="17" t="s">
        <v>54</v>
      </c>
    </row>
    <row r="713" spans="1:18" ht="30" customHeight="1" x14ac:dyDescent="0.3">
      <c r="A713" s="7">
        <v>45888.356382060185</v>
      </c>
      <c r="B713" s="6" t="s">
        <v>5</v>
      </c>
      <c r="C713" s="6"/>
      <c r="D713" s="6" t="str">
        <f>VLOOKUP(B713,'Veri doğrulama'!$D$6:$E$13,2,0)</f>
        <v>MEHMET ÖZEN</v>
      </c>
      <c r="E713" s="6"/>
      <c r="F713" s="6" t="s">
        <v>142</v>
      </c>
      <c r="G713" s="6" t="s">
        <v>16</v>
      </c>
      <c r="H713" s="6" t="s">
        <v>34</v>
      </c>
      <c r="I713" s="6">
        <v>571</v>
      </c>
      <c r="J713" s="6">
        <v>550</v>
      </c>
      <c r="K713" s="6">
        <v>1</v>
      </c>
      <c r="L713" s="10">
        <f t="shared" si="15"/>
        <v>0.31405</v>
      </c>
      <c r="M713" s="6" t="s">
        <v>75</v>
      </c>
      <c r="N713" s="6"/>
      <c r="O713" s="6"/>
      <c r="P713" s="17" t="s">
        <v>54</v>
      </c>
      <c r="Q713" s="17" t="s">
        <v>54</v>
      </c>
      <c r="R713" s="17" t="s">
        <v>54</v>
      </c>
    </row>
    <row r="714" spans="1:18" ht="30" customHeight="1" x14ac:dyDescent="0.3">
      <c r="A714" s="7">
        <v>45888.354231018522</v>
      </c>
      <c r="B714" s="6" t="s">
        <v>5</v>
      </c>
      <c r="C714" s="6"/>
      <c r="D714" s="6" t="str">
        <f>VLOOKUP(B714,'Veri doğrulama'!$D$6:$E$13,2,0)</f>
        <v>MEHMET ÖZEN</v>
      </c>
      <c r="E714" s="6"/>
      <c r="F714" s="6" t="s">
        <v>1043</v>
      </c>
      <c r="G714" s="6" t="s">
        <v>16</v>
      </c>
      <c r="H714" s="6" t="s">
        <v>34</v>
      </c>
      <c r="I714" s="6">
        <v>550</v>
      </c>
      <c r="J714" s="6">
        <v>478</v>
      </c>
      <c r="K714" s="6">
        <v>1</v>
      </c>
      <c r="L714" s="10">
        <f t="shared" si="15"/>
        <v>0.26290000000000002</v>
      </c>
      <c r="M714" s="6" t="s">
        <v>75</v>
      </c>
      <c r="N714" s="6"/>
      <c r="O714" s="6"/>
      <c r="P714" s="17" t="s">
        <v>54</v>
      </c>
      <c r="Q714" s="17" t="s">
        <v>54</v>
      </c>
      <c r="R714" s="17" t="s">
        <v>54</v>
      </c>
    </row>
    <row r="715" spans="1:18" ht="30" customHeight="1" x14ac:dyDescent="0.3">
      <c r="A715" s="7">
        <v>45887.748696759256</v>
      </c>
      <c r="B715" s="6" t="s">
        <v>5</v>
      </c>
      <c r="C715" s="6"/>
      <c r="D715" s="6" t="str">
        <f>VLOOKUP(B715,'Veri doğrulama'!$D$6:$E$13,2,0)</f>
        <v>MEHMET ÖZEN</v>
      </c>
      <c r="E715" s="6"/>
      <c r="F715" s="6" t="s">
        <v>1042</v>
      </c>
      <c r="G715" s="6" t="s">
        <v>18</v>
      </c>
      <c r="H715" s="6" t="s">
        <v>34</v>
      </c>
      <c r="I715" s="6">
        <v>1150</v>
      </c>
      <c r="J715" s="6">
        <v>450</v>
      </c>
      <c r="K715" s="6">
        <v>1</v>
      </c>
      <c r="L715" s="10">
        <f t="shared" si="15"/>
        <v>0.51749999999999996</v>
      </c>
      <c r="M715" s="6" t="s">
        <v>75</v>
      </c>
      <c r="N715" s="6"/>
      <c r="O715" s="6"/>
      <c r="P715" s="17" t="s">
        <v>54</v>
      </c>
      <c r="Q715" s="17" t="s">
        <v>54</v>
      </c>
      <c r="R715" s="17" t="s">
        <v>54</v>
      </c>
    </row>
    <row r="716" spans="1:18" ht="30" customHeight="1" x14ac:dyDescent="0.3">
      <c r="A716" s="7">
        <v>45887.688402893516</v>
      </c>
      <c r="B716" s="6" t="s">
        <v>5</v>
      </c>
      <c r="C716" s="6"/>
      <c r="D716" s="6" t="str">
        <f>VLOOKUP(B716,'Veri doğrulama'!$D$6:$E$13,2,0)</f>
        <v>MEHMET ÖZEN</v>
      </c>
      <c r="E716" s="6"/>
      <c r="F716" s="6" t="s">
        <v>1042</v>
      </c>
      <c r="G716" s="6" t="s">
        <v>18</v>
      </c>
      <c r="H716" s="6" t="s">
        <v>34</v>
      </c>
      <c r="I716" s="6">
        <v>600</v>
      </c>
      <c r="J716" s="6">
        <v>450</v>
      </c>
      <c r="K716" s="6">
        <v>1</v>
      </c>
      <c r="L716" s="10">
        <f t="shared" si="15"/>
        <v>0.27</v>
      </c>
      <c r="M716" s="6" t="s">
        <v>75</v>
      </c>
      <c r="N716" s="6"/>
      <c r="O716" s="6"/>
      <c r="P716" s="17" t="s">
        <v>54</v>
      </c>
      <c r="Q716" s="17" t="s">
        <v>54</v>
      </c>
      <c r="R716" s="17" t="s">
        <v>54</v>
      </c>
    </row>
    <row r="717" spans="1:18" ht="30" customHeight="1" x14ac:dyDescent="0.3">
      <c r="A717" s="7">
        <v>45887.685282754632</v>
      </c>
      <c r="B717" s="6" t="s">
        <v>5</v>
      </c>
      <c r="C717" s="6"/>
      <c r="D717" s="6" t="str">
        <f>VLOOKUP(B717,'Veri doğrulama'!$D$6:$E$13,2,0)</f>
        <v>MEHMET ÖZEN</v>
      </c>
      <c r="E717" s="6"/>
      <c r="F717" s="6" t="s">
        <v>1041</v>
      </c>
      <c r="G717" s="6" t="s">
        <v>19</v>
      </c>
      <c r="H717" s="6" t="s">
        <v>34</v>
      </c>
      <c r="I717" s="6">
        <v>545</v>
      </c>
      <c r="J717" s="6">
        <v>523</v>
      </c>
      <c r="K717" s="6">
        <v>1</v>
      </c>
      <c r="L717" s="10">
        <f t="shared" si="15"/>
        <v>0.28503499999999998</v>
      </c>
      <c r="M717" s="6" t="s">
        <v>75</v>
      </c>
      <c r="N717" s="6"/>
      <c r="O717" s="6"/>
      <c r="P717" s="17" t="s">
        <v>54</v>
      </c>
      <c r="Q717" s="17" t="s">
        <v>54</v>
      </c>
      <c r="R717" s="17" t="s">
        <v>54</v>
      </c>
    </row>
    <row r="718" spans="1:18" ht="30" customHeight="1" x14ac:dyDescent="0.3">
      <c r="A718" s="7">
        <v>45887.564885069442</v>
      </c>
      <c r="B718" s="6" t="s">
        <v>5</v>
      </c>
      <c r="C718" s="6"/>
      <c r="D718" s="6" t="str">
        <f>VLOOKUP(B718,'Veri doğrulama'!$D$6:$E$13,2,0)</f>
        <v>MEHMET ÖZEN</v>
      </c>
      <c r="E718" s="6">
        <v>24100</v>
      </c>
      <c r="F718" s="6" t="s">
        <v>1040</v>
      </c>
      <c r="G718" s="6" t="s">
        <v>16</v>
      </c>
      <c r="H718" s="6" t="s">
        <v>34</v>
      </c>
      <c r="I718" s="6">
        <v>1150</v>
      </c>
      <c r="J718" s="6">
        <v>470</v>
      </c>
      <c r="K718" s="6">
        <v>1</v>
      </c>
      <c r="L718" s="10" t="e">
        <f>#REF!*#REF!/1000000*K718</f>
        <v>#REF!</v>
      </c>
      <c r="M718" s="6" t="s">
        <v>42</v>
      </c>
      <c r="N718" s="6"/>
      <c r="O718" s="6"/>
      <c r="P718" s="17" t="s">
        <v>54</v>
      </c>
      <c r="Q718" s="17" t="s">
        <v>54</v>
      </c>
      <c r="R718" s="17" t="s">
        <v>54</v>
      </c>
    </row>
    <row r="719" spans="1:18" ht="30" customHeight="1" x14ac:dyDescent="0.3">
      <c r="A719" s="7">
        <v>45887.563877083332</v>
      </c>
      <c r="B719" s="6" t="s">
        <v>5</v>
      </c>
      <c r="C719" s="6"/>
      <c r="D719" s="6" t="str">
        <f>VLOOKUP(B719,'Veri doğrulama'!$D$6:$E$13,2,0)</f>
        <v>MEHMET ÖZEN</v>
      </c>
      <c r="E719" s="6">
        <v>24100</v>
      </c>
      <c r="F719" s="6" t="s">
        <v>1039</v>
      </c>
      <c r="G719" s="6" t="s">
        <v>16</v>
      </c>
      <c r="H719" s="6" t="s">
        <v>34</v>
      </c>
      <c r="I719" s="6">
        <v>1150</v>
      </c>
      <c r="J719" s="6">
        <v>557</v>
      </c>
      <c r="K719" s="6">
        <v>1</v>
      </c>
      <c r="L719" s="10" t="e">
        <f>#REF!*#REF!/1000000*K719</f>
        <v>#REF!</v>
      </c>
      <c r="M719" s="6" t="s">
        <v>42</v>
      </c>
      <c r="N719" s="6"/>
      <c r="O719" s="6"/>
      <c r="P719" s="17" t="s">
        <v>54</v>
      </c>
      <c r="Q719" s="17" t="s">
        <v>54</v>
      </c>
      <c r="R719" s="17" t="s">
        <v>54</v>
      </c>
    </row>
    <row r="720" spans="1:18" ht="30" customHeight="1" x14ac:dyDescent="0.3">
      <c r="A720" s="7">
        <v>45884.756907407405</v>
      </c>
      <c r="B720" s="6" t="s">
        <v>5</v>
      </c>
      <c r="C720" s="6"/>
      <c r="D720" s="6" t="str">
        <f>VLOOKUP(B720,'Veri doğrulama'!$D$6:$E$13,2,0)</f>
        <v>MEHMET ÖZEN</v>
      </c>
      <c r="E720" s="6"/>
      <c r="F720" s="6" t="s">
        <v>1037</v>
      </c>
      <c r="G720" s="6" t="s">
        <v>16</v>
      </c>
      <c r="H720" s="6" t="s">
        <v>34</v>
      </c>
      <c r="I720" s="6">
        <v>539</v>
      </c>
      <c r="J720" s="6">
        <v>451</v>
      </c>
      <c r="K720" s="6">
        <v>2</v>
      </c>
      <c r="L720" s="10">
        <f t="shared" ref="L720:L783" si="16">I718*J718/1000000*K720</f>
        <v>1.081</v>
      </c>
      <c r="M720" s="6" t="s">
        <v>75</v>
      </c>
      <c r="N720" s="6"/>
      <c r="O720" s="6"/>
      <c r="P720" s="17" t="s">
        <v>54</v>
      </c>
      <c r="Q720" s="17" t="s">
        <v>54</v>
      </c>
      <c r="R720" s="17" t="s">
        <v>54</v>
      </c>
    </row>
    <row r="721" spans="1:18" ht="30" customHeight="1" x14ac:dyDescent="0.3">
      <c r="A721" s="7">
        <v>45884.755031944442</v>
      </c>
      <c r="B721" s="6" t="s">
        <v>5</v>
      </c>
      <c r="C721" s="6"/>
      <c r="D721" s="6" t="str">
        <f>VLOOKUP(B721,'Veri doğrulama'!$D$6:$E$13,2,0)</f>
        <v>MEHMET ÖZEN</v>
      </c>
      <c r="E721" s="6"/>
      <c r="F721" s="6" t="s">
        <v>1038</v>
      </c>
      <c r="G721" s="6" t="s">
        <v>16</v>
      </c>
      <c r="H721" s="6" t="s">
        <v>34</v>
      </c>
      <c r="I721" s="6">
        <v>490</v>
      </c>
      <c r="J721" s="6">
        <v>415</v>
      </c>
      <c r="K721" s="6">
        <v>1</v>
      </c>
      <c r="L721" s="10">
        <f t="shared" si="16"/>
        <v>0.64054999999999995</v>
      </c>
      <c r="M721" s="6" t="s">
        <v>75</v>
      </c>
      <c r="N721" s="6"/>
      <c r="O721" s="6"/>
      <c r="P721" s="17" t="s">
        <v>54</v>
      </c>
      <c r="Q721" s="17" t="s">
        <v>54</v>
      </c>
      <c r="R721" s="17" t="s">
        <v>54</v>
      </c>
    </row>
    <row r="722" spans="1:18" ht="30" customHeight="1" x14ac:dyDescent="0.3">
      <c r="A722" s="7">
        <v>45884.487794328707</v>
      </c>
      <c r="B722" s="6" t="s">
        <v>5</v>
      </c>
      <c r="C722" s="6"/>
      <c r="D722" s="6" t="str">
        <f>VLOOKUP(B722,'Veri doğrulama'!$D$6:$E$13,2,0)</f>
        <v>MEHMET ÖZEN</v>
      </c>
      <c r="E722" s="6"/>
      <c r="F722" s="6" t="s">
        <v>416</v>
      </c>
      <c r="G722" s="6" t="s">
        <v>16</v>
      </c>
      <c r="H722" s="6" t="s">
        <v>34</v>
      </c>
      <c r="I722" s="6">
        <v>470</v>
      </c>
      <c r="J722" s="6">
        <v>447</v>
      </c>
      <c r="K722" s="6">
        <v>1</v>
      </c>
      <c r="L722" s="10">
        <f t="shared" si="16"/>
        <v>0.243089</v>
      </c>
      <c r="M722" s="6" t="s">
        <v>75</v>
      </c>
      <c r="N722" s="6"/>
      <c r="O722" s="6"/>
      <c r="P722" s="17" t="s">
        <v>54</v>
      </c>
      <c r="Q722" s="17" t="s">
        <v>54</v>
      </c>
      <c r="R722" s="17" t="s">
        <v>54</v>
      </c>
    </row>
    <row r="723" spans="1:18" ht="30" customHeight="1" x14ac:dyDescent="0.3">
      <c r="A723" s="7">
        <v>45884.465674074076</v>
      </c>
      <c r="B723" s="6" t="s">
        <v>5</v>
      </c>
      <c r="C723" s="6"/>
      <c r="D723" s="6" t="str">
        <f>VLOOKUP(B723,'Veri doğrulama'!$D$6:$E$13,2,0)</f>
        <v>MEHMET ÖZEN</v>
      </c>
      <c r="E723" s="6"/>
      <c r="F723" s="6" t="s">
        <v>1037</v>
      </c>
      <c r="G723" s="6" t="s">
        <v>18</v>
      </c>
      <c r="H723" s="6" t="s">
        <v>34</v>
      </c>
      <c r="I723" s="6">
        <v>539</v>
      </c>
      <c r="J723" s="6">
        <v>451</v>
      </c>
      <c r="K723" s="6">
        <v>1</v>
      </c>
      <c r="L723" s="10">
        <f t="shared" si="16"/>
        <v>0.20335</v>
      </c>
      <c r="M723" s="6" t="s">
        <v>103</v>
      </c>
      <c r="N723" s="6"/>
      <c r="O723" s="6"/>
      <c r="P723" s="17" t="s">
        <v>54</v>
      </c>
      <c r="Q723" s="17" t="s">
        <v>54</v>
      </c>
      <c r="R723" s="17" t="s">
        <v>54</v>
      </c>
    </row>
    <row r="724" spans="1:18" ht="30" customHeight="1" x14ac:dyDescent="0.3">
      <c r="A724" s="7">
        <v>45884.430430787033</v>
      </c>
      <c r="B724" s="6" t="s">
        <v>5</v>
      </c>
      <c r="C724" s="6"/>
      <c r="D724" s="6" t="str">
        <f>VLOOKUP(B724,'Veri doğrulama'!$D$6:$E$13,2,0)</f>
        <v>MEHMET ÖZEN</v>
      </c>
      <c r="E724" s="6"/>
      <c r="F724" s="6" t="s">
        <v>1036</v>
      </c>
      <c r="G724" s="6" t="s">
        <v>16</v>
      </c>
      <c r="H724" s="6" t="s">
        <v>34</v>
      </c>
      <c r="I724" s="6">
        <v>1895</v>
      </c>
      <c r="J724" s="6">
        <v>870</v>
      </c>
      <c r="K724" s="6">
        <v>2</v>
      </c>
      <c r="L724" s="10">
        <f t="shared" si="16"/>
        <v>0.42018</v>
      </c>
      <c r="M724" s="6" t="s">
        <v>75</v>
      </c>
      <c r="N724" s="6"/>
      <c r="O724" s="6"/>
      <c r="P724" s="17" t="s">
        <v>54</v>
      </c>
      <c r="Q724" s="17" t="s">
        <v>54</v>
      </c>
      <c r="R724" s="17" t="s">
        <v>54</v>
      </c>
    </row>
    <row r="725" spans="1:18" ht="30" customHeight="1" x14ac:dyDescent="0.3">
      <c r="A725" s="7">
        <v>45884.383465162035</v>
      </c>
      <c r="B725" s="6" t="s">
        <v>5</v>
      </c>
      <c r="C725" s="6"/>
      <c r="D725" s="6" t="str">
        <f>VLOOKUP(B725,'Veri doğrulama'!$D$6:$E$13,2,0)</f>
        <v>MEHMET ÖZEN</v>
      </c>
      <c r="E725" s="6"/>
      <c r="F725" s="6" t="s">
        <v>1034</v>
      </c>
      <c r="G725" s="6" t="s">
        <v>18</v>
      </c>
      <c r="H725" s="6" t="s">
        <v>34</v>
      </c>
      <c r="I725" s="6">
        <v>557</v>
      </c>
      <c r="J725" s="6">
        <v>450</v>
      </c>
      <c r="K725" s="6">
        <v>2</v>
      </c>
      <c r="L725" s="10">
        <f t="shared" si="16"/>
        <v>0.486178</v>
      </c>
      <c r="M725" s="6" t="s">
        <v>75</v>
      </c>
      <c r="N725" s="6"/>
      <c r="O725" s="6"/>
      <c r="P725" s="17" t="s">
        <v>54</v>
      </c>
      <c r="Q725" s="17" t="s">
        <v>54</v>
      </c>
      <c r="R725" s="17" t="s">
        <v>54</v>
      </c>
    </row>
    <row r="726" spans="1:18" ht="30" customHeight="1" x14ac:dyDescent="0.3">
      <c r="A726" s="7">
        <v>45883.766288425926</v>
      </c>
      <c r="B726" s="6" t="s">
        <v>5</v>
      </c>
      <c r="C726" s="6"/>
      <c r="D726" s="6" t="str">
        <f>VLOOKUP(B726,'Veri doğrulama'!$D$6:$E$13,2,0)</f>
        <v>MEHMET ÖZEN</v>
      </c>
      <c r="E726" s="6" t="s">
        <v>1035</v>
      </c>
      <c r="F726" s="6" t="s">
        <v>1033</v>
      </c>
      <c r="G726" s="6" t="s">
        <v>18</v>
      </c>
      <c r="H726" s="6" t="s">
        <v>34</v>
      </c>
      <c r="I726" s="6">
        <v>600</v>
      </c>
      <c r="J726" s="6">
        <v>450</v>
      </c>
      <c r="K726" s="6">
        <v>1</v>
      </c>
      <c r="L726" s="10">
        <f t="shared" si="16"/>
        <v>1.6486499999999999</v>
      </c>
      <c r="M726" s="6" t="s">
        <v>42</v>
      </c>
      <c r="N726" s="6"/>
      <c r="O726" s="6"/>
      <c r="P726" s="17" t="s">
        <v>54</v>
      </c>
      <c r="Q726" s="17" t="s">
        <v>54</v>
      </c>
      <c r="R726" s="17" t="s">
        <v>54</v>
      </c>
    </row>
    <row r="727" spans="1:18" ht="30" customHeight="1" x14ac:dyDescent="0.3">
      <c r="A727" s="7">
        <v>45883.647688078701</v>
      </c>
      <c r="B727" s="6" t="s">
        <v>7</v>
      </c>
      <c r="C727" s="6"/>
      <c r="D727" s="6" t="str">
        <f>VLOOKUP(B727,'Veri doğrulama'!$D$6:$E$13,2,0)</f>
        <v>SIDDIK KAPLAN</v>
      </c>
      <c r="E727" s="6"/>
      <c r="F727" s="6" t="s">
        <v>1032</v>
      </c>
      <c r="G727" s="6" t="s">
        <v>30</v>
      </c>
      <c r="H727" s="6" t="s">
        <v>34</v>
      </c>
      <c r="I727" s="6">
        <v>1000</v>
      </c>
      <c r="J727" s="6">
        <v>500</v>
      </c>
      <c r="K727" s="6">
        <v>1</v>
      </c>
      <c r="L727" s="10">
        <f t="shared" si="16"/>
        <v>0.25064999999999998</v>
      </c>
      <c r="M727" s="6" t="s">
        <v>103</v>
      </c>
      <c r="N727" s="6"/>
      <c r="O727" s="6"/>
      <c r="P727" s="17" t="s">
        <v>54</v>
      </c>
      <c r="Q727" s="17" t="s">
        <v>54</v>
      </c>
      <c r="R727" s="17" t="s">
        <v>54</v>
      </c>
    </row>
    <row r="728" spans="1:18" ht="30" customHeight="1" x14ac:dyDescent="0.3">
      <c r="A728" s="7">
        <v>45883.647057291666</v>
      </c>
      <c r="B728" s="6" t="s">
        <v>7</v>
      </c>
      <c r="C728" s="6"/>
      <c r="D728" s="6" t="str">
        <f>VLOOKUP(B728,'Veri doğrulama'!$D$6:$E$13,2,0)</f>
        <v>SIDDIK KAPLAN</v>
      </c>
      <c r="E728" s="6"/>
      <c r="F728" s="6" t="s">
        <v>1031</v>
      </c>
      <c r="G728" s="6" t="s">
        <v>19</v>
      </c>
      <c r="H728" s="6" t="s">
        <v>34</v>
      </c>
      <c r="I728" s="6">
        <v>2600</v>
      </c>
      <c r="J728" s="6">
        <v>300</v>
      </c>
      <c r="K728" s="6">
        <v>1</v>
      </c>
      <c r="L728" s="10">
        <f t="shared" si="16"/>
        <v>0.27</v>
      </c>
      <c r="M728" s="6" t="s">
        <v>103</v>
      </c>
      <c r="N728" s="6"/>
      <c r="O728" s="6"/>
      <c r="P728" s="17" t="s">
        <v>54</v>
      </c>
      <c r="Q728" s="17" t="s">
        <v>54</v>
      </c>
      <c r="R728" s="17" t="s">
        <v>54</v>
      </c>
    </row>
    <row r="729" spans="1:18" ht="30" customHeight="1" x14ac:dyDescent="0.3">
      <c r="A729" s="7">
        <v>45883.604319560189</v>
      </c>
      <c r="B729" s="6" t="s">
        <v>4</v>
      </c>
      <c r="C729" s="6"/>
      <c r="D729" s="6" t="str">
        <f>VLOOKUP(B729,'Veri doğrulama'!$D$6:$E$13,2,0)</f>
        <v>MEHMET YAZICI</v>
      </c>
      <c r="E729" s="6"/>
      <c r="F729" s="6" t="s">
        <v>80</v>
      </c>
      <c r="G729" s="6" t="s">
        <v>18</v>
      </c>
      <c r="H729" s="6" t="s">
        <v>34</v>
      </c>
      <c r="I729" s="6">
        <v>800</v>
      </c>
      <c r="J729" s="6">
        <v>1400</v>
      </c>
      <c r="K729" s="6">
        <v>1</v>
      </c>
      <c r="L729" s="10">
        <f t="shared" si="16"/>
        <v>0.5</v>
      </c>
      <c r="M729" s="6" t="s">
        <v>43</v>
      </c>
      <c r="N729" s="6"/>
      <c r="O729" s="6"/>
      <c r="P729" s="17" t="s">
        <v>54</v>
      </c>
      <c r="Q729" s="17" t="s">
        <v>54</v>
      </c>
      <c r="R729" s="17" t="s">
        <v>54</v>
      </c>
    </row>
    <row r="730" spans="1:18" ht="30" customHeight="1" x14ac:dyDescent="0.3">
      <c r="A730" s="7">
        <v>45883.589804513889</v>
      </c>
      <c r="B730" s="6" t="s">
        <v>5</v>
      </c>
      <c r="C730" s="6"/>
      <c r="D730" s="6" t="str">
        <f>VLOOKUP(B730,'Veri doğrulama'!$D$6:$E$13,2,0)</f>
        <v>MEHMET ÖZEN</v>
      </c>
      <c r="E730" s="6"/>
      <c r="F730" s="6" t="s">
        <v>1030</v>
      </c>
      <c r="G730" s="6" t="s">
        <v>17</v>
      </c>
      <c r="H730" s="6" t="s">
        <v>34</v>
      </c>
      <c r="I730" s="6">
        <v>1600</v>
      </c>
      <c r="J730" s="6">
        <v>406</v>
      </c>
      <c r="K730" s="6">
        <v>1</v>
      </c>
      <c r="L730" s="10">
        <f t="shared" si="16"/>
        <v>0.78</v>
      </c>
      <c r="M730" s="6" t="s">
        <v>43</v>
      </c>
      <c r="N730" s="6"/>
      <c r="O730" s="6"/>
      <c r="P730" s="17" t="s">
        <v>54</v>
      </c>
      <c r="Q730" s="17" t="s">
        <v>54</v>
      </c>
      <c r="R730" s="17" t="s">
        <v>54</v>
      </c>
    </row>
    <row r="731" spans="1:18" ht="30" customHeight="1" x14ac:dyDescent="0.3">
      <c r="A731" s="7">
        <v>45883.395464930552</v>
      </c>
      <c r="B731" s="6" t="s">
        <v>5</v>
      </c>
      <c r="C731" s="6"/>
      <c r="D731" s="6" t="str">
        <f>VLOOKUP(B731,'Veri doğrulama'!$D$6:$E$13,2,0)</f>
        <v>MEHMET ÖZEN</v>
      </c>
      <c r="E731" s="6"/>
      <c r="F731" s="6" t="s">
        <v>1029</v>
      </c>
      <c r="G731" s="6" t="s">
        <v>17</v>
      </c>
      <c r="H731" s="6" t="s">
        <v>34</v>
      </c>
      <c r="I731" s="6">
        <v>1152</v>
      </c>
      <c r="J731" s="6">
        <v>408</v>
      </c>
      <c r="K731" s="6">
        <v>1</v>
      </c>
      <c r="L731" s="10">
        <f t="shared" si="16"/>
        <v>1.1200000000000001</v>
      </c>
      <c r="M731" s="6" t="s">
        <v>102</v>
      </c>
      <c r="N731" s="6"/>
      <c r="O731" s="6"/>
      <c r="P731" s="17" t="s">
        <v>54</v>
      </c>
      <c r="Q731" s="17" t="s">
        <v>54</v>
      </c>
      <c r="R731" s="17" t="s">
        <v>54</v>
      </c>
    </row>
    <row r="732" spans="1:18" ht="30" customHeight="1" x14ac:dyDescent="0.3">
      <c r="A732" s="7">
        <v>45883.369972916669</v>
      </c>
      <c r="B732" s="6" t="s">
        <v>5</v>
      </c>
      <c r="C732" s="6"/>
      <c r="D732" s="6" t="str">
        <f>VLOOKUP(B732,'Veri doğrulama'!$D$6:$E$13,2,0)</f>
        <v>MEHMET ÖZEN</v>
      </c>
      <c r="E732" s="6"/>
      <c r="F732" s="6" t="s">
        <v>1027</v>
      </c>
      <c r="G732" s="6" t="s">
        <v>17</v>
      </c>
      <c r="H732" s="6" t="s">
        <v>34</v>
      </c>
      <c r="I732" s="6">
        <v>1400</v>
      </c>
      <c r="J732" s="6">
        <v>800</v>
      </c>
      <c r="K732" s="6">
        <v>1</v>
      </c>
      <c r="L732" s="10">
        <f t="shared" si="16"/>
        <v>0.64959999999999996</v>
      </c>
      <c r="M732" s="6" t="s">
        <v>42</v>
      </c>
      <c r="N732" s="6"/>
      <c r="O732" s="6"/>
      <c r="P732" s="17" t="s">
        <v>54</v>
      </c>
      <c r="Q732" s="17" t="s">
        <v>54</v>
      </c>
      <c r="R732" s="17" t="s">
        <v>54</v>
      </c>
    </row>
    <row r="733" spans="1:18" ht="30" customHeight="1" x14ac:dyDescent="0.3">
      <c r="A733" s="7">
        <v>45882.505455208331</v>
      </c>
      <c r="B733" s="6" t="s">
        <v>5</v>
      </c>
      <c r="C733" s="6"/>
      <c r="D733" s="6" t="str">
        <f>VLOOKUP(B733,'Veri doğrulama'!$D$6:$E$13,2,0)</f>
        <v>MEHMET ÖZEN</v>
      </c>
      <c r="E733" s="6" t="s">
        <v>1028</v>
      </c>
      <c r="F733" s="6" t="s">
        <v>1026</v>
      </c>
      <c r="G733" s="6" t="s">
        <v>18</v>
      </c>
      <c r="H733" s="6" t="s">
        <v>34</v>
      </c>
      <c r="I733" s="6">
        <v>1400</v>
      </c>
      <c r="J733" s="6">
        <v>800</v>
      </c>
      <c r="K733" s="6">
        <v>1</v>
      </c>
      <c r="L733" s="10">
        <f t="shared" si="16"/>
        <v>0.47001599999999999</v>
      </c>
      <c r="M733" s="6" t="s">
        <v>43</v>
      </c>
      <c r="N733" s="6"/>
      <c r="O733" s="6"/>
      <c r="P733" s="17" t="s">
        <v>54</v>
      </c>
      <c r="Q733" s="17" t="s">
        <v>54</v>
      </c>
      <c r="R733" s="17" t="s">
        <v>54</v>
      </c>
    </row>
    <row r="734" spans="1:18" ht="30" customHeight="1" x14ac:dyDescent="0.3">
      <c r="A734" s="7">
        <v>45882.350824421294</v>
      </c>
      <c r="B734" s="6" t="s">
        <v>5</v>
      </c>
      <c r="C734" s="6"/>
      <c r="D734" s="6" t="str">
        <f>VLOOKUP(B734,'Veri doğrulama'!$D$6:$E$13,2,0)</f>
        <v>MEHMET ÖZEN</v>
      </c>
      <c r="E734" s="6"/>
      <c r="F734" s="6" t="s">
        <v>1025</v>
      </c>
      <c r="G734" s="6" t="s">
        <v>18</v>
      </c>
      <c r="H734" s="6" t="s">
        <v>34</v>
      </c>
      <c r="I734" s="6">
        <v>735</v>
      </c>
      <c r="J734" s="6">
        <v>397</v>
      </c>
      <c r="K734" s="6">
        <v>1</v>
      </c>
      <c r="L734" s="10">
        <f t="shared" si="16"/>
        <v>1.1200000000000001</v>
      </c>
      <c r="M734" s="6" t="s">
        <v>102</v>
      </c>
      <c r="N734" s="6"/>
      <c r="O734" s="6"/>
      <c r="P734" s="17" t="s">
        <v>54</v>
      </c>
      <c r="Q734" s="17" t="s">
        <v>54</v>
      </c>
      <c r="R734" s="17" t="s">
        <v>54</v>
      </c>
    </row>
    <row r="735" spans="1:18" ht="30" customHeight="1" x14ac:dyDescent="0.3">
      <c r="A735" s="7">
        <v>45882.349313425926</v>
      </c>
      <c r="B735" s="6" t="s">
        <v>5</v>
      </c>
      <c r="C735" s="6"/>
      <c r="D735" s="6" t="str">
        <f>VLOOKUP(B735,'Veri doğrulama'!$D$6:$E$13,2,0)</f>
        <v>MEHMET ÖZEN</v>
      </c>
      <c r="E735" s="6"/>
      <c r="F735" s="6" t="s">
        <v>1024</v>
      </c>
      <c r="G735" s="6" t="s">
        <v>17</v>
      </c>
      <c r="H735" s="6" t="s">
        <v>34</v>
      </c>
      <c r="I735" s="6">
        <v>557</v>
      </c>
      <c r="J735" s="6">
        <v>1150</v>
      </c>
      <c r="K735" s="6">
        <v>1</v>
      </c>
      <c r="L735" s="10">
        <f t="shared" si="16"/>
        <v>1.1200000000000001</v>
      </c>
      <c r="M735" s="6" t="s">
        <v>42</v>
      </c>
      <c r="N735" s="6"/>
      <c r="O735" s="6"/>
      <c r="P735" s="17" t="s">
        <v>54</v>
      </c>
      <c r="Q735" s="17" t="s">
        <v>54</v>
      </c>
      <c r="R735" s="17" t="s">
        <v>54</v>
      </c>
    </row>
    <row r="736" spans="1:18" ht="30" customHeight="1" x14ac:dyDescent="0.3">
      <c r="A736" s="7">
        <v>45881.612582175927</v>
      </c>
      <c r="B736" s="6" t="s">
        <v>4</v>
      </c>
      <c r="C736" s="6"/>
      <c r="D736" s="6" t="str">
        <f>VLOOKUP(B736,'Veri doğrulama'!$D$6:$E$13,2,0)</f>
        <v>MEHMET YAZICI</v>
      </c>
      <c r="E736" s="6"/>
      <c r="F736" s="6" t="s">
        <v>1022</v>
      </c>
      <c r="G736" s="6" t="s">
        <v>18</v>
      </c>
      <c r="H736" s="6" t="s">
        <v>34</v>
      </c>
      <c r="I736" s="6">
        <v>800</v>
      </c>
      <c r="J736" s="6">
        <v>360</v>
      </c>
      <c r="K736" s="6">
        <v>1</v>
      </c>
      <c r="L736" s="10">
        <f t="shared" si="16"/>
        <v>0.29179500000000003</v>
      </c>
      <c r="M736" s="6" t="s">
        <v>42</v>
      </c>
      <c r="N736" s="6"/>
      <c r="O736" s="6"/>
      <c r="P736" s="17" t="s">
        <v>54</v>
      </c>
      <c r="Q736" s="17" t="s">
        <v>54</v>
      </c>
      <c r="R736" s="17" t="s">
        <v>54</v>
      </c>
    </row>
    <row r="737" spans="1:18" ht="30" customHeight="1" x14ac:dyDescent="0.3">
      <c r="A737" s="7">
        <v>45881.606873379627</v>
      </c>
      <c r="B737" s="6" t="s">
        <v>4</v>
      </c>
      <c r="C737" s="6"/>
      <c r="D737" s="6" t="str">
        <f>VLOOKUP(B737,'Veri doğrulama'!$D$6:$E$13,2,0)</f>
        <v>MEHMET YAZICI</v>
      </c>
      <c r="E737" s="6" t="s">
        <v>1023</v>
      </c>
      <c r="F737" s="6" t="s">
        <v>80</v>
      </c>
      <c r="G737" s="6" t="s">
        <v>20</v>
      </c>
      <c r="H737" s="6" t="s">
        <v>34</v>
      </c>
      <c r="I737" s="6">
        <v>1400</v>
      </c>
      <c r="J737" s="6">
        <v>700</v>
      </c>
      <c r="K737" s="6">
        <v>2</v>
      </c>
      <c r="L737" s="10">
        <f t="shared" si="16"/>
        <v>1.2810999999999999</v>
      </c>
      <c r="M737" s="6" t="s">
        <v>75</v>
      </c>
      <c r="N737" s="6"/>
      <c r="O737" s="6"/>
      <c r="P737" s="17" t="s">
        <v>54</v>
      </c>
      <c r="Q737" s="17" t="s">
        <v>54</v>
      </c>
      <c r="R737" s="17" t="s">
        <v>54</v>
      </c>
    </row>
    <row r="738" spans="1:18" ht="30" customHeight="1" x14ac:dyDescent="0.3">
      <c r="A738" s="7">
        <v>45877.762263657409</v>
      </c>
      <c r="B738" s="6" t="s">
        <v>4</v>
      </c>
      <c r="C738" s="6"/>
      <c r="D738" s="6" t="str">
        <f>VLOOKUP(B738,'Veri doğrulama'!$D$6:$E$13,2,0)</f>
        <v>MEHMET YAZICI</v>
      </c>
      <c r="E738" s="6"/>
      <c r="F738" s="6" t="s">
        <v>1021</v>
      </c>
      <c r="G738" s="6" t="s">
        <v>20</v>
      </c>
      <c r="H738" s="6" t="s">
        <v>34</v>
      </c>
      <c r="I738" s="6">
        <v>430</v>
      </c>
      <c r="J738" s="6">
        <v>396</v>
      </c>
      <c r="K738" s="6">
        <v>1</v>
      </c>
      <c r="L738" s="10">
        <f t="shared" si="16"/>
        <v>0.28799999999999998</v>
      </c>
      <c r="M738" s="6" t="s">
        <v>103</v>
      </c>
      <c r="N738" s="6"/>
      <c r="O738" s="6"/>
      <c r="P738" s="17" t="s">
        <v>54</v>
      </c>
      <c r="Q738" s="17" t="s">
        <v>54</v>
      </c>
      <c r="R738" s="17" t="s">
        <v>54</v>
      </c>
    </row>
    <row r="739" spans="1:18" ht="30" customHeight="1" x14ac:dyDescent="0.3">
      <c r="A739" s="7">
        <v>45876.75229340278</v>
      </c>
      <c r="B739" s="6" t="s">
        <v>4</v>
      </c>
      <c r="C739" s="6"/>
      <c r="D739" s="6" t="str">
        <f>VLOOKUP(B739,'Veri doğrulama'!$D$6:$E$13,2,0)</f>
        <v>MEHMET YAZICI</v>
      </c>
      <c r="E739" s="6"/>
      <c r="F739" s="6" t="s">
        <v>1020</v>
      </c>
      <c r="G739" s="6" t="s">
        <v>20</v>
      </c>
      <c r="H739" s="6" t="s">
        <v>34</v>
      </c>
      <c r="I739" s="6">
        <v>450</v>
      </c>
      <c r="J739" s="6">
        <v>396</v>
      </c>
      <c r="K739" s="6">
        <v>2</v>
      </c>
      <c r="L739" s="10">
        <f t="shared" si="16"/>
        <v>1.96</v>
      </c>
      <c r="M739" s="6" t="s">
        <v>103</v>
      </c>
      <c r="N739" s="6"/>
      <c r="O739" s="6"/>
      <c r="P739" s="17" t="s">
        <v>54</v>
      </c>
      <c r="Q739" s="17" t="s">
        <v>54</v>
      </c>
      <c r="R739" s="17" t="s">
        <v>54</v>
      </c>
    </row>
    <row r="740" spans="1:18" ht="30" customHeight="1" x14ac:dyDescent="0.3">
      <c r="A740" s="7">
        <v>45876.751728240743</v>
      </c>
      <c r="B740" s="6" t="s">
        <v>5</v>
      </c>
      <c r="C740" s="6"/>
      <c r="D740" s="6" t="str">
        <f>VLOOKUP(B740,'Veri doğrulama'!$D$6:$E$13,2,0)</f>
        <v>MEHMET ÖZEN</v>
      </c>
      <c r="E740" s="6"/>
      <c r="F740" s="6" t="s">
        <v>1019</v>
      </c>
      <c r="G740" s="6" t="s">
        <v>26</v>
      </c>
      <c r="H740" s="6" t="s">
        <v>34</v>
      </c>
      <c r="I740" s="6">
        <v>1400</v>
      </c>
      <c r="J740" s="6">
        <v>1200</v>
      </c>
      <c r="K740" s="6">
        <v>1</v>
      </c>
      <c r="L740" s="10">
        <f t="shared" si="16"/>
        <v>0.17027999999999999</v>
      </c>
      <c r="M740" s="6" t="s">
        <v>103</v>
      </c>
      <c r="N740" s="6"/>
      <c r="O740" s="6"/>
      <c r="P740" s="17" t="s">
        <v>54</v>
      </c>
      <c r="Q740" s="17" t="s">
        <v>54</v>
      </c>
      <c r="R740" s="17" t="s">
        <v>54</v>
      </c>
    </row>
    <row r="741" spans="1:18" ht="30" customHeight="1" x14ac:dyDescent="0.3">
      <c r="A741" s="7">
        <v>45876.751290509259</v>
      </c>
      <c r="B741" s="6" t="s">
        <v>5</v>
      </c>
      <c r="C741" s="6"/>
      <c r="D741" s="6" t="str">
        <f>VLOOKUP(B741,'Veri doğrulama'!$D$6:$E$13,2,0)</f>
        <v>MEHMET ÖZEN</v>
      </c>
      <c r="E741" s="6"/>
      <c r="F741" s="6" t="s">
        <v>1017</v>
      </c>
      <c r="G741" s="6" t="s">
        <v>18</v>
      </c>
      <c r="H741" s="6" t="s">
        <v>34</v>
      </c>
      <c r="I741" s="6">
        <v>1400</v>
      </c>
      <c r="J741" s="6">
        <v>1200</v>
      </c>
      <c r="K741" s="6">
        <v>1</v>
      </c>
      <c r="L741" s="10">
        <f t="shared" si="16"/>
        <v>0.1782</v>
      </c>
      <c r="M741" s="6" t="s">
        <v>103</v>
      </c>
      <c r="N741" s="6"/>
      <c r="O741" s="6"/>
      <c r="P741" s="17" t="s">
        <v>54</v>
      </c>
      <c r="Q741" s="17" t="s">
        <v>54</v>
      </c>
      <c r="R741" s="17" t="s">
        <v>54</v>
      </c>
    </row>
    <row r="742" spans="1:18" ht="30" customHeight="1" x14ac:dyDescent="0.3">
      <c r="A742" s="7">
        <v>45876.656882407406</v>
      </c>
      <c r="B742" s="6" t="s">
        <v>4</v>
      </c>
      <c r="C742" s="6"/>
      <c r="D742" s="6" t="str">
        <f>VLOOKUP(B742,'Veri doğrulama'!$D$6:$E$13,2,0)</f>
        <v>MEHMET YAZICI</v>
      </c>
      <c r="E742" s="6" t="s">
        <v>1018</v>
      </c>
      <c r="F742" s="6" t="s">
        <v>1016</v>
      </c>
      <c r="G742" s="6" t="s">
        <v>18</v>
      </c>
      <c r="H742" s="6" t="s">
        <v>34</v>
      </c>
      <c r="I742" s="6">
        <v>1930</v>
      </c>
      <c r="J742" s="6">
        <v>300</v>
      </c>
      <c r="K742" s="6">
        <v>1</v>
      </c>
      <c r="L742" s="10">
        <f t="shared" si="16"/>
        <v>1.68</v>
      </c>
      <c r="M742" s="6" t="s">
        <v>103</v>
      </c>
      <c r="N742" s="6"/>
      <c r="O742" s="6"/>
      <c r="P742" s="17" t="s">
        <v>54</v>
      </c>
      <c r="Q742" s="17" t="s">
        <v>54</v>
      </c>
      <c r="R742" s="17" t="s">
        <v>54</v>
      </c>
    </row>
    <row r="743" spans="1:18" ht="30" customHeight="1" x14ac:dyDescent="0.3">
      <c r="A743" s="7">
        <v>45876.35379212963</v>
      </c>
      <c r="B743" s="6" t="s">
        <v>4</v>
      </c>
      <c r="C743" s="6"/>
      <c r="D743" s="6" t="str">
        <f>VLOOKUP(B743,'Veri doğrulama'!$D$6:$E$13,2,0)</f>
        <v>MEHMET YAZICI</v>
      </c>
      <c r="E743" s="6"/>
      <c r="F743" s="6" t="s">
        <v>1015</v>
      </c>
      <c r="G743" s="6" t="s">
        <v>15</v>
      </c>
      <c r="H743" s="6" t="s">
        <v>34</v>
      </c>
      <c r="I743" s="6">
        <v>762</v>
      </c>
      <c r="J743" s="6">
        <v>340</v>
      </c>
      <c r="K743" s="6">
        <v>1</v>
      </c>
      <c r="L743" s="10">
        <f t="shared" si="16"/>
        <v>1.68</v>
      </c>
      <c r="M743" s="6" t="s">
        <v>102</v>
      </c>
      <c r="N743" s="6"/>
      <c r="O743" s="6"/>
      <c r="P743" s="17" t="s">
        <v>54</v>
      </c>
      <c r="Q743" s="17" t="s">
        <v>54</v>
      </c>
      <c r="R743" s="17" t="s">
        <v>54</v>
      </c>
    </row>
    <row r="744" spans="1:18" ht="30" customHeight="1" x14ac:dyDescent="0.3">
      <c r="A744" s="7">
        <v>45875.659939351855</v>
      </c>
      <c r="B744" s="6" t="s">
        <v>4</v>
      </c>
      <c r="C744" s="6"/>
      <c r="D744" s="6" t="str">
        <f>VLOOKUP(B744,'Veri doğrulama'!$D$6:$E$13,2,0)</f>
        <v>MEHMET YAZICI</v>
      </c>
      <c r="E744" s="6">
        <v>23926</v>
      </c>
      <c r="F744" s="6" t="s">
        <v>1014</v>
      </c>
      <c r="G744" s="6" t="s">
        <v>18</v>
      </c>
      <c r="H744" s="6" t="s">
        <v>34</v>
      </c>
      <c r="I744" s="6">
        <v>2600</v>
      </c>
      <c r="J744" s="6">
        <v>300</v>
      </c>
      <c r="K744" s="6">
        <v>1</v>
      </c>
      <c r="L744" s="10">
        <f t="shared" si="16"/>
        <v>0.57899999999999996</v>
      </c>
      <c r="M744" s="6" t="s">
        <v>103</v>
      </c>
      <c r="N744" s="6"/>
      <c r="O744" s="6"/>
      <c r="P744" s="17" t="s">
        <v>54</v>
      </c>
      <c r="Q744" s="17" t="s">
        <v>54</v>
      </c>
      <c r="R744" s="17" t="s">
        <v>54</v>
      </c>
    </row>
    <row r="745" spans="1:18" ht="30" customHeight="1" x14ac:dyDescent="0.3">
      <c r="A745" s="7">
        <v>45875.485901504631</v>
      </c>
      <c r="B745" s="6" t="s">
        <v>4</v>
      </c>
      <c r="C745" s="6"/>
      <c r="D745" s="6" t="str">
        <f>VLOOKUP(B745,'Veri doğrulama'!$D$6:$E$13,2,0)</f>
        <v>MEHMET YAZICI</v>
      </c>
      <c r="E745" s="6"/>
      <c r="F745" s="6" t="s">
        <v>1013</v>
      </c>
      <c r="G745" s="6" t="s">
        <v>24</v>
      </c>
      <c r="H745" s="6" t="s">
        <v>34</v>
      </c>
      <c r="I745" s="6">
        <v>1962</v>
      </c>
      <c r="J745" s="6">
        <v>324</v>
      </c>
      <c r="K745" s="6">
        <v>1</v>
      </c>
      <c r="L745" s="10">
        <f t="shared" si="16"/>
        <v>0.25907999999999998</v>
      </c>
      <c r="M745" s="6" t="s">
        <v>75</v>
      </c>
      <c r="N745" s="6"/>
      <c r="O745" s="6"/>
      <c r="P745" s="17" t="s">
        <v>54</v>
      </c>
      <c r="Q745" s="17" t="s">
        <v>54</v>
      </c>
      <c r="R745" s="17" t="s">
        <v>54</v>
      </c>
    </row>
    <row r="746" spans="1:18" ht="30" customHeight="1" x14ac:dyDescent="0.3">
      <c r="A746" s="7">
        <v>45874.71873148148</v>
      </c>
      <c r="B746" s="6" t="s">
        <v>4</v>
      </c>
      <c r="C746" s="6"/>
      <c r="D746" s="6" t="str">
        <f>VLOOKUP(B746,'Veri doğrulama'!$D$6:$E$13,2,0)</f>
        <v>MEHMET YAZICI</v>
      </c>
      <c r="E746" s="6">
        <v>23926</v>
      </c>
      <c r="F746" s="6" t="s">
        <v>1012</v>
      </c>
      <c r="G746" s="6" t="s">
        <v>15</v>
      </c>
      <c r="H746" s="6" t="s">
        <v>34</v>
      </c>
      <c r="I746" s="6">
        <v>1100</v>
      </c>
      <c r="J746" s="6">
        <v>360</v>
      </c>
      <c r="K746" s="6">
        <v>1</v>
      </c>
      <c r="L746" s="10">
        <f t="shared" si="16"/>
        <v>0.78</v>
      </c>
      <c r="M746" s="6" t="s">
        <v>43</v>
      </c>
      <c r="N746" s="6"/>
      <c r="O746" s="6"/>
      <c r="P746" s="17" t="s">
        <v>54</v>
      </c>
      <c r="Q746" s="17" t="s">
        <v>54</v>
      </c>
      <c r="R746" s="17" t="s">
        <v>54</v>
      </c>
    </row>
    <row r="747" spans="1:18" ht="30" customHeight="1" x14ac:dyDescent="0.3">
      <c r="A747" s="7">
        <v>45874.718128703702</v>
      </c>
      <c r="B747" s="6" t="s">
        <v>4</v>
      </c>
      <c r="C747" s="6"/>
      <c r="D747" s="6" t="str">
        <f>VLOOKUP(B747,'Veri doğrulama'!$D$6:$E$13,2,0)</f>
        <v>MEHMET YAZICI</v>
      </c>
      <c r="E747" s="6">
        <v>23926</v>
      </c>
      <c r="F747" s="6" t="s">
        <v>165</v>
      </c>
      <c r="G747" s="6" t="s">
        <v>15</v>
      </c>
      <c r="H747" s="6" t="s">
        <v>34</v>
      </c>
      <c r="I747" s="6">
        <v>1400</v>
      </c>
      <c r="J747" s="6">
        <v>800</v>
      </c>
      <c r="K747" s="6">
        <v>1</v>
      </c>
      <c r="L747" s="10">
        <f t="shared" si="16"/>
        <v>0.63568800000000003</v>
      </c>
      <c r="M747" s="6" t="s">
        <v>75</v>
      </c>
      <c r="N747" s="6"/>
      <c r="O747" s="6"/>
      <c r="P747" s="17" t="s">
        <v>54</v>
      </c>
      <c r="Q747" s="17" t="s">
        <v>54</v>
      </c>
      <c r="R747" s="17" t="s">
        <v>54</v>
      </c>
    </row>
    <row r="748" spans="1:18" ht="30" customHeight="1" x14ac:dyDescent="0.3">
      <c r="A748" s="7">
        <v>45874.717174189813</v>
      </c>
      <c r="B748" s="6" t="s">
        <v>4</v>
      </c>
      <c r="C748" s="6"/>
      <c r="D748" s="6" t="str">
        <f>VLOOKUP(B748,'Veri doğrulama'!$D$6:$E$13,2,0)</f>
        <v>MEHMET YAZICI</v>
      </c>
      <c r="E748" s="6">
        <v>23926</v>
      </c>
      <c r="F748" s="6" t="s">
        <v>1011</v>
      </c>
      <c r="G748" s="6" t="s">
        <v>15</v>
      </c>
      <c r="H748" s="6" t="s">
        <v>34</v>
      </c>
      <c r="I748" s="6">
        <v>762</v>
      </c>
      <c r="J748" s="6">
        <v>320</v>
      </c>
      <c r="K748" s="6">
        <v>1</v>
      </c>
      <c r="L748" s="10">
        <f t="shared" si="16"/>
        <v>0.39600000000000002</v>
      </c>
      <c r="M748" s="6" t="s">
        <v>156</v>
      </c>
      <c r="N748" s="6"/>
      <c r="O748" s="6"/>
      <c r="P748" s="17" t="s">
        <v>54</v>
      </c>
      <c r="Q748" s="17" t="s">
        <v>54</v>
      </c>
      <c r="R748" s="17" t="s">
        <v>54</v>
      </c>
    </row>
    <row r="749" spans="1:18" ht="30" customHeight="1" x14ac:dyDescent="0.3">
      <c r="A749" s="7">
        <v>45874.469306828702</v>
      </c>
      <c r="B749" s="6" t="s">
        <v>5</v>
      </c>
      <c r="C749" s="6"/>
      <c r="D749" s="6" t="str">
        <f>VLOOKUP(B749,'Veri doğrulama'!$D$6:$E$13,2,0)</f>
        <v>MEHMET ÖZEN</v>
      </c>
      <c r="E749" s="6">
        <v>23926</v>
      </c>
      <c r="F749" s="6" t="s">
        <v>1008</v>
      </c>
      <c r="G749" s="6" t="s">
        <v>1010</v>
      </c>
      <c r="H749" s="6" t="s">
        <v>34</v>
      </c>
      <c r="I749" s="6">
        <v>1420</v>
      </c>
      <c r="J749" s="6">
        <v>1420</v>
      </c>
      <c r="K749" s="6">
        <v>1</v>
      </c>
      <c r="L749" s="10">
        <f t="shared" si="16"/>
        <v>1.1200000000000001</v>
      </c>
      <c r="M749" s="6" t="s">
        <v>75</v>
      </c>
      <c r="N749" s="6" t="s">
        <v>468</v>
      </c>
      <c r="O749" s="6"/>
      <c r="P749" s="17" t="s">
        <v>54</v>
      </c>
      <c r="Q749" s="17" t="s">
        <v>54</v>
      </c>
      <c r="R749" s="17" t="s">
        <v>54</v>
      </c>
    </row>
    <row r="750" spans="1:18" ht="30" customHeight="1" x14ac:dyDescent="0.3">
      <c r="A750" s="7">
        <v>45874.468806365738</v>
      </c>
      <c r="B750" s="6" t="s">
        <v>4</v>
      </c>
      <c r="C750" s="6"/>
      <c r="D750" s="6" t="str">
        <f>VLOOKUP(B750,'Veri doğrulama'!$D$6:$E$13,2,0)</f>
        <v>MEHMET YAZICI</v>
      </c>
      <c r="E750" s="6">
        <v>23926</v>
      </c>
      <c r="F750" s="6" t="s">
        <v>1007</v>
      </c>
      <c r="G750" s="6" t="s">
        <v>111</v>
      </c>
      <c r="H750" s="6" t="s">
        <v>34</v>
      </c>
      <c r="I750" s="6">
        <v>1920</v>
      </c>
      <c r="J750" s="6">
        <v>762</v>
      </c>
      <c r="K750" s="6">
        <v>2</v>
      </c>
      <c r="L750" s="10">
        <f t="shared" si="16"/>
        <v>0.48768</v>
      </c>
      <c r="M750" s="6" t="s">
        <v>75</v>
      </c>
      <c r="N750" s="6"/>
      <c r="O750" s="6"/>
      <c r="P750" s="17" t="s">
        <v>54</v>
      </c>
      <c r="Q750" s="17" t="s">
        <v>54</v>
      </c>
      <c r="R750" s="17" t="s">
        <v>54</v>
      </c>
    </row>
    <row r="751" spans="1:18" ht="30" customHeight="1" x14ac:dyDescent="0.3">
      <c r="A751" s="7">
        <v>45873.498607986112</v>
      </c>
      <c r="B751" s="6" t="s">
        <v>7</v>
      </c>
      <c r="C751" s="6"/>
      <c r="D751" s="6" t="str">
        <f>VLOOKUP(B751,'Veri doğrulama'!$D$6:$E$13,2,0)</f>
        <v>SIDDIK KAPLAN</v>
      </c>
      <c r="E751" s="6" t="s">
        <v>1009</v>
      </c>
      <c r="F751" s="6" t="s">
        <v>1005</v>
      </c>
      <c r="G751" s="6" t="s">
        <v>16</v>
      </c>
      <c r="H751" s="6" t="s">
        <v>34</v>
      </c>
      <c r="I751" s="6">
        <v>1800</v>
      </c>
      <c r="J751" s="6">
        <v>1600</v>
      </c>
      <c r="K751" s="6">
        <v>1</v>
      </c>
      <c r="L751" s="10">
        <f t="shared" si="16"/>
        <v>2.0164</v>
      </c>
      <c r="M751" s="6" t="s">
        <v>43</v>
      </c>
      <c r="N751" s="6" t="s">
        <v>1006</v>
      </c>
      <c r="O751" s="6"/>
      <c r="P751" s="17" t="s">
        <v>54</v>
      </c>
      <c r="Q751" s="17" t="s">
        <v>54</v>
      </c>
      <c r="R751" s="17" t="s">
        <v>54</v>
      </c>
    </row>
    <row r="752" spans="1:18" ht="30" customHeight="1" x14ac:dyDescent="0.3">
      <c r="A752" s="7">
        <v>45873.491765625004</v>
      </c>
      <c r="B752" s="6" t="s">
        <v>5</v>
      </c>
      <c r="C752" s="6"/>
      <c r="D752" s="6" t="str">
        <f>VLOOKUP(B752,'Veri doğrulama'!$D$6:$E$13,2,0)</f>
        <v>MEHMET ÖZEN</v>
      </c>
      <c r="E752" s="6"/>
      <c r="F752" s="6" t="s">
        <v>1002</v>
      </c>
      <c r="G752" s="6" t="s">
        <v>15</v>
      </c>
      <c r="H752" s="6" t="s">
        <v>34</v>
      </c>
      <c r="I752" s="6">
        <v>1570</v>
      </c>
      <c r="J752" s="6">
        <v>910</v>
      </c>
      <c r="K752" s="6">
        <v>1</v>
      </c>
      <c r="L752" s="10">
        <f t="shared" si="16"/>
        <v>1.4630399999999999</v>
      </c>
      <c r="M752" s="6" t="s">
        <v>156</v>
      </c>
      <c r="N752" s="6" t="s">
        <v>1003</v>
      </c>
      <c r="O752" s="6"/>
      <c r="P752" s="17" t="s">
        <v>54</v>
      </c>
      <c r="Q752" s="17" t="s">
        <v>54</v>
      </c>
      <c r="R752" s="17" t="s">
        <v>54</v>
      </c>
    </row>
    <row r="753" spans="1:18" ht="30" customHeight="1" x14ac:dyDescent="0.3">
      <c r="A753" s="7">
        <v>45870.587662268517</v>
      </c>
      <c r="B753" s="6" t="s">
        <v>5</v>
      </c>
      <c r="C753" s="6"/>
      <c r="D753" s="6" t="str">
        <f>VLOOKUP(B753,'Veri doğrulama'!$D$6:$E$13,2,0)</f>
        <v>MEHMET ÖZEN</v>
      </c>
      <c r="E753" s="6"/>
      <c r="F753" s="6" t="s">
        <v>1001</v>
      </c>
      <c r="G753" s="6" t="s">
        <v>15</v>
      </c>
      <c r="H753" s="6" t="s">
        <v>34</v>
      </c>
      <c r="I753" s="6">
        <v>1400</v>
      </c>
      <c r="J753" s="6">
        <v>1400</v>
      </c>
      <c r="K753" s="6">
        <v>1</v>
      </c>
      <c r="L753" s="10">
        <f t="shared" si="16"/>
        <v>2.88</v>
      </c>
      <c r="M753" s="6" t="s">
        <v>43</v>
      </c>
      <c r="N753" s="6" t="s">
        <v>712</v>
      </c>
      <c r="O753" s="6"/>
      <c r="P753" s="17" t="s">
        <v>54</v>
      </c>
      <c r="Q753" s="17" t="s">
        <v>54</v>
      </c>
      <c r="R753" s="17" t="s">
        <v>54</v>
      </c>
    </row>
    <row r="754" spans="1:18" ht="30" customHeight="1" x14ac:dyDescent="0.3">
      <c r="A754" s="7">
        <v>45870.410283101854</v>
      </c>
      <c r="B754" s="6" t="s">
        <v>4</v>
      </c>
      <c r="C754" s="6"/>
      <c r="D754" s="6" t="str">
        <f>VLOOKUP(B754,'Veri doğrulama'!$D$6:$E$13,2,0)</f>
        <v>MEHMET YAZICI</v>
      </c>
      <c r="E754" s="6"/>
      <c r="F754" s="6" t="s">
        <v>709</v>
      </c>
      <c r="G754" s="6" t="s">
        <v>16</v>
      </c>
      <c r="H754" s="6" t="s">
        <v>34</v>
      </c>
      <c r="I754" s="6">
        <v>1600</v>
      </c>
      <c r="J754" s="6">
        <v>800</v>
      </c>
      <c r="K754" s="6">
        <v>3</v>
      </c>
      <c r="L754" s="10">
        <f t="shared" si="16"/>
        <v>4.2861000000000002</v>
      </c>
      <c r="M754" s="6" t="s">
        <v>252</v>
      </c>
      <c r="N754" s="6"/>
      <c r="O754" s="6"/>
      <c r="P754" s="17" t="s">
        <v>54</v>
      </c>
      <c r="Q754" s="17" t="s">
        <v>54</v>
      </c>
      <c r="R754" s="17" t="s">
        <v>54</v>
      </c>
    </row>
    <row r="755" spans="1:18" ht="30" customHeight="1" x14ac:dyDescent="0.3">
      <c r="A755" s="7">
        <v>45869.359262615741</v>
      </c>
      <c r="B755" s="6" t="s">
        <v>4</v>
      </c>
      <c r="C755" s="6"/>
      <c r="D755" s="6" t="str">
        <f>VLOOKUP(B755,'Veri doğrulama'!$D$6:$E$13,2,0)</f>
        <v>MEHMET YAZICI</v>
      </c>
      <c r="E755" s="6"/>
      <c r="F755" s="6" t="s">
        <v>1000</v>
      </c>
      <c r="G755" s="6" t="s">
        <v>16</v>
      </c>
      <c r="H755" s="6" t="s">
        <v>34</v>
      </c>
      <c r="I755" s="6">
        <v>539</v>
      </c>
      <c r="J755" s="6">
        <v>581</v>
      </c>
      <c r="K755" s="6">
        <v>1</v>
      </c>
      <c r="L755" s="10">
        <f t="shared" si="16"/>
        <v>1.96</v>
      </c>
      <c r="M755" s="6" t="s">
        <v>103</v>
      </c>
      <c r="N755" s="6"/>
      <c r="O755" s="6"/>
      <c r="P755" s="17" t="s">
        <v>54</v>
      </c>
      <c r="Q755" s="17" t="s">
        <v>54</v>
      </c>
      <c r="R755" s="17" t="s">
        <v>54</v>
      </c>
    </row>
    <row r="756" spans="1:18" ht="30" customHeight="1" x14ac:dyDescent="0.3">
      <c r="A756" s="7">
        <v>45868.707007407407</v>
      </c>
      <c r="B756" s="6" t="s">
        <v>5</v>
      </c>
      <c r="C756" s="6"/>
      <c r="D756" s="6" t="str">
        <f>VLOOKUP(B756,'Veri doğrulama'!$D$6:$E$13,2,0)</f>
        <v>MEHMET ÖZEN</v>
      </c>
      <c r="E756" s="6">
        <v>23875</v>
      </c>
      <c r="F756" s="6" t="s">
        <v>999</v>
      </c>
      <c r="G756" s="6" t="s">
        <v>16</v>
      </c>
      <c r="H756" s="6" t="s">
        <v>34</v>
      </c>
      <c r="I756" s="6">
        <v>2260</v>
      </c>
      <c r="J756" s="6">
        <v>497</v>
      </c>
      <c r="K756" s="6">
        <v>1</v>
      </c>
      <c r="L756" s="10">
        <f t="shared" si="16"/>
        <v>1.28</v>
      </c>
      <c r="M756" s="6" t="s">
        <v>75</v>
      </c>
      <c r="N756" s="6"/>
      <c r="O756" s="6"/>
      <c r="P756" s="17" t="s">
        <v>54</v>
      </c>
      <c r="Q756" s="17" t="s">
        <v>54</v>
      </c>
      <c r="R756" s="17" t="s">
        <v>54</v>
      </c>
    </row>
    <row r="757" spans="1:18" ht="30" customHeight="1" x14ac:dyDescent="0.3">
      <c r="A757" s="7">
        <v>45868.706509143522</v>
      </c>
      <c r="B757" s="6" t="s">
        <v>4</v>
      </c>
      <c r="C757" s="6"/>
      <c r="D757" s="6" t="str">
        <f>VLOOKUP(B757,'Veri doğrulama'!$D$6:$E$13,2,0)</f>
        <v>MEHMET YAZICI</v>
      </c>
      <c r="E757" s="6">
        <v>23875</v>
      </c>
      <c r="F757" s="6" t="s">
        <v>998</v>
      </c>
      <c r="G757" s="6" t="s">
        <v>19</v>
      </c>
      <c r="H757" s="6" t="s">
        <v>34</v>
      </c>
      <c r="I757" s="6">
        <v>730</v>
      </c>
      <c r="J757" s="6">
        <v>252</v>
      </c>
      <c r="K757" s="6">
        <v>1</v>
      </c>
      <c r="L757" s="10">
        <f t="shared" si="16"/>
        <v>0.31315900000000002</v>
      </c>
      <c r="M757" s="6" t="s">
        <v>75</v>
      </c>
      <c r="N757" s="6"/>
      <c r="O757" s="6"/>
      <c r="P757" s="17" t="s">
        <v>54</v>
      </c>
      <c r="Q757" s="17" t="s">
        <v>54</v>
      </c>
      <c r="R757" s="17" t="s">
        <v>54</v>
      </c>
    </row>
    <row r="758" spans="1:18" ht="30" customHeight="1" x14ac:dyDescent="0.3">
      <c r="A758" s="7">
        <v>45868.576559374997</v>
      </c>
      <c r="B758" s="6" t="s">
        <v>5</v>
      </c>
      <c r="C758" s="6"/>
      <c r="D758" s="6" t="str">
        <f>VLOOKUP(B758,'Veri doğrulama'!$D$6:$E$13,2,0)</f>
        <v>MEHMET ÖZEN</v>
      </c>
      <c r="E758" s="6">
        <v>23813</v>
      </c>
      <c r="F758" s="6" t="s">
        <v>864</v>
      </c>
      <c r="G758" s="6" t="s">
        <v>16</v>
      </c>
      <c r="H758" s="6" t="s">
        <v>34</v>
      </c>
      <c r="I758" s="6">
        <v>1810</v>
      </c>
      <c r="J758" s="6">
        <v>545</v>
      </c>
      <c r="K758" s="6">
        <v>1</v>
      </c>
      <c r="L758" s="10">
        <f t="shared" si="16"/>
        <v>1.1232200000000001</v>
      </c>
      <c r="M758" s="6" t="s">
        <v>42</v>
      </c>
      <c r="N758" s="6"/>
      <c r="O758" s="6"/>
      <c r="P758" s="17" t="s">
        <v>54</v>
      </c>
      <c r="Q758" s="17" t="s">
        <v>54</v>
      </c>
      <c r="R758" s="17" t="s">
        <v>54</v>
      </c>
    </row>
    <row r="759" spans="1:18" ht="30" customHeight="1" x14ac:dyDescent="0.3">
      <c r="A759" s="7">
        <v>45868.559888657408</v>
      </c>
      <c r="B759" s="6" t="s">
        <v>5</v>
      </c>
      <c r="C759" s="6"/>
      <c r="D759" s="6" t="str">
        <f>VLOOKUP(B759,'Veri doğrulama'!$D$6:$E$13,2,0)</f>
        <v>MEHMET ÖZEN</v>
      </c>
      <c r="E759" s="6">
        <v>23823</v>
      </c>
      <c r="F759" s="6" t="s">
        <v>996</v>
      </c>
      <c r="G759" s="6" t="s">
        <v>18</v>
      </c>
      <c r="H759" s="6" t="s">
        <v>34</v>
      </c>
      <c r="I759" s="6">
        <v>2220</v>
      </c>
      <c r="J759" s="6">
        <v>970</v>
      </c>
      <c r="K759" s="6">
        <v>1</v>
      </c>
      <c r="L759" s="10">
        <f t="shared" si="16"/>
        <v>0.18396000000000001</v>
      </c>
      <c r="M759" s="6" t="s">
        <v>103</v>
      </c>
      <c r="N759" s="6"/>
      <c r="O759" s="6"/>
      <c r="P759" s="17" t="s">
        <v>54</v>
      </c>
      <c r="Q759" s="17" t="s">
        <v>54</v>
      </c>
      <c r="R759" s="17" t="s">
        <v>54</v>
      </c>
    </row>
    <row r="760" spans="1:18" ht="30" customHeight="1" x14ac:dyDescent="0.3">
      <c r="A760" s="7">
        <v>45868.373799074077</v>
      </c>
      <c r="B760" s="6" t="s">
        <v>4</v>
      </c>
      <c r="C760" s="6"/>
      <c r="D760" s="6" t="str">
        <f>VLOOKUP(B760,'Veri doğrulama'!$D$6:$E$13,2,0)</f>
        <v>MEHMET YAZICI</v>
      </c>
      <c r="E760" s="6" t="s">
        <v>997</v>
      </c>
      <c r="F760" s="6" t="s">
        <v>995</v>
      </c>
      <c r="G760" s="6" t="s">
        <v>16</v>
      </c>
      <c r="H760" s="6" t="s">
        <v>34</v>
      </c>
      <c r="I760" s="6">
        <v>580</v>
      </c>
      <c r="J760" s="6">
        <v>1200</v>
      </c>
      <c r="K760" s="6">
        <v>1</v>
      </c>
      <c r="L760" s="10">
        <f t="shared" si="16"/>
        <v>0.98645000000000005</v>
      </c>
      <c r="M760" s="6" t="s">
        <v>42</v>
      </c>
      <c r="N760" s="6"/>
      <c r="O760" s="6"/>
      <c r="P760" s="17" t="s">
        <v>54</v>
      </c>
      <c r="Q760" s="17" t="s">
        <v>54</v>
      </c>
      <c r="R760" s="17" t="s">
        <v>54</v>
      </c>
    </row>
    <row r="761" spans="1:18" ht="30" customHeight="1" x14ac:dyDescent="0.3">
      <c r="A761" s="7">
        <v>45868.371447685182</v>
      </c>
      <c r="B761" s="6" t="s">
        <v>4</v>
      </c>
      <c r="C761" s="6"/>
      <c r="D761" s="6" t="str">
        <f>VLOOKUP(B761,'Veri doğrulama'!$D$6:$E$13,2,0)</f>
        <v>MEHMET YAZICI</v>
      </c>
      <c r="E761" s="6"/>
      <c r="F761" s="6" t="s">
        <v>993</v>
      </c>
      <c r="G761" s="6" t="s">
        <v>16</v>
      </c>
      <c r="H761" s="6" t="s">
        <v>34</v>
      </c>
      <c r="I761" s="6">
        <v>375</v>
      </c>
      <c r="J761" s="6">
        <v>762</v>
      </c>
      <c r="K761" s="6">
        <v>1</v>
      </c>
      <c r="L761" s="10">
        <f t="shared" si="16"/>
        <v>2.1534</v>
      </c>
      <c r="M761" s="6" t="s">
        <v>42</v>
      </c>
      <c r="N761" s="6"/>
      <c r="O761" s="6"/>
      <c r="P761" s="17" t="s">
        <v>54</v>
      </c>
      <c r="Q761" s="17" t="s">
        <v>54</v>
      </c>
      <c r="R761" s="17" t="s">
        <v>54</v>
      </c>
    </row>
    <row r="762" spans="1:18" ht="30" customHeight="1" x14ac:dyDescent="0.3">
      <c r="A762" s="7">
        <v>45867.77033078704</v>
      </c>
      <c r="B762" s="6" t="s">
        <v>4</v>
      </c>
      <c r="C762" s="6"/>
      <c r="D762" s="6" t="str">
        <f>VLOOKUP(B762,'Veri doğrulama'!$D$6:$E$13,2,0)</f>
        <v>MEHMET YAZICI</v>
      </c>
      <c r="E762" s="6" t="s">
        <v>994</v>
      </c>
      <c r="F762" s="6" t="s">
        <v>991</v>
      </c>
      <c r="G762" s="6" t="s">
        <v>16</v>
      </c>
      <c r="H762" s="6" t="s">
        <v>34</v>
      </c>
      <c r="I762" s="6">
        <v>546</v>
      </c>
      <c r="J762" s="6">
        <v>496</v>
      </c>
      <c r="K762" s="6">
        <v>1</v>
      </c>
      <c r="L762" s="10">
        <f t="shared" si="16"/>
        <v>0.69599999999999995</v>
      </c>
      <c r="M762" s="6" t="s">
        <v>75</v>
      </c>
      <c r="N762" s="6"/>
      <c r="O762" s="6"/>
      <c r="P762" s="17" t="s">
        <v>54</v>
      </c>
      <c r="Q762" s="17" t="s">
        <v>54</v>
      </c>
      <c r="R762" s="17" t="s">
        <v>54</v>
      </c>
    </row>
    <row r="763" spans="1:18" ht="30" customHeight="1" x14ac:dyDescent="0.3">
      <c r="A763" s="7">
        <v>45867.767872222219</v>
      </c>
      <c r="B763" s="6" t="s">
        <v>4</v>
      </c>
      <c r="C763" s="6"/>
      <c r="D763" s="6" t="str">
        <f>VLOOKUP(B763,'Veri doğrulama'!$D$6:$E$13,2,0)</f>
        <v>MEHMET YAZICI</v>
      </c>
      <c r="E763" s="6" t="s">
        <v>992</v>
      </c>
      <c r="F763" s="6" t="s">
        <v>989</v>
      </c>
      <c r="G763" s="6" t="s">
        <v>16</v>
      </c>
      <c r="H763" s="6" t="s">
        <v>34</v>
      </c>
      <c r="I763" s="6">
        <v>543</v>
      </c>
      <c r="J763" s="6">
        <v>200</v>
      </c>
      <c r="K763" s="6">
        <v>1</v>
      </c>
      <c r="L763" s="10">
        <f t="shared" si="16"/>
        <v>0.28575</v>
      </c>
      <c r="M763" s="6" t="s">
        <v>75</v>
      </c>
      <c r="N763" s="6"/>
      <c r="O763" s="6"/>
      <c r="P763" s="17" t="s">
        <v>54</v>
      </c>
      <c r="Q763" s="17" t="s">
        <v>54</v>
      </c>
      <c r="R763" s="17" t="s">
        <v>54</v>
      </c>
    </row>
    <row r="764" spans="1:18" ht="30" customHeight="1" x14ac:dyDescent="0.3">
      <c r="A764" s="7">
        <v>45867.766956134263</v>
      </c>
      <c r="B764" s="6" t="s">
        <v>4</v>
      </c>
      <c r="C764" s="6"/>
      <c r="D764" s="6" t="str">
        <f>VLOOKUP(B764,'Veri doğrulama'!$D$6:$E$13,2,0)</f>
        <v>MEHMET YAZICI</v>
      </c>
      <c r="E764" s="6" t="s">
        <v>990</v>
      </c>
      <c r="F764" s="6" t="s">
        <v>264</v>
      </c>
      <c r="G764" s="6" t="s">
        <v>24</v>
      </c>
      <c r="H764" s="6" t="s">
        <v>34</v>
      </c>
      <c r="I764" s="6">
        <v>2200</v>
      </c>
      <c r="J764" s="6">
        <v>445</v>
      </c>
      <c r="K764" s="6">
        <v>2</v>
      </c>
      <c r="L764" s="10">
        <f t="shared" si="16"/>
        <v>0.541632</v>
      </c>
      <c r="M764" s="6" t="s">
        <v>75</v>
      </c>
      <c r="N764" s="6"/>
      <c r="O764" s="6"/>
      <c r="P764" s="17" t="s">
        <v>54</v>
      </c>
      <c r="Q764" s="17" t="s">
        <v>54</v>
      </c>
      <c r="R764" s="17" t="s">
        <v>54</v>
      </c>
    </row>
    <row r="765" spans="1:18" ht="30" customHeight="1" x14ac:dyDescent="0.3">
      <c r="A765" s="7">
        <v>45867.766005324076</v>
      </c>
      <c r="B765" s="6" t="s">
        <v>5</v>
      </c>
      <c r="C765" s="6"/>
      <c r="D765" s="6" t="str">
        <f>VLOOKUP(B765,'Veri doğrulama'!$D$6:$E$13,2,0)</f>
        <v>MEHMET ÖZEN</v>
      </c>
      <c r="E765" s="6" t="s">
        <v>988</v>
      </c>
      <c r="F765" s="6" t="s">
        <v>985</v>
      </c>
      <c r="G765" s="6" t="s">
        <v>15</v>
      </c>
      <c r="H765" s="6" t="s">
        <v>35</v>
      </c>
      <c r="I765" s="6">
        <v>1115</v>
      </c>
      <c r="J765" s="6">
        <v>397</v>
      </c>
      <c r="K765" s="6">
        <v>1</v>
      </c>
      <c r="L765" s="10">
        <f t="shared" si="16"/>
        <v>0.1086</v>
      </c>
      <c r="M765" s="6" t="s">
        <v>42</v>
      </c>
      <c r="N765" s="6"/>
      <c r="O765" s="6"/>
      <c r="P765" s="17" t="s">
        <v>54</v>
      </c>
      <c r="Q765" s="17" t="s">
        <v>54</v>
      </c>
      <c r="R765" s="17" t="s">
        <v>54</v>
      </c>
    </row>
    <row r="766" spans="1:18" ht="30" customHeight="1" x14ac:dyDescent="0.3">
      <c r="A766" s="7">
        <v>45867.76437384259</v>
      </c>
      <c r="B766" s="6" t="s">
        <v>4</v>
      </c>
      <c r="C766" s="6"/>
      <c r="D766" s="6" t="str">
        <f>VLOOKUP(B766,'Veri doğrulama'!$D$6:$E$13,2,0)</f>
        <v>MEHMET YAZICI</v>
      </c>
      <c r="E766" s="6">
        <v>23824</v>
      </c>
      <c r="F766" s="6" t="s">
        <v>987</v>
      </c>
      <c r="G766" s="6" t="s">
        <v>18</v>
      </c>
      <c r="H766" s="6" t="s">
        <v>34</v>
      </c>
      <c r="I766" s="6">
        <v>682</v>
      </c>
      <c r="J766" s="6">
        <v>412</v>
      </c>
      <c r="K766" s="6">
        <v>1</v>
      </c>
      <c r="L766" s="10">
        <f t="shared" si="16"/>
        <v>0.97899999999999998</v>
      </c>
      <c r="M766" s="6" t="s">
        <v>103</v>
      </c>
      <c r="N766" s="6"/>
      <c r="O766" s="6"/>
      <c r="P766" s="17" t="s">
        <v>54</v>
      </c>
      <c r="Q766" s="17" t="s">
        <v>54</v>
      </c>
      <c r="R766" s="17" t="s">
        <v>54</v>
      </c>
    </row>
    <row r="767" spans="1:18" ht="30" customHeight="1" x14ac:dyDescent="0.3">
      <c r="A767" s="7">
        <v>45867.691495601852</v>
      </c>
      <c r="B767" s="6" t="s">
        <v>4</v>
      </c>
      <c r="C767" s="6"/>
      <c r="D767" s="6" t="str">
        <f>VLOOKUP(B767,'Veri doğrulama'!$D$6:$E$13,2,0)</f>
        <v>MEHMET YAZICI</v>
      </c>
      <c r="E767" s="6"/>
      <c r="F767" s="6" t="s">
        <v>986</v>
      </c>
      <c r="G767" s="6" t="s">
        <v>18</v>
      </c>
      <c r="H767" s="6" t="s">
        <v>34</v>
      </c>
      <c r="I767" s="6">
        <v>333</v>
      </c>
      <c r="J767" s="6">
        <v>373</v>
      </c>
      <c r="K767" s="6">
        <v>1</v>
      </c>
      <c r="L767" s="10">
        <f t="shared" si="16"/>
        <v>0.44265500000000002</v>
      </c>
      <c r="M767" s="6" t="s">
        <v>75</v>
      </c>
      <c r="N767" s="6"/>
      <c r="O767" s="6"/>
      <c r="P767" s="17" t="s">
        <v>54</v>
      </c>
      <c r="Q767" s="17" t="s">
        <v>54</v>
      </c>
      <c r="R767" s="17" t="s">
        <v>54</v>
      </c>
    </row>
    <row r="768" spans="1:18" ht="30" customHeight="1" x14ac:dyDescent="0.3">
      <c r="A768" s="7">
        <v>45866.46821053241</v>
      </c>
      <c r="B768" s="6" t="s">
        <v>7</v>
      </c>
      <c r="C768" s="6"/>
      <c r="D768" s="6" t="str">
        <f>VLOOKUP(B768,'Veri doğrulama'!$D$6:$E$13,2,0)</f>
        <v>SIDDIK KAPLAN</v>
      </c>
      <c r="E768" s="6"/>
      <c r="F768" s="6" t="s">
        <v>985</v>
      </c>
      <c r="G768" s="6" t="s">
        <v>15</v>
      </c>
      <c r="H768" s="6" t="s">
        <v>34</v>
      </c>
      <c r="I768" s="6">
        <v>1115</v>
      </c>
      <c r="J768" s="6">
        <v>397</v>
      </c>
      <c r="K768" s="6">
        <v>1</v>
      </c>
      <c r="L768" s="10">
        <f t="shared" si="16"/>
        <v>0.28098400000000001</v>
      </c>
      <c r="M768" s="6" t="s">
        <v>75</v>
      </c>
      <c r="N768" s="6"/>
      <c r="O768" s="6"/>
      <c r="P768" s="17" t="s">
        <v>54</v>
      </c>
      <c r="Q768" s="17" t="s">
        <v>54</v>
      </c>
      <c r="R768" s="17" t="s">
        <v>54</v>
      </c>
    </row>
    <row r="769" spans="1:18" ht="30" customHeight="1" x14ac:dyDescent="0.3">
      <c r="A769" s="7">
        <v>45866.467606944447</v>
      </c>
      <c r="B769" s="6" t="s">
        <v>4</v>
      </c>
      <c r="C769" s="6"/>
      <c r="D769" s="6" t="str">
        <f>VLOOKUP(B769,'Veri doğrulama'!$D$6:$E$13,2,0)</f>
        <v>MEHMET YAZICI</v>
      </c>
      <c r="E769" s="6">
        <v>23802</v>
      </c>
      <c r="F769" s="6" t="s">
        <v>984</v>
      </c>
      <c r="G769" s="6" t="s">
        <v>20</v>
      </c>
      <c r="H769" s="6" t="s">
        <v>34</v>
      </c>
      <c r="I769" s="6">
        <v>1191</v>
      </c>
      <c r="J769" s="6">
        <v>690</v>
      </c>
      <c r="K769" s="6">
        <v>1</v>
      </c>
      <c r="L769" s="10">
        <f t="shared" si="16"/>
        <v>0.124209</v>
      </c>
      <c r="M769" s="6" t="s">
        <v>75</v>
      </c>
      <c r="N769" s="6"/>
      <c r="O769" s="6"/>
      <c r="P769" s="17" t="s">
        <v>54</v>
      </c>
      <c r="Q769" s="17" t="s">
        <v>54</v>
      </c>
      <c r="R769" s="17" t="s">
        <v>54</v>
      </c>
    </row>
    <row r="770" spans="1:18" ht="30" customHeight="1" x14ac:dyDescent="0.3">
      <c r="A770" s="7">
        <v>45866.339695949071</v>
      </c>
      <c r="B770" s="6" t="s">
        <v>4</v>
      </c>
      <c r="C770" s="6"/>
      <c r="D770" s="6" t="str">
        <f>VLOOKUP(B770,'Veri doğrulama'!$D$6:$E$13,2,0)</f>
        <v>MEHMET YAZICI</v>
      </c>
      <c r="E770" s="6"/>
      <c r="F770" s="6" t="s">
        <v>982</v>
      </c>
      <c r="G770" s="6" t="s">
        <v>29</v>
      </c>
      <c r="H770" s="6" t="s">
        <v>34</v>
      </c>
      <c r="I770" s="6">
        <v>1990</v>
      </c>
      <c r="J770" s="6">
        <v>840</v>
      </c>
      <c r="K770" s="6">
        <v>1</v>
      </c>
      <c r="L770" s="10">
        <f t="shared" si="16"/>
        <v>0.44265500000000002</v>
      </c>
      <c r="M770" s="6" t="s">
        <v>43</v>
      </c>
      <c r="N770" s="6"/>
      <c r="O770" s="6"/>
      <c r="P770" s="17" t="s">
        <v>54</v>
      </c>
      <c r="Q770" s="17" t="s">
        <v>54</v>
      </c>
      <c r="R770" s="17" t="s">
        <v>54</v>
      </c>
    </row>
    <row r="771" spans="1:18" ht="30" customHeight="1" x14ac:dyDescent="0.3">
      <c r="A771" s="7">
        <v>45863.728963888891</v>
      </c>
      <c r="B771" s="6" t="s">
        <v>4</v>
      </c>
      <c r="C771" s="6"/>
      <c r="D771" s="6" t="str">
        <f>VLOOKUP(B771,'Veri doğrulama'!$D$6:$E$13,2,0)</f>
        <v>MEHMET YAZICI</v>
      </c>
      <c r="E771" s="6" t="s">
        <v>983</v>
      </c>
      <c r="F771" s="6" t="s">
        <v>980</v>
      </c>
      <c r="G771" s="6" t="s">
        <v>15</v>
      </c>
      <c r="H771" s="6" t="s">
        <v>34</v>
      </c>
      <c r="I771" s="6">
        <v>1402</v>
      </c>
      <c r="J771" s="6">
        <v>1402</v>
      </c>
      <c r="K771" s="6">
        <v>1</v>
      </c>
      <c r="L771" s="10">
        <f t="shared" si="16"/>
        <v>0.82179000000000002</v>
      </c>
      <c r="M771" s="6" t="s">
        <v>156</v>
      </c>
      <c r="N771" s="6"/>
      <c r="O771" s="6"/>
      <c r="P771" s="17" t="s">
        <v>54</v>
      </c>
      <c r="Q771" s="17" t="s">
        <v>54</v>
      </c>
      <c r="R771" s="17" t="s">
        <v>54</v>
      </c>
    </row>
    <row r="772" spans="1:18" ht="30" customHeight="1" x14ac:dyDescent="0.3">
      <c r="A772" s="7">
        <v>45863.72836238426</v>
      </c>
      <c r="B772" s="6" t="s">
        <v>7</v>
      </c>
      <c r="C772" s="6"/>
      <c r="D772" s="6" t="str">
        <f>VLOOKUP(B772,'Veri doğrulama'!$D$6:$E$13,2,0)</f>
        <v>SIDDIK KAPLAN</v>
      </c>
      <c r="E772" s="6" t="s">
        <v>981</v>
      </c>
      <c r="F772" s="6" t="s">
        <v>978</v>
      </c>
      <c r="G772" s="6" t="s">
        <v>18</v>
      </c>
      <c r="H772" s="6" t="s">
        <v>34</v>
      </c>
      <c r="I772" s="6">
        <v>900</v>
      </c>
      <c r="J772" s="6">
        <v>450</v>
      </c>
      <c r="K772" s="6">
        <v>1</v>
      </c>
      <c r="L772" s="10">
        <f t="shared" si="16"/>
        <v>1.6716</v>
      </c>
      <c r="M772" s="6" t="s">
        <v>103</v>
      </c>
      <c r="N772" s="6"/>
      <c r="O772" s="6"/>
      <c r="P772" s="17" t="s">
        <v>54</v>
      </c>
      <c r="Q772" s="17" t="s">
        <v>54</v>
      </c>
      <c r="R772" s="17" t="s">
        <v>54</v>
      </c>
    </row>
    <row r="773" spans="1:18" ht="30" customHeight="1" x14ac:dyDescent="0.3">
      <c r="A773" s="7">
        <v>45863.727124884259</v>
      </c>
      <c r="B773" s="6" t="s">
        <v>4</v>
      </c>
      <c r="C773" s="6"/>
      <c r="D773" s="6" t="str">
        <f>VLOOKUP(B773,'Veri doğrulama'!$D$6:$E$13,2,0)</f>
        <v>MEHMET YAZICI</v>
      </c>
      <c r="E773" s="6" t="s">
        <v>979</v>
      </c>
      <c r="F773" s="6" t="s">
        <v>72</v>
      </c>
      <c r="G773" s="6" t="s">
        <v>24</v>
      </c>
      <c r="H773" s="6" t="s">
        <v>34</v>
      </c>
      <c r="I773" s="6">
        <v>1500</v>
      </c>
      <c r="J773" s="6">
        <v>500</v>
      </c>
      <c r="K773" s="6">
        <v>6</v>
      </c>
      <c r="L773" s="10">
        <f t="shared" si="16"/>
        <v>11.793623999999999</v>
      </c>
      <c r="M773" s="6" t="s">
        <v>596</v>
      </c>
      <c r="N773" s="6"/>
      <c r="O773" s="6"/>
      <c r="P773" s="17" t="s">
        <v>54</v>
      </c>
      <c r="Q773" s="17" t="s">
        <v>54</v>
      </c>
      <c r="R773" s="17" t="s">
        <v>54</v>
      </c>
    </row>
    <row r="774" spans="1:18" ht="30" customHeight="1" x14ac:dyDescent="0.3">
      <c r="A774" s="7">
        <v>45863.706771064812</v>
      </c>
      <c r="B774" s="6" t="s">
        <v>4</v>
      </c>
      <c r="C774" s="6"/>
      <c r="D774" s="6" t="str">
        <f>VLOOKUP(B774,'Veri doğrulama'!$D$6:$E$13,2,0)</f>
        <v>MEHMET YAZICI</v>
      </c>
      <c r="E774" s="6"/>
      <c r="F774" s="6" t="s">
        <v>976</v>
      </c>
      <c r="G774" s="6" t="s">
        <v>15</v>
      </c>
      <c r="H774" s="6" t="s">
        <v>34</v>
      </c>
      <c r="I774" s="6">
        <v>1638</v>
      </c>
      <c r="J774" s="6">
        <v>450</v>
      </c>
      <c r="K774" s="6">
        <v>1</v>
      </c>
      <c r="L774" s="10">
        <f t="shared" si="16"/>
        <v>0.40500000000000003</v>
      </c>
      <c r="M774" s="6" t="s">
        <v>43</v>
      </c>
      <c r="N774" s="6"/>
      <c r="O774" s="6"/>
      <c r="P774" s="17" t="s">
        <v>54</v>
      </c>
      <c r="Q774" s="17" t="s">
        <v>54</v>
      </c>
      <c r="R774" s="17" t="s">
        <v>54</v>
      </c>
    </row>
    <row r="775" spans="1:18" ht="30" customHeight="1" x14ac:dyDescent="0.3">
      <c r="A775" s="7">
        <v>45863.356786111108</v>
      </c>
      <c r="B775" s="6" t="s">
        <v>5</v>
      </c>
      <c r="C775" s="6"/>
      <c r="D775" s="6" t="str">
        <f>VLOOKUP(B775,'Veri doğrulama'!$D$6:$E$13,2,0)</f>
        <v>MEHMET ÖZEN</v>
      </c>
      <c r="E775" s="6" t="s">
        <v>977</v>
      </c>
      <c r="F775" s="6" t="s">
        <v>975</v>
      </c>
      <c r="G775" s="6" t="s">
        <v>18</v>
      </c>
      <c r="H775" s="6" t="s">
        <v>34</v>
      </c>
      <c r="I775" s="6">
        <v>2035</v>
      </c>
      <c r="J775" s="6">
        <v>585</v>
      </c>
      <c r="K775" s="6">
        <v>1</v>
      </c>
      <c r="L775" s="10">
        <f t="shared" si="16"/>
        <v>0.75</v>
      </c>
      <c r="M775" s="6" t="s">
        <v>103</v>
      </c>
      <c r="N775" s="6"/>
      <c r="O775" s="6"/>
      <c r="P775" s="17" t="s">
        <v>54</v>
      </c>
      <c r="Q775" s="17" t="s">
        <v>54</v>
      </c>
      <c r="R775" s="17" t="s">
        <v>54</v>
      </c>
    </row>
    <row r="776" spans="1:18" ht="30" customHeight="1" x14ac:dyDescent="0.3">
      <c r="A776" s="7">
        <v>45862.76028865741</v>
      </c>
      <c r="B776" s="6" t="s">
        <v>5</v>
      </c>
      <c r="C776" s="6"/>
      <c r="D776" s="6" t="str">
        <f>VLOOKUP(B776,'Veri doğrulama'!$D$6:$E$13,2,0)</f>
        <v>MEHMET ÖZEN</v>
      </c>
      <c r="E776" s="6"/>
      <c r="F776" s="6" t="s">
        <v>974</v>
      </c>
      <c r="G776" s="6" t="s">
        <v>13</v>
      </c>
      <c r="H776" s="6" t="s">
        <v>34</v>
      </c>
      <c r="I776" s="6">
        <v>2410</v>
      </c>
      <c r="J776" s="6">
        <v>1210</v>
      </c>
      <c r="K776" s="6">
        <v>1</v>
      </c>
      <c r="L776" s="10">
        <f t="shared" si="16"/>
        <v>0.73709999999999998</v>
      </c>
      <c r="M776" s="6" t="s">
        <v>39</v>
      </c>
      <c r="N776" s="6"/>
      <c r="O776" s="6"/>
      <c r="P776" s="17" t="s">
        <v>54</v>
      </c>
      <c r="Q776" s="17" t="s">
        <v>54</v>
      </c>
      <c r="R776" s="17" t="s">
        <v>54</v>
      </c>
    </row>
    <row r="777" spans="1:18" ht="30" customHeight="1" x14ac:dyDescent="0.3">
      <c r="A777" s="7">
        <v>45862.740533449076</v>
      </c>
      <c r="B777" s="6" t="s">
        <v>5</v>
      </c>
      <c r="C777" s="6"/>
      <c r="D777" s="6" t="str">
        <f>VLOOKUP(B777,'Veri doğrulama'!$D$6:$E$13,2,0)</f>
        <v>MEHMET ÖZEN</v>
      </c>
      <c r="E777" s="6">
        <v>23748</v>
      </c>
      <c r="F777" s="6" t="s">
        <v>973</v>
      </c>
      <c r="G777" s="6" t="s">
        <v>17</v>
      </c>
      <c r="H777" s="6" t="s">
        <v>34</v>
      </c>
      <c r="I777" s="6">
        <v>1465</v>
      </c>
      <c r="J777" s="6">
        <v>460</v>
      </c>
      <c r="K777" s="6">
        <v>1</v>
      </c>
      <c r="L777" s="10">
        <f t="shared" si="16"/>
        <v>1.1904749999999999</v>
      </c>
      <c r="M777" s="6" t="s">
        <v>43</v>
      </c>
      <c r="N777" s="6"/>
      <c r="O777" s="6"/>
      <c r="P777" s="17" t="s">
        <v>54</v>
      </c>
      <c r="Q777" s="17" t="s">
        <v>54</v>
      </c>
      <c r="R777" s="17" t="s">
        <v>54</v>
      </c>
    </row>
    <row r="778" spans="1:18" ht="30" customHeight="1" x14ac:dyDescent="0.3">
      <c r="A778" s="7">
        <v>45862.623439814815</v>
      </c>
      <c r="B778" s="6" t="s">
        <v>5</v>
      </c>
      <c r="C778" s="6"/>
      <c r="D778" s="6" t="str">
        <f>VLOOKUP(B778,'Veri doğrulama'!$D$6:$E$13,2,0)</f>
        <v>MEHMET ÖZEN</v>
      </c>
      <c r="E778" s="6"/>
      <c r="F778" s="6" t="s">
        <v>303</v>
      </c>
      <c r="G778" s="6" t="s">
        <v>17</v>
      </c>
      <c r="H778" s="6" t="s">
        <v>34</v>
      </c>
      <c r="I778" s="6">
        <v>698</v>
      </c>
      <c r="J778" s="6">
        <v>435</v>
      </c>
      <c r="K778" s="6">
        <v>1</v>
      </c>
      <c r="L778" s="10">
        <f t="shared" si="16"/>
        <v>2.9161000000000001</v>
      </c>
      <c r="M778" s="6" t="s">
        <v>42</v>
      </c>
      <c r="N778" s="6"/>
      <c r="O778" s="6"/>
      <c r="P778" s="17" t="s">
        <v>54</v>
      </c>
      <c r="Q778" s="17" t="s">
        <v>54</v>
      </c>
      <c r="R778" s="17" t="s">
        <v>54</v>
      </c>
    </row>
    <row r="779" spans="1:18" ht="30" customHeight="1" x14ac:dyDescent="0.3">
      <c r="A779" s="7">
        <v>45862.615326736108</v>
      </c>
      <c r="B779" s="6" t="s">
        <v>5</v>
      </c>
      <c r="C779" s="6"/>
      <c r="D779" s="6" t="str">
        <f>VLOOKUP(B779,'Veri doğrulama'!$D$6:$E$13,2,0)</f>
        <v>MEHMET ÖZEN</v>
      </c>
      <c r="E779" s="6"/>
      <c r="F779" s="6" t="s">
        <v>434</v>
      </c>
      <c r="G779" s="6" t="s">
        <v>20</v>
      </c>
      <c r="H779" s="6" t="s">
        <v>34</v>
      </c>
      <c r="I779" s="6">
        <v>699</v>
      </c>
      <c r="J779" s="6">
        <v>2163</v>
      </c>
      <c r="K779" s="6">
        <v>1</v>
      </c>
      <c r="L779" s="10">
        <f t="shared" si="16"/>
        <v>0.67390000000000005</v>
      </c>
      <c r="M779" s="6" t="s">
        <v>75</v>
      </c>
      <c r="N779" s="6"/>
      <c r="O779" s="6"/>
      <c r="P779" s="17" t="s">
        <v>54</v>
      </c>
      <c r="Q779" s="17" t="s">
        <v>54</v>
      </c>
      <c r="R779" s="17" t="s">
        <v>54</v>
      </c>
    </row>
    <row r="780" spans="1:18" ht="30" customHeight="1" x14ac:dyDescent="0.3">
      <c r="A780" s="7">
        <v>45862.613601273151</v>
      </c>
      <c r="B780" s="6" t="s">
        <v>5</v>
      </c>
      <c r="C780" s="6"/>
      <c r="D780" s="6" t="str">
        <f>VLOOKUP(B780,'Veri doğrulama'!$D$6:$E$13,2,0)</f>
        <v>MEHMET ÖZEN</v>
      </c>
      <c r="E780" s="6" t="s">
        <v>972</v>
      </c>
      <c r="F780" s="6" t="s">
        <v>115</v>
      </c>
      <c r="G780" s="6" t="s">
        <v>27</v>
      </c>
      <c r="H780" s="6" t="s">
        <v>35</v>
      </c>
      <c r="I780" s="6">
        <v>900</v>
      </c>
      <c r="J780" s="6">
        <v>600</v>
      </c>
      <c r="K780" s="6">
        <v>1</v>
      </c>
      <c r="L780" s="10">
        <f t="shared" si="16"/>
        <v>0.30363000000000001</v>
      </c>
      <c r="M780" s="6" t="s">
        <v>102</v>
      </c>
      <c r="N780" s="6"/>
      <c r="O780" s="6"/>
      <c r="P780" s="17" t="s">
        <v>54</v>
      </c>
      <c r="Q780" s="17" t="s">
        <v>54</v>
      </c>
      <c r="R780" s="17" t="s">
        <v>54</v>
      </c>
    </row>
    <row r="781" spans="1:18" ht="30" customHeight="1" x14ac:dyDescent="0.3">
      <c r="A781" s="7">
        <v>45862.593916087964</v>
      </c>
      <c r="B781" s="6" t="s">
        <v>4</v>
      </c>
      <c r="C781" s="6"/>
      <c r="D781" s="6" t="str">
        <f>VLOOKUP(B781,'Veri doğrulama'!$D$6:$E$13,2,0)</f>
        <v>MEHMET YAZICI</v>
      </c>
      <c r="E781" s="6">
        <v>23751</v>
      </c>
      <c r="F781" s="6" t="s">
        <v>971</v>
      </c>
      <c r="G781" s="6" t="s">
        <v>18</v>
      </c>
      <c r="H781" s="6" t="s">
        <v>35</v>
      </c>
      <c r="I781" s="6">
        <v>2000</v>
      </c>
      <c r="J781" s="6">
        <v>590</v>
      </c>
      <c r="K781" s="6">
        <v>1</v>
      </c>
      <c r="L781" s="10">
        <f t="shared" si="16"/>
        <v>1.5119370000000001</v>
      </c>
      <c r="M781" s="6" t="s">
        <v>43</v>
      </c>
      <c r="N781" s="6"/>
      <c r="O781" s="6"/>
      <c r="P781" s="17" t="s">
        <v>54</v>
      </c>
      <c r="Q781" s="17" t="s">
        <v>54</v>
      </c>
      <c r="R781" s="17" t="s">
        <v>54</v>
      </c>
    </row>
    <row r="782" spans="1:18" ht="30" customHeight="1" x14ac:dyDescent="0.3">
      <c r="A782" s="7">
        <v>45862.559049537034</v>
      </c>
      <c r="B782" s="6" t="s">
        <v>81</v>
      </c>
      <c r="C782" s="6"/>
      <c r="D782" s="6" t="str">
        <f>VLOOKUP(B782,'Veri doğrulama'!$D$6:$E$13,2,0)</f>
        <v>İBRAHİM ÇELİK</v>
      </c>
      <c r="E782" s="6"/>
      <c r="F782" s="6" t="s">
        <v>964</v>
      </c>
      <c r="G782" s="6" t="s">
        <v>16</v>
      </c>
      <c r="H782" s="6" t="s">
        <v>34</v>
      </c>
      <c r="I782" s="6">
        <v>449</v>
      </c>
      <c r="J782" s="6">
        <v>358</v>
      </c>
      <c r="K782" s="6">
        <v>1</v>
      </c>
      <c r="L782" s="10">
        <f t="shared" si="16"/>
        <v>0.54</v>
      </c>
      <c r="M782" s="6" t="s">
        <v>103</v>
      </c>
      <c r="N782" s="6" t="s">
        <v>970</v>
      </c>
      <c r="O782" s="6"/>
      <c r="P782" s="17" t="s">
        <v>54</v>
      </c>
      <c r="Q782" s="17" t="s">
        <v>54</v>
      </c>
      <c r="R782" s="17" t="s">
        <v>54</v>
      </c>
    </row>
    <row r="783" spans="1:18" ht="30" customHeight="1" x14ac:dyDescent="0.3">
      <c r="A783" s="7">
        <v>45862.500335648147</v>
      </c>
      <c r="B783" s="6" t="s">
        <v>81</v>
      </c>
      <c r="C783" s="6"/>
      <c r="D783" s="6" t="str">
        <f>VLOOKUP(B783,'Veri doğrulama'!$D$6:$E$13,2,0)</f>
        <v>İBRAHİM ÇELİK</v>
      </c>
      <c r="E783" s="6"/>
      <c r="F783" s="6" t="s">
        <v>964</v>
      </c>
      <c r="G783" s="6" t="s">
        <v>16</v>
      </c>
      <c r="H783" s="6" t="s">
        <v>34</v>
      </c>
      <c r="I783" s="6">
        <v>434</v>
      </c>
      <c r="J783" s="6">
        <v>582</v>
      </c>
      <c r="K783" s="6">
        <v>1</v>
      </c>
      <c r="L783" s="10">
        <f t="shared" si="16"/>
        <v>1.18</v>
      </c>
      <c r="M783" s="6" t="s">
        <v>75</v>
      </c>
      <c r="N783" s="6" t="s">
        <v>970</v>
      </c>
      <c r="O783" s="6"/>
      <c r="P783" s="17" t="s">
        <v>54</v>
      </c>
      <c r="Q783" s="17" t="s">
        <v>54</v>
      </c>
      <c r="R783" s="17" t="s">
        <v>54</v>
      </c>
    </row>
    <row r="784" spans="1:18" ht="30" customHeight="1" x14ac:dyDescent="0.3">
      <c r="A784" s="7">
        <v>45861.604674652779</v>
      </c>
      <c r="B784" s="6" t="s">
        <v>81</v>
      </c>
      <c r="C784" s="6"/>
      <c r="D784" s="6" t="str">
        <f>VLOOKUP(B784,'Veri doğrulama'!$D$6:$E$13,2,0)</f>
        <v>İBRAHİM ÇELİK</v>
      </c>
      <c r="E784" s="6"/>
      <c r="F784" s="6" t="s">
        <v>969</v>
      </c>
      <c r="G784" s="6" t="s">
        <v>16</v>
      </c>
      <c r="H784" s="6" t="s">
        <v>34</v>
      </c>
      <c r="I784" s="6">
        <v>902</v>
      </c>
      <c r="J784" s="6">
        <v>582</v>
      </c>
      <c r="K784" s="6">
        <v>1</v>
      </c>
      <c r="L784" s="10">
        <f t="shared" ref="L784:L847" si="17">I782*J782/1000000*K784</f>
        <v>0.160742</v>
      </c>
      <c r="M784" s="6" t="s">
        <v>43</v>
      </c>
      <c r="N784" s="6" t="s">
        <v>970</v>
      </c>
      <c r="O784" s="6"/>
      <c r="P784" s="17" t="s">
        <v>54</v>
      </c>
      <c r="Q784" s="17" t="s">
        <v>54</v>
      </c>
      <c r="R784" s="17" t="s">
        <v>54</v>
      </c>
    </row>
    <row r="785" spans="1:18" ht="30" customHeight="1" x14ac:dyDescent="0.3">
      <c r="A785" s="7">
        <v>45861.603811458335</v>
      </c>
      <c r="B785" s="6" t="s">
        <v>5</v>
      </c>
      <c r="C785" s="6"/>
      <c r="D785" s="6" t="str">
        <f>VLOOKUP(B785,'Veri doğrulama'!$D$6:$E$13,2,0)</f>
        <v>MEHMET ÖZEN</v>
      </c>
      <c r="E785" s="6"/>
      <c r="F785" s="6" t="s">
        <v>968</v>
      </c>
      <c r="G785" s="6" t="s">
        <v>22</v>
      </c>
      <c r="H785" s="6" t="s">
        <v>34</v>
      </c>
      <c r="I785" s="6">
        <v>1500</v>
      </c>
      <c r="J785" s="6">
        <v>700</v>
      </c>
      <c r="K785" s="6">
        <v>1</v>
      </c>
      <c r="L785" s="10">
        <f t="shared" si="17"/>
        <v>0.25258799999999998</v>
      </c>
      <c r="M785" s="6" t="s">
        <v>43</v>
      </c>
      <c r="N785" s="6"/>
      <c r="O785" s="6"/>
      <c r="P785" s="17" t="s">
        <v>54</v>
      </c>
      <c r="Q785" s="17" t="s">
        <v>54</v>
      </c>
      <c r="R785" s="17" t="s">
        <v>54</v>
      </c>
    </row>
    <row r="786" spans="1:18" ht="30" customHeight="1" x14ac:dyDescent="0.3">
      <c r="A786" s="7">
        <v>45861.602745138887</v>
      </c>
      <c r="B786" s="6" t="s">
        <v>4</v>
      </c>
      <c r="C786" s="6"/>
      <c r="D786" s="6" t="str">
        <f>VLOOKUP(B786,'Veri doğrulama'!$D$6:$E$13,2,0)</f>
        <v>MEHMET YAZICI</v>
      </c>
      <c r="E786" s="6"/>
      <c r="F786" s="6" t="s">
        <v>967</v>
      </c>
      <c r="G786" s="6" t="s">
        <v>13</v>
      </c>
      <c r="H786" s="6" t="s">
        <v>34</v>
      </c>
      <c r="I786" s="6">
        <v>470</v>
      </c>
      <c r="J786" s="6">
        <v>400</v>
      </c>
      <c r="K786" s="6">
        <v>1</v>
      </c>
      <c r="L786" s="10">
        <f t="shared" si="17"/>
        <v>0.52496399999999999</v>
      </c>
      <c r="M786" s="6" t="s">
        <v>43</v>
      </c>
      <c r="N786" s="6" t="s">
        <v>339</v>
      </c>
      <c r="O786" s="6"/>
      <c r="P786" s="17" t="s">
        <v>54</v>
      </c>
      <c r="Q786" s="17" t="s">
        <v>54</v>
      </c>
      <c r="R786" s="17" t="s">
        <v>54</v>
      </c>
    </row>
    <row r="787" spans="1:18" ht="30" customHeight="1" x14ac:dyDescent="0.3">
      <c r="A787" s="7">
        <v>45861.374258449076</v>
      </c>
      <c r="B787" s="6" t="s">
        <v>6</v>
      </c>
      <c r="C787" s="6"/>
      <c r="D787" s="6" t="str">
        <f>VLOOKUP(B787,'Veri doğrulama'!$D$6:$E$13,2,0)</f>
        <v>SERVET KAPLAN</v>
      </c>
      <c r="E787" s="6"/>
      <c r="F787" s="6" t="s">
        <v>964</v>
      </c>
      <c r="G787" s="6" t="s">
        <v>16</v>
      </c>
      <c r="H787" s="6" t="s">
        <v>34</v>
      </c>
      <c r="I787" s="6">
        <v>900</v>
      </c>
      <c r="J787" s="6">
        <v>580</v>
      </c>
      <c r="K787" s="6">
        <v>1</v>
      </c>
      <c r="L787" s="10">
        <f t="shared" si="17"/>
        <v>1.05</v>
      </c>
      <c r="M787" s="6" t="s">
        <v>103</v>
      </c>
      <c r="N787" s="6" t="s">
        <v>965</v>
      </c>
      <c r="O787" s="6"/>
      <c r="P787" s="17" t="s">
        <v>54</v>
      </c>
      <c r="Q787" s="17" t="s">
        <v>54</v>
      </c>
      <c r="R787" s="17" t="s">
        <v>54</v>
      </c>
    </row>
    <row r="788" spans="1:18" ht="30" customHeight="1" x14ac:dyDescent="0.3">
      <c r="A788" s="7">
        <v>45860.64413310185</v>
      </c>
      <c r="B788" s="6" t="s">
        <v>7</v>
      </c>
      <c r="C788" s="6"/>
      <c r="D788" s="6" t="str">
        <f>VLOOKUP(B788,'Veri doğrulama'!$D$6:$E$13,2,0)</f>
        <v>SIDDIK KAPLAN</v>
      </c>
      <c r="E788" s="6" t="s">
        <v>966</v>
      </c>
      <c r="F788" s="6" t="s">
        <v>151</v>
      </c>
      <c r="G788" s="6" t="s">
        <v>13</v>
      </c>
      <c r="H788" s="6" t="s">
        <v>34</v>
      </c>
      <c r="I788" s="6">
        <v>2000</v>
      </c>
      <c r="J788" s="6">
        <v>900</v>
      </c>
      <c r="K788" s="6">
        <v>1</v>
      </c>
      <c r="L788" s="10">
        <f t="shared" si="17"/>
        <v>0.188</v>
      </c>
      <c r="M788" s="6" t="s">
        <v>103</v>
      </c>
      <c r="N788" s="6"/>
      <c r="O788" s="6"/>
      <c r="P788" s="17" t="s">
        <v>54</v>
      </c>
      <c r="Q788" s="17" t="s">
        <v>54</v>
      </c>
      <c r="R788" s="17" t="s">
        <v>54</v>
      </c>
    </row>
    <row r="789" spans="1:18" ht="30" customHeight="1" x14ac:dyDescent="0.3">
      <c r="A789" s="7">
        <v>45860.572310648146</v>
      </c>
      <c r="B789" s="6" t="s">
        <v>7</v>
      </c>
      <c r="C789" s="6"/>
      <c r="D789" s="6" t="str">
        <f>VLOOKUP(B789,'Veri doğrulama'!$D$6:$E$13,2,0)</f>
        <v>SIDDIK KAPLAN</v>
      </c>
      <c r="E789" s="6"/>
      <c r="F789" s="6" t="s">
        <v>963</v>
      </c>
      <c r="G789" s="6" t="s">
        <v>27</v>
      </c>
      <c r="H789" s="6" t="s">
        <v>34</v>
      </c>
      <c r="I789" s="6">
        <v>693</v>
      </c>
      <c r="J789" s="6">
        <v>549</v>
      </c>
      <c r="K789" s="6">
        <v>1</v>
      </c>
      <c r="L789" s="10">
        <f t="shared" si="17"/>
        <v>0.52200000000000002</v>
      </c>
      <c r="M789" s="6" t="s">
        <v>43</v>
      </c>
      <c r="N789" s="6"/>
      <c r="O789" s="6"/>
      <c r="P789" s="17" t="s">
        <v>54</v>
      </c>
      <c r="Q789" s="17" t="s">
        <v>54</v>
      </c>
      <c r="R789" s="17" t="s">
        <v>54</v>
      </c>
    </row>
    <row r="790" spans="1:18" ht="30" customHeight="1" x14ac:dyDescent="0.3">
      <c r="A790" s="7">
        <v>45859.71101770833</v>
      </c>
      <c r="B790" s="6" t="s">
        <v>6</v>
      </c>
      <c r="C790" s="6"/>
      <c r="D790" s="6" t="str">
        <f>VLOOKUP(B790,'Veri doğrulama'!$D$6:$E$13,2,0)</f>
        <v>SERVET KAPLAN</v>
      </c>
      <c r="E790" s="6"/>
      <c r="F790" s="6" t="s">
        <v>855</v>
      </c>
      <c r="G790" s="6" t="s">
        <v>13</v>
      </c>
      <c r="H790" s="6" t="s">
        <v>35</v>
      </c>
      <c r="I790" s="6">
        <v>1800</v>
      </c>
      <c r="J790" s="6">
        <v>800</v>
      </c>
      <c r="K790" s="6">
        <v>1</v>
      </c>
      <c r="L790" s="10">
        <f t="shared" si="17"/>
        <v>1.8</v>
      </c>
      <c r="M790" s="6" t="s">
        <v>43</v>
      </c>
      <c r="N790" s="6"/>
      <c r="O790" s="6"/>
      <c r="P790" s="17" t="s">
        <v>54</v>
      </c>
      <c r="Q790" s="17" t="s">
        <v>54</v>
      </c>
      <c r="R790" s="17" t="s">
        <v>54</v>
      </c>
    </row>
    <row r="791" spans="1:18" ht="30" customHeight="1" x14ac:dyDescent="0.3">
      <c r="A791" s="7">
        <v>45859.374546643521</v>
      </c>
      <c r="B791" s="6" t="s">
        <v>4</v>
      </c>
      <c r="C791" s="6"/>
      <c r="D791" s="6" t="str">
        <f>VLOOKUP(B791,'Veri doğrulama'!$D$6:$E$13,2,0)</f>
        <v>MEHMET YAZICI</v>
      </c>
      <c r="E791" s="6"/>
      <c r="F791" s="6" t="s">
        <v>962</v>
      </c>
      <c r="G791" s="6" t="s">
        <v>17</v>
      </c>
      <c r="H791" s="6" t="s">
        <v>35</v>
      </c>
      <c r="I791" s="6">
        <v>1100</v>
      </c>
      <c r="J791" s="6">
        <v>360</v>
      </c>
      <c r="K791" s="6">
        <v>2</v>
      </c>
      <c r="L791" s="10">
        <f t="shared" si="17"/>
        <v>0.76091399999999998</v>
      </c>
      <c r="M791" s="6" t="s">
        <v>43</v>
      </c>
      <c r="N791" s="6"/>
      <c r="O791" s="6"/>
      <c r="P791" s="17" t="s">
        <v>54</v>
      </c>
      <c r="Q791" s="17" t="s">
        <v>54</v>
      </c>
      <c r="R791" s="17" t="s">
        <v>54</v>
      </c>
    </row>
    <row r="792" spans="1:18" ht="30" customHeight="1" x14ac:dyDescent="0.3">
      <c r="A792" s="7">
        <v>45856.569742013889</v>
      </c>
      <c r="B792" s="6" t="s">
        <v>5</v>
      </c>
      <c r="C792" s="6"/>
      <c r="D792" s="6" t="str">
        <f>VLOOKUP(B792,'Veri doğrulama'!$D$6:$E$13,2,0)</f>
        <v>MEHMET ÖZEN</v>
      </c>
      <c r="E792" s="6"/>
      <c r="F792" s="6" t="s">
        <v>961</v>
      </c>
      <c r="G792" s="6" t="s">
        <v>15</v>
      </c>
      <c r="H792" s="6" t="s">
        <v>34</v>
      </c>
      <c r="I792" s="6">
        <v>1363</v>
      </c>
      <c r="J792" s="6">
        <v>679</v>
      </c>
      <c r="K792" s="6">
        <v>1</v>
      </c>
      <c r="L792" s="10">
        <f t="shared" si="17"/>
        <v>1.44</v>
      </c>
      <c r="M792" s="6" t="s">
        <v>75</v>
      </c>
      <c r="N792" s="6"/>
      <c r="O792" s="6"/>
      <c r="P792" s="17" t="s">
        <v>54</v>
      </c>
      <c r="Q792" s="17" t="s">
        <v>54</v>
      </c>
      <c r="R792" s="17" t="s">
        <v>54</v>
      </c>
    </row>
    <row r="793" spans="1:18" ht="30" customHeight="1" x14ac:dyDescent="0.3">
      <c r="A793" s="7">
        <v>45856.486176157407</v>
      </c>
      <c r="B793" s="6" t="s">
        <v>4</v>
      </c>
      <c r="C793" s="6"/>
      <c r="D793" s="6" t="str">
        <f>VLOOKUP(B793,'Veri doğrulama'!$D$6:$E$13,2,0)</f>
        <v>MEHMET YAZICI</v>
      </c>
      <c r="E793" s="6"/>
      <c r="F793" s="6" t="s">
        <v>960</v>
      </c>
      <c r="G793" s="6" t="s">
        <v>16</v>
      </c>
      <c r="H793" s="6" t="s">
        <v>34</v>
      </c>
      <c r="I793" s="6">
        <v>800</v>
      </c>
      <c r="J793" s="6">
        <v>375</v>
      </c>
      <c r="K793" s="6">
        <v>1</v>
      </c>
      <c r="L793" s="10">
        <f t="shared" si="17"/>
        <v>0.39600000000000002</v>
      </c>
      <c r="M793" s="6" t="s">
        <v>75</v>
      </c>
      <c r="N793" s="6"/>
      <c r="O793" s="6"/>
      <c r="P793" s="17" t="s">
        <v>54</v>
      </c>
      <c r="Q793" s="17" t="s">
        <v>54</v>
      </c>
      <c r="R793" s="17" t="s">
        <v>54</v>
      </c>
    </row>
    <row r="794" spans="1:18" ht="30" customHeight="1" x14ac:dyDescent="0.3">
      <c r="A794" s="7">
        <v>45856.474863194446</v>
      </c>
      <c r="B794" s="6" t="s">
        <v>4</v>
      </c>
      <c r="C794" s="6"/>
      <c r="D794" s="6" t="str">
        <f>VLOOKUP(B794,'Veri doğrulama'!$D$6:$E$13,2,0)</f>
        <v>MEHMET YAZICI</v>
      </c>
      <c r="E794" s="6"/>
      <c r="F794" s="6" t="s">
        <v>959</v>
      </c>
      <c r="G794" s="6" t="s">
        <v>16</v>
      </c>
      <c r="H794" s="6" t="s">
        <v>34</v>
      </c>
      <c r="I794" s="6">
        <v>1815</v>
      </c>
      <c r="J794" s="6">
        <v>397</v>
      </c>
      <c r="K794" s="6">
        <v>1</v>
      </c>
      <c r="L794" s="10">
        <f t="shared" si="17"/>
        <v>0.92547699999999999</v>
      </c>
      <c r="M794" s="6" t="s">
        <v>103</v>
      </c>
      <c r="N794" s="6"/>
      <c r="O794" s="6"/>
      <c r="P794" s="17" t="s">
        <v>54</v>
      </c>
      <c r="Q794" s="17" t="s">
        <v>54</v>
      </c>
      <c r="R794" s="17" t="s">
        <v>54</v>
      </c>
    </row>
    <row r="795" spans="1:18" ht="30" customHeight="1" x14ac:dyDescent="0.3">
      <c r="A795" s="7">
        <v>45856.364190046297</v>
      </c>
      <c r="B795" s="6" t="s">
        <v>5</v>
      </c>
      <c r="C795" s="6"/>
      <c r="D795" s="6" t="str">
        <f>VLOOKUP(B795,'Veri doğrulama'!$D$6:$E$13,2,0)</f>
        <v>MEHMET ÖZEN</v>
      </c>
      <c r="E795" s="6"/>
      <c r="F795" s="6" t="s">
        <v>958</v>
      </c>
      <c r="G795" s="6" t="s">
        <v>16</v>
      </c>
      <c r="H795" s="6" t="s">
        <v>34</v>
      </c>
      <c r="I795" s="6">
        <v>900</v>
      </c>
      <c r="J795" s="6">
        <v>600</v>
      </c>
      <c r="K795" s="6">
        <v>1</v>
      </c>
      <c r="L795" s="10">
        <f t="shared" si="17"/>
        <v>0.3</v>
      </c>
      <c r="M795" s="6" t="s">
        <v>75</v>
      </c>
      <c r="N795" s="6"/>
      <c r="O795" s="6"/>
      <c r="P795" s="17" t="s">
        <v>54</v>
      </c>
      <c r="Q795" s="17" t="s">
        <v>54</v>
      </c>
      <c r="R795" s="17" t="s">
        <v>54</v>
      </c>
    </row>
    <row r="796" spans="1:18" ht="30" customHeight="1" x14ac:dyDescent="0.3">
      <c r="A796" s="7">
        <v>45855.647404513889</v>
      </c>
      <c r="B796" s="6" t="s">
        <v>4</v>
      </c>
      <c r="C796" s="6"/>
      <c r="D796" s="6" t="str">
        <f>VLOOKUP(B796,'Veri doğrulama'!$D$6:$E$13,2,0)</f>
        <v>MEHMET YAZICI</v>
      </c>
      <c r="E796" s="6"/>
      <c r="F796" s="6" t="s">
        <v>446</v>
      </c>
      <c r="G796" s="6" t="s">
        <v>19</v>
      </c>
      <c r="H796" s="6" t="s">
        <v>35</v>
      </c>
      <c r="I796" s="6">
        <v>1400</v>
      </c>
      <c r="J796" s="6">
        <v>500</v>
      </c>
      <c r="K796" s="6">
        <v>1</v>
      </c>
      <c r="L796" s="10">
        <f t="shared" si="17"/>
        <v>0.72055499999999995</v>
      </c>
      <c r="M796" s="6" t="s">
        <v>75</v>
      </c>
      <c r="N796" s="6" t="s">
        <v>339</v>
      </c>
      <c r="O796" s="6"/>
      <c r="P796" s="17" t="s">
        <v>54</v>
      </c>
      <c r="Q796" s="17" t="s">
        <v>54</v>
      </c>
      <c r="R796" s="17" t="s">
        <v>54</v>
      </c>
    </row>
    <row r="797" spans="1:18" ht="30" customHeight="1" x14ac:dyDescent="0.3">
      <c r="A797" s="7">
        <v>45855.509433796295</v>
      </c>
      <c r="B797" s="6" t="s">
        <v>4</v>
      </c>
      <c r="C797" s="6"/>
      <c r="D797" s="6" t="str">
        <f>VLOOKUP(B797,'Veri doğrulama'!$D$6:$E$13,2,0)</f>
        <v>MEHMET YAZICI</v>
      </c>
      <c r="E797" s="6"/>
      <c r="F797" s="6" t="s">
        <v>957</v>
      </c>
      <c r="G797" s="6" t="s">
        <v>16</v>
      </c>
      <c r="H797" s="6" t="s">
        <v>35</v>
      </c>
      <c r="I797" s="6">
        <v>1815</v>
      </c>
      <c r="J797" s="6">
        <v>397</v>
      </c>
      <c r="K797" s="6">
        <v>1</v>
      </c>
      <c r="L797" s="10">
        <f t="shared" si="17"/>
        <v>0.54</v>
      </c>
      <c r="M797" s="6" t="s">
        <v>102</v>
      </c>
      <c r="N797" s="6"/>
      <c r="O797" s="6"/>
      <c r="P797" s="17" t="s">
        <v>54</v>
      </c>
      <c r="Q797" s="17" t="s">
        <v>54</v>
      </c>
      <c r="R797" s="17" t="s">
        <v>54</v>
      </c>
    </row>
    <row r="798" spans="1:18" ht="30" customHeight="1" x14ac:dyDescent="0.3">
      <c r="A798" s="7">
        <v>45855.440658680556</v>
      </c>
      <c r="B798" s="6" t="s">
        <v>5</v>
      </c>
      <c r="C798" s="6"/>
      <c r="D798" s="6" t="str">
        <f>VLOOKUP(B798,'Veri doğrulama'!$D$6:$E$13,2,0)</f>
        <v>MEHMET ÖZEN</v>
      </c>
      <c r="E798" s="6"/>
      <c r="F798" s="6" t="s">
        <v>955</v>
      </c>
      <c r="G798" s="6" t="s">
        <v>19</v>
      </c>
      <c r="H798" s="6" t="s">
        <v>34</v>
      </c>
      <c r="I798" s="6">
        <v>1562</v>
      </c>
      <c r="J798" s="6">
        <v>340</v>
      </c>
      <c r="K798" s="6">
        <v>1</v>
      </c>
      <c r="L798" s="10">
        <f t="shared" si="17"/>
        <v>0.7</v>
      </c>
      <c r="M798" s="6" t="s">
        <v>102</v>
      </c>
      <c r="N798" s="6"/>
      <c r="O798" s="6"/>
      <c r="P798" s="17" t="s">
        <v>54</v>
      </c>
      <c r="Q798" s="17" t="s">
        <v>54</v>
      </c>
      <c r="R798" s="17" t="s">
        <v>54</v>
      </c>
    </row>
    <row r="799" spans="1:18" ht="30" customHeight="1" x14ac:dyDescent="0.3">
      <c r="A799" s="7">
        <v>45854.738069791667</v>
      </c>
      <c r="B799" s="6" t="s">
        <v>5</v>
      </c>
      <c r="C799" s="6"/>
      <c r="D799" s="6" t="str">
        <f>VLOOKUP(B799,'Veri doğrulama'!$D$6:$E$13,2,0)</f>
        <v>MEHMET ÖZEN</v>
      </c>
      <c r="E799" s="6" t="s">
        <v>956</v>
      </c>
      <c r="F799" s="6" t="s">
        <v>954</v>
      </c>
      <c r="G799" s="6" t="s">
        <v>19</v>
      </c>
      <c r="H799" s="6" t="s">
        <v>34</v>
      </c>
      <c r="I799" s="6">
        <v>1400</v>
      </c>
      <c r="J799" s="6">
        <v>500</v>
      </c>
      <c r="K799" s="6">
        <v>1</v>
      </c>
      <c r="L799" s="10">
        <f t="shared" si="17"/>
        <v>0.72055499999999995</v>
      </c>
      <c r="M799" s="6" t="s">
        <v>103</v>
      </c>
      <c r="N799" s="6"/>
      <c r="O799" s="6"/>
      <c r="P799" s="17" t="s">
        <v>54</v>
      </c>
      <c r="Q799" s="17" t="s">
        <v>54</v>
      </c>
      <c r="R799" s="17" t="s">
        <v>54</v>
      </c>
    </row>
    <row r="800" spans="1:18" ht="30" customHeight="1" x14ac:dyDescent="0.3">
      <c r="A800" s="7">
        <v>45854.642125694445</v>
      </c>
      <c r="B800" s="6" t="s">
        <v>5</v>
      </c>
      <c r="C800" s="6"/>
      <c r="D800" s="6" t="str">
        <f>VLOOKUP(B800,'Veri doğrulama'!$D$6:$E$13,2,0)</f>
        <v>MEHMET ÖZEN</v>
      </c>
      <c r="E800" s="6"/>
      <c r="F800" s="6" t="s">
        <v>953</v>
      </c>
      <c r="G800" s="6" t="s">
        <v>22</v>
      </c>
      <c r="H800" s="6" t="s">
        <v>35</v>
      </c>
      <c r="I800" s="6">
        <v>2220</v>
      </c>
      <c r="J800" s="6">
        <v>970</v>
      </c>
      <c r="K800" s="6">
        <v>1</v>
      </c>
      <c r="L800" s="10">
        <f t="shared" si="17"/>
        <v>0.53108</v>
      </c>
      <c r="M800" s="6" t="s">
        <v>42</v>
      </c>
      <c r="N800" s="6" t="s">
        <v>411</v>
      </c>
      <c r="O800" s="6"/>
      <c r="P800" s="17" t="s">
        <v>54</v>
      </c>
      <c r="Q800" s="17" t="s">
        <v>54</v>
      </c>
      <c r="R800" s="17" t="s">
        <v>54</v>
      </c>
    </row>
    <row r="801" spans="1:18" ht="30" customHeight="1" x14ac:dyDescent="0.3">
      <c r="A801" s="7">
        <v>45854.596476273146</v>
      </c>
      <c r="B801" s="6" t="s">
        <v>5</v>
      </c>
      <c r="C801" s="6"/>
      <c r="D801" s="6" t="str">
        <f>VLOOKUP(B801,'Veri doğrulama'!$D$6:$E$13,2,0)</f>
        <v>MEHMET ÖZEN</v>
      </c>
      <c r="E801" s="6"/>
      <c r="F801" s="6" t="s">
        <v>952</v>
      </c>
      <c r="G801" s="6" t="s">
        <v>18</v>
      </c>
      <c r="H801" s="6" t="s">
        <v>34</v>
      </c>
      <c r="I801" s="6">
        <v>2110</v>
      </c>
      <c r="J801" s="6">
        <v>1510</v>
      </c>
      <c r="K801" s="6">
        <v>1</v>
      </c>
      <c r="L801" s="10">
        <f t="shared" si="17"/>
        <v>0.7</v>
      </c>
      <c r="M801" s="6" t="s">
        <v>75</v>
      </c>
      <c r="N801" s="6" t="s">
        <v>411</v>
      </c>
      <c r="O801" s="6"/>
      <c r="P801" s="17" t="s">
        <v>54</v>
      </c>
      <c r="Q801" s="17" t="s">
        <v>54</v>
      </c>
      <c r="R801" s="17" t="s">
        <v>54</v>
      </c>
    </row>
    <row r="802" spans="1:18" ht="30" customHeight="1" x14ac:dyDescent="0.3">
      <c r="A802" s="7">
        <v>45854.510124305554</v>
      </c>
      <c r="B802" s="6" t="s">
        <v>4</v>
      </c>
      <c r="C802" s="6"/>
      <c r="D802" s="6" t="str">
        <f>VLOOKUP(B802,'Veri doğrulama'!$D$6:$E$13,2,0)</f>
        <v>MEHMET YAZICI</v>
      </c>
      <c r="E802" s="6"/>
      <c r="F802" s="6" t="s">
        <v>951</v>
      </c>
      <c r="G802" s="6" t="s">
        <v>16</v>
      </c>
      <c r="H802" s="6" t="s">
        <v>34</v>
      </c>
      <c r="I802" s="6">
        <v>1800</v>
      </c>
      <c r="J802" s="6">
        <v>150</v>
      </c>
      <c r="K802" s="6">
        <v>1</v>
      </c>
      <c r="L802" s="10">
        <f t="shared" si="17"/>
        <v>2.1534</v>
      </c>
      <c r="M802" s="6" t="s">
        <v>43</v>
      </c>
      <c r="N802" s="6"/>
      <c r="O802" s="6"/>
      <c r="P802" s="17" t="s">
        <v>54</v>
      </c>
      <c r="Q802" s="17" t="s">
        <v>54</v>
      </c>
      <c r="R802" s="17" t="s">
        <v>54</v>
      </c>
    </row>
    <row r="803" spans="1:18" ht="30" customHeight="1" x14ac:dyDescent="0.3">
      <c r="A803" s="7">
        <v>45854.401847337962</v>
      </c>
      <c r="B803" s="6" t="s">
        <v>5</v>
      </c>
      <c r="C803" s="6"/>
      <c r="D803" s="6" t="str">
        <f>VLOOKUP(B803,'Veri doğrulama'!$D$6:$E$13,2,0)</f>
        <v>MEHMET ÖZEN</v>
      </c>
      <c r="E803" s="6"/>
      <c r="F803" s="6" t="s">
        <v>949</v>
      </c>
      <c r="G803" s="6" t="s">
        <v>17</v>
      </c>
      <c r="H803" s="6" t="s">
        <v>35</v>
      </c>
      <c r="I803" s="6">
        <v>1596</v>
      </c>
      <c r="J803" s="6">
        <v>450</v>
      </c>
      <c r="K803" s="6">
        <v>1</v>
      </c>
      <c r="L803" s="10">
        <f t="shared" si="17"/>
        <v>3.1861000000000002</v>
      </c>
      <c r="M803" s="6" t="s">
        <v>42</v>
      </c>
      <c r="N803" s="6" t="s">
        <v>712</v>
      </c>
      <c r="O803" s="6"/>
      <c r="P803" s="17" t="s">
        <v>54</v>
      </c>
      <c r="Q803" s="17" t="s">
        <v>54</v>
      </c>
      <c r="R803" s="17" t="s">
        <v>54</v>
      </c>
    </row>
    <row r="804" spans="1:18" ht="30" customHeight="1" x14ac:dyDescent="0.3">
      <c r="A804" s="7">
        <v>45854.365617476855</v>
      </c>
      <c r="B804" s="6" t="s">
        <v>5</v>
      </c>
      <c r="C804" s="6"/>
      <c r="D804" s="6" t="str">
        <f>VLOOKUP(B804,'Veri doğrulama'!$D$6:$E$13,2,0)</f>
        <v>MEHMET ÖZEN</v>
      </c>
      <c r="E804" s="6" t="s">
        <v>950</v>
      </c>
      <c r="F804" s="6" t="s">
        <v>948</v>
      </c>
      <c r="G804" s="6" t="s">
        <v>18</v>
      </c>
      <c r="H804" s="6" t="s">
        <v>34</v>
      </c>
      <c r="I804" s="6">
        <v>2220</v>
      </c>
      <c r="J804" s="6">
        <v>970</v>
      </c>
      <c r="K804" s="6">
        <v>1</v>
      </c>
      <c r="L804" s="10">
        <f t="shared" si="17"/>
        <v>0.27</v>
      </c>
      <c r="M804" s="6" t="s">
        <v>75</v>
      </c>
      <c r="N804" s="6" t="s">
        <v>411</v>
      </c>
      <c r="O804" s="6"/>
      <c r="P804" s="17" t="s">
        <v>54</v>
      </c>
      <c r="Q804" s="17" t="s">
        <v>54</v>
      </c>
      <c r="R804" s="17" t="s">
        <v>54</v>
      </c>
    </row>
    <row r="805" spans="1:18" ht="30" customHeight="1" x14ac:dyDescent="0.3">
      <c r="A805" s="7">
        <v>45852.684380208331</v>
      </c>
      <c r="B805" s="6" t="s">
        <v>5</v>
      </c>
      <c r="C805" s="6"/>
      <c r="D805" s="6" t="str">
        <f>VLOOKUP(B805,'Veri doğrulama'!$D$6:$E$13,2,0)</f>
        <v>MEHMET ÖZEN</v>
      </c>
      <c r="E805" s="6"/>
      <c r="F805" s="6" t="s">
        <v>946</v>
      </c>
      <c r="G805" s="6" t="s">
        <v>22</v>
      </c>
      <c r="H805" s="6" t="s">
        <v>34</v>
      </c>
      <c r="I805" s="6">
        <v>620</v>
      </c>
      <c r="J805" s="6">
        <v>520</v>
      </c>
      <c r="K805" s="6">
        <v>1</v>
      </c>
      <c r="L805" s="10">
        <f t="shared" si="17"/>
        <v>0.71819999999999995</v>
      </c>
      <c r="M805" s="6" t="s">
        <v>43</v>
      </c>
      <c r="N805" s="6" t="s">
        <v>468</v>
      </c>
      <c r="O805" s="6"/>
      <c r="P805" s="17" t="s">
        <v>54</v>
      </c>
      <c r="Q805" s="17" t="s">
        <v>54</v>
      </c>
      <c r="R805" s="17" t="s">
        <v>54</v>
      </c>
    </row>
    <row r="806" spans="1:18" ht="30" customHeight="1" x14ac:dyDescent="0.3">
      <c r="A806" s="7">
        <v>45852.594100347225</v>
      </c>
      <c r="B806" s="6" t="s">
        <v>5</v>
      </c>
      <c r="C806" s="6"/>
      <c r="D806" s="6" t="str">
        <f>VLOOKUP(B806,'Veri doğrulama'!$D$6:$E$13,2,0)</f>
        <v>MEHMET ÖZEN</v>
      </c>
      <c r="E806" s="6" t="s">
        <v>947</v>
      </c>
      <c r="F806" s="6" t="s">
        <v>945</v>
      </c>
      <c r="G806" s="6" t="s">
        <v>22</v>
      </c>
      <c r="H806" s="6" t="s">
        <v>34</v>
      </c>
      <c r="I806" s="6">
        <v>1520</v>
      </c>
      <c r="J806" s="6">
        <v>1070</v>
      </c>
      <c r="K806" s="6">
        <v>1</v>
      </c>
      <c r="L806" s="10">
        <f t="shared" si="17"/>
        <v>2.1534</v>
      </c>
      <c r="M806" s="6" t="s">
        <v>103</v>
      </c>
      <c r="N806" s="6" t="s">
        <v>468</v>
      </c>
      <c r="O806" s="6"/>
      <c r="P806" s="17" t="s">
        <v>54</v>
      </c>
      <c r="Q806" s="17" t="s">
        <v>54</v>
      </c>
      <c r="R806" s="17" t="s">
        <v>54</v>
      </c>
    </row>
    <row r="807" spans="1:18" ht="30" customHeight="1" x14ac:dyDescent="0.3">
      <c r="A807" s="7">
        <v>45852.59311076389</v>
      </c>
      <c r="B807" s="6" t="s">
        <v>5</v>
      </c>
      <c r="C807" s="6"/>
      <c r="D807" s="6" t="str">
        <f>VLOOKUP(B807,'Veri doğrulama'!$D$6:$E$13,2,0)</f>
        <v>MEHMET ÖZEN</v>
      </c>
      <c r="E807" s="6"/>
      <c r="F807" s="6" t="s">
        <v>944</v>
      </c>
      <c r="G807" s="6" t="s">
        <v>19</v>
      </c>
      <c r="H807" s="6" t="s">
        <v>34</v>
      </c>
      <c r="I807" s="6">
        <v>1800</v>
      </c>
      <c r="J807" s="6">
        <v>800</v>
      </c>
      <c r="K807" s="6">
        <v>1</v>
      </c>
      <c r="L807" s="10">
        <f t="shared" si="17"/>
        <v>0.32240000000000002</v>
      </c>
      <c r="M807" s="6" t="s">
        <v>103</v>
      </c>
      <c r="N807" s="6" t="s">
        <v>468</v>
      </c>
      <c r="O807" s="6"/>
      <c r="P807" s="17" t="s">
        <v>54</v>
      </c>
      <c r="Q807" s="17" t="s">
        <v>54</v>
      </c>
      <c r="R807" s="17" t="s">
        <v>54</v>
      </c>
    </row>
    <row r="808" spans="1:18" ht="30" customHeight="1" x14ac:dyDescent="0.3">
      <c r="A808" s="7">
        <v>45852.592450925928</v>
      </c>
      <c r="B808" s="6" t="s">
        <v>7</v>
      </c>
      <c r="C808" s="6"/>
      <c r="D808" s="6" t="str">
        <f>VLOOKUP(B808,'Veri doğrulama'!$D$6:$E$13,2,0)</f>
        <v>SIDDIK KAPLAN</v>
      </c>
      <c r="E808" s="6"/>
      <c r="F808" s="6" t="s">
        <v>943</v>
      </c>
      <c r="G808" s="6" t="s">
        <v>16</v>
      </c>
      <c r="H808" s="6" t="s">
        <v>35</v>
      </c>
      <c r="I808" s="6">
        <v>1620</v>
      </c>
      <c r="J808" s="6">
        <v>1420</v>
      </c>
      <c r="K808" s="6">
        <v>1</v>
      </c>
      <c r="L808" s="10">
        <f t="shared" si="17"/>
        <v>1.6264000000000001</v>
      </c>
      <c r="M808" s="6" t="s">
        <v>103</v>
      </c>
      <c r="N808" s="6"/>
      <c r="O808" s="6"/>
      <c r="P808" s="17" t="s">
        <v>54</v>
      </c>
      <c r="Q808" s="17" t="s">
        <v>54</v>
      </c>
      <c r="R808" s="17" t="s">
        <v>54</v>
      </c>
    </row>
    <row r="809" spans="1:18" ht="30" customHeight="1" x14ac:dyDescent="0.3">
      <c r="A809" s="7">
        <v>45852.580105324072</v>
      </c>
      <c r="B809" s="6" t="s">
        <v>7</v>
      </c>
      <c r="C809" s="6"/>
      <c r="D809" s="6" t="str">
        <f>VLOOKUP(B809,'Veri doğrulama'!$D$6:$E$13,2,0)</f>
        <v>SIDDIK KAPLAN</v>
      </c>
      <c r="E809" s="6"/>
      <c r="F809" s="6" t="s">
        <v>908</v>
      </c>
      <c r="G809" s="6" t="s">
        <v>15</v>
      </c>
      <c r="H809" s="6" t="s">
        <v>34</v>
      </c>
      <c r="I809" s="6">
        <v>1400</v>
      </c>
      <c r="J809" s="6">
        <v>940</v>
      </c>
      <c r="K809" s="6">
        <v>1</v>
      </c>
      <c r="L809" s="10">
        <f t="shared" si="17"/>
        <v>1.44</v>
      </c>
      <c r="M809" s="6" t="s">
        <v>42</v>
      </c>
      <c r="N809" s="6"/>
      <c r="O809" s="6"/>
      <c r="P809" s="17" t="s">
        <v>54</v>
      </c>
      <c r="Q809" s="17" t="s">
        <v>54</v>
      </c>
      <c r="R809" s="17" t="s">
        <v>54</v>
      </c>
    </row>
    <row r="810" spans="1:18" ht="30" customHeight="1" x14ac:dyDescent="0.3">
      <c r="A810" s="7">
        <v>45852.579188425923</v>
      </c>
      <c r="B810" s="6" t="s">
        <v>5</v>
      </c>
      <c r="C810" s="6"/>
      <c r="D810" s="6" t="str">
        <f>VLOOKUP(B810,'Veri doğrulama'!$D$6:$E$13,2,0)</f>
        <v>MEHMET ÖZEN</v>
      </c>
      <c r="E810" s="6"/>
      <c r="F810" s="6" t="s">
        <v>941</v>
      </c>
      <c r="G810" s="6" t="s">
        <v>16</v>
      </c>
      <c r="H810" s="6" t="s">
        <v>34</v>
      </c>
      <c r="I810" s="6">
        <v>1620</v>
      </c>
      <c r="J810" s="6">
        <v>1420</v>
      </c>
      <c r="K810" s="6">
        <v>1</v>
      </c>
      <c r="L810" s="10">
        <f t="shared" si="17"/>
        <v>2.3003999999999998</v>
      </c>
      <c r="M810" s="6" t="s">
        <v>43</v>
      </c>
      <c r="N810" s="6" t="s">
        <v>942</v>
      </c>
      <c r="O810" s="6"/>
      <c r="P810" s="17" t="s">
        <v>54</v>
      </c>
      <c r="Q810" s="17" t="s">
        <v>54</v>
      </c>
      <c r="R810" s="17" t="s">
        <v>54</v>
      </c>
    </row>
    <row r="811" spans="1:18" ht="30" customHeight="1" x14ac:dyDescent="0.3">
      <c r="A811" s="7">
        <v>45852.480215856478</v>
      </c>
      <c r="B811" s="6" t="s">
        <v>5</v>
      </c>
      <c r="C811" s="6"/>
      <c r="D811" s="6" t="str">
        <f>VLOOKUP(B811,'Veri doğrulama'!$D$6:$E$13,2,0)</f>
        <v>MEHMET ÖZEN</v>
      </c>
      <c r="E811" s="6"/>
      <c r="F811" s="6" t="s">
        <v>939</v>
      </c>
      <c r="G811" s="6" t="s">
        <v>27</v>
      </c>
      <c r="H811" s="6" t="s">
        <v>34</v>
      </c>
      <c r="I811" s="6">
        <v>800</v>
      </c>
      <c r="J811" s="6">
        <v>550</v>
      </c>
      <c r="K811" s="6">
        <v>1</v>
      </c>
      <c r="L811" s="10">
        <f t="shared" si="17"/>
        <v>1.3160000000000001</v>
      </c>
      <c r="M811" s="6" t="s">
        <v>43</v>
      </c>
      <c r="N811" s="6"/>
      <c r="O811" s="6"/>
      <c r="P811" s="17" t="s">
        <v>54</v>
      </c>
      <c r="Q811" s="17" t="s">
        <v>54</v>
      </c>
      <c r="R811" s="17" t="s">
        <v>54</v>
      </c>
    </row>
    <row r="812" spans="1:18" ht="30" customHeight="1" x14ac:dyDescent="0.3">
      <c r="A812" s="7">
        <v>45849.719342013886</v>
      </c>
      <c r="B812" s="6" t="s">
        <v>5</v>
      </c>
      <c r="C812" s="6"/>
      <c r="D812" s="6" t="str">
        <f>VLOOKUP(B812,'Veri doğrulama'!$D$6:$E$13,2,0)</f>
        <v>MEHMET ÖZEN</v>
      </c>
      <c r="E812" s="6"/>
      <c r="F812" s="6" t="s">
        <v>938</v>
      </c>
      <c r="G812" s="6" t="s">
        <v>30</v>
      </c>
      <c r="H812" s="6" t="s">
        <v>35</v>
      </c>
      <c r="I812" s="6">
        <v>1320</v>
      </c>
      <c r="J812" s="6">
        <v>1320</v>
      </c>
      <c r="K812" s="6">
        <v>1</v>
      </c>
      <c r="L812" s="10">
        <f t="shared" si="17"/>
        <v>2.3003999999999998</v>
      </c>
      <c r="M812" s="6" t="s">
        <v>42</v>
      </c>
      <c r="N812" s="6"/>
      <c r="O812" s="6"/>
      <c r="P812" s="17" t="s">
        <v>54</v>
      </c>
      <c r="Q812" s="17" t="s">
        <v>54</v>
      </c>
      <c r="R812" s="17" t="s">
        <v>54</v>
      </c>
    </row>
    <row r="813" spans="1:18" ht="30" customHeight="1" x14ac:dyDescent="0.3">
      <c r="A813" s="7">
        <v>45849.675110185184</v>
      </c>
      <c r="B813" s="6" t="s">
        <v>5</v>
      </c>
      <c r="C813" s="6"/>
      <c r="D813" s="6" t="str">
        <f>VLOOKUP(B813,'Veri doğrulama'!$D$6:$E$13,2,0)</f>
        <v>MEHMET ÖZEN</v>
      </c>
      <c r="E813" s="6" t="s">
        <v>940</v>
      </c>
      <c r="F813" s="6" t="s">
        <v>937</v>
      </c>
      <c r="G813" s="6" t="s">
        <v>16</v>
      </c>
      <c r="H813" s="6" t="s">
        <v>35</v>
      </c>
      <c r="I813" s="6">
        <v>1815</v>
      </c>
      <c r="J813" s="6">
        <v>397</v>
      </c>
      <c r="K813" s="6">
        <v>1</v>
      </c>
      <c r="L813" s="10">
        <f t="shared" si="17"/>
        <v>0.44</v>
      </c>
      <c r="M813" s="6" t="s">
        <v>103</v>
      </c>
      <c r="N813" s="6"/>
      <c r="O813" s="6"/>
      <c r="P813" s="17" t="s">
        <v>54</v>
      </c>
      <c r="Q813" s="17" t="s">
        <v>54</v>
      </c>
      <c r="R813" s="17" t="s">
        <v>54</v>
      </c>
    </row>
    <row r="814" spans="1:18" ht="30" customHeight="1" x14ac:dyDescent="0.3">
      <c r="A814" s="7">
        <v>45848.609015046299</v>
      </c>
      <c r="B814" s="6" t="s">
        <v>81</v>
      </c>
      <c r="C814" s="6"/>
      <c r="D814" s="6" t="str">
        <f>VLOOKUP(B814,'Veri doğrulama'!$D$6:$E$13,2,0)</f>
        <v>İBRAHİM ÇELİK</v>
      </c>
      <c r="E814" s="6"/>
      <c r="F814" s="6" t="s">
        <v>937</v>
      </c>
      <c r="G814" s="6" t="s">
        <v>16</v>
      </c>
      <c r="H814" s="6" t="s">
        <v>34</v>
      </c>
      <c r="I814" s="6">
        <v>1815</v>
      </c>
      <c r="J814" s="6">
        <v>397</v>
      </c>
      <c r="K814" s="6">
        <v>1</v>
      </c>
      <c r="L814" s="10">
        <f t="shared" si="17"/>
        <v>1.7423999999999999</v>
      </c>
      <c r="M814" s="6" t="s">
        <v>42</v>
      </c>
      <c r="N814" s="6"/>
      <c r="O814" s="6"/>
      <c r="P814" s="17" t="s">
        <v>54</v>
      </c>
      <c r="Q814" s="17" t="s">
        <v>54</v>
      </c>
      <c r="R814" s="17" t="s">
        <v>54</v>
      </c>
    </row>
    <row r="815" spans="1:18" ht="30" customHeight="1" x14ac:dyDescent="0.3">
      <c r="A815" s="7">
        <v>45848.608330439813</v>
      </c>
      <c r="B815" s="6" t="s">
        <v>4</v>
      </c>
      <c r="C815" s="6"/>
      <c r="D815" s="6" t="str">
        <f>VLOOKUP(B815,'Veri doğrulama'!$D$6:$E$13,2,0)</f>
        <v>MEHMET YAZICI</v>
      </c>
      <c r="E815" s="6"/>
      <c r="F815" s="6" t="s">
        <v>936</v>
      </c>
      <c r="G815" s="6" t="s">
        <v>17</v>
      </c>
      <c r="H815" s="6" t="s">
        <v>34</v>
      </c>
      <c r="I815" s="6">
        <v>561</v>
      </c>
      <c r="J815" s="6">
        <v>453</v>
      </c>
      <c r="K815" s="6">
        <v>2</v>
      </c>
      <c r="L815" s="10">
        <f t="shared" si="17"/>
        <v>1.4411099999999999</v>
      </c>
      <c r="M815" s="6" t="s">
        <v>42</v>
      </c>
      <c r="N815" s="6"/>
      <c r="O815" s="6"/>
      <c r="P815" s="17" t="s">
        <v>54</v>
      </c>
      <c r="Q815" s="17" t="s">
        <v>54</v>
      </c>
      <c r="R815" s="17" t="s">
        <v>54</v>
      </c>
    </row>
    <row r="816" spans="1:18" ht="30" customHeight="1" x14ac:dyDescent="0.3">
      <c r="A816" s="7">
        <v>45848.594787499998</v>
      </c>
      <c r="B816" s="6" t="s">
        <v>5</v>
      </c>
      <c r="C816" s="6"/>
      <c r="D816" s="6" t="str">
        <f>VLOOKUP(B816,'Veri doğrulama'!$D$6:$E$13,2,0)</f>
        <v>MEHMET ÖZEN</v>
      </c>
      <c r="E816" s="6"/>
      <c r="F816" s="6" t="s">
        <v>126</v>
      </c>
      <c r="G816" s="6" t="s">
        <v>27</v>
      </c>
      <c r="H816" s="6" t="s">
        <v>34</v>
      </c>
      <c r="I816" s="6">
        <v>2120</v>
      </c>
      <c r="J816" s="6">
        <v>1520</v>
      </c>
      <c r="K816" s="6">
        <v>3</v>
      </c>
      <c r="L816" s="10">
        <f t="shared" si="17"/>
        <v>2.1616649999999997</v>
      </c>
      <c r="M816" s="6" t="s">
        <v>156</v>
      </c>
      <c r="N816" s="6"/>
      <c r="O816" s="6"/>
      <c r="P816" s="17" t="s">
        <v>54</v>
      </c>
      <c r="Q816" s="17" t="s">
        <v>54</v>
      </c>
      <c r="R816" s="17" t="s">
        <v>54</v>
      </c>
    </row>
    <row r="817" spans="1:18" ht="30" customHeight="1" x14ac:dyDescent="0.3">
      <c r="A817" s="7">
        <v>45848.497725231478</v>
      </c>
      <c r="B817" s="6" t="s">
        <v>5</v>
      </c>
      <c r="C817" s="6"/>
      <c r="D817" s="6" t="str">
        <f>VLOOKUP(B817,'Veri doğrulama'!$D$6:$E$13,2,0)</f>
        <v>MEHMET ÖZEN</v>
      </c>
      <c r="E817" s="6">
        <v>23548</v>
      </c>
      <c r="F817" s="6" t="s">
        <v>934</v>
      </c>
      <c r="G817" s="6" t="s">
        <v>29</v>
      </c>
      <c r="H817" s="6" t="s">
        <v>34</v>
      </c>
      <c r="I817" s="6">
        <v>2410</v>
      </c>
      <c r="J817" s="6">
        <v>1210</v>
      </c>
      <c r="K817" s="6">
        <v>1</v>
      </c>
      <c r="L817" s="10">
        <f t="shared" si="17"/>
        <v>0.254133</v>
      </c>
      <c r="M817" s="6" t="s">
        <v>156</v>
      </c>
      <c r="N817" s="6" t="s">
        <v>468</v>
      </c>
      <c r="O817" s="6"/>
      <c r="P817" s="17" t="s">
        <v>54</v>
      </c>
      <c r="Q817" s="17" t="s">
        <v>54</v>
      </c>
      <c r="R817" s="17" t="s">
        <v>54</v>
      </c>
    </row>
    <row r="818" spans="1:18" ht="30" customHeight="1" x14ac:dyDescent="0.3">
      <c r="A818" s="7">
        <v>45847.489534490742</v>
      </c>
      <c r="B818" s="6" t="s">
        <v>5</v>
      </c>
      <c r="C818" s="6"/>
      <c r="D818" s="6" t="str">
        <f>VLOOKUP(B818,'Veri doğrulama'!$D$6:$E$13,2,0)</f>
        <v>MEHMET ÖZEN</v>
      </c>
      <c r="E818" s="6"/>
      <c r="F818" s="6" t="s">
        <v>932</v>
      </c>
      <c r="G818" s="6" t="s">
        <v>16</v>
      </c>
      <c r="H818" s="6" t="s">
        <v>34</v>
      </c>
      <c r="I818" s="6">
        <v>1800</v>
      </c>
      <c r="J818" s="6">
        <v>800</v>
      </c>
      <c r="K818" s="6">
        <v>1</v>
      </c>
      <c r="L818" s="10">
        <f t="shared" si="17"/>
        <v>3.2223999999999999</v>
      </c>
      <c r="M818" s="6" t="s">
        <v>42</v>
      </c>
      <c r="N818" s="6"/>
      <c r="O818" s="6"/>
      <c r="P818" s="17" t="s">
        <v>54</v>
      </c>
      <c r="Q818" s="17" t="s">
        <v>54</v>
      </c>
      <c r="R818" s="17" t="s">
        <v>54</v>
      </c>
    </row>
    <row r="819" spans="1:18" ht="30" customHeight="1" x14ac:dyDescent="0.3">
      <c r="A819" s="7">
        <v>45847.480765162036</v>
      </c>
      <c r="B819" s="6" t="s">
        <v>5</v>
      </c>
      <c r="C819" s="6"/>
      <c r="D819" s="6" t="str">
        <f>VLOOKUP(B819,'Veri doğrulama'!$D$6:$E$13,2,0)</f>
        <v>MEHMET ÖZEN</v>
      </c>
      <c r="E819" s="6" t="s">
        <v>933</v>
      </c>
      <c r="F819" s="6" t="s">
        <v>931</v>
      </c>
      <c r="G819" s="6" t="s">
        <v>28</v>
      </c>
      <c r="H819" s="6" t="s">
        <v>34</v>
      </c>
      <c r="I819" s="6">
        <v>1990</v>
      </c>
      <c r="J819" s="6">
        <v>840</v>
      </c>
      <c r="K819" s="6">
        <v>1</v>
      </c>
      <c r="L819" s="10">
        <f t="shared" si="17"/>
        <v>2.9161000000000001</v>
      </c>
      <c r="M819" s="6" t="s">
        <v>43</v>
      </c>
      <c r="N819" s="6"/>
      <c r="O819" s="6"/>
      <c r="P819" s="17" t="s">
        <v>54</v>
      </c>
      <c r="Q819" s="17" t="s">
        <v>54</v>
      </c>
      <c r="R819" s="17" t="s">
        <v>54</v>
      </c>
    </row>
    <row r="820" spans="1:18" ht="30" customHeight="1" x14ac:dyDescent="0.3">
      <c r="A820" s="7">
        <v>45847.470885879629</v>
      </c>
      <c r="B820" s="6" t="s">
        <v>7</v>
      </c>
      <c r="C820" s="6"/>
      <c r="D820" s="6" t="str">
        <f>VLOOKUP(B820,'Veri doğrulama'!$D$6:$E$13,2,0)</f>
        <v>SIDDIK KAPLAN</v>
      </c>
      <c r="E820" s="6">
        <v>0</v>
      </c>
      <c r="F820" s="6" t="s">
        <v>930</v>
      </c>
      <c r="G820" s="6" t="s">
        <v>14</v>
      </c>
      <c r="H820" s="6" t="s">
        <v>34</v>
      </c>
      <c r="I820" s="6">
        <v>820</v>
      </c>
      <c r="J820" s="6">
        <v>432</v>
      </c>
      <c r="K820" s="6">
        <v>1</v>
      </c>
      <c r="L820" s="10">
        <f t="shared" si="17"/>
        <v>1.44</v>
      </c>
      <c r="M820" s="6" t="s">
        <v>43</v>
      </c>
      <c r="N820" s="6"/>
      <c r="O820" s="6"/>
      <c r="P820" s="17" t="s">
        <v>54</v>
      </c>
      <c r="Q820" s="17" t="s">
        <v>54</v>
      </c>
      <c r="R820" s="17" t="s">
        <v>54</v>
      </c>
    </row>
    <row r="821" spans="1:18" ht="30" customHeight="1" x14ac:dyDescent="0.3">
      <c r="A821" s="7">
        <v>45847.400628819443</v>
      </c>
      <c r="B821" s="6" t="s">
        <v>4</v>
      </c>
      <c r="C821" s="6"/>
      <c r="D821" s="6" t="str">
        <f>VLOOKUP(B821,'Veri doğrulama'!$D$6:$E$13,2,0)</f>
        <v>MEHMET YAZICI</v>
      </c>
      <c r="E821" s="6">
        <v>0</v>
      </c>
      <c r="F821" s="6" t="s">
        <v>935</v>
      </c>
      <c r="G821" s="6" t="s">
        <v>27</v>
      </c>
      <c r="H821" s="6" t="s">
        <v>34</v>
      </c>
      <c r="I821" s="6">
        <v>1130</v>
      </c>
      <c r="J821" s="6">
        <v>397</v>
      </c>
      <c r="K821" s="6">
        <v>1</v>
      </c>
      <c r="L821" s="10">
        <f t="shared" si="17"/>
        <v>1.6716</v>
      </c>
      <c r="M821" s="6" t="s">
        <v>38</v>
      </c>
      <c r="N821" s="6" t="s">
        <v>651</v>
      </c>
      <c r="O821" s="6"/>
      <c r="P821" s="17" t="s">
        <v>54</v>
      </c>
      <c r="Q821" s="17" t="s">
        <v>54</v>
      </c>
      <c r="R821" s="17" t="s">
        <v>54</v>
      </c>
    </row>
    <row r="822" spans="1:18" ht="30" customHeight="1" x14ac:dyDescent="0.3">
      <c r="A822" s="7">
        <v>45847.396043402776</v>
      </c>
      <c r="B822" s="6" t="s">
        <v>4</v>
      </c>
      <c r="C822" s="6"/>
      <c r="D822" s="6" t="str">
        <f>VLOOKUP(B822,'Veri doğrulama'!$D$6:$E$13,2,0)</f>
        <v>MEHMET YAZICI</v>
      </c>
      <c r="E822" s="6"/>
      <c r="F822" s="6" t="s">
        <v>929</v>
      </c>
      <c r="G822" s="6" t="s">
        <v>27</v>
      </c>
      <c r="H822" s="6" t="s">
        <v>34</v>
      </c>
      <c r="I822" s="6">
        <v>700</v>
      </c>
      <c r="J822" s="6">
        <v>500</v>
      </c>
      <c r="K822" s="6">
        <v>2</v>
      </c>
      <c r="L822" s="10">
        <f t="shared" si="17"/>
        <v>0.70848</v>
      </c>
      <c r="M822" s="6" t="s">
        <v>43</v>
      </c>
      <c r="N822" s="6" t="s">
        <v>494</v>
      </c>
      <c r="O822" s="6"/>
      <c r="P822" s="17" t="s">
        <v>54</v>
      </c>
      <c r="Q822" s="17" t="s">
        <v>54</v>
      </c>
      <c r="R822" s="17" t="s">
        <v>54</v>
      </c>
    </row>
    <row r="823" spans="1:18" ht="30" customHeight="1" x14ac:dyDescent="0.3">
      <c r="A823" s="7">
        <v>45847.395324189813</v>
      </c>
      <c r="B823" s="6" t="s">
        <v>5</v>
      </c>
      <c r="C823" s="6"/>
      <c r="D823" s="6" t="str">
        <f>VLOOKUP(B823,'Veri doğrulama'!$D$6:$E$13,2,0)</f>
        <v>MEHMET ÖZEN</v>
      </c>
      <c r="E823" s="6"/>
      <c r="F823" s="6" t="s">
        <v>928</v>
      </c>
      <c r="G823" s="6" t="s">
        <v>15</v>
      </c>
      <c r="H823" s="6" t="s">
        <v>35</v>
      </c>
      <c r="I823" s="6">
        <v>1200</v>
      </c>
      <c r="J823" s="6">
        <v>1400</v>
      </c>
      <c r="K823" s="6">
        <v>1</v>
      </c>
      <c r="L823" s="10">
        <f t="shared" si="17"/>
        <v>0.44861000000000001</v>
      </c>
      <c r="M823" s="6" t="s">
        <v>75</v>
      </c>
      <c r="N823" s="6"/>
      <c r="O823" s="6"/>
      <c r="P823" s="17" t="s">
        <v>54</v>
      </c>
      <c r="Q823" s="17" t="s">
        <v>54</v>
      </c>
      <c r="R823" s="17" t="s">
        <v>54</v>
      </c>
    </row>
    <row r="824" spans="1:18" ht="30" customHeight="1" x14ac:dyDescent="0.3">
      <c r="A824" s="7">
        <v>45847.370535879629</v>
      </c>
      <c r="B824" s="6" t="s">
        <v>4</v>
      </c>
      <c r="C824" s="6"/>
      <c r="D824" s="6" t="str">
        <f>VLOOKUP(B824,'Veri doğrulama'!$D$6:$E$13,2,0)</f>
        <v>MEHMET YAZICI</v>
      </c>
      <c r="E824" s="6"/>
      <c r="F824" s="6" t="s">
        <v>927</v>
      </c>
      <c r="G824" s="6" t="s">
        <v>17</v>
      </c>
      <c r="H824" s="6" t="s">
        <v>34</v>
      </c>
      <c r="I824" s="6">
        <v>1596</v>
      </c>
      <c r="J824" s="6">
        <v>564</v>
      </c>
      <c r="K824" s="6">
        <v>3</v>
      </c>
      <c r="L824" s="10">
        <f t="shared" si="17"/>
        <v>1.0499999999999998</v>
      </c>
      <c r="M824" s="6" t="s">
        <v>103</v>
      </c>
      <c r="N824" s="6"/>
      <c r="O824" s="6"/>
      <c r="P824" s="17" t="s">
        <v>54</v>
      </c>
      <c r="Q824" s="17" t="s">
        <v>54</v>
      </c>
      <c r="R824" s="17" t="s">
        <v>54</v>
      </c>
    </row>
    <row r="825" spans="1:18" ht="30" customHeight="1" x14ac:dyDescent="0.3">
      <c r="A825" s="7">
        <v>45847.359998495369</v>
      </c>
      <c r="B825" s="6" t="s">
        <v>4</v>
      </c>
      <c r="C825" s="6"/>
      <c r="D825" s="6" t="str">
        <f>VLOOKUP(B825,'Veri doğrulama'!$D$6:$E$13,2,0)</f>
        <v>MEHMET YAZICI</v>
      </c>
      <c r="E825" s="6">
        <v>23489</v>
      </c>
      <c r="F825" s="6" t="s">
        <v>926</v>
      </c>
      <c r="G825" s="6" t="s">
        <v>17</v>
      </c>
      <c r="H825" s="6" t="s">
        <v>34</v>
      </c>
      <c r="I825" s="6">
        <v>1970</v>
      </c>
      <c r="J825" s="6">
        <v>410</v>
      </c>
      <c r="K825" s="6">
        <v>3</v>
      </c>
      <c r="L825" s="10">
        <f t="shared" si="17"/>
        <v>5.04</v>
      </c>
      <c r="M825" s="6" t="s">
        <v>43</v>
      </c>
      <c r="N825" s="6"/>
      <c r="O825" s="6"/>
      <c r="P825" s="17" t="s">
        <v>54</v>
      </c>
      <c r="Q825" s="17" t="s">
        <v>54</v>
      </c>
      <c r="R825" s="17" t="s">
        <v>54</v>
      </c>
    </row>
    <row r="826" spans="1:18" ht="30" customHeight="1" x14ac:dyDescent="0.3">
      <c r="A826" s="7">
        <v>45847.359570486115</v>
      </c>
      <c r="B826" s="6" t="s">
        <v>5</v>
      </c>
      <c r="C826" s="6"/>
      <c r="D826" s="6" t="str">
        <f>VLOOKUP(B826,'Veri doğrulama'!$D$6:$E$13,2,0)</f>
        <v>MEHMET ÖZEN</v>
      </c>
      <c r="E826" s="6"/>
      <c r="F826" s="6" t="s">
        <v>122</v>
      </c>
      <c r="G826" s="6" t="s">
        <v>14</v>
      </c>
      <c r="H826" s="6" t="s">
        <v>34</v>
      </c>
      <c r="I826" s="6">
        <v>820</v>
      </c>
      <c r="J826" s="6">
        <v>432</v>
      </c>
      <c r="K826" s="6">
        <v>1</v>
      </c>
      <c r="L826" s="10">
        <f t="shared" si="17"/>
        <v>0.90014400000000006</v>
      </c>
      <c r="M826" s="6" t="s">
        <v>75</v>
      </c>
      <c r="N826" s="6"/>
      <c r="O826" s="6"/>
      <c r="P826" s="17" t="s">
        <v>54</v>
      </c>
      <c r="Q826" s="17" t="s">
        <v>54</v>
      </c>
      <c r="R826" s="17" t="s">
        <v>54</v>
      </c>
    </row>
    <row r="827" spans="1:18" ht="30" customHeight="1" x14ac:dyDescent="0.3">
      <c r="A827" s="7">
        <v>45847.346469560187</v>
      </c>
      <c r="B827" s="6" t="s">
        <v>5</v>
      </c>
      <c r="C827" s="6"/>
      <c r="D827" s="6" t="str">
        <f>VLOOKUP(B827,'Veri doğrulama'!$D$6:$E$13,2,0)</f>
        <v>MEHMET ÖZEN</v>
      </c>
      <c r="E827" s="6"/>
      <c r="F827" s="6" t="s">
        <v>925</v>
      </c>
      <c r="G827" s="6" t="s">
        <v>27</v>
      </c>
      <c r="H827" s="6" t="s">
        <v>34</v>
      </c>
      <c r="I827" s="6">
        <v>1887</v>
      </c>
      <c r="J827" s="6">
        <v>360</v>
      </c>
      <c r="K827" s="6">
        <v>1</v>
      </c>
      <c r="L827" s="10">
        <f t="shared" si="17"/>
        <v>0.80769999999999997</v>
      </c>
      <c r="M827" s="6" t="s">
        <v>102</v>
      </c>
      <c r="N827" s="6"/>
      <c r="O827" s="6"/>
      <c r="P827" s="17" t="s">
        <v>54</v>
      </c>
      <c r="Q827" s="17" t="s">
        <v>54</v>
      </c>
      <c r="R827" s="17" t="s">
        <v>54</v>
      </c>
    </row>
    <row r="828" spans="1:18" ht="30" customHeight="1" x14ac:dyDescent="0.3">
      <c r="A828" s="7">
        <v>45846.693274884259</v>
      </c>
      <c r="B828" s="6" t="s">
        <v>4</v>
      </c>
      <c r="C828" s="6"/>
      <c r="D828" s="6" t="str">
        <f>VLOOKUP(B828,'Veri doğrulama'!$D$6:$E$13,2,0)</f>
        <v>MEHMET YAZICI</v>
      </c>
      <c r="E828" s="6"/>
      <c r="F828" s="6" t="s">
        <v>351</v>
      </c>
      <c r="G828" s="6" t="s">
        <v>19</v>
      </c>
      <c r="H828" s="6" t="s">
        <v>34</v>
      </c>
      <c r="I828" s="6">
        <v>339</v>
      </c>
      <c r="J828" s="6">
        <v>320</v>
      </c>
      <c r="K828" s="6">
        <v>4</v>
      </c>
      <c r="L828" s="10">
        <f t="shared" si="17"/>
        <v>1.41696</v>
      </c>
      <c r="M828" s="6" t="s">
        <v>75</v>
      </c>
      <c r="N828" s="6"/>
      <c r="O828" s="6"/>
      <c r="P828" s="17" t="s">
        <v>54</v>
      </c>
      <c r="Q828" s="17" t="s">
        <v>54</v>
      </c>
      <c r="R828" s="17" t="s">
        <v>54</v>
      </c>
    </row>
    <row r="829" spans="1:18" ht="30" customHeight="1" x14ac:dyDescent="0.3">
      <c r="A829" s="7">
        <v>45846.452500578707</v>
      </c>
      <c r="B829" s="6" t="s">
        <v>5</v>
      </c>
      <c r="C829" s="6"/>
      <c r="D829" s="6" t="str">
        <f>VLOOKUP(B829,'Veri doğrulama'!$D$6:$E$13,2,0)</f>
        <v>MEHMET ÖZEN</v>
      </c>
      <c r="E829" s="6"/>
      <c r="F829" s="6" t="s">
        <v>924</v>
      </c>
      <c r="G829" s="6" t="s">
        <v>16</v>
      </c>
      <c r="H829" s="6" t="s">
        <v>34</v>
      </c>
      <c r="I829" s="6">
        <v>1800</v>
      </c>
      <c r="J829" s="6">
        <v>800</v>
      </c>
      <c r="K829" s="6">
        <v>1</v>
      </c>
      <c r="L829" s="10">
        <f t="shared" si="17"/>
        <v>0.67932000000000003</v>
      </c>
      <c r="M829" s="6" t="s">
        <v>103</v>
      </c>
      <c r="N829" s="6"/>
      <c r="O829" s="6"/>
      <c r="P829" s="17" t="s">
        <v>54</v>
      </c>
      <c r="Q829" s="17" t="s">
        <v>54</v>
      </c>
      <c r="R829" s="17" t="s">
        <v>54</v>
      </c>
    </row>
    <row r="830" spans="1:18" ht="30" customHeight="1" x14ac:dyDescent="0.3">
      <c r="A830" s="7">
        <v>45846.451754745372</v>
      </c>
      <c r="B830" s="6" t="s">
        <v>4</v>
      </c>
      <c r="C830" s="6"/>
      <c r="D830" s="6" t="str">
        <f>VLOOKUP(B830,'Veri doğrulama'!$D$6:$E$13,2,0)</f>
        <v>MEHMET YAZICI</v>
      </c>
      <c r="E830" s="6">
        <v>23549</v>
      </c>
      <c r="F830" s="6" t="s">
        <v>94</v>
      </c>
      <c r="G830" s="6" t="s">
        <v>13</v>
      </c>
      <c r="H830" s="6" t="s">
        <v>34</v>
      </c>
      <c r="I830" s="6">
        <v>2000</v>
      </c>
      <c r="J830" s="6">
        <v>900</v>
      </c>
      <c r="K830" s="6">
        <v>1</v>
      </c>
      <c r="L830" s="10">
        <f t="shared" si="17"/>
        <v>0.10847999999999999</v>
      </c>
      <c r="M830" s="6" t="s">
        <v>102</v>
      </c>
      <c r="N830" s="6"/>
      <c r="O830" s="6"/>
      <c r="P830" s="17" t="s">
        <v>54</v>
      </c>
      <c r="Q830" s="17" t="s">
        <v>54</v>
      </c>
      <c r="R830" s="17" t="s">
        <v>54</v>
      </c>
    </row>
    <row r="831" spans="1:18" ht="30" customHeight="1" x14ac:dyDescent="0.3">
      <c r="A831" s="7">
        <v>45846.383576736109</v>
      </c>
      <c r="B831" s="6" t="s">
        <v>4</v>
      </c>
      <c r="C831" s="6"/>
      <c r="D831" s="6" t="str">
        <f>VLOOKUP(B831,'Veri doğrulama'!$D$6:$E$13,2,0)</f>
        <v>MEHMET YAZICI</v>
      </c>
      <c r="E831" s="6"/>
      <c r="F831" s="6" t="s">
        <v>132</v>
      </c>
      <c r="G831" s="6" t="s">
        <v>27</v>
      </c>
      <c r="H831" s="6" t="s">
        <v>34</v>
      </c>
      <c r="I831" s="6">
        <v>740</v>
      </c>
      <c r="J831" s="6">
        <v>512</v>
      </c>
      <c r="K831" s="6">
        <v>2</v>
      </c>
      <c r="L831" s="10">
        <f t="shared" si="17"/>
        <v>2.88</v>
      </c>
      <c r="M831" s="6" t="s">
        <v>103</v>
      </c>
      <c r="N831" s="6"/>
      <c r="O831" s="6"/>
      <c r="P831" s="17" t="s">
        <v>54</v>
      </c>
      <c r="Q831" s="17" t="s">
        <v>54</v>
      </c>
      <c r="R831" s="17" t="s">
        <v>54</v>
      </c>
    </row>
    <row r="832" spans="1:18" ht="30" customHeight="1" x14ac:dyDescent="0.3">
      <c r="A832" s="7">
        <v>45845.767847222225</v>
      </c>
      <c r="B832" s="6" t="s">
        <v>4</v>
      </c>
      <c r="C832" s="6"/>
      <c r="D832" s="6" t="str">
        <f>VLOOKUP(B832,'Veri doğrulama'!$D$6:$E$13,2,0)</f>
        <v>MEHMET YAZICI</v>
      </c>
      <c r="E832" s="6">
        <v>23475</v>
      </c>
      <c r="F832" s="6" t="s">
        <v>139</v>
      </c>
      <c r="G832" s="6" t="s">
        <v>27</v>
      </c>
      <c r="H832" s="6" t="s">
        <v>34</v>
      </c>
      <c r="I832" s="6">
        <v>757</v>
      </c>
      <c r="J832" s="6">
        <v>694</v>
      </c>
      <c r="K832" s="6">
        <v>1</v>
      </c>
      <c r="L832" s="10">
        <f t="shared" si="17"/>
        <v>1.8</v>
      </c>
      <c r="M832" s="6" t="s">
        <v>103</v>
      </c>
      <c r="N832" s="6"/>
      <c r="O832" s="6"/>
      <c r="P832" s="17" t="s">
        <v>54</v>
      </c>
      <c r="Q832" s="17" t="s">
        <v>54</v>
      </c>
      <c r="R832" s="17" t="s">
        <v>54</v>
      </c>
    </row>
    <row r="833" spans="1:18" ht="30" customHeight="1" x14ac:dyDescent="0.3">
      <c r="A833" s="7">
        <v>45845.767228009259</v>
      </c>
      <c r="B833" s="6" t="s">
        <v>4</v>
      </c>
      <c r="C833" s="6"/>
      <c r="D833" s="6" t="str">
        <f>VLOOKUP(B833,'Veri doğrulama'!$D$6:$E$13,2,0)</f>
        <v>MEHMET YAZICI</v>
      </c>
      <c r="E833" s="6"/>
      <c r="F833" s="6" t="s">
        <v>923</v>
      </c>
      <c r="G833" s="6" t="s">
        <v>20</v>
      </c>
      <c r="H833" s="6" t="s">
        <v>35</v>
      </c>
      <c r="I833" s="6">
        <v>1400</v>
      </c>
      <c r="J833" s="6">
        <v>800</v>
      </c>
      <c r="K833" s="6">
        <v>1</v>
      </c>
      <c r="L833" s="10">
        <f t="shared" si="17"/>
        <v>0.37887999999999999</v>
      </c>
      <c r="M833" s="6" t="s">
        <v>103</v>
      </c>
      <c r="N833" s="6"/>
      <c r="O833" s="6"/>
      <c r="P833" s="17" t="s">
        <v>54</v>
      </c>
      <c r="Q833" s="17" t="s">
        <v>54</v>
      </c>
      <c r="R833" s="17" t="s">
        <v>54</v>
      </c>
    </row>
    <row r="834" spans="1:18" ht="30" customHeight="1" x14ac:dyDescent="0.3">
      <c r="A834" s="7">
        <v>45845.766573611108</v>
      </c>
      <c r="B834" s="6" t="s">
        <v>4</v>
      </c>
      <c r="C834" s="6"/>
      <c r="D834" s="6" t="str">
        <f>VLOOKUP(B834,'Veri doğrulama'!$D$6:$E$13,2,0)</f>
        <v>MEHMET YAZICI</v>
      </c>
      <c r="E834" s="6"/>
      <c r="F834" s="6" t="s">
        <v>922</v>
      </c>
      <c r="G834" s="6" t="s">
        <v>16</v>
      </c>
      <c r="H834" s="6" t="s">
        <v>35</v>
      </c>
      <c r="I834" s="6">
        <v>1800</v>
      </c>
      <c r="J834" s="6">
        <v>800</v>
      </c>
      <c r="K834" s="6">
        <v>1</v>
      </c>
      <c r="L834" s="10">
        <f t="shared" si="17"/>
        <v>0.52535799999999999</v>
      </c>
      <c r="M834" s="6" t="s">
        <v>103</v>
      </c>
      <c r="N834" s="6"/>
      <c r="O834" s="6"/>
      <c r="P834" s="17" t="s">
        <v>54</v>
      </c>
      <c r="Q834" s="17" t="s">
        <v>54</v>
      </c>
      <c r="R834" s="17" t="s">
        <v>54</v>
      </c>
    </row>
    <row r="835" spans="1:18" ht="30" customHeight="1" x14ac:dyDescent="0.3">
      <c r="A835" s="7">
        <v>45845.55698483796</v>
      </c>
      <c r="B835" s="6" t="s">
        <v>4</v>
      </c>
      <c r="C835" s="6"/>
      <c r="D835" s="6" t="str">
        <f>VLOOKUP(B835,'Veri doğrulama'!$D$6:$E$13,2,0)</f>
        <v>MEHMET YAZICI</v>
      </c>
      <c r="E835" s="6"/>
      <c r="F835" s="6" t="s">
        <v>641</v>
      </c>
      <c r="G835" s="6" t="s">
        <v>16</v>
      </c>
      <c r="H835" s="6" t="s">
        <v>34</v>
      </c>
      <c r="I835" s="6">
        <v>1800</v>
      </c>
      <c r="J835" s="6">
        <v>800</v>
      </c>
      <c r="K835" s="6">
        <v>1</v>
      </c>
      <c r="L835" s="10">
        <f t="shared" si="17"/>
        <v>1.1200000000000001</v>
      </c>
      <c r="M835" s="6" t="s">
        <v>103</v>
      </c>
      <c r="N835" s="6"/>
      <c r="O835" s="6"/>
      <c r="P835" s="17" t="s">
        <v>54</v>
      </c>
      <c r="Q835" s="17" t="s">
        <v>54</v>
      </c>
      <c r="R835" s="17" t="s">
        <v>54</v>
      </c>
    </row>
    <row r="836" spans="1:18" ht="30" customHeight="1" x14ac:dyDescent="0.3">
      <c r="A836" s="7">
        <v>45845.55635648148</v>
      </c>
      <c r="B836" s="6" t="s">
        <v>4</v>
      </c>
      <c r="C836" s="6"/>
      <c r="D836" s="6" t="str">
        <f>VLOOKUP(B836,'Veri doğrulama'!$D$6:$E$13,2,0)</f>
        <v>MEHMET YAZICI</v>
      </c>
      <c r="E836" s="6"/>
      <c r="F836" s="6" t="s">
        <v>921</v>
      </c>
      <c r="G836" s="6" t="s">
        <v>17</v>
      </c>
      <c r="H836" s="6" t="s">
        <v>34</v>
      </c>
      <c r="I836" s="6">
        <v>1400</v>
      </c>
      <c r="J836" s="6">
        <v>150</v>
      </c>
      <c r="K836" s="6">
        <v>1</v>
      </c>
      <c r="L836" s="10">
        <f t="shared" si="17"/>
        <v>1.44</v>
      </c>
      <c r="M836" s="6" t="s">
        <v>103</v>
      </c>
      <c r="N836" s="6"/>
      <c r="O836" s="6"/>
      <c r="P836" s="17" t="s">
        <v>54</v>
      </c>
      <c r="Q836" s="17" t="s">
        <v>54</v>
      </c>
      <c r="R836" s="17" t="s">
        <v>54</v>
      </c>
    </row>
    <row r="837" spans="1:18" ht="30" customHeight="1" x14ac:dyDescent="0.3">
      <c r="A837" s="7">
        <v>45845.555564351853</v>
      </c>
      <c r="B837" s="6" t="s">
        <v>4</v>
      </c>
      <c r="C837" s="6"/>
      <c r="D837" s="6" t="str">
        <f>VLOOKUP(B837,'Veri doğrulama'!$D$6:$E$13,2,0)</f>
        <v>MEHMET YAZICI</v>
      </c>
      <c r="E837" s="6"/>
      <c r="F837" s="6" t="s">
        <v>122</v>
      </c>
      <c r="G837" s="6" t="s">
        <v>14</v>
      </c>
      <c r="H837" s="6" t="s">
        <v>35</v>
      </c>
      <c r="I837" s="6">
        <v>822</v>
      </c>
      <c r="J837" s="6">
        <v>434</v>
      </c>
      <c r="K837" s="6">
        <v>1</v>
      </c>
      <c r="L837" s="10">
        <f t="shared" si="17"/>
        <v>1.44</v>
      </c>
      <c r="M837" s="6" t="s">
        <v>103</v>
      </c>
      <c r="N837" s="6"/>
      <c r="O837" s="6"/>
      <c r="P837" s="17" t="s">
        <v>54</v>
      </c>
      <c r="Q837" s="17" t="s">
        <v>54</v>
      </c>
      <c r="R837" s="17" t="s">
        <v>54</v>
      </c>
    </row>
    <row r="838" spans="1:18" ht="30" customHeight="1" x14ac:dyDescent="0.3">
      <c r="A838" s="7">
        <v>45845.553792824074</v>
      </c>
      <c r="B838" s="6" t="s">
        <v>4</v>
      </c>
      <c r="C838" s="6"/>
      <c r="D838" s="6" t="str">
        <f>VLOOKUP(B838,'Veri doğrulama'!$D$6:$E$13,2,0)</f>
        <v>MEHMET YAZICI</v>
      </c>
      <c r="E838" s="6"/>
      <c r="F838" s="6" t="s">
        <v>561</v>
      </c>
      <c r="G838" s="6" t="s">
        <v>27</v>
      </c>
      <c r="H838" s="6" t="s">
        <v>34</v>
      </c>
      <c r="I838" s="6">
        <v>1740</v>
      </c>
      <c r="J838" s="6">
        <v>362</v>
      </c>
      <c r="K838" s="6">
        <v>3</v>
      </c>
      <c r="L838" s="10">
        <f t="shared" si="17"/>
        <v>0.63</v>
      </c>
      <c r="M838" s="6" t="s">
        <v>102</v>
      </c>
      <c r="N838" s="6"/>
      <c r="O838" s="6"/>
      <c r="P838" s="17" t="s">
        <v>54</v>
      </c>
      <c r="Q838" s="17" t="s">
        <v>54</v>
      </c>
      <c r="R838" s="17" t="s">
        <v>54</v>
      </c>
    </row>
    <row r="839" spans="1:18" ht="30" customHeight="1" x14ac:dyDescent="0.3">
      <c r="A839" s="7">
        <v>45845.553272569443</v>
      </c>
      <c r="B839" s="6" t="s">
        <v>7</v>
      </c>
      <c r="C839" s="6"/>
      <c r="D839" s="6" t="str">
        <f>VLOOKUP(B839,'Veri doğrulama'!$D$6:$E$13,2,0)</f>
        <v>SIDDIK KAPLAN</v>
      </c>
      <c r="E839" s="6"/>
      <c r="F839" s="6" t="s">
        <v>265</v>
      </c>
      <c r="G839" s="6" t="s">
        <v>18</v>
      </c>
      <c r="H839" s="6" t="s">
        <v>34</v>
      </c>
      <c r="I839" s="6">
        <v>960</v>
      </c>
      <c r="J839" s="6">
        <v>770</v>
      </c>
      <c r="K839" s="6">
        <v>6</v>
      </c>
      <c r="L839" s="10">
        <f t="shared" si="17"/>
        <v>2.1404879999999999</v>
      </c>
      <c r="M839" s="6" t="s">
        <v>102</v>
      </c>
      <c r="N839" s="6"/>
      <c r="O839" s="6"/>
      <c r="P839" s="17" t="s">
        <v>54</v>
      </c>
      <c r="Q839" s="17" t="s">
        <v>54</v>
      </c>
      <c r="R839" s="17" t="s">
        <v>54</v>
      </c>
    </row>
    <row r="840" spans="1:18" ht="30" customHeight="1" x14ac:dyDescent="0.3">
      <c r="A840" s="7">
        <v>45845.365964583332</v>
      </c>
      <c r="B840" s="6" t="s">
        <v>5</v>
      </c>
      <c r="C840" s="6"/>
      <c r="D840" s="6" t="str">
        <f>VLOOKUP(B840,'Veri doğrulama'!$D$6:$E$13,2,0)</f>
        <v>MEHMET ÖZEN</v>
      </c>
      <c r="E840" s="6"/>
      <c r="F840" s="6" t="s">
        <v>126</v>
      </c>
      <c r="G840" s="6" t="s">
        <v>19</v>
      </c>
      <c r="H840" s="6" t="s">
        <v>34</v>
      </c>
      <c r="I840" s="6">
        <v>2810</v>
      </c>
      <c r="J840" s="6">
        <v>1210</v>
      </c>
      <c r="K840" s="6">
        <v>3</v>
      </c>
      <c r="L840" s="10">
        <f t="shared" si="17"/>
        <v>1.88964</v>
      </c>
      <c r="M840" s="6" t="s">
        <v>103</v>
      </c>
      <c r="N840" s="6"/>
      <c r="O840" s="6"/>
      <c r="P840" s="17" t="s">
        <v>54</v>
      </c>
      <c r="Q840" s="17" t="s">
        <v>54</v>
      </c>
      <c r="R840" s="17" t="s">
        <v>54</v>
      </c>
    </row>
    <row r="841" spans="1:18" ht="30" customHeight="1" x14ac:dyDescent="0.3">
      <c r="A841" s="7">
        <v>45845.362531018516</v>
      </c>
      <c r="B841" s="6" t="s">
        <v>7</v>
      </c>
      <c r="C841" s="6"/>
      <c r="D841" s="6" t="str">
        <f>VLOOKUP(B841,'Veri doğrulama'!$D$6:$E$13,2,0)</f>
        <v>SIDDIK KAPLAN</v>
      </c>
      <c r="E841" s="6"/>
      <c r="F841" s="6" t="s">
        <v>265</v>
      </c>
      <c r="G841" s="6" t="s">
        <v>18</v>
      </c>
      <c r="H841" s="6" t="s">
        <v>34</v>
      </c>
      <c r="I841" s="6">
        <v>770</v>
      </c>
      <c r="J841" s="6">
        <v>960</v>
      </c>
      <c r="K841" s="6">
        <v>1</v>
      </c>
      <c r="L841" s="10">
        <f t="shared" si="17"/>
        <v>0.73919999999999997</v>
      </c>
      <c r="M841" s="6" t="s">
        <v>42</v>
      </c>
      <c r="N841" s="6"/>
      <c r="O841" s="6"/>
      <c r="P841" s="17" t="s">
        <v>54</v>
      </c>
      <c r="Q841" s="17" t="s">
        <v>54</v>
      </c>
      <c r="R841" s="17" t="s">
        <v>54</v>
      </c>
    </row>
    <row r="842" spans="1:18" ht="30" customHeight="1" x14ac:dyDescent="0.3">
      <c r="A842" s="7">
        <v>45845.359966782409</v>
      </c>
      <c r="B842" s="6" t="s">
        <v>5</v>
      </c>
      <c r="C842" s="6"/>
      <c r="D842" s="6" t="str">
        <f>VLOOKUP(B842,'Veri doğrulama'!$D$6:$E$13,2,0)</f>
        <v>MEHMET ÖZEN</v>
      </c>
      <c r="E842" s="6"/>
      <c r="F842" s="6" t="s">
        <v>920</v>
      </c>
      <c r="G842" s="6" t="s">
        <v>16</v>
      </c>
      <c r="H842" s="6" t="s">
        <v>34</v>
      </c>
      <c r="I842" s="6">
        <v>1600</v>
      </c>
      <c r="J842" s="6">
        <v>800</v>
      </c>
      <c r="K842" s="6">
        <v>1</v>
      </c>
      <c r="L842" s="10">
        <f t="shared" si="17"/>
        <v>3.4001000000000001</v>
      </c>
      <c r="M842" s="6" t="s">
        <v>42</v>
      </c>
      <c r="N842" s="6"/>
      <c r="O842" s="6"/>
      <c r="P842" s="17" t="s">
        <v>54</v>
      </c>
      <c r="Q842" s="17" t="s">
        <v>54</v>
      </c>
      <c r="R842" s="17" t="s">
        <v>54</v>
      </c>
    </row>
    <row r="843" spans="1:18" ht="30" customHeight="1" x14ac:dyDescent="0.3">
      <c r="A843" s="7">
        <v>45845.35717210648</v>
      </c>
      <c r="B843" s="6" t="s">
        <v>5</v>
      </c>
      <c r="C843" s="6"/>
      <c r="D843" s="6" t="str">
        <f>VLOOKUP(B843,'Veri doğrulama'!$D$6:$E$13,2,0)</f>
        <v>MEHMET ÖZEN</v>
      </c>
      <c r="E843" s="6"/>
      <c r="F843" s="6" t="s">
        <v>68</v>
      </c>
      <c r="G843" s="6" t="s">
        <v>15</v>
      </c>
      <c r="H843" s="6" t="s">
        <v>34</v>
      </c>
      <c r="I843" s="6">
        <v>1600</v>
      </c>
      <c r="J843" s="6">
        <v>1600</v>
      </c>
      <c r="K843" s="6">
        <v>1</v>
      </c>
      <c r="L843" s="10">
        <f t="shared" si="17"/>
        <v>0.73919999999999997</v>
      </c>
      <c r="M843" s="6" t="s">
        <v>43</v>
      </c>
      <c r="N843" s="6"/>
      <c r="O843" s="6"/>
      <c r="P843" s="17" t="s">
        <v>54</v>
      </c>
      <c r="Q843" s="17" t="s">
        <v>54</v>
      </c>
      <c r="R843" s="17" t="s">
        <v>54</v>
      </c>
    </row>
    <row r="844" spans="1:18" ht="30" customHeight="1" x14ac:dyDescent="0.3">
      <c r="A844" s="7">
        <v>45845.35660590278</v>
      </c>
      <c r="B844" s="6" t="s">
        <v>4</v>
      </c>
      <c r="C844" s="6"/>
      <c r="D844" s="6" t="str">
        <f>VLOOKUP(B844,'Veri doğrulama'!$D$6:$E$13,2,0)</f>
        <v>MEHMET YAZICI</v>
      </c>
      <c r="E844" s="6"/>
      <c r="F844" s="6" t="s">
        <v>270</v>
      </c>
      <c r="G844" s="6" t="s">
        <v>18</v>
      </c>
      <c r="H844" s="6" t="s">
        <v>34</v>
      </c>
      <c r="I844" s="6">
        <v>1990</v>
      </c>
      <c r="J844" s="6">
        <v>840</v>
      </c>
      <c r="K844" s="6">
        <v>1</v>
      </c>
      <c r="L844" s="10">
        <f t="shared" si="17"/>
        <v>1.28</v>
      </c>
      <c r="M844" s="6" t="s">
        <v>103</v>
      </c>
      <c r="N844" s="6" t="s">
        <v>526</v>
      </c>
      <c r="O844" s="6"/>
      <c r="P844" s="17" t="s">
        <v>54</v>
      </c>
      <c r="Q844" s="17" t="s">
        <v>54</v>
      </c>
      <c r="R844" s="17" t="s">
        <v>54</v>
      </c>
    </row>
    <row r="845" spans="1:18" ht="30" customHeight="1" x14ac:dyDescent="0.3">
      <c r="A845" s="7">
        <v>45845.344516087964</v>
      </c>
      <c r="B845" s="6" t="s">
        <v>4</v>
      </c>
      <c r="C845" s="6"/>
      <c r="D845" s="6" t="str">
        <f>VLOOKUP(B845,'Veri doğrulama'!$D$6:$E$13,2,0)</f>
        <v>MEHMET YAZICI</v>
      </c>
      <c r="E845" s="6"/>
      <c r="F845" s="6" t="s">
        <v>919</v>
      </c>
      <c r="G845" s="6" t="s">
        <v>27</v>
      </c>
      <c r="H845" s="6" t="s">
        <v>34</v>
      </c>
      <c r="I845" s="6">
        <v>802</v>
      </c>
      <c r="J845" s="6">
        <v>387</v>
      </c>
      <c r="K845" s="6">
        <v>2</v>
      </c>
      <c r="L845" s="10">
        <f t="shared" si="17"/>
        <v>5.12</v>
      </c>
      <c r="M845" s="6" t="s">
        <v>103</v>
      </c>
      <c r="N845" s="6" t="s">
        <v>494</v>
      </c>
      <c r="O845" s="6"/>
      <c r="P845" s="17" t="s">
        <v>54</v>
      </c>
      <c r="Q845" s="17" t="s">
        <v>54</v>
      </c>
      <c r="R845" s="17" t="s">
        <v>54</v>
      </c>
    </row>
    <row r="846" spans="1:18" ht="30" customHeight="1" x14ac:dyDescent="0.3">
      <c r="A846" s="7">
        <v>45845.343571064812</v>
      </c>
      <c r="B846" s="6" t="s">
        <v>4</v>
      </c>
      <c r="C846" s="6"/>
      <c r="D846" s="6" t="str">
        <f>VLOOKUP(B846,'Veri doğrulama'!$D$6:$E$13,2,0)</f>
        <v>MEHMET YAZICI</v>
      </c>
      <c r="E846" s="6"/>
      <c r="F846" s="6" t="s">
        <v>918</v>
      </c>
      <c r="G846" s="6" t="s">
        <v>27</v>
      </c>
      <c r="H846" s="6" t="s">
        <v>34</v>
      </c>
      <c r="I846" s="6">
        <v>1132</v>
      </c>
      <c r="J846" s="6">
        <v>399</v>
      </c>
      <c r="K846" s="6">
        <v>1</v>
      </c>
      <c r="L846" s="10">
        <f t="shared" si="17"/>
        <v>1.6716</v>
      </c>
      <c r="M846" s="6" t="s">
        <v>102</v>
      </c>
      <c r="N846" s="6" t="s">
        <v>494</v>
      </c>
      <c r="O846" s="6"/>
      <c r="P846" s="17" t="s">
        <v>54</v>
      </c>
      <c r="Q846" s="17" t="s">
        <v>54</v>
      </c>
      <c r="R846" s="17" t="s">
        <v>54</v>
      </c>
    </row>
    <row r="847" spans="1:18" ht="30" customHeight="1" x14ac:dyDescent="0.3">
      <c r="A847" s="7">
        <v>45845.342648032405</v>
      </c>
      <c r="B847" s="6" t="s">
        <v>4</v>
      </c>
      <c r="C847" s="6"/>
      <c r="D847" s="6" t="str">
        <f>VLOOKUP(B847,'Veri doğrulama'!$D$6:$E$13,2,0)</f>
        <v>MEHMET YAZICI</v>
      </c>
      <c r="E847" s="6"/>
      <c r="F847" s="6" t="s">
        <v>917</v>
      </c>
      <c r="G847" s="6" t="s">
        <v>27</v>
      </c>
      <c r="H847" s="6" t="s">
        <v>34</v>
      </c>
      <c r="I847" s="6">
        <v>1741</v>
      </c>
      <c r="J847" s="6">
        <v>402</v>
      </c>
      <c r="K847" s="6">
        <v>1</v>
      </c>
      <c r="L847" s="10">
        <f t="shared" si="17"/>
        <v>0.31037399999999998</v>
      </c>
      <c r="M847" s="6" t="s">
        <v>103</v>
      </c>
      <c r="N847" s="6" t="s">
        <v>651</v>
      </c>
      <c r="O847" s="6"/>
      <c r="P847" s="17" t="s">
        <v>54</v>
      </c>
      <c r="Q847" s="17" t="s">
        <v>54</v>
      </c>
      <c r="R847" s="17" t="s">
        <v>54</v>
      </c>
    </row>
    <row r="848" spans="1:18" ht="30" customHeight="1" x14ac:dyDescent="0.3">
      <c r="A848" s="7">
        <v>45845.341690162037</v>
      </c>
      <c r="B848" s="6" t="s">
        <v>4</v>
      </c>
      <c r="C848" s="6"/>
      <c r="D848" s="6" t="str">
        <f>VLOOKUP(B848,'Veri doğrulama'!$D$6:$E$13,2,0)</f>
        <v>MEHMET YAZICI</v>
      </c>
      <c r="E848" s="6"/>
      <c r="F848" s="6" t="s">
        <v>915</v>
      </c>
      <c r="G848" s="6" t="s">
        <v>27</v>
      </c>
      <c r="H848" s="6" t="s">
        <v>34</v>
      </c>
      <c r="I848" s="6">
        <v>1402</v>
      </c>
      <c r="J848" s="6">
        <v>802</v>
      </c>
      <c r="K848" s="6">
        <v>1</v>
      </c>
      <c r="L848" s="10">
        <f t="shared" ref="L848:L911" si="18">I846*J846/1000000*K848</f>
        <v>0.45166800000000001</v>
      </c>
      <c r="M848" s="6" t="s">
        <v>103</v>
      </c>
      <c r="N848" s="6" t="s">
        <v>916</v>
      </c>
      <c r="O848" s="6"/>
      <c r="P848" s="17" t="s">
        <v>54</v>
      </c>
      <c r="Q848" s="17" t="s">
        <v>54</v>
      </c>
      <c r="R848" s="17" t="s">
        <v>54</v>
      </c>
    </row>
    <row r="849" spans="1:18" ht="30" customHeight="1" x14ac:dyDescent="0.3">
      <c r="A849" s="7">
        <v>45845.340744675923</v>
      </c>
      <c r="B849" s="6" t="s">
        <v>5</v>
      </c>
      <c r="C849" s="6"/>
      <c r="D849" s="6" t="str">
        <f>VLOOKUP(B849,'Veri doğrulama'!$D$6:$E$13,2,0)</f>
        <v>MEHMET ÖZEN</v>
      </c>
      <c r="E849" s="6"/>
      <c r="F849" s="6" t="s">
        <v>914</v>
      </c>
      <c r="G849" s="6" t="s">
        <v>17</v>
      </c>
      <c r="H849" s="6" t="s">
        <v>35</v>
      </c>
      <c r="I849" s="6">
        <v>1800</v>
      </c>
      <c r="J849" s="6">
        <v>150</v>
      </c>
      <c r="K849" s="6">
        <v>3</v>
      </c>
      <c r="L849" s="10">
        <f t="shared" si="18"/>
        <v>2.0996459999999999</v>
      </c>
      <c r="M849" s="6" t="s">
        <v>103</v>
      </c>
      <c r="N849" s="6"/>
      <c r="O849" s="6"/>
      <c r="P849" s="17" t="s">
        <v>54</v>
      </c>
      <c r="Q849" s="17" t="s">
        <v>54</v>
      </c>
      <c r="R849" s="17" t="s">
        <v>54</v>
      </c>
    </row>
    <row r="850" spans="1:18" ht="30" customHeight="1" x14ac:dyDescent="0.3">
      <c r="A850" s="7">
        <v>45842.696151504628</v>
      </c>
      <c r="B850" s="6" t="s">
        <v>5</v>
      </c>
      <c r="C850" s="6"/>
      <c r="D850" s="6" t="str">
        <f>VLOOKUP(B850,'Veri doğrulama'!$D$6:$E$13,2,0)</f>
        <v>MEHMET ÖZEN</v>
      </c>
      <c r="E850" s="6"/>
      <c r="F850" s="6" t="s">
        <v>913</v>
      </c>
      <c r="G850" s="6" t="s">
        <v>18</v>
      </c>
      <c r="H850" s="6" t="s">
        <v>35</v>
      </c>
      <c r="I850" s="6">
        <v>2200</v>
      </c>
      <c r="J850" s="6">
        <v>150</v>
      </c>
      <c r="K850" s="6">
        <v>2</v>
      </c>
      <c r="L850" s="10">
        <f t="shared" si="18"/>
        <v>2.2488079999999999</v>
      </c>
      <c r="M850" s="6" t="s">
        <v>103</v>
      </c>
      <c r="N850" s="6"/>
      <c r="O850" s="6"/>
      <c r="P850" s="17" t="s">
        <v>54</v>
      </c>
      <c r="Q850" s="17" t="s">
        <v>54</v>
      </c>
      <c r="R850" s="17" t="s">
        <v>54</v>
      </c>
    </row>
    <row r="851" spans="1:18" ht="30" customHeight="1" x14ac:dyDescent="0.3">
      <c r="A851" s="7">
        <v>45842.695680555553</v>
      </c>
      <c r="B851" s="6" t="s">
        <v>5</v>
      </c>
      <c r="C851" s="6"/>
      <c r="D851" s="6" t="str">
        <f>VLOOKUP(B851,'Veri doğrulama'!$D$6:$E$13,2,0)</f>
        <v>MEHMET ÖZEN</v>
      </c>
      <c r="E851" s="6"/>
      <c r="F851" s="6" t="s">
        <v>912</v>
      </c>
      <c r="G851" s="6" t="s">
        <v>16</v>
      </c>
      <c r="H851" s="6" t="s">
        <v>35</v>
      </c>
      <c r="I851" s="6">
        <v>698</v>
      </c>
      <c r="J851" s="6">
        <v>434</v>
      </c>
      <c r="K851" s="6">
        <v>1</v>
      </c>
      <c r="L851" s="10">
        <f t="shared" si="18"/>
        <v>0.27</v>
      </c>
      <c r="M851" s="6" t="s">
        <v>156</v>
      </c>
      <c r="N851" s="6"/>
      <c r="O851" s="6"/>
      <c r="P851" s="17" t="s">
        <v>54</v>
      </c>
      <c r="Q851" s="17" t="s">
        <v>54</v>
      </c>
      <c r="R851" s="17" t="s">
        <v>54</v>
      </c>
    </row>
    <row r="852" spans="1:18" ht="30" customHeight="1" x14ac:dyDescent="0.3">
      <c r="A852" s="7">
        <v>45842.563087499999</v>
      </c>
      <c r="B852" s="6" t="s">
        <v>5</v>
      </c>
      <c r="C852" s="6"/>
      <c r="D852" s="6" t="str">
        <f>VLOOKUP(B852,'Veri doğrulama'!$D$6:$E$13,2,0)</f>
        <v>MEHMET ÖZEN</v>
      </c>
      <c r="E852" s="6"/>
      <c r="F852" s="6" t="s">
        <v>98</v>
      </c>
      <c r="G852" s="6" t="s">
        <v>18</v>
      </c>
      <c r="H852" s="6" t="s">
        <v>34</v>
      </c>
      <c r="I852" s="6">
        <v>698</v>
      </c>
      <c r="J852" s="6">
        <v>430</v>
      </c>
      <c r="K852" s="6">
        <v>2</v>
      </c>
      <c r="L852" s="10">
        <f t="shared" si="18"/>
        <v>0.66</v>
      </c>
      <c r="M852" s="6" t="s">
        <v>156</v>
      </c>
      <c r="N852" s="6"/>
      <c r="O852" s="6"/>
      <c r="P852" s="17" t="s">
        <v>54</v>
      </c>
      <c r="Q852" s="17" t="s">
        <v>54</v>
      </c>
      <c r="R852" s="17" t="s">
        <v>54</v>
      </c>
    </row>
    <row r="853" spans="1:18" ht="30" customHeight="1" x14ac:dyDescent="0.3">
      <c r="A853" s="7">
        <v>45842.562486111114</v>
      </c>
      <c r="B853" s="6" t="s">
        <v>7</v>
      </c>
      <c r="C853" s="6"/>
      <c r="D853" s="6" t="str">
        <f>VLOOKUP(B853,'Veri doğrulama'!$D$6:$E$13,2,0)</f>
        <v>SIDDIK KAPLAN</v>
      </c>
      <c r="E853" s="6"/>
      <c r="F853" s="6" t="s">
        <v>911</v>
      </c>
      <c r="G853" s="6" t="s">
        <v>18</v>
      </c>
      <c r="H853" s="6" t="s">
        <v>34</v>
      </c>
      <c r="I853" s="6">
        <v>1990</v>
      </c>
      <c r="J853" s="6">
        <v>840</v>
      </c>
      <c r="K853" s="6">
        <v>2</v>
      </c>
      <c r="L853" s="10">
        <f t="shared" si="18"/>
        <v>0.60586399999999996</v>
      </c>
      <c r="M853" s="6" t="s">
        <v>37</v>
      </c>
      <c r="N853" s="6"/>
      <c r="O853" s="6"/>
      <c r="P853" s="17" t="s">
        <v>54</v>
      </c>
      <c r="Q853" s="17" t="s">
        <v>54</v>
      </c>
      <c r="R853" s="17" t="s">
        <v>54</v>
      </c>
    </row>
    <row r="854" spans="1:18" ht="30" customHeight="1" x14ac:dyDescent="0.3">
      <c r="A854" s="7">
        <v>45841.765526967596</v>
      </c>
      <c r="B854" s="6" t="s">
        <v>4</v>
      </c>
      <c r="C854" s="6"/>
      <c r="D854" s="6" t="str">
        <f>VLOOKUP(B854,'Veri doğrulama'!$D$6:$E$13,2,0)</f>
        <v>MEHMET YAZICI</v>
      </c>
      <c r="E854" s="6"/>
      <c r="F854" s="6" t="s">
        <v>910</v>
      </c>
      <c r="G854" s="6" t="s">
        <v>17</v>
      </c>
      <c r="H854" s="6" t="s">
        <v>34</v>
      </c>
      <c r="I854" s="6">
        <v>1763</v>
      </c>
      <c r="J854" s="6">
        <v>679</v>
      </c>
      <c r="K854" s="6">
        <v>2</v>
      </c>
      <c r="L854" s="10">
        <f t="shared" si="18"/>
        <v>0.60028000000000004</v>
      </c>
      <c r="M854" s="6" t="s">
        <v>103</v>
      </c>
      <c r="N854" s="6"/>
      <c r="O854" s="6"/>
      <c r="P854" s="17" t="s">
        <v>54</v>
      </c>
      <c r="Q854" s="17" t="s">
        <v>54</v>
      </c>
      <c r="R854" s="17" t="s">
        <v>54</v>
      </c>
    </row>
    <row r="855" spans="1:18" ht="30" customHeight="1" x14ac:dyDescent="0.3">
      <c r="A855" s="7">
        <v>45841.647411226855</v>
      </c>
      <c r="B855" s="6" t="s">
        <v>4</v>
      </c>
      <c r="C855" s="6"/>
      <c r="D855" s="6" t="str">
        <f>VLOOKUP(B855,'Veri doğrulama'!$D$6:$E$13,2,0)</f>
        <v>MEHMET YAZICI</v>
      </c>
      <c r="E855" s="6"/>
      <c r="F855" s="6" t="s">
        <v>909</v>
      </c>
      <c r="G855" s="6" t="s">
        <v>16</v>
      </c>
      <c r="H855" s="6" t="s">
        <v>34</v>
      </c>
      <c r="I855" s="6">
        <v>1815</v>
      </c>
      <c r="J855" s="6">
        <v>397</v>
      </c>
      <c r="K855" s="6">
        <v>1</v>
      </c>
      <c r="L855" s="10">
        <f t="shared" si="18"/>
        <v>1.6716</v>
      </c>
      <c r="M855" s="6" t="s">
        <v>43</v>
      </c>
      <c r="N855" s="6"/>
      <c r="O855" s="6"/>
      <c r="P855" s="17" t="s">
        <v>54</v>
      </c>
      <c r="Q855" s="17" t="s">
        <v>54</v>
      </c>
      <c r="R855" s="17" t="s">
        <v>54</v>
      </c>
    </row>
    <row r="856" spans="1:18" ht="30" customHeight="1" x14ac:dyDescent="0.3">
      <c r="A856" s="7">
        <v>45841.505415162035</v>
      </c>
      <c r="B856" s="6" t="s">
        <v>4</v>
      </c>
      <c r="C856" s="6"/>
      <c r="D856" s="6" t="str">
        <f>VLOOKUP(B856,'Veri doğrulama'!$D$6:$E$13,2,0)</f>
        <v>MEHMET YAZICI</v>
      </c>
      <c r="E856" s="6"/>
      <c r="F856" s="6" t="s">
        <v>908</v>
      </c>
      <c r="G856" s="6" t="s">
        <v>17</v>
      </c>
      <c r="H856" s="6" t="s">
        <v>34</v>
      </c>
      <c r="I856" s="6">
        <v>1400</v>
      </c>
      <c r="J856" s="6">
        <v>940</v>
      </c>
      <c r="K856" s="6">
        <v>1</v>
      </c>
      <c r="L856" s="10">
        <f t="shared" si="18"/>
        <v>1.1970769999999999</v>
      </c>
      <c r="M856" s="6" t="s">
        <v>102</v>
      </c>
      <c r="N856" s="6"/>
      <c r="O856" s="6"/>
      <c r="P856" s="17" t="s">
        <v>54</v>
      </c>
      <c r="Q856" s="17" t="s">
        <v>54</v>
      </c>
      <c r="R856" s="17" t="s">
        <v>54</v>
      </c>
    </row>
    <row r="857" spans="1:18" ht="30" customHeight="1" x14ac:dyDescent="0.3">
      <c r="A857" s="7">
        <v>45841.392547685187</v>
      </c>
      <c r="B857" s="6" t="s">
        <v>4</v>
      </c>
      <c r="C857" s="6"/>
      <c r="D857" s="6" t="str">
        <f>VLOOKUP(B857,'Veri doğrulama'!$D$6:$E$13,2,0)</f>
        <v>MEHMET YAZICI</v>
      </c>
      <c r="E857" s="6"/>
      <c r="F857" s="6" t="s">
        <v>422</v>
      </c>
      <c r="G857" s="6" t="s">
        <v>16</v>
      </c>
      <c r="H857" s="6" t="s">
        <v>34</v>
      </c>
      <c r="I857" s="6">
        <v>1600</v>
      </c>
      <c r="J857" s="6">
        <v>800</v>
      </c>
      <c r="K857" s="6">
        <v>2</v>
      </c>
      <c r="L857" s="10">
        <f t="shared" si="18"/>
        <v>1.4411099999999999</v>
      </c>
      <c r="M857" s="6" t="s">
        <v>103</v>
      </c>
      <c r="N857" s="6"/>
      <c r="O857" s="6"/>
      <c r="P857" s="17" t="s">
        <v>54</v>
      </c>
      <c r="Q857" s="17" t="s">
        <v>54</v>
      </c>
      <c r="R857" s="17" t="s">
        <v>54</v>
      </c>
    </row>
    <row r="858" spans="1:18" ht="30" customHeight="1" x14ac:dyDescent="0.3">
      <c r="A858" s="7">
        <v>45840.740901504629</v>
      </c>
      <c r="B858" s="6" t="s">
        <v>4</v>
      </c>
      <c r="C858" s="6"/>
      <c r="D858" s="6" t="str">
        <f>VLOOKUP(B858,'Veri doğrulama'!$D$6:$E$13,2,0)</f>
        <v>MEHMET YAZICI</v>
      </c>
      <c r="E858" s="6"/>
      <c r="F858" s="6" t="s">
        <v>123</v>
      </c>
      <c r="G858" s="6" t="s">
        <v>16</v>
      </c>
      <c r="H858" s="6" t="s">
        <v>34</v>
      </c>
      <c r="I858" s="6">
        <v>1400</v>
      </c>
      <c r="J858" s="6">
        <v>1400</v>
      </c>
      <c r="K858" s="6">
        <v>1</v>
      </c>
      <c r="L858" s="10">
        <f t="shared" si="18"/>
        <v>1.3160000000000001</v>
      </c>
      <c r="M858" s="6" t="s">
        <v>75</v>
      </c>
      <c r="N858" s="6"/>
      <c r="O858" s="6"/>
      <c r="P858" s="17" t="s">
        <v>54</v>
      </c>
      <c r="Q858" s="17" t="s">
        <v>54</v>
      </c>
      <c r="R858" s="17" t="s">
        <v>54</v>
      </c>
    </row>
    <row r="859" spans="1:18" ht="30" customHeight="1" x14ac:dyDescent="0.3">
      <c r="A859" s="7">
        <v>45839.75023020833</v>
      </c>
      <c r="B859" s="6" t="s">
        <v>4</v>
      </c>
      <c r="C859" s="6"/>
      <c r="D859" s="6" t="str">
        <f>VLOOKUP(B859,'Veri doğrulama'!$D$6:$E$13,2,0)</f>
        <v>MEHMET YAZICI</v>
      </c>
      <c r="E859" s="6"/>
      <c r="F859" s="6" t="s">
        <v>907</v>
      </c>
      <c r="G859" s="6" t="s">
        <v>17</v>
      </c>
      <c r="H859" s="6" t="s">
        <v>34</v>
      </c>
      <c r="I859" s="6">
        <v>2163</v>
      </c>
      <c r="J859" s="6">
        <v>150</v>
      </c>
      <c r="K859" s="6">
        <v>2</v>
      </c>
      <c r="L859" s="10">
        <f t="shared" si="18"/>
        <v>2.56</v>
      </c>
      <c r="M859" s="6" t="s">
        <v>42</v>
      </c>
      <c r="N859" s="6"/>
      <c r="O859" s="6"/>
      <c r="P859" s="17" t="s">
        <v>54</v>
      </c>
      <c r="Q859" s="17" t="s">
        <v>54</v>
      </c>
      <c r="R859" s="17" t="s">
        <v>54</v>
      </c>
    </row>
    <row r="860" spans="1:18" ht="30" customHeight="1" x14ac:dyDescent="0.3">
      <c r="A860" s="7">
        <v>45839.646209953702</v>
      </c>
      <c r="B860" s="6" t="s">
        <v>4</v>
      </c>
      <c r="C860" s="6"/>
      <c r="D860" s="6" t="str">
        <f>VLOOKUP(B860,'Veri doğrulama'!$D$6:$E$13,2,0)</f>
        <v>MEHMET YAZICI</v>
      </c>
      <c r="E860" s="6"/>
      <c r="F860" s="6" t="s">
        <v>404</v>
      </c>
      <c r="G860" s="6" t="s">
        <v>15</v>
      </c>
      <c r="H860" s="6" t="s">
        <v>34</v>
      </c>
      <c r="I860" s="6">
        <v>1800</v>
      </c>
      <c r="J860" s="6">
        <v>940</v>
      </c>
      <c r="K860" s="6">
        <v>1</v>
      </c>
      <c r="L860" s="10">
        <f t="shared" si="18"/>
        <v>1.96</v>
      </c>
      <c r="M860" s="6" t="s">
        <v>75</v>
      </c>
      <c r="N860" s="6"/>
      <c r="O860" s="6"/>
      <c r="P860" s="17" t="s">
        <v>54</v>
      </c>
      <c r="Q860" s="17" t="s">
        <v>54</v>
      </c>
      <c r="R860" s="17" t="s">
        <v>54</v>
      </c>
    </row>
    <row r="861" spans="1:18" ht="30" customHeight="1" x14ac:dyDescent="0.3">
      <c r="A861" s="7">
        <v>45839.64296041667</v>
      </c>
      <c r="B861" s="6" t="s">
        <v>4</v>
      </c>
      <c r="C861" s="6"/>
      <c r="D861" s="6" t="str">
        <f>VLOOKUP(B861,'Veri doğrulama'!$D$6:$E$13,2,0)</f>
        <v>MEHMET YAZICI</v>
      </c>
      <c r="E861" s="6"/>
      <c r="F861" s="6" t="s">
        <v>906</v>
      </c>
      <c r="G861" s="6" t="s">
        <v>16</v>
      </c>
      <c r="H861" s="6" t="s">
        <v>34</v>
      </c>
      <c r="I861" s="6">
        <v>1817</v>
      </c>
      <c r="J861" s="6">
        <v>399</v>
      </c>
      <c r="K861" s="6">
        <v>1</v>
      </c>
      <c r="L861" s="10">
        <f t="shared" si="18"/>
        <v>0.32445000000000002</v>
      </c>
      <c r="M861" s="6" t="s">
        <v>75</v>
      </c>
      <c r="N861" s="6"/>
      <c r="O861" s="6"/>
      <c r="P861" s="17" t="s">
        <v>54</v>
      </c>
      <c r="Q861" s="17" t="s">
        <v>54</v>
      </c>
      <c r="R861" s="17" t="s">
        <v>54</v>
      </c>
    </row>
    <row r="862" spans="1:18" ht="30" customHeight="1" x14ac:dyDescent="0.3">
      <c r="A862" s="7">
        <v>45839.334205439816</v>
      </c>
      <c r="B862" s="6" t="s">
        <v>4</v>
      </c>
      <c r="C862" s="6"/>
      <c r="D862" s="6" t="str">
        <f>VLOOKUP(B862,'Veri doğrulama'!$D$6:$E$13,2,0)</f>
        <v>MEHMET YAZICI</v>
      </c>
      <c r="E862" s="6"/>
      <c r="F862" s="6" t="s">
        <v>905</v>
      </c>
      <c r="G862" s="6" t="s">
        <v>16</v>
      </c>
      <c r="H862" s="6" t="s">
        <v>34</v>
      </c>
      <c r="I862" s="6">
        <v>564</v>
      </c>
      <c r="J862" s="6">
        <v>397</v>
      </c>
      <c r="K862" s="6">
        <v>1</v>
      </c>
      <c r="L862" s="10">
        <f t="shared" si="18"/>
        <v>1.6919999999999999</v>
      </c>
      <c r="M862" s="6" t="s">
        <v>156</v>
      </c>
      <c r="N862" s="6"/>
      <c r="O862" s="6"/>
      <c r="P862" s="17" t="s">
        <v>54</v>
      </c>
      <c r="Q862" s="17" t="s">
        <v>54</v>
      </c>
      <c r="R862" s="17" t="s">
        <v>54</v>
      </c>
    </row>
    <row r="863" spans="1:18" ht="30" customHeight="1" x14ac:dyDescent="0.3">
      <c r="A863" s="7">
        <v>45839.333702199074</v>
      </c>
      <c r="B863" s="6" t="s">
        <v>4</v>
      </c>
      <c r="C863" s="6"/>
      <c r="D863" s="6" t="str">
        <f>VLOOKUP(B863,'Veri doğrulama'!$D$6:$E$13,2,0)</f>
        <v>MEHMET YAZICI</v>
      </c>
      <c r="E863" s="6"/>
      <c r="F863" s="6" t="s">
        <v>904</v>
      </c>
      <c r="G863" s="6" t="s">
        <v>16</v>
      </c>
      <c r="H863" s="6" t="s">
        <v>34</v>
      </c>
      <c r="I863" s="6">
        <v>802</v>
      </c>
      <c r="J863" s="6">
        <v>402</v>
      </c>
      <c r="K863" s="6">
        <v>5</v>
      </c>
      <c r="L863" s="10">
        <f t="shared" si="18"/>
        <v>3.6249150000000001</v>
      </c>
      <c r="M863" s="6" t="s">
        <v>103</v>
      </c>
      <c r="N863" s="6"/>
      <c r="O863" s="6"/>
      <c r="P863" s="17" t="s">
        <v>54</v>
      </c>
      <c r="Q863" s="17" t="s">
        <v>54</v>
      </c>
      <c r="R863" s="17" t="s">
        <v>54</v>
      </c>
    </row>
    <row r="864" spans="1:18" ht="30" customHeight="1" x14ac:dyDescent="0.3">
      <c r="A864" s="7">
        <v>45839.333173379629</v>
      </c>
      <c r="B864" s="6" t="s">
        <v>4</v>
      </c>
      <c r="C864" s="6"/>
      <c r="D864" s="6" t="str">
        <f>VLOOKUP(B864,'Veri doğrulama'!$D$6:$E$13,2,0)</f>
        <v>MEHMET YAZICI</v>
      </c>
      <c r="E864" s="6"/>
      <c r="F864" s="6" t="s">
        <v>903</v>
      </c>
      <c r="G864" s="6" t="s">
        <v>16</v>
      </c>
      <c r="H864" s="6" t="s">
        <v>34</v>
      </c>
      <c r="I864" s="6">
        <v>779</v>
      </c>
      <c r="J864" s="6">
        <v>377</v>
      </c>
      <c r="K864" s="6">
        <v>1</v>
      </c>
      <c r="L864" s="10">
        <f t="shared" si="18"/>
        <v>0.223908</v>
      </c>
      <c r="M864" s="6" t="s">
        <v>103</v>
      </c>
      <c r="N864" s="6"/>
      <c r="O864" s="6"/>
      <c r="P864" s="17" t="s">
        <v>54</v>
      </c>
      <c r="Q864" s="17" t="s">
        <v>54</v>
      </c>
      <c r="R864" s="17" t="s">
        <v>54</v>
      </c>
    </row>
    <row r="865" spans="1:18" ht="30" customHeight="1" x14ac:dyDescent="0.3">
      <c r="A865" s="7">
        <v>45839.332575810186</v>
      </c>
      <c r="B865" s="6" t="s">
        <v>4</v>
      </c>
      <c r="C865" s="6"/>
      <c r="D865" s="6" t="str">
        <f>VLOOKUP(B865,'Veri doğrulama'!$D$6:$E$13,2,0)</f>
        <v>MEHMET YAZICI</v>
      </c>
      <c r="E865" s="6"/>
      <c r="F865" s="6" t="s">
        <v>839</v>
      </c>
      <c r="G865" s="6" t="s">
        <v>16</v>
      </c>
      <c r="H865" s="6" t="s">
        <v>34</v>
      </c>
      <c r="I865" s="6">
        <v>698</v>
      </c>
      <c r="J865" s="6">
        <v>435</v>
      </c>
      <c r="K865" s="6">
        <v>1</v>
      </c>
      <c r="L865" s="10">
        <f t="shared" si="18"/>
        <v>0.32240400000000002</v>
      </c>
      <c r="M865" s="6" t="s">
        <v>103</v>
      </c>
      <c r="N865" s="6" t="s">
        <v>494</v>
      </c>
      <c r="O865" s="6"/>
      <c r="P865" s="17" t="s">
        <v>54</v>
      </c>
      <c r="Q865" s="17" t="s">
        <v>54</v>
      </c>
      <c r="R865" s="17" t="s">
        <v>54</v>
      </c>
    </row>
    <row r="866" spans="1:18" ht="30" customHeight="1" x14ac:dyDescent="0.3">
      <c r="A866" s="7">
        <v>45838.765893518517</v>
      </c>
      <c r="B866" s="6" t="s">
        <v>4</v>
      </c>
      <c r="C866" s="6"/>
      <c r="D866" s="6" t="str">
        <f>VLOOKUP(B866,'Veri doğrulama'!$D$6:$E$13,2,0)</f>
        <v>MEHMET YAZICI</v>
      </c>
      <c r="E866" s="6"/>
      <c r="F866" s="6" t="s">
        <v>250</v>
      </c>
      <c r="G866" s="6" t="s">
        <v>18</v>
      </c>
      <c r="H866" s="6" t="s">
        <v>34</v>
      </c>
      <c r="I866" s="6">
        <v>1800</v>
      </c>
      <c r="J866" s="6">
        <v>390</v>
      </c>
      <c r="K866" s="6">
        <v>3</v>
      </c>
      <c r="L866" s="10">
        <f t="shared" si="18"/>
        <v>0.88104900000000008</v>
      </c>
      <c r="M866" s="6" t="s">
        <v>103</v>
      </c>
      <c r="N866" s="6"/>
      <c r="O866" s="6"/>
      <c r="P866" s="17" t="s">
        <v>54</v>
      </c>
      <c r="Q866" s="17" t="s">
        <v>54</v>
      </c>
      <c r="R866" s="17" t="s">
        <v>54</v>
      </c>
    </row>
    <row r="867" spans="1:18" ht="30" customHeight="1" x14ac:dyDescent="0.3">
      <c r="A867" s="7">
        <v>45838.566036689816</v>
      </c>
      <c r="B867" s="6" t="s">
        <v>7</v>
      </c>
      <c r="C867" s="6"/>
      <c r="D867" s="6" t="str">
        <f>VLOOKUP(B867,'Veri doğrulama'!$D$6:$E$13,2,0)</f>
        <v>SIDDIK KAPLAN</v>
      </c>
      <c r="E867" s="6"/>
      <c r="F867" s="6" t="s">
        <v>901</v>
      </c>
      <c r="G867" s="6" t="s">
        <v>24</v>
      </c>
      <c r="H867" s="6" t="s">
        <v>34</v>
      </c>
      <c r="I867" s="6">
        <v>1600</v>
      </c>
      <c r="J867" s="6">
        <v>800</v>
      </c>
      <c r="K867" s="6">
        <v>1</v>
      </c>
      <c r="L867" s="10">
        <f t="shared" si="18"/>
        <v>0.30363000000000001</v>
      </c>
      <c r="M867" s="6" t="s">
        <v>103</v>
      </c>
      <c r="N867" s="6"/>
      <c r="O867" s="6"/>
      <c r="P867" s="17" t="s">
        <v>54</v>
      </c>
      <c r="Q867" s="17" t="s">
        <v>54</v>
      </c>
      <c r="R867" s="17" t="s">
        <v>54</v>
      </c>
    </row>
    <row r="868" spans="1:18" ht="30" customHeight="1" x14ac:dyDescent="0.3">
      <c r="A868" s="7">
        <v>45835.488778587962</v>
      </c>
      <c r="B868" s="6" t="s">
        <v>5</v>
      </c>
      <c r="C868" s="6"/>
      <c r="D868" s="6" t="str">
        <f>VLOOKUP(B868,'Veri doğrulama'!$D$6:$E$13,2,0)</f>
        <v>MEHMET ÖZEN</v>
      </c>
      <c r="E868" s="6" t="s">
        <v>902</v>
      </c>
      <c r="F868" s="6" t="s">
        <v>855</v>
      </c>
      <c r="G868" s="6" t="s">
        <v>19</v>
      </c>
      <c r="H868" s="6" t="s">
        <v>34</v>
      </c>
      <c r="I868" s="6">
        <v>1800</v>
      </c>
      <c r="J868" s="6">
        <v>800</v>
      </c>
      <c r="K868" s="6">
        <v>1</v>
      </c>
      <c r="L868" s="10">
        <f t="shared" si="18"/>
        <v>0.70199999999999996</v>
      </c>
      <c r="M868" s="6" t="s">
        <v>75</v>
      </c>
      <c r="N868" s="6"/>
      <c r="O868" s="6"/>
      <c r="P868" s="17" t="s">
        <v>54</v>
      </c>
      <c r="Q868" s="17" t="s">
        <v>54</v>
      </c>
      <c r="R868" s="17" t="s">
        <v>54</v>
      </c>
    </row>
    <row r="869" spans="1:18" ht="30" customHeight="1" x14ac:dyDescent="0.3">
      <c r="A869" s="7">
        <v>45834.394708101849</v>
      </c>
      <c r="B869" s="6" t="s">
        <v>5</v>
      </c>
      <c r="C869" s="6"/>
      <c r="D869" s="6" t="str">
        <f>VLOOKUP(B869,'Veri doğrulama'!$D$6:$E$13,2,0)</f>
        <v>MEHMET ÖZEN</v>
      </c>
      <c r="E869" s="6"/>
      <c r="F869" s="6" t="s">
        <v>900</v>
      </c>
      <c r="G869" s="6" t="s">
        <v>146</v>
      </c>
      <c r="H869" s="6" t="s">
        <v>35</v>
      </c>
      <c r="I869" s="6">
        <v>1420</v>
      </c>
      <c r="J869" s="6">
        <v>1420</v>
      </c>
      <c r="K869" s="6">
        <v>1</v>
      </c>
      <c r="L869" s="10">
        <f t="shared" si="18"/>
        <v>1.28</v>
      </c>
      <c r="M869" s="6" t="s">
        <v>43</v>
      </c>
      <c r="N869" s="6"/>
      <c r="O869" s="6"/>
      <c r="P869" s="17" t="s">
        <v>54</v>
      </c>
      <c r="Q869" s="17" t="s">
        <v>54</v>
      </c>
      <c r="R869" s="17" t="s">
        <v>54</v>
      </c>
    </row>
    <row r="870" spans="1:18" ht="30" customHeight="1" x14ac:dyDescent="0.3">
      <c r="A870" s="7">
        <v>45834.394187268517</v>
      </c>
      <c r="B870" s="6" t="s">
        <v>5</v>
      </c>
      <c r="C870" s="6"/>
      <c r="D870" s="6" t="str">
        <f>VLOOKUP(B870,'Veri doğrulama'!$D$6:$E$13,2,0)</f>
        <v>MEHMET ÖZEN</v>
      </c>
      <c r="E870" s="6"/>
      <c r="F870" s="6" t="s">
        <v>899</v>
      </c>
      <c r="G870" s="6" t="s">
        <v>22</v>
      </c>
      <c r="H870" s="6" t="s">
        <v>34</v>
      </c>
      <c r="I870" s="6">
        <v>1040</v>
      </c>
      <c r="J870" s="6">
        <v>1100</v>
      </c>
      <c r="K870" s="6">
        <v>1</v>
      </c>
      <c r="L870" s="10">
        <f t="shared" si="18"/>
        <v>1.44</v>
      </c>
      <c r="M870" s="6" t="s">
        <v>75</v>
      </c>
      <c r="N870" s="6"/>
      <c r="O870" s="6"/>
      <c r="P870" s="17" t="s">
        <v>54</v>
      </c>
      <c r="Q870" s="17" t="s">
        <v>54</v>
      </c>
      <c r="R870" s="17" t="s">
        <v>54</v>
      </c>
    </row>
    <row r="871" spans="1:18" ht="30" customHeight="1" x14ac:dyDescent="0.3">
      <c r="A871" s="7">
        <v>45834.393541087964</v>
      </c>
      <c r="B871" s="6" t="s">
        <v>4</v>
      </c>
      <c r="C871" s="6"/>
      <c r="D871" s="6" t="str">
        <f>VLOOKUP(B871,'Veri doğrulama'!$D$6:$E$13,2,0)</f>
        <v>MEHMET YAZICI</v>
      </c>
      <c r="E871" s="6"/>
      <c r="F871" s="6" t="s">
        <v>124</v>
      </c>
      <c r="G871" s="6" t="s">
        <v>30</v>
      </c>
      <c r="H871" s="6" t="s">
        <v>34</v>
      </c>
      <c r="I871" s="6">
        <v>684</v>
      </c>
      <c r="J871" s="6">
        <v>350</v>
      </c>
      <c r="K871" s="6">
        <v>1</v>
      </c>
      <c r="L871" s="10">
        <f t="shared" si="18"/>
        <v>2.0164</v>
      </c>
      <c r="M871" s="6" t="s">
        <v>103</v>
      </c>
      <c r="N871" s="6"/>
      <c r="O871" s="6"/>
      <c r="P871" s="17" t="s">
        <v>54</v>
      </c>
      <c r="Q871" s="17" t="s">
        <v>54</v>
      </c>
      <c r="R871" s="17" t="s">
        <v>54</v>
      </c>
    </row>
    <row r="872" spans="1:18" ht="30" customHeight="1" x14ac:dyDescent="0.3">
      <c r="A872" s="7">
        <v>45834.337664583334</v>
      </c>
      <c r="B872" s="6" t="s">
        <v>4</v>
      </c>
      <c r="C872" s="6"/>
      <c r="D872" s="6" t="str">
        <f>VLOOKUP(B872,'Veri doğrulama'!$D$6:$E$13,2,0)</f>
        <v>MEHMET YAZICI</v>
      </c>
      <c r="E872" s="6"/>
      <c r="F872" s="6" t="s">
        <v>725</v>
      </c>
      <c r="G872" s="6" t="s">
        <v>28</v>
      </c>
      <c r="H872" s="6" t="s">
        <v>34</v>
      </c>
      <c r="I872" s="6">
        <v>1400</v>
      </c>
      <c r="J872" s="6">
        <v>800</v>
      </c>
      <c r="K872" s="6">
        <v>1</v>
      </c>
      <c r="L872" s="10">
        <f t="shared" si="18"/>
        <v>1.1439999999999999</v>
      </c>
      <c r="M872" s="6" t="s">
        <v>103</v>
      </c>
      <c r="N872" s="6" t="s">
        <v>339</v>
      </c>
      <c r="O872" s="6"/>
      <c r="P872" s="17" t="s">
        <v>54</v>
      </c>
      <c r="Q872" s="17" t="s">
        <v>54</v>
      </c>
      <c r="R872" s="17" t="s">
        <v>54</v>
      </c>
    </row>
    <row r="873" spans="1:18" ht="30" customHeight="1" x14ac:dyDescent="0.3">
      <c r="A873" s="7">
        <v>45833.659940972226</v>
      </c>
      <c r="B873" s="6" t="s">
        <v>4</v>
      </c>
      <c r="C873" s="6"/>
      <c r="D873" s="6" t="str">
        <f>VLOOKUP(B873,'Veri doğrulama'!$D$6:$E$13,2,0)</f>
        <v>MEHMET YAZICI</v>
      </c>
      <c r="E873" s="6" t="s">
        <v>898</v>
      </c>
      <c r="F873" s="6" t="s">
        <v>895</v>
      </c>
      <c r="G873" s="6" t="s">
        <v>18</v>
      </c>
      <c r="H873" s="6" t="s">
        <v>34</v>
      </c>
      <c r="I873" s="6">
        <v>700</v>
      </c>
      <c r="J873" s="6">
        <v>437</v>
      </c>
      <c r="K873" s="6">
        <v>1</v>
      </c>
      <c r="L873" s="10">
        <f t="shared" si="18"/>
        <v>0.2394</v>
      </c>
      <c r="M873" s="6" t="s">
        <v>103</v>
      </c>
      <c r="N873" s="6" t="s">
        <v>896</v>
      </c>
      <c r="O873" s="6"/>
      <c r="P873" s="17" t="s">
        <v>54</v>
      </c>
      <c r="Q873" s="17" t="s">
        <v>54</v>
      </c>
      <c r="R873" s="17" t="s">
        <v>54</v>
      </c>
    </row>
    <row r="874" spans="1:18" ht="30" customHeight="1" x14ac:dyDescent="0.3">
      <c r="A874" s="7">
        <v>45833.590765856483</v>
      </c>
      <c r="B874" s="6" t="s">
        <v>4</v>
      </c>
      <c r="C874" s="6"/>
      <c r="D874" s="6" t="str">
        <f>VLOOKUP(B874,'Veri doğrulama'!$D$6:$E$13,2,0)</f>
        <v>MEHMET YAZICI</v>
      </c>
      <c r="E874" s="6" t="s">
        <v>897</v>
      </c>
      <c r="F874" s="6" t="s">
        <v>894</v>
      </c>
      <c r="G874" s="6" t="s">
        <v>18</v>
      </c>
      <c r="H874" s="6" t="s">
        <v>34</v>
      </c>
      <c r="I874" s="6">
        <v>1152</v>
      </c>
      <c r="J874" s="6">
        <v>408</v>
      </c>
      <c r="K874" s="6">
        <v>1</v>
      </c>
      <c r="L874" s="10">
        <f t="shared" si="18"/>
        <v>1.1200000000000001</v>
      </c>
      <c r="M874" s="6" t="s">
        <v>156</v>
      </c>
      <c r="N874" s="6" t="s">
        <v>494</v>
      </c>
      <c r="O874" s="6"/>
      <c r="P874" s="17" t="s">
        <v>54</v>
      </c>
      <c r="Q874" s="17" t="s">
        <v>54</v>
      </c>
      <c r="R874" s="17" t="s">
        <v>54</v>
      </c>
    </row>
    <row r="875" spans="1:18" ht="30" customHeight="1" x14ac:dyDescent="0.3">
      <c r="A875" s="7">
        <v>45833.589979050928</v>
      </c>
      <c r="B875" s="6" t="s">
        <v>4</v>
      </c>
      <c r="C875" s="6"/>
      <c r="D875" s="6" t="str">
        <f>VLOOKUP(B875,'Veri doğrulama'!$D$6:$E$13,2,0)</f>
        <v>MEHMET YAZICI</v>
      </c>
      <c r="E875" s="6"/>
      <c r="F875" s="6" t="s">
        <v>893</v>
      </c>
      <c r="G875" s="6" t="s">
        <v>18</v>
      </c>
      <c r="H875" s="6" t="s">
        <v>34</v>
      </c>
      <c r="I875" s="6">
        <v>556</v>
      </c>
      <c r="J875" s="6">
        <v>449</v>
      </c>
      <c r="K875" s="6">
        <v>1</v>
      </c>
      <c r="L875" s="10">
        <f t="shared" si="18"/>
        <v>0.30590000000000001</v>
      </c>
      <c r="M875" s="6" t="s">
        <v>103</v>
      </c>
      <c r="N875" s="6" t="s">
        <v>651</v>
      </c>
      <c r="O875" s="6"/>
      <c r="P875" s="17" t="s">
        <v>54</v>
      </c>
      <c r="Q875" s="17" t="s">
        <v>54</v>
      </c>
      <c r="R875" s="17" t="s">
        <v>54</v>
      </c>
    </row>
    <row r="876" spans="1:18" ht="30" customHeight="1" x14ac:dyDescent="0.3">
      <c r="A876" s="7">
        <v>45833.589173495369</v>
      </c>
      <c r="B876" s="6" t="s">
        <v>4</v>
      </c>
      <c r="C876" s="6"/>
      <c r="D876" s="6" t="str">
        <f>VLOOKUP(B876,'Veri doğrulama'!$D$6:$E$13,2,0)</f>
        <v>MEHMET YAZICI</v>
      </c>
      <c r="E876" s="6"/>
      <c r="F876" s="6" t="s">
        <v>892</v>
      </c>
      <c r="G876" s="6" t="s">
        <v>18</v>
      </c>
      <c r="H876" s="6" t="s">
        <v>34</v>
      </c>
      <c r="I876" s="6">
        <v>541</v>
      </c>
      <c r="J876" s="6">
        <v>408</v>
      </c>
      <c r="K876" s="6">
        <v>1</v>
      </c>
      <c r="L876" s="10">
        <f t="shared" si="18"/>
        <v>0.47001599999999999</v>
      </c>
      <c r="M876" s="6" t="s">
        <v>103</v>
      </c>
      <c r="N876" s="6" t="s">
        <v>494</v>
      </c>
      <c r="O876" s="6"/>
      <c r="P876" s="17" t="s">
        <v>54</v>
      </c>
      <c r="Q876" s="17" t="s">
        <v>54</v>
      </c>
      <c r="R876" s="17" t="s">
        <v>54</v>
      </c>
    </row>
    <row r="877" spans="1:18" ht="30" customHeight="1" x14ac:dyDescent="0.3">
      <c r="A877" s="7">
        <v>45833.588350115744</v>
      </c>
      <c r="B877" s="6" t="s">
        <v>4</v>
      </c>
      <c r="C877" s="6"/>
      <c r="D877" s="6" t="str">
        <f>VLOOKUP(B877,'Veri doğrulama'!$D$6:$E$13,2,0)</f>
        <v>MEHMET YAZICI</v>
      </c>
      <c r="E877" s="6"/>
      <c r="F877" s="6" t="s">
        <v>891</v>
      </c>
      <c r="G877" s="6" t="s">
        <v>18</v>
      </c>
      <c r="H877" s="6" t="s">
        <v>34</v>
      </c>
      <c r="I877" s="6">
        <v>452</v>
      </c>
      <c r="J877" s="6">
        <v>558</v>
      </c>
      <c r="K877" s="6">
        <v>2</v>
      </c>
      <c r="L877" s="10">
        <f t="shared" si="18"/>
        <v>0.49928800000000001</v>
      </c>
      <c r="M877" s="6" t="s">
        <v>103</v>
      </c>
      <c r="N877" s="6" t="s">
        <v>494</v>
      </c>
      <c r="O877" s="6"/>
      <c r="P877" s="17" t="s">
        <v>54</v>
      </c>
      <c r="Q877" s="17" t="s">
        <v>54</v>
      </c>
      <c r="R877" s="17" t="s">
        <v>54</v>
      </c>
    </row>
    <row r="878" spans="1:18" ht="30" customHeight="1" x14ac:dyDescent="0.3">
      <c r="A878" s="7">
        <v>45833.587419444448</v>
      </c>
      <c r="B878" s="6" t="s">
        <v>4</v>
      </c>
      <c r="C878" s="6"/>
      <c r="D878" s="6" t="str">
        <f>VLOOKUP(B878,'Veri doğrulama'!$D$6:$E$13,2,0)</f>
        <v>MEHMET YAZICI</v>
      </c>
      <c r="E878" s="6"/>
      <c r="F878" s="6" t="s">
        <v>890</v>
      </c>
      <c r="G878" s="6" t="s">
        <v>18</v>
      </c>
      <c r="H878" s="6" t="s">
        <v>34</v>
      </c>
      <c r="I878" s="6">
        <v>355</v>
      </c>
      <c r="J878" s="6">
        <v>450</v>
      </c>
      <c r="K878" s="6">
        <v>3</v>
      </c>
      <c r="L878" s="10">
        <f t="shared" si="18"/>
        <v>0.66218399999999999</v>
      </c>
      <c r="M878" s="6" t="s">
        <v>103</v>
      </c>
      <c r="N878" s="6" t="s">
        <v>494</v>
      </c>
      <c r="O878" s="6"/>
      <c r="P878" s="17" t="s">
        <v>54</v>
      </c>
      <c r="Q878" s="17" t="s">
        <v>54</v>
      </c>
      <c r="R878" s="17" t="s">
        <v>54</v>
      </c>
    </row>
    <row r="879" spans="1:18" ht="30" customHeight="1" x14ac:dyDescent="0.3">
      <c r="A879" s="7">
        <v>45833.586413194447</v>
      </c>
      <c r="B879" s="6" t="s">
        <v>4</v>
      </c>
      <c r="C879" s="6"/>
      <c r="D879" s="6" t="str">
        <f>VLOOKUP(B879,'Veri doğrulama'!$D$6:$E$13,2,0)</f>
        <v>MEHMET YAZICI</v>
      </c>
      <c r="E879" s="6"/>
      <c r="F879" s="6" t="s">
        <v>889</v>
      </c>
      <c r="G879" s="6" t="s">
        <v>18</v>
      </c>
      <c r="H879" s="6" t="s">
        <v>34</v>
      </c>
      <c r="I879" s="6">
        <v>541</v>
      </c>
      <c r="J879" s="6">
        <v>558</v>
      </c>
      <c r="K879" s="6">
        <v>4</v>
      </c>
      <c r="L879" s="10">
        <f t="shared" si="18"/>
        <v>1.008864</v>
      </c>
      <c r="M879" s="6" t="s">
        <v>103</v>
      </c>
      <c r="N879" s="6" t="s">
        <v>494</v>
      </c>
      <c r="O879" s="6"/>
      <c r="P879" s="17" t="s">
        <v>54</v>
      </c>
      <c r="Q879" s="17" t="s">
        <v>54</v>
      </c>
      <c r="R879" s="17" t="s">
        <v>54</v>
      </c>
    </row>
    <row r="880" spans="1:18" ht="30" customHeight="1" x14ac:dyDescent="0.3">
      <c r="A880" s="7">
        <v>45833.585319097219</v>
      </c>
      <c r="B880" s="6" t="s">
        <v>4</v>
      </c>
      <c r="C880" s="6"/>
      <c r="D880" s="6" t="str">
        <f>VLOOKUP(B880,'Veri doğrulama'!$D$6:$E$13,2,0)</f>
        <v>MEHMET YAZICI</v>
      </c>
      <c r="E880" s="6"/>
      <c r="F880" s="6" t="s">
        <v>99</v>
      </c>
      <c r="G880" s="6" t="s">
        <v>18</v>
      </c>
      <c r="H880" s="6" t="s">
        <v>34</v>
      </c>
      <c r="I880" s="6">
        <v>691</v>
      </c>
      <c r="J880" s="6">
        <v>362</v>
      </c>
      <c r="K880" s="6">
        <v>1</v>
      </c>
      <c r="L880" s="10">
        <f t="shared" si="18"/>
        <v>0.15975</v>
      </c>
      <c r="M880" s="6" t="s">
        <v>103</v>
      </c>
      <c r="N880" s="6" t="s">
        <v>494</v>
      </c>
      <c r="O880" s="6"/>
      <c r="P880" s="17" t="s">
        <v>54</v>
      </c>
      <c r="Q880" s="17" t="s">
        <v>54</v>
      </c>
      <c r="R880" s="17" t="s">
        <v>54</v>
      </c>
    </row>
    <row r="881" spans="1:18" ht="30" customHeight="1" x14ac:dyDescent="0.3">
      <c r="A881" s="7">
        <v>45833.583836921294</v>
      </c>
      <c r="B881" s="6" t="s">
        <v>4</v>
      </c>
      <c r="C881" s="6"/>
      <c r="D881" s="6" t="str">
        <f>VLOOKUP(B881,'Veri doğrulama'!$D$6:$E$13,2,0)</f>
        <v>MEHMET YAZICI</v>
      </c>
      <c r="E881" s="6"/>
      <c r="F881" s="6" t="s">
        <v>100</v>
      </c>
      <c r="G881" s="6" t="s">
        <v>18</v>
      </c>
      <c r="H881" s="6" t="s">
        <v>34</v>
      </c>
      <c r="I881" s="6">
        <v>706</v>
      </c>
      <c r="J881" s="6">
        <v>399</v>
      </c>
      <c r="K881" s="6">
        <v>8</v>
      </c>
      <c r="L881" s="10">
        <f t="shared" si="18"/>
        <v>2.4150239999999998</v>
      </c>
      <c r="M881" s="6" t="s">
        <v>103</v>
      </c>
      <c r="N881" s="6" t="s">
        <v>888</v>
      </c>
      <c r="O881" s="6"/>
      <c r="P881" s="17" t="s">
        <v>54</v>
      </c>
      <c r="Q881" s="17" t="s">
        <v>54</v>
      </c>
      <c r="R881" s="17" t="s">
        <v>54</v>
      </c>
    </row>
    <row r="882" spans="1:18" ht="30" customHeight="1" x14ac:dyDescent="0.3">
      <c r="A882" s="7">
        <v>45833.582646296294</v>
      </c>
      <c r="B882" s="6" t="s">
        <v>5</v>
      </c>
      <c r="C882" s="6"/>
      <c r="D882" s="6" t="str">
        <f>VLOOKUP(B882,'Veri doğrulama'!$D$6:$E$13,2,0)</f>
        <v>MEHMET ÖZEN</v>
      </c>
      <c r="E882" s="6"/>
      <c r="F882" s="6" t="s">
        <v>887</v>
      </c>
      <c r="G882" s="6" t="s">
        <v>16</v>
      </c>
      <c r="H882" s="6" t="s">
        <v>34</v>
      </c>
      <c r="I882" s="6">
        <v>720</v>
      </c>
      <c r="J882" s="6">
        <v>570</v>
      </c>
      <c r="K882" s="6">
        <v>4</v>
      </c>
      <c r="L882" s="10">
        <f t="shared" si="18"/>
        <v>1.0005679999999999</v>
      </c>
      <c r="M882" s="6" t="s">
        <v>103</v>
      </c>
      <c r="N882" s="6" t="s">
        <v>411</v>
      </c>
      <c r="O882" s="6"/>
      <c r="P882" s="17" t="s">
        <v>54</v>
      </c>
      <c r="Q882" s="17" t="s">
        <v>54</v>
      </c>
      <c r="R882" s="17" t="s">
        <v>54</v>
      </c>
    </row>
    <row r="883" spans="1:18" ht="30" customHeight="1" x14ac:dyDescent="0.3">
      <c r="A883" s="7">
        <v>45833.435347569444</v>
      </c>
      <c r="B883" s="6" t="s">
        <v>5</v>
      </c>
      <c r="C883" s="6"/>
      <c r="D883" s="6" t="str">
        <f>VLOOKUP(B883,'Veri doğrulama'!$D$6:$E$13,2,0)</f>
        <v>MEHMET ÖZEN</v>
      </c>
      <c r="E883" s="6"/>
      <c r="F883" s="6" t="s">
        <v>866</v>
      </c>
      <c r="G883" s="6" t="s">
        <v>16</v>
      </c>
      <c r="H883" s="6" t="s">
        <v>34</v>
      </c>
      <c r="I883" s="6">
        <v>1620</v>
      </c>
      <c r="J883" s="6">
        <v>1420</v>
      </c>
      <c r="K883" s="6">
        <v>2</v>
      </c>
      <c r="L883" s="10">
        <f t="shared" si="18"/>
        <v>0.563388</v>
      </c>
      <c r="M883" s="6" t="s">
        <v>103</v>
      </c>
      <c r="N883" s="6" t="s">
        <v>411</v>
      </c>
      <c r="O883" s="6"/>
      <c r="P883" s="17" t="s">
        <v>54</v>
      </c>
      <c r="Q883" s="17" t="s">
        <v>54</v>
      </c>
      <c r="R883" s="17" t="s">
        <v>54</v>
      </c>
    </row>
    <row r="884" spans="1:18" ht="30" customHeight="1" x14ac:dyDescent="0.3">
      <c r="A884" s="7">
        <v>45833.433409375</v>
      </c>
      <c r="B884" s="6" t="s">
        <v>4</v>
      </c>
      <c r="C884" s="6"/>
      <c r="D884" s="6" t="str">
        <f>VLOOKUP(B884,'Veri doğrulama'!$D$6:$E$13,2,0)</f>
        <v>MEHMET YAZICI</v>
      </c>
      <c r="E884" s="6"/>
      <c r="F884" s="6" t="s">
        <v>885</v>
      </c>
      <c r="G884" s="6" t="s">
        <v>19</v>
      </c>
      <c r="H884" s="6" t="s">
        <v>34</v>
      </c>
      <c r="I884" s="6">
        <v>1150</v>
      </c>
      <c r="J884" s="6">
        <v>470</v>
      </c>
      <c r="K884" s="6">
        <v>1</v>
      </c>
      <c r="L884" s="10">
        <f t="shared" si="18"/>
        <v>0.41039999999999999</v>
      </c>
      <c r="M884" s="6" t="s">
        <v>43</v>
      </c>
      <c r="N884" s="6"/>
      <c r="O884" s="6"/>
      <c r="P884" s="17" t="s">
        <v>54</v>
      </c>
      <c r="Q884" s="17" t="s">
        <v>54</v>
      </c>
      <c r="R884" s="17" t="s">
        <v>54</v>
      </c>
    </row>
    <row r="885" spans="1:18" ht="30" customHeight="1" x14ac:dyDescent="0.3">
      <c r="A885" s="7">
        <v>45833.347152199072</v>
      </c>
      <c r="B885" s="6" t="s">
        <v>4</v>
      </c>
      <c r="C885" s="6"/>
      <c r="D885" s="6" t="str">
        <f>VLOOKUP(B885,'Veri doğrulama'!$D$6:$E$13,2,0)</f>
        <v>MEHMET YAZICI</v>
      </c>
      <c r="E885" s="6" t="s">
        <v>886</v>
      </c>
      <c r="F885" s="6" t="s">
        <v>884</v>
      </c>
      <c r="G885" s="6" t="s">
        <v>19</v>
      </c>
      <c r="H885" s="6" t="s">
        <v>34</v>
      </c>
      <c r="I885" s="6">
        <v>539</v>
      </c>
      <c r="J885" s="6">
        <v>250</v>
      </c>
      <c r="K885" s="6">
        <v>1</v>
      </c>
      <c r="L885" s="10">
        <f t="shared" si="18"/>
        <v>2.3003999999999998</v>
      </c>
      <c r="M885" s="6" t="s">
        <v>103</v>
      </c>
      <c r="N885" s="6"/>
      <c r="O885" s="6"/>
      <c r="P885" s="17" t="s">
        <v>54</v>
      </c>
      <c r="Q885" s="17" t="s">
        <v>54</v>
      </c>
      <c r="R885" s="17" t="s">
        <v>54</v>
      </c>
    </row>
    <row r="886" spans="1:18" ht="30" customHeight="1" x14ac:dyDescent="0.3">
      <c r="A886" s="7">
        <v>45833.346613078706</v>
      </c>
      <c r="B886" s="6" t="s">
        <v>5</v>
      </c>
      <c r="C886" s="6"/>
      <c r="D886" s="6" t="str">
        <f>VLOOKUP(B886,'Veri doğrulama'!$D$6:$E$13,2,0)</f>
        <v>MEHMET ÖZEN</v>
      </c>
      <c r="E886" s="6"/>
      <c r="F886" s="6" t="s">
        <v>882</v>
      </c>
      <c r="G886" s="6" t="s">
        <v>24</v>
      </c>
      <c r="H886" s="6" t="s">
        <v>34</v>
      </c>
      <c r="I886" s="6">
        <v>705</v>
      </c>
      <c r="J886" s="6">
        <v>420</v>
      </c>
      <c r="K886" s="6">
        <v>1</v>
      </c>
      <c r="L886" s="10">
        <f t="shared" si="18"/>
        <v>0.54049999999999998</v>
      </c>
      <c r="M886" s="6" t="s">
        <v>102</v>
      </c>
      <c r="N886" s="6"/>
      <c r="O886" s="6"/>
      <c r="P886" s="17" t="s">
        <v>54</v>
      </c>
      <c r="Q886" s="17" t="s">
        <v>54</v>
      </c>
      <c r="R886" s="17" t="s">
        <v>54</v>
      </c>
    </row>
    <row r="887" spans="1:18" ht="30" customHeight="1" x14ac:dyDescent="0.3">
      <c r="A887" s="7">
        <v>45832.644916319441</v>
      </c>
      <c r="B887" s="6" t="s">
        <v>5</v>
      </c>
      <c r="C887" s="6"/>
      <c r="D887" s="6" t="str">
        <f>VLOOKUP(B887,'Veri doğrulama'!$D$6:$E$13,2,0)</f>
        <v>MEHMET ÖZEN</v>
      </c>
      <c r="E887" s="6" t="s">
        <v>883</v>
      </c>
      <c r="F887" s="6" t="s">
        <v>880</v>
      </c>
      <c r="G887" s="6" t="s">
        <v>24</v>
      </c>
      <c r="H887" s="6" t="s">
        <v>34</v>
      </c>
      <c r="I887" s="6">
        <v>2000</v>
      </c>
      <c r="J887" s="6">
        <v>600</v>
      </c>
      <c r="K887" s="6">
        <v>1</v>
      </c>
      <c r="L887" s="10">
        <f t="shared" si="18"/>
        <v>0.13475000000000001</v>
      </c>
      <c r="M887" s="6" t="s">
        <v>102</v>
      </c>
      <c r="N887" s="6" t="s">
        <v>881</v>
      </c>
      <c r="O887" s="6"/>
      <c r="P887" s="17" t="s">
        <v>54</v>
      </c>
      <c r="Q887" s="17" t="s">
        <v>54</v>
      </c>
      <c r="R887" s="17" t="s">
        <v>54</v>
      </c>
    </row>
    <row r="888" spans="1:18" ht="30" customHeight="1" x14ac:dyDescent="0.3">
      <c r="A888" s="7">
        <v>45832.600476736108</v>
      </c>
      <c r="B888" s="6" t="s">
        <v>4</v>
      </c>
      <c r="C888" s="6"/>
      <c r="D888" s="6" t="str">
        <f>VLOOKUP(B888,'Veri doğrulama'!$D$6:$E$13,2,0)</f>
        <v>MEHMET YAZICI</v>
      </c>
      <c r="E888" s="6" t="s">
        <v>878</v>
      </c>
      <c r="F888" s="6" t="s">
        <v>879</v>
      </c>
      <c r="G888" s="6" t="s">
        <v>26</v>
      </c>
      <c r="H888" s="6" t="s">
        <v>34</v>
      </c>
      <c r="I888" s="6">
        <v>2370</v>
      </c>
      <c r="J888" s="6">
        <v>128</v>
      </c>
      <c r="K888" s="6">
        <v>1</v>
      </c>
      <c r="L888" s="10">
        <f t="shared" si="18"/>
        <v>0.29609999999999997</v>
      </c>
      <c r="M888" s="6" t="s">
        <v>42</v>
      </c>
      <c r="N888" s="6"/>
      <c r="O888" s="6"/>
      <c r="P888" s="17" t="s">
        <v>54</v>
      </c>
      <c r="Q888" s="17" t="s">
        <v>54</v>
      </c>
      <c r="R888" s="17" t="s">
        <v>54</v>
      </c>
    </row>
    <row r="889" spans="1:18" ht="30" customHeight="1" x14ac:dyDescent="0.3">
      <c r="A889" s="7">
        <v>45832.460525000002</v>
      </c>
      <c r="B889" s="6" t="s">
        <v>4</v>
      </c>
      <c r="C889" s="6"/>
      <c r="D889" s="6" t="str">
        <f>VLOOKUP(B889,'Veri doğrulama'!$D$6:$E$13,2,0)</f>
        <v>MEHMET YAZICI</v>
      </c>
      <c r="E889" s="6" t="s">
        <v>878</v>
      </c>
      <c r="F889" s="6" t="s">
        <v>143</v>
      </c>
      <c r="G889" s="6" t="s">
        <v>24</v>
      </c>
      <c r="H889" s="6" t="s">
        <v>35</v>
      </c>
      <c r="I889" s="6">
        <v>2000</v>
      </c>
      <c r="J889" s="6">
        <v>600</v>
      </c>
      <c r="K889" s="6">
        <v>1</v>
      </c>
      <c r="L889" s="10">
        <f t="shared" si="18"/>
        <v>1.2</v>
      </c>
      <c r="M889" s="6" t="s">
        <v>43</v>
      </c>
      <c r="N889" s="6"/>
      <c r="O889" s="6"/>
      <c r="P889" s="17" t="s">
        <v>54</v>
      </c>
      <c r="Q889" s="17" t="s">
        <v>54</v>
      </c>
      <c r="R889" s="17" t="s">
        <v>54</v>
      </c>
    </row>
    <row r="890" spans="1:18" ht="30" customHeight="1" x14ac:dyDescent="0.3">
      <c r="A890" s="7">
        <v>45832.453333217592</v>
      </c>
      <c r="B890" s="6" t="s">
        <v>5</v>
      </c>
      <c r="C890" s="6"/>
      <c r="D890" s="6" t="str">
        <f>VLOOKUP(B890,'Veri doğrulama'!$D$6:$E$13,2,0)</f>
        <v>MEHMET ÖZEN</v>
      </c>
      <c r="E890" s="6"/>
      <c r="F890" s="6" t="s">
        <v>877</v>
      </c>
      <c r="G890" s="6" t="s">
        <v>26</v>
      </c>
      <c r="H890" s="6" t="s">
        <v>34</v>
      </c>
      <c r="I890" s="6">
        <v>1802</v>
      </c>
      <c r="J890" s="6">
        <v>502</v>
      </c>
      <c r="K890" s="6">
        <v>1</v>
      </c>
      <c r="L890" s="10">
        <f t="shared" si="18"/>
        <v>0.30336000000000002</v>
      </c>
      <c r="M890" s="6" t="s">
        <v>156</v>
      </c>
      <c r="N890" s="6"/>
      <c r="O890" s="6"/>
      <c r="P890" s="17" t="s">
        <v>54</v>
      </c>
      <c r="Q890" s="17" t="s">
        <v>54</v>
      </c>
      <c r="R890" s="17" t="s">
        <v>54</v>
      </c>
    </row>
    <row r="891" spans="1:18" ht="30" customHeight="1" x14ac:dyDescent="0.3">
      <c r="A891" s="7">
        <v>45832.440853819448</v>
      </c>
      <c r="B891" s="6" t="s">
        <v>4</v>
      </c>
      <c r="C891" s="6"/>
      <c r="D891" s="6" t="str">
        <f>VLOOKUP(B891,'Veri doğrulama'!$D$6:$E$13,2,0)</f>
        <v>MEHMET YAZICI</v>
      </c>
      <c r="E891" s="6" t="s">
        <v>878</v>
      </c>
      <c r="F891" s="6" t="s">
        <v>876</v>
      </c>
      <c r="G891" s="6" t="s">
        <v>18</v>
      </c>
      <c r="H891" s="6" t="s">
        <v>35</v>
      </c>
      <c r="I891" s="6">
        <v>1800</v>
      </c>
      <c r="J891" s="6">
        <v>940</v>
      </c>
      <c r="K891" s="6">
        <v>1</v>
      </c>
      <c r="L891" s="10">
        <f t="shared" si="18"/>
        <v>1.2</v>
      </c>
      <c r="M891" s="6" t="s">
        <v>42</v>
      </c>
      <c r="N891" s="6"/>
      <c r="O891" s="6"/>
      <c r="P891" s="17" t="s">
        <v>54</v>
      </c>
      <c r="Q891" s="17" t="s">
        <v>54</v>
      </c>
      <c r="R891" s="17" t="s">
        <v>54</v>
      </c>
    </row>
    <row r="892" spans="1:18" ht="30" customHeight="1" x14ac:dyDescent="0.3">
      <c r="A892" s="7">
        <v>45832.38495162037</v>
      </c>
      <c r="B892" s="6" t="s">
        <v>5</v>
      </c>
      <c r="C892" s="6"/>
      <c r="D892" s="6" t="str">
        <f>VLOOKUP(B892,'Veri doğrulama'!$D$6:$E$13,2,0)</f>
        <v>MEHMET ÖZEN</v>
      </c>
      <c r="E892" s="6"/>
      <c r="F892" s="6" t="s">
        <v>875</v>
      </c>
      <c r="G892" s="6" t="s">
        <v>146</v>
      </c>
      <c r="H892" s="6" t="s">
        <v>34</v>
      </c>
      <c r="I892" s="6">
        <v>1420</v>
      </c>
      <c r="J892" s="6">
        <v>1420</v>
      </c>
      <c r="K892" s="6">
        <v>1</v>
      </c>
      <c r="L892" s="10">
        <f t="shared" si="18"/>
        <v>0.90460399999999996</v>
      </c>
      <c r="M892" s="6" t="s">
        <v>42</v>
      </c>
      <c r="N892" s="6" t="s">
        <v>411</v>
      </c>
      <c r="O892" s="6"/>
      <c r="P892" s="17" t="s">
        <v>54</v>
      </c>
      <c r="Q892" s="17" t="s">
        <v>54</v>
      </c>
      <c r="R892" s="17" t="s">
        <v>54</v>
      </c>
    </row>
    <row r="893" spans="1:18" ht="30" customHeight="1" x14ac:dyDescent="0.3">
      <c r="A893" s="7">
        <v>45831.658576504633</v>
      </c>
      <c r="B893" s="6" t="s">
        <v>5</v>
      </c>
      <c r="C893" s="6"/>
      <c r="D893" s="6" t="str">
        <f>VLOOKUP(B893,'Veri doğrulama'!$D$6:$E$13,2,0)</f>
        <v>MEHMET ÖZEN</v>
      </c>
      <c r="E893" s="6"/>
      <c r="F893" s="6" t="s">
        <v>873</v>
      </c>
      <c r="G893" s="6" t="s">
        <v>24</v>
      </c>
      <c r="H893" s="6" t="s">
        <v>34</v>
      </c>
      <c r="I893" s="6">
        <v>499</v>
      </c>
      <c r="J893" s="6">
        <v>264</v>
      </c>
      <c r="K893" s="6">
        <v>1</v>
      </c>
      <c r="L893" s="10">
        <f t="shared" si="18"/>
        <v>1.6919999999999999</v>
      </c>
      <c r="M893" s="6" t="s">
        <v>103</v>
      </c>
      <c r="N893" s="6"/>
      <c r="O893" s="6"/>
      <c r="P893" s="17" t="s">
        <v>54</v>
      </c>
      <c r="Q893" s="17" t="s">
        <v>54</v>
      </c>
      <c r="R893" s="17" t="s">
        <v>54</v>
      </c>
    </row>
    <row r="894" spans="1:18" ht="30" customHeight="1" x14ac:dyDescent="0.3">
      <c r="A894" s="7">
        <v>45831.649819560182</v>
      </c>
      <c r="B894" s="6" t="s">
        <v>5</v>
      </c>
      <c r="C894" s="6"/>
      <c r="D894" s="6" t="str">
        <f>VLOOKUP(B894,'Veri doğrulama'!$D$6:$E$13,2,0)</f>
        <v>MEHMET ÖZEN</v>
      </c>
      <c r="E894" s="6" t="s">
        <v>874</v>
      </c>
      <c r="F894" s="6" t="s">
        <v>870</v>
      </c>
      <c r="G894" s="6" t="s">
        <v>22</v>
      </c>
      <c r="H894" s="6" t="s">
        <v>34</v>
      </c>
      <c r="I894" s="6">
        <v>1040</v>
      </c>
      <c r="J894" s="6">
        <v>1100</v>
      </c>
      <c r="K894" s="6">
        <v>1</v>
      </c>
      <c r="L894" s="10">
        <f t="shared" si="18"/>
        <v>2.0164</v>
      </c>
      <c r="M894" s="6" t="s">
        <v>42</v>
      </c>
      <c r="N894" s="6" t="s">
        <v>871</v>
      </c>
      <c r="O894" s="6"/>
      <c r="P894" s="17" t="s">
        <v>54</v>
      </c>
      <c r="Q894" s="17" t="s">
        <v>54</v>
      </c>
      <c r="R894" s="17" t="s">
        <v>54</v>
      </c>
    </row>
    <row r="895" spans="1:18" ht="30" customHeight="1" x14ac:dyDescent="0.3">
      <c r="A895" s="7">
        <v>45831.618547569444</v>
      </c>
      <c r="B895" s="6" t="s">
        <v>5</v>
      </c>
      <c r="C895" s="6"/>
      <c r="D895" s="6" t="str">
        <f>VLOOKUP(B895,'Veri doğrulama'!$D$6:$E$13,2,0)</f>
        <v>MEHMET ÖZEN</v>
      </c>
      <c r="E895" s="6" t="s">
        <v>872</v>
      </c>
      <c r="F895" s="6" t="s">
        <v>869</v>
      </c>
      <c r="G895" s="6" t="s">
        <v>18</v>
      </c>
      <c r="H895" s="6" t="s">
        <v>34</v>
      </c>
      <c r="I895" s="6">
        <v>2386</v>
      </c>
      <c r="J895" s="6">
        <v>350</v>
      </c>
      <c r="K895" s="6">
        <v>1</v>
      </c>
      <c r="L895" s="10">
        <f t="shared" si="18"/>
        <v>0.13173599999999999</v>
      </c>
      <c r="M895" s="6" t="s">
        <v>42</v>
      </c>
      <c r="N895" s="6"/>
      <c r="O895" s="6"/>
      <c r="P895" s="17" t="s">
        <v>54</v>
      </c>
      <c r="Q895" s="17" t="s">
        <v>54</v>
      </c>
      <c r="R895" s="17" t="s">
        <v>54</v>
      </c>
    </row>
    <row r="896" spans="1:18" ht="30" customHeight="1" x14ac:dyDescent="0.3">
      <c r="A896" s="7">
        <v>45831.610110995367</v>
      </c>
      <c r="B896" s="6" t="s">
        <v>5</v>
      </c>
      <c r="C896" s="6"/>
      <c r="D896" s="6" t="str">
        <f>VLOOKUP(B896,'Veri doğrulama'!$D$6:$E$13,2,0)</f>
        <v>MEHMET ÖZEN</v>
      </c>
      <c r="E896" s="6"/>
      <c r="F896" s="6" t="s">
        <v>867</v>
      </c>
      <c r="G896" s="6" t="s">
        <v>26</v>
      </c>
      <c r="H896" s="6" t="s">
        <v>34</v>
      </c>
      <c r="I896" s="6">
        <v>410</v>
      </c>
      <c r="J896" s="6">
        <v>599</v>
      </c>
      <c r="K896" s="6">
        <v>1</v>
      </c>
      <c r="L896" s="10">
        <f t="shared" si="18"/>
        <v>1.1439999999999999</v>
      </c>
      <c r="M896" s="6" t="s">
        <v>103</v>
      </c>
      <c r="N896" s="6"/>
      <c r="O896" s="6"/>
      <c r="P896" s="17" t="s">
        <v>54</v>
      </c>
      <c r="Q896" s="17" t="s">
        <v>54</v>
      </c>
      <c r="R896" s="17" t="s">
        <v>54</v>
      </c>
    </row>
    <row r="897" spans="1:18" ht="30" customHeight="1" x14ac:dyDescent="0.3">
      <c r="A897" s="7">
        <v>45831.562573148149</v>
      </c>
      <c r="B897" s="6" t="s">
        <v>4</v>
      </c>
      <c r="C897" s="6"/>
      <c r="D897" s="6" t="str">
        <f>VLOOKUP(B897,'Veri doğrulama'!$D$6:$E$13,2,0)</f>
        <v>MEHMET YAZICI</v>
      </c>
      <c r="E897" s="6" t="s">
        <v>868</v>
      </c>
      <c r="F897" s="6" t="s">
        <v>131</v>
      </c>
      <c r="G897" s="6" t="s">
        <v>18</v>
      </c>
      <c r="H897" s="6" t="s">
        <v>35</v>
      </c>
      <c r="I897" s="6">
        <v>546</v>
      </c>
      <c r="J897" s="6">
        <v>546</v>
      </c>
      <c r="K897" s="6">
        <v>1</v>
      </c>
      <c r="L897" s="10">
        <f t="shared" si="18"/>
        <v>0.83509999999999995</v>
      </c>
      <c r="M897" s="6" t="s">
        <v>103</v>
      </c>
      <c r="N897" s="6"/>
      <c r="O897" s="6"/>
      <c r="P897" s="17" t="s">
        <v>54</v>
      </c>
      <c r="Q897" s="17" t="s">
        <v>54</v>
      </c>
      <c r="R897" s="17" t="s">
        <v>54</v>
      </c>
    </row>
    <row r="898" spans="1:18" ht="30" customHeight="1" x14ac:dyDescent="0.3">
      <c r="A898" s="7">
        <v>45831.559455208335</v>
      </c>
      <c r="B898" s="6" t="s">
        <v>4</v>
      </c>
      <c r="C898" s="6"/>
      <c r="D898" s="6" t="str">
        <f>VLOOKUP(B898,'Veri doğrulama'!$D$6:$E$13,2,0)</f>
        <v>MEHMET YAZICI</v>
      </c>
      <c r="E898" s="6"/>
      <c r="F898" s="6" t="s">
        <v>131</v>
      </c>
      <c r="G898" s="6" t="s">
        <v>18</v>
      </c>
      <c r="H898" s="6" t="s">
        <v>34</v>
      </c>
      <c r="I898" s="6">
        <v>546</v>
      </c>
      <c r="J898" s="6">
        <v>523</v>
      </c>
      <c r="K898" s="6">
        <v>1</v>
      </c>
      <c r="L898" s="10">
        <f t="shared" si="18"/>
        <v>0.24559</v>
      </c>
      <c r="M898" s="6" t="s">
        <v>103</v>
      </c>
      <c r="N898" s="6"/>
      <c r="O898" s="6"/>
      <c r="P898" s="17" t="s">
        <v>54</v>
      </c>
      <c r="Q898" s="17" t="s">
        <v>54</v>
      </c>
      <c r="R898" s="17" t="s">
        <v>54</v>
      </c>
    </row>
    <row r="899" spans="1:18" ht="30" customHeight="1" x14ac:dyDescent="0.3">
      <c r="A899" s="7">
        <v>45831.556557407406</v>
      </c>
      <c r="B899" s="6" t="s">
        <v>5</v>
      </c>
      <c r="C899" s="6"/>
      <c r="D899" s="6" t="str">
        <f>VLOOKUP(B899,'Veri doğrulama'!$D$6:$E$13,2,0)</f>
        <v>MEHMET ÖZEN</v>
      </c>
      <c r="E899" s="6"/>
      <c r="F899" s="6" t="s">
        <v>866</v>
      </c>
      <c r="G899" s="6" t="s">
        <v>18</v>
      </c>
      <c r="H899" s="6" t="s">
        <v>34</v>
      </c>
      <c r="I899" s="6">
        <v>1620</v>
      </c>
      <c r="J899" s="6">
        <v>1420</v>
      </c>
      <c r="K899" s="6">
        <v>1</v>
      </c>
      <c r="L899" s="10">
        <f t="shared" si="18"/>
        <v>0.29811599999999999</v>
      </c>
      <c r="M899" s="6" t="s">
        <v>103</v>
      </c>
      <c r="N899" s="6" t="s">
        <v>411</v>
      </c>
      <c r="O899" s="6"/>
      <c r="P899" s="17" t="s">
        <v>54</v>
      </c>
      <c r="Q899" s="17" t="s">
        <v>54</v>
      </c>
      <c r="R899" s="17" t="s">
        <v>54</v>
      </c>
    </row>
    <row r="900" spans="1:18" ht="30" customHeight="1" x14ac:dyDescent="0.3">
      <c r="A900" s="7">
        <v>45831.443302199077</v>
      </c>
      <c r="B900" s="6" t="s">
        <v>5</v>
      </c>
      <c r="C900" s="6"/>
      <c r="D900" s="6" t="str">
        <f>VLOOKUP(B900,'Veri doğrulama'!$D$6:$E$13,2,0)</f>
        <v>MEHMET ÖZEN</v>
      </c>
      <c r="E900" s="6"/>
      <c r="F900" s="6" t="s">
        <v>864</v>
      </c>
      <c r="G900" s="6" t="s">
        <v>18</v>
      </c>
      <c r="H900" s="6" t="s">
        <v>34</v>
      </c>
      <c r="I900" s="6">
        <v>1810</v>
      </c>
      <c r="J900" s="6">
        <v>545</v>
      </c>
      <c r="K900" s="6">
        <v>1</v>
      </c>
      <c r="L900" s="10">
        <f t="shared" si="18"/>
        <v>0.28555799999999998</v>
      </c>
      <c r="M900" s="6" t="s">
        <v>103</v>
      </c>
      <c r="N900" s="6" t="s">
        <v>411</v>
      </c>
      <c r="O900" s="6"/>
      <c r="P900" s="17" t="s">
        <v>54</v>
      </c>
      <c r="Q900" s="17" t="s">
        <v>54</v>
      </c>
      <c r="R900" s="17" t="s">
        <v>54</v>
      </c>
    </row>
    <row r="901" spans="1:18" ht="30" customHeight="1" x14ac:dyDescent="0.3">
      <c r="A901" s="7">
        <v>45831.400947916663</v>
      </c>
      <c r="B901" s="6" t="s">
        <v>4</v>
      </c>
      <c r="C901" s="6"/>
      <c r="D901" s="6" t="str">
        <f>VLOOKUP(B901,'Veri doğrulama'!$D$6:$E$13,2,0)</f>
        <v>MEHMET YAZICI</v>
      </c>
      <c r="E901" s="6" t="s">
        <v>865</v>
      </c>
      <c r="F901" s="6" t="s">
        <v>862</v>
      </c>
      <c r="G901" s="6" t="s">
        <v>26</v>
      </c>
      <c r="H901" s="6" t="s">
        <v>34</v>
      </c>
      <c r="I901" s="6">
        <v>1786</v>
      </c>
      <c r="J901" s="6">
        <v>600</v>
      </c>
      <c r="K901" s="6">
        <v>1</v>
      </c>
      <c r="L901" s="10">
        <f t="shared" si="18"/>
        <v>2.3003999999999998</v>
      </c>
      <c r="M901" s="6" t="s">
        <v>75</v>
      </c>
      <c r="N901" s="6"/>
      <c r="O901" s="6"/>
      <c r="P901" s="17" t="s">
        <v>54</v>
      </c>
      <c r="Q901" s="17" t="s">
        <v>54</v>
      </c>
      <c r="R901" s="17" t="s">
        <v>54</v>
      </c>
    </row>
    <row r="902" spans="1:18" ht="30" customHeight="1" x14ac:dyDescent="0.3">
      <c r="A902" s="7">
        <v>45828.622710185184</v>
      </c>
      <c r="B902" s="6" t="s">
        <v>4</v>
      </c>
      <c r="C902" s="6"/>
      <c r="D902" s="6" t="str">
        <f>VLOOKUP(B902,'Veri doğrulama'!$D$6:$E$13,2,0)</f>
        <v>MEHMET YAZICI</v>
      </c>
      <c r="E902" s="6" t="s">
        <v>863</v>
      </c>
      <c r="F902" s="6" t="s">
        <v>859</v>
      </c>
      <c r="G902" s="6" t="s">
        <v>19</v>
      </c>
      <c r="H902" s="6" t="s">
        <v>34</v>
      </c>
      <c r="I902" s="6">
        <v>1815</v>
      </c>
      <c r="J902" s="6">
        <v>397</v>
      </c>
      <c r="K902" s="6">
        <v>1</v>
      </c>
      <c r="L902" s="10">
        <f t="shared" si="18"/>
        <v>0.98645000000000005</v>
      </c>
      <c r="M902" s="6" t="s">
        <v>42</v>
      </c>
      <c r="N902" s="6" t="s">
        <v>715</v>
      </c>
      <c r="O902" s="6"/>
      <c r="P902" s="17" t="s">
        <v>54</v>
      </c>
      <c r="Q902" s="17" t="s">
        <v>54</v>
      </c>
      <c r="R902" s="17" t="s">
        <v>54</v>
      </c>
    </row>
    <row r="903" spans="1:18" ht="30" customHeight="1" x14ac:dyDescent="0.3">
      <c r="A903" s="7">
        <v>45827.761760185182</v>
      </c>
      <c r="B903" s="6" t="s">
        <v>152</v>
      </c>
      <c r="C903" s="6"/>
      <c r="D903" s="6" t="str">
        <f>VLOOKUP(B903,'Veri doğrulama'!$D$6:$E$13,2,0)</f>
        <v>EYÜP GÜMÜŞ</v>
      </c>
      <c r="E903" s="6" t="s">
        <v>861</v>
      </c>
      <c r="F903" s="6" t="s">
        <v>858</v>
      </c>
      <c r="G903" s="6" t="s">
        <v>18</v>
      </c>
      <c r="H903" s="6" t="s">
        <v>34</v>
      </c>
      <c r="I903" s="6">
        <v>1810</v>
      </c>
      <c r="J903" s="6">
        <v>545</v>
      </c>
      <c r="K903" s="6">
        <v>1</v>
      </c>
      <c r="L903" s="10">
        <f t="shared" si="18"/>
        <v>1.0716000000000001</v>
      </c>
      <c r="M903" s="6" t="s">
        <v>103</v>
      </c>
      <c r="N903" s="6" t="s">
        <v>153</v>
      </c>
      <c r="O903" s="6"/>
      <c r="P903" s="17" t="s">
        <v>54</v>
      </c>
      <c r="Q903" s="17" t="s">
        <v>54</v>
      </c>
      <c r="R903" s="17" t="s">
        <v>54</v>
      </c>
    </row>
    <row r="904" spans="1:18" ht="30" customHeight="1" x14ac:dyDescent="0.3">
      <c r="A904" s="7">
        <v>45827.472807060185</v>
      </c>
      <c r="B904" s="6" t="s">
        <v>4</v>
      </c>
      <c r="C904" s="6"/>
      <c r="D904" s="6" t="str">
        <f>VLOOKUP(B904,'Veri doğrulama'!$D$6:$E$13,2,0)</f>
        <v>MEHMET YAZICI</v>
      </c>
      <c r="E904" s="6"/>
      <c r="F904" s="6" t="s">
        <v>677</v>
      </c>
      <c r="G904" s="6" t="s">
        <v>16</v>
      </c>
      <c r="H904" s="6" t="s">
        <v>34</v>
      </c>
      <c r="I904" s="6">
        <v>450</v>
      </c>
      <c r="J904" s="6">
        <v>600</v>
      </c>
      <c r="K904" s="6">
        <v>1</v>
      </c>
      <c r="L904" s="10">
        <f t="shared" si="18"/>
        <v>0.72055499999999995</v>
      </c>
      <c r="M904" s="6" t="s">
        <v>156</v>
      </c>
      <c r="N904" s="6"/>
      <c r="O904" s="6"/>
      <c r="P904" s="17" t="s">
        <v>54</v>
      </c>
      <c r="Q904" s="17" t="s">
        <v>54</v>
      </c>
      <c r="R904" s="17" t="s">
        <v>54</v>
      </c>
    </row>
    <row r="905" spans="1:18" ht="30" customHeight="1" x14ac:dyDescent="0.3">
      <c r="A905" s="7">
        <v>45826.607590740743</v>
      </c>
      <c r="B905" s="6" t="s">
        <v>7</v>
      </c>
      <c r="C905" s="6"/>
      <c r="D905" s="6" t="str">
        <f>VLOOKUP(B905,'Veri doğrulama'!$D$6:$E$13,2,0)</f>
        <v>SIDDIK KAPLAN</v>
      </c>
      <c r="E905" s="6"/>
      <c r="F905" s="6" t="s">
        <v>857</v>
      </c>
      <c r="G905" s="6" t="s">
        <v>16</v>
      </c>
      <c r="H905" s="6" t="s">
        <v>34</v>
      </c>
      <c r="I905" s="6">
        <v>2386</v>
      </c>
      <c r="J905" s="6">
        <v>936</v>
      </c>
      <c r="K905" s="6">
        <v>1</v>
      </c>
      <c r="L905" s="10">
        <f t="shared" si="18"/>
        <v>0.98645000000000005</v>
      </c>
      <c r="M905" s="6" t="s">
        <v>252</v>
      </c>
      <c r="N905" s="6"/>
      <c r="O905" s="6"/>
      <c r="P905" s="17" t="s">
        <v>54</v>
      </c>
      <c r="Q905" s="17" t="s">
        <v>54</v>
      </c>
      <c r="R905" s="17" t="s">
        <v>54</v>
      </c>
    </row>
    <row r="906" spans="1:18" ht="30" customHeight="1" x14ac:dyDescent="0.3">
      <c r="A906" s="7">
        <v>45826.568035069446</v>
      </c>
      <c r="B906" s="6" t="s">
        <v>5</v>
      </c>
      <c r="C906" s="6"/>
      <c r="D906" s="6" t="str">
        <f>VLOOKUP(B906,'Veri doğrulama'!$D$6:$E$13,2,0)</f>
        <v>MEHMET ÖZEN</v>
      </c>
      <c r="E906" s="6"/>
      <c r="F906" s="6" t="s">
        <v>856</v>
      </c>
      <c r="G906" s="6" t="s">
        <v>19</v>
      </c>
      <c r="H906" s="6" t="s">
        <v>34</v>
      </c>
      <c r="I906" s="6">
        <v>600</v>
      </c>
      <c r="J906" s="6">
        <v>450</v>
      </c>
      <c r="K906" s="6">
        <v>2</v>
      </c>
      <c r="L906" s="10">
        <f t="shared" si="18"/>
        <v>0.54</v>
      </c>
      <c r="M906" s="6" t="s">
        <v>103</v>
      </c>
      <c r="N906" s="6"/>
      <c r="O906" s="6"/>
      <c r="P906" s="17" t="s">
        <v>54</v>
      </c>
      <c r="Q906" s="17" t="s">
        <v>54</v>
      </c>
      <c r="R906" s="17" t="s">
        <v>54</v>
      </c>
    </row>
    <row r="907" spans="1:18" ht="30" customHeight="1" x14ac:dyDescent="0.3">
      <c r="A907" s="7">
        <v>45825.742071064815</v>
      </c>
      <c r="B907" s="6" t="s">
        <v>6</v>
      </c>
      <c r="C907" s="6"/>
      <c r="D907" s="6" t="str">
        <f>VLOOKUP(B907,'Veri doğrulama'!$D$6:$E$13,2,0)</f>
        <v>SERVET KAPLAN</v>
      </c>
      <c r="E907" s="6"/>
      <c r="F907" s="6" t="s">
        <v>855</v>
      </c>
      <c r="G907" s="6" t="s">
        <v>13</v>
      </c>
      <c r="H907" s="6" t="s">
        <v>34</v>
      </c>
      <c r="I907" s="6">
        <v>1800</v>
      </c>
      <c r="J907" s="6">
        <v>800</v>
      </c>
      <c r="K907" s="6">
        <v>1</v>
      </c>
      <c r="L907" s="10">
        <f t="shared" si="18"/>
        <v>2.2332960000000002</v>
      </c>
      <c r="M907" s="6" t="s">
        <v>43</v>
      </c>
      <c r="N907" s="6" t="s">
        <v>860</v>
      </c>
      <c r="O907" s="6"/>
      <c r="P907" s="17" t="s">
        <v>54</v>
      </c>
      <c r="Q907" s="17" t="s">
        <v>54</v>
      </c>
      <c r="R907" s="17" t="s">
        <v>54</v>
      </c>
    </row>
    <row r="908" spans="1:18" ht="30" customHeight="1" x14ac:dyDescent="0.3">
      <c r="A908" s="7">
        <v>45825.534466550926</v>
      </c>
      <c r="B908" s="6" t="s">
        <v>4</v>
      </c>
      <c r="C908" s="6"/>
      <c r="D908" s="6" t="str">
        <f>VLOOKUP(B908,'Veri doğrulama'!$D$6:$E$13,2,0)</f>
        <v>MEHMET YAZICI</v>
      </c>
      <c r="E908" s="6"/>
      <c r="F908" s="6" t="s">
        <v>262</v>
      </c>
      <c r="G908" s="6" t="s">
        <v>24</v>
      </c>
      <c r="H908" s="6" t="s">
        <v>35</v>
      </c>
      <c r="I908" s="6">
        <v>447</v>
      </c>
      <c r="J908" s="6">
        <v>695</v>
      </c>
      <c r="K908" s="6">
        <v>1</v>
      </c>
      <c r="L908" s="10">
        <f t="shared" si="18"/>
        <v>0.27</v>
      </c>
      <c r="M908" s="6" t="s">
        <v>75</v>
      </c>
      <c r="N908" s="6"/>
      <c r="O908" s="6"/>
      <c r="P908" s="17" t="s">
        <v>54</v>
      </c>
      <c r="Q908" s="17" t="s">
        <v>54</v>
      </c>
      <c r="R908" s="17" t="s">
        <v>54</v>
      </c>
    </row>
    <row r="909" spans="1:18" ht="30" customHeight="1" x14ac:dyDescent="0.3">
      <c r="A909" s="7">
        <v>45824.565066435185</v>
      </c>
      <c r="B909" s="6" t="s">
        <v>4</v>
      </c>
      <c r="C909" s="6"/>
      <c r="D909" s="6" t="str">
        <f>VLOOKUP(B909,'Veri doğrulama'!$D$6:$E$13,2,0)</f>
        <v>MEHMET YAZICI</v>
      </c>
      <c r="E909" s="6"/>
      <c r="F909" s="6" t="s">
        <v>133</v>
      </c>
      <c r="G909" s="6" t="s">
        <v>16</v>
      </c>
      <c r="H909" s="6" t="s">
        <v>34</v>
      </c>
      <c r="I909" s="6">
        <v>435</v>
      </c>
      <c r="J909" s="6">
        <v>447</v>
      </c>
      <c r="K909" s="6">
        <v>1</v>
      </c>
      <c r="L909" s="10">
        <f t="shared" si="18"/>
        <v>1.44</v>
      </c>
      <c r="M909" s="6" t="s">
        <v>43</v>
      </c>
      <c r="N909" s="6" t="s">
        <v>339</v>
      </c>
      <c r="O909" s="6"/>
      <c r="P909" s="17" t="s">
        <v>54</v>
      </c>
      <c r="Q909" s="17" t="s">
        <v>54</v>
      </c>
      <c r="R909" s="17" t="s">
        <v>54</v>
      </c>
    </row>
    <row r="910" spans="1:18" ht="30" customHeight="1" x14ac:dyDescent="0.3">
      <c r="A910" s="7">
        <v>45824.564347800922</v>
      </c>
      <c r="B910" s="6" t="s">
        <v>5</v>
      </c>
      <c r="C910" s="6"/>
      <c r="D910" s="6" t="str">
        <f>VLOOKUP(B910,'Veri doğrulama'!$D$6:$E$13,2,0)</f>
        <v>MEHMET ÖZEN</v>
      </c>
      <c r="E910" s="6"/>
      <c r="F910" s="6" t="s">
        <v>194</v>
      </c>
      <c r="G910" s="6" t="s">
        <v>16</v>
      </c>
      <c r="H910" s="6" t="s">
        <v>34</v>
      </c>
      <c r="I910" s="6">
        <v>1200</v>
      </c>
      <c r="J910" s="6">
        <v>1400</v>
      </c>
      <c r="K910" s="6">
        <v>1</v>
      </c>
      <c r="L910" s="10">
        <f t="shared" si="18"/>
        <v>0.31066500000000002</v>
      </c>
      <c r="M910" s="6" t="s">
        <v>156</v>
      </c>
      <c r="N910" s="6"/>
      <c r="O910" s="6"/>
      <c r="P910" s="17" t="s">
        <v>54</v>
      </c>
      <c r="Q910" s="17" t="s">
        <v>54</v>
      </c>
      <c r="R910" s="17" t="s">
        <v>54</v>
      </c>
    </row>
    <row r="911" spans="1:18" ht="30" customHeight="1" x14ac:dyDescent="0.3">
      <c r="A911" s="7">
        <v>45824.396997569442</v>
      </c>
      <c r="B911" s="6" t="s">
        <v>5</v>
      </c>
      <c r="C911" s="6"/>
      <c r="D911" s="6" t="str">
        <f>VLOOKUP(B911,'Veri doğrulama'!$D$6:$E$13,2,0)</f>
        <v>MEHMET ÖZEN</v>
      </c>
      <c r="E911" s="6" t="s">
        <v>854</v>
      </c>
      <c r="F911" s="6" t="s">
        <v>852</v>
      </c>
      <c r="G911" s="6" t="s">
        <v>16</v>
      </c>
      <c r="H911" s="6" t="s">
        <v>34</v>
      </c>
      <c r="I911" s="6">
        <v>2260</v>
      </c>
      <c r="J911" s="6">
        <v>497</v>
      </c>
      <c r="K911" s="6">
        <v>5</v>
      </c>
      <c r="L911" s="10">
        <f t="shared" si="18"/>
        <v>0.97222500000000001</v>
      </c>
      <c r="M911" s="6" t="s">
        <v>102</v>
      </c>
      <c r="N911" s="6" t="s">
        <v>853</v>
      </c>
      <c r="O911" s="6"/>
      <c r="P911" s="17" t="s">
        <v>54</v>
      </c>
      <c r="Q911" s="17" t="s">
        <v>54</v>
      </c>
      <c r="R911" s="17" t="s">
        <v>54</v>
      </c>
    </row>
    <row r="912" spans="1:18" ht="30" customHeight="1" x14ac:dyDescent="0.3">
      <c r="A912" s="7">
        <v>45824.396327083334</v>
      </c>
      <c r="B912" s="6" t="s">
        <v>5</v>
      </c>
      <c r="C912" s="6"/>
      <c r="D912" s="6" t="str">
        <f>VLOOKUP(B912,'Veri doğrulama'!$D$6:$E$13,2,0)</f>
        <v>MEHMET ÖZEN</v>
      </c>
      <c r="E912" s="6"/>
      <c r="F912" s="6" t="s">
        <v>851</v>
      </c>
      <c r="G912" s="6" t="s">
        <v>16</v>
      </c>
      <c r="H912" s="6" t="s">
        <v>34</v>
      </c>
      <c r="I912" s="6">
        <v>1300</v>
      </c>
      <c r="J912" s="6">
        <v>320</v>
      </c>
      <c r="K912" s="6">
        <v>3</v>
      </c>
      <c r="L912" s="10">
        <f t="shared" ref="L912:L937" si="19">I910*J910/1000000*K912</f>
        <v>5.04</v>
      </c>
      <c r="M912" s="6" t="s">
        <v>42</v>
      </c>
      <c r="N912" s="6"/>
      <c r="O912" s="6"/>
      <c r="P912" s="17" t="s">
        <v>54</v>
      </c>
      <c r="Q912" s="17" t="s">
        <v>54</v>
      </c>
      <c r="R912" s="17" t="s">
        <v>54</v>
      </c>
    </row>
    <row r="913" spans="1:18" ht="30" customHeight="1" x14ac:dyDescent="0.3">
      <c r="A913" s="7">
        <v>45824.364639583335</v>
      </c>
      <c r="B913" s="6" t="s">
        <v>5</v>
      </c>
      <c r="C913" s="6"/>
      <c r="D913" s="6" t="str">
        <f>VLOOKUP(B913,'Veri doğrulama'!$D$6:$E$13,2,0)</f>
        <v>MEHMET ÖZEN</v>
      </c>
      <c r="E913" s="6"/>
      <c r="F913" s="6" t="s">
        <v>194</v>
      </c>
      <c r="G913" s="6" t="s">
        <v>16</v>
      </c>
      <c r="H913" s="6" t="s">
        <v>34</v>
      </c>
      <c r="I913" s="6">
        <v>1200</v>
      </c>
      <c r="J913" s="6">
        <v>1400</v>
      </c>
      <c r="K913" s="6">
        <v>1</v>
      </c>
      <c r="L913" s="10">
        <f t="shared" si="19"/>
        <v>1.1232200000000001</v>
      </c>
      <c r="M913" s="6" t="s">
        <v>43</v>
      </c>
      <c r="N913" s="6"/>
      <c r="O913" s="6"/>
      <c r="P913" s="17" t="s">
        <v>54</v>
      </c>
      <c r="Q913" s="17" t="s">
        <v>54</v>
      </c>
      <c r="R913" s="17" t="s">
        <v>54</v>
      </c>
    </row>
    <row r="914" spans="1:18" ht="30" customHeight="1" x14ac:dyDescent="0.3">
      <c r="A914" s="7">
        <v>45821.560065046295</v>
      </c>
      <c r="B914" s="6" t="s">
        <v>5</v>
      </c>
      <c r="C914" s="6"/>
      <c r="D914" s="6" t="str">
        <f>VLOOKUP(B914,'Veri doğrulama'!$D$6:$E$13,2,0)</f>
        <v>MEHMET ÖZEN</v>
      </c>
      <c r="E914" s="6"/>
      <c r="F914" s="6" t="s">
        <v>850</v>
      </c>
      <c r="G914" s="6" t="s">
        <v>16</v>
      </c>
      <c r="H914" s="6" t="s">
        <v>34</v>
      </c>
      <c r="I914" s="6">
        <v>2386</v>
      </c>
      <c r="J914" s="6">
        <v>936</v>
      </c>
      <c r="K914" s="6">
        <v>1</v>
      </c>
      <c r="L914" s="10">
        <f t="shared" si="19"/>
        <v>0.41599999999999998</v>
      </c>
      <c r="M914" s="6" t="s">
        <v>103</v>
      </c>
      <c r="N914" s="6"/>
      <c r="O914" s="6"/>
      <c r="P914" s="17" t="s">
        <v>54</v>
      </c>
      <c r="Q914" s="17" t="s">
        <v>54</v>
      </c>
      <c r="R914" s="17" t="s">
        <v>54</v>
      </c>
    </row>
    <row r="915" spans="1:18" ht="30" customHeight="1" x14ac:dyDescent="0.3">
      <c r="A915" s="7">
        <v>45820.711264699072</v>
      </c>
      <c r="B915" s="6" t="s">
        <v>4</v>
      </c>
      <c r="C915" s="6"/>
      <c r="D915" s="6" t="str">
        <f>VLOOKUP(B915,'Veri doğrulama'!$D$6:$E$13,2,0)</f>
        <v>MEHMET YAZICI</v>
      </c>
      <c r="E915" s="6"/>
      <c r="F915" s="6" t="s">
        <v>849</v>
      </c>
      <c r="G915" s="6" t="s">
        <v>26</v>
      </c>
      <c r="H915" s="6" t="s">
        <v>34</v>
      </c>
      <c r="I915" s="6">
        <v>717</v>
      </c>
      <c r="J915" s="6">
        <v>435</v>
      </c>
      <c r="K915" s="6">
        <v>1</v>
      </c>
      <c r="L915" s="10">
        <f t="shared" si="19"/>
        <v>1.68</v>
      </c>
      <c r="M915" s="6" t="s">
        <v>42</v>
      </c>
      <c r="N915" s="6"/>
      <c r="O915" s="6"/>
      <c r="P915" s="17" t="s">
        <v>54</v>
      </c>
      <c r="Q915" s="17" t="s">
        <v>54</v>
      </c>
      <c r="R915" s="17" t="s">
        <v>54</v>
      </c>
    </row>
    <row r="916" spans="1:18" ht="30" customHeight="1" x14ac:dyDescent="0.3">
      <c r="A916" s="7">
        <v>45820.338661226851</v>
      </c>
      <c r="B916" s="6" t="s">
        <v>5</v>
      </c>
      <c r="C916" s="6"/>
      <c r="D916" s="6" t="str">
        <f>VLOOKUP(B916,'Veri doğrulama'!$D$6:$E$13,2,0)</f>
        <v>MEHMET ÖZEN</v>
      </c>
      <c r="E916" s="6"/>
      <c r="F916" s="6" t="s">
        <v>848</v>
      </c>
      <c r="G916" s="6" t="s">
        <v>16</v>
      </c>
      <c r="H916" s="6" t="s">
        <v>34</v>
      </c>
      <c r="I916" s="6">
        <v>1180</v>
      </c>
      <c r="J916" s="6">
        <v>550</v>
      </c>
      <c r="K916" s="6">
        <v>2</v>
      </c>
      <c r="L916" s="10">
        <f t="shared" si="19"/>
        <v>4.4665920000000003</v>
      </c>
      <c r="M916" s="6" t="s">
        <v>103</v>
      </c>
      <c r="N916" s="6" t="s">
        <v>411</v>
      </c>
      <c r="O916" s="6"/>
      <c r="P916" s="17" t="s">
        <v>54</v>
      </c>
      <c r="Q916" s="17" t="s">
        <v>54</v>
      </c>
      <c r="R916" s="17" t="s">
        <v>54</v>
      </c>
    </row>
    <row r="917" spans="1:18" ht="30" customHeight="1" x14ac:dyDescent="0.3">
      <c r="A917" s="7">
        <v>45819.761502199071</v>
      </c>
      <c r="B917" s="6" t="s">
        <v>4</v>
      </c>
      <c r="C917" s="6"/>
      <c r="D917" s="6" t="str">
        <f>VLOOKUP(B917,'Veri doğrulama'!$D$6:$E$13,2,0)</f>
        <v>MEHMET YAZICI</v>
      </c>
      <c r="E917" s="6"/>
      <c r="F917" s="6" t="s">
        <v>436</v>
      </c>
      <c r="G917" s="6" t="s">
        <v>16</v>
      </c>
      <c r="H917" s="6" t="s">
        <v>34</v>
      </c>
      <c r="I917" s="6">
        <v>2386</v>
      </c>
      <c r="J917" s="6">
        <v>936</v>
      </c>
      <c r="K917" s="6">
        <v>1</v>
      </c>
      <c r="L917" s="10">
        <f t="shared" si="19"/>
        <v>0.31189499999999998</v>
      </c>
      <c r="M917" s="6" t="s">
        <v>42</v>
      </c>
      <c r="N917" s="6" t="s">
        <v>829</v>
      </c>
      <c r="O917" s="6"/>
      <c r="P917" s="17" t="s">
        <v>54</v>
      </c>
      <c r="Q917" s="17" t="s">
        <v>54</v>
      </c>
      <c r="R917" s="17" t="s">
        <v>54</v>
      </c>
    </row>
    <row r="918" spans="1:18" ht="30" customHeight="1" x14ac:dyDescent="0.3">
      <c r="A918" s="7">
        <v>45819.607398958331</v>
      </c>
      <c r="B918" s="6" t="s">
        <v>4</v>
      </c>
      <c r="C918" s="6"/>
      <c r="D918" s="6" t="str">
        <f>VLOOKUP(B918,'Veri doğrulama'!$D$6:$E$13,2,0)</f>
        <v>MEHMET YAZICI</v>
      </c>
      <c r="E918" s="6" t="s">
        <v>847</v>
      </c>
      <c r="F918" s="6" t="s">
        <v>846</v>
      </c>
      <c r="G918" s="6" t="s">
        <v>16</v>
      </c>
      <c r="H918" s="6" t="s">
        <v>34</v>
      </c>
      <c r="I918" s="6">
        <v>900</v>
      </c>
      <c r="J918" s="6">
        <v>600</v>
      </c>
      <c r="K918" s="6">
        <v>1</v>
      </c>
      <c r="L918" s="10">
        <f t="shared" si="19"/>
        <v>0.64900000000000002</v>
      </c>
      <c r="M918" s="6" t="s">
        <v>42</v>
      </c>
      <c r="N918" s="6"/>
      <c r="O918" s="6"/>
      <c r="P918" s="17" t="s">
        <v>54</v>
      </c>
      <c r="Q918" s="17" t="s">
        <v>54</v>
      </c>
      <c r="R918" s="17" t="s">
        <v>54</v>
      </c>
    </row>
    <row r="919" spans="1:18" ht="30" customHeight="1" x14ac:dyDescent="0.3">
      <c r="A919" s="7">
        <v>45819.606631481482</v>
      </c>
      <c r="B919" s="6" t="s">
        <v>4</v>
      </c>
      <c r="C919" s="6"/>
      <c r="D919" s="6" t="str">
        <f>VLOOKUP(B919,'Veri doğrulama'!$D$6:$E$13,2,0)</f>
        <v>MEHMET YAZICI</v>
      </c>
      <c r="E919" s="6"/>
      <c r="F919" s="6" t="s">
        <v>845</v>
      </c>
      <c r="G919" s="6" t="s">
        <v>16</v>
      </c>
      <c r="H919" s="6" t="s">
        <v>35</v>
      </c>
      <c r="I919" s="6">
        <v>900</v>
      </c>
      <c r="J919" s="6">
        <v>600</v>
      </c>
      <c r="K919" s="6">
        <v>1</v>
      </c>
      <c r="L919" s="10">
        <f t="shared" si="19"/>
        <v>2.2332960000000002</v>
      </c>
      <c r="M919" s="6" t="s">
        <v>75</v>
      </c>
      <c r="N919" s="6"/>
      <c r="O919" s="6"/>
      <c r="P919" s="17" t="s">
        <v>54</v>
      </c>
      <c r="Q919" s="17" t="s">
        <v>54</v>
      </c>
      <c r="R919" s="17" t="s">
        <v>54</v>
      </c>
    </row>
    <row r="920" spans="1:18" ht="30" customHeight="1" x14ac:dyDescent="0.3">
      <c r="A920" s="7">
        <v>45819.606137847222</v>
      </c>
      <c r="B920" s="6" t="s">
        <v>4</v>
      </c>
      <c r="C920" s="6"/>
      <c r="D920" s="6" t="str">
        <f>VLOOKUP(B920,'Veri doğrulama'!$D$6:$E$13,2,0)</f>
        <v>MEHMET YAZICI</v>
      </c>
      <c r="E920" s="6"/>
      <c r="F920" s="6" t="s">
        <v>79</v>
      </c>
      <c r="G920" s="6" t="s">
        <v>16</v>
      </c>
      <c r="H920" s="6" t="s">
        <v>35</v>
      </c>
      <c r="I920" s="6">
        <v>2200</v>
      </c>
      <c r="J920" s="6">
        <v>445</v>
      </c>
      <c r="K920" s="6">
        <v>1</v>
      </c>
      <c r="L920" s="10">
        <f t="shared" si="19"/>
        <v>0.54</v>
      </c>
      <c r="M920" s="6" t="s">
        <v>75</v>
      </c>
      <c r="N920" s="6"/>
      <c r="O920" s="6"/>
      <c r="P920" s="17" t="s">
        <v>54</v>
      </c>
      <c r="Q920" s="17" t="s">
        <v>54</v>
      </c>
      <c r="R920" s="17" t="s">
        <v>54</v>
      </c>
    </row>
    <row r="921" spans="1:18" ht="30" customHeight="1" x14ac:dyDescent="0.3">
      <c r="A921" s="7">
        <v>45819.60571689815</v>
      </c>
      <c r="B921" s="6" t="s">
        <v>4</v>
      </c>
      <c r="C921" s="6"/>
      <c r="D921" s="6" t="str">
        <f>VLOOKUP(B921,'Veri doğrulama'!$D$6:$E$13,2,0)</f>
        <v>MEHMET YAZICI</v>
      </c>
      <c r="E921" s="6"/>
      <c r="F921" s="6" t="s">
        <v>79</v>
      </c>
      <c r="G921" s="6" t="s">
        <v>16</v>
      </c>
      <c r="H921" s="6" t="s">
        <v>35</v>
      </c>
      <c r="I921" s="6">
        <v>2200</v>
      </c>
      <c r="J921" s="6">
        <v>445</v>
      </c>
      <c r="K921" s="6">
        <v>2</v>
      </c>
      <c r="L921" s="10">
        <f t="shared" si="19"/>
        <v>1.08</v>
      </c>
      <c r="M921" s="6" t="s">
        <v>103</v>
      </c>
      <c r="N921" s="6"/>
      <c r="O921" s="6"/>
      <c r="P921" s="17" t="s">
        <v>54</v>
      </c>
      <c r="Q921" s="17" t="s">
        <v>54</v>
      </c>
      <c r="R921" s="17" t="s">
        <v>54</v>
      </c>
    </row>
    <row r="922" spans="1:18" ht="30" customHeight="1" x14ac:dyDescent="0.3">
      <c r="A922" s="7">
        <v>45819.605303356482</v>
      </c>
      <c r="B922" s="6" t="s">
        <v>4</v>
      </c>
      <c r="C922" s="6"/>
      <c r="D922" s="6" t="str">
        <f>VLOOKUP(B922,'Veri doğrulama'!$D$6:$E$13,2,0)</f>
        <v>MEHMET YAZICI</v>
      </c>
      <c r="E922" s="6"/>
      <c r="F922" s="6" t="s">
        <v>262</v>
      </c>
      <c r="G922" s="6" t="s">
        <v>24</v>
      </c>
      <c r="H922" s="6" t="s">
        <v>35</v>
      </c>
      <c r="I922" s="6">
        <v>695</v>
      </c>
      <c r="J922" s="6">
        <v>447</v>
      </c>
      <c r="K922" s="6">
        <v>1</v>
      </c>
      <c r="L922" s="10">
        <f t="shared" si="19"/>
        <v>0.97899999999999998</v>
      </c>
      <c r="M922" s="6" t="s">
        <v>75</v>
      </c>
      <c r="N922" s="6"/>
      <c r="O922" s="6"/>
      <c r="P922" s="17" t="s">
        <v>54</v>
      </c>
      <c r="Q922" s="17" t="s">
        <v>54</v>
      </c>
      <c r="R922" s="17" t="s">
        <v>54</v>
      </c>
    </row>
    <row r="923" spans="1:18" ht="30" customHeight="1" x14ac:dyDescent="0.3">
      <c r="A923" s="7">
        <v>45819.510512384259</v>
      </c>
      <c r="B923" s="6" t="s">
        <v>4</v>
      </c>
      <c r="C923" s="6"/>
      <c r="D923" s="6" t="str">
        <f>VLOOKUP(B923,'Veri doğrulama'!$D$6:$E$13,2,0)</f>
        <v>MEHMET YAZICI</v>
      </c>
      <c r="E923" s="6"/>
      <c r="F923" s="6" t="s">
        <v>262</v>
      </c>
      <c r="G923" s="6" t="s">
        <v>19</v>
      </c>
      <c r="H923" s="6" t="s">
        <v>34</v>
      </c>
      <c r="I923" s="6">
        <v>518</v>
      </c>
      <c r="J923" s="6">
        <v>397</v>
      </c>
      <c r="K923" s="6">
        <v>4</v>
      </c>
      <c r="L923" s="10">
        <f t="shared" si="19"/>
        <v>3.9159999999999999</v>
      </c>
      <c r="M923" s="6" t="s">
        <v>103</v>
      </c>
      <c r="N923" s="6" t="s">
        <v>206</v>
      </c>
      <c r="O923" s="6"/>
      <c r="P923" s="17" t="s">
        <v>54</v>
      </c>
      <c r="Q923" s="17" t="s">
        <v>54</v>
      </c>
      <c r="R923" s="17" t="s">
        <v>54</v>
      </c>
    </row>
    <row r="924" spans="1:18" ht="30" customHeight="1" x14ac:dyDescent="0.3">
      <c r="A924" s="7">
        <v>45819.509489004631</v>
      </c>
      <c r="B924" s="6" t="s">
        <v>4</v>
      </c>
      <c r="C924" s="6"/>
      <c r="D924" s="6" t="str">
        <f>VLOOKUP(B924,'Veri doğrulama'!$D$6:$E$13,2,0)</f>
        <v>MEHMET YAZICI</v>
      </c>
      <c r="E924" s="6"/>
      <c r="F924" s="6" t="s">
        <v>843</v>
      </c>
      <c r="G924" s="6" t="s">
        <v>16</v>
      </c>
      <c r="H924" s="6" t="s">
        <v>34</v>
      </c>
      <c r="I924" s="6">
        <v>1150</v>
      </c>
      <c r="J924" s="6">
        <v>451</v>
      </c>
      <c r="K924" s="6">
        <v>1</v>
      </c>
      <c r="L924" s="10">
        <f t="shared" si="19"/>
        <v>0.31066500000000002</v>
      </c>
      <c r="M924" s="6" t="s">
        <v>156</v>
      </c>
      <c r="N924" s="6"/>
      <c r="O924" s="6"/>
      <c r="P924" s="17" t="s">
        <v>54</v>
      </c>
      <c r="Q924" s="17" t="s">
        <v>54</v>
      </c>
      <c r="R924" s="17" t="s">
        <v>54</v>
      </c>
    </row>
    <row r="925" spans="1:18" ht="30" customHeight="1" x14ac:dyDescent="0.3">
      <c r="A925" s="7">
        <v>45818.762341435184</v>
      </c>
      <c r="B925" s="6" t="s">
        <v>4</v>
      </c>
      <c r="C925" s="6"/>
      <c r="D925" s="6" t="str">
        <f>VLOOKUP(B925,'Veri doğrulama'!$D$6:$E$13,2,0)</f>
        <v>MEHMET YAZICI</v>
      </c>
      <c r="E925" s="6"/>
      <c r="F925" s="6" t="s">
        <v>842</v>
      </c>
      <c r="G925" s="6" t="s">
        <v>16</v>
      </c>
      <c r="H925" s="6" t="s">
        <v>34</v>
      </c>
      <c r="I925" s="6">
        <v>1150</v>
      </c>
      <c r="J925" s="6">
        <v>406</v>
      </c>
      <c r="K925" s="6">
        <v>1</v>
      </c>
      <c r="L925" s="10">
        <f t="shared" si="19"/>
        <v>0.205646</v>
      </c>
      <c r="M925" s="6" t="s">
        <v>103</v>
      </c>
      <c r="N925" s="6"/>
      <c r="O925" s="6"/>
      <c r="P925" s="17" t="s">
        <v>54</v>
      </c>
      <c r="Q925" s="17" t="s">
        <v>54</v>
      </c>
      <c r="R925" s="17" t="s">
        <v>54</v>
      </c>
    </row>
    <row r="926" spans="1:18" ht="30" customHeight="1" x14ac:dyDescent="0.3">
      <c r="A926" s="7">
        <v>45818.761600231483</v>
      </c>
      <c r="B926" s="6" t="s">
        <v>4</v>
      </c>
      <c r="C926" s="6"/>
      <c r="D926" s="6" t="str">
        <f>VLOOKUP(B926,'Veri doğrulama'!$D$6:$E$13,2,0)</f>
        <v>MEHMET YAZICI</v>
      </c>
      <c r="E926" s="6">
        <v>78905</v>
      </c>
      <c r="F926" s="6" t="s">
        <v>844</v>
      </c>
      <c r="G926" s="6" t="s">
        <v>16</v>
      </c>
      <c r="H926" s="6" t="s">
        <v>34</v>
      </c>
      <c r="I926" s="6">
        <v>539</v>
      </c>
      <c r="J926" s="6">
        <v>406</v>
      </c>
      <c r="K926" s="6">
        <v>1</v>
      </c>
      <c r="L926" s="10">
        <f t="shared" si="19"/>
        <v>0.51865000000000006</v>
      </c>
      <c r="M926" s="6" t="s">
        <v>75</v>
      </c>
      <c r="N926" s="6"/>
      <c r="O926" s="6"/>
      <c r="P926" s="17" t="s">
        <v>54</v>
      </c>
      <c r="Q926" s="17" t="s">
        <v>54</v>
      </c>
      <c r="R926" s="17" t="s">
        <v>54</v>
      </c>
    </row>
    <row r="927" spans="1:18" ht="30" customHeight="1" x14ac:dyDescent="0.3">
      <c r="A927" s="7">
        <v>45818.760686111113</v>
      </c>
      <c r="B927" s="6" t="s">
        <v>4</v>
      </c>
      <c r="C927" s="6"/>
      <c r="D927" s="6" t="str">
        <f>VLOOKUP(B927,'Veri doğrulama'!$D$6:$E$13,2,0)</f>
        <v>MEHMET YAZICI</v>
      </c>
      <c r="E927" s="6">
        <v>78902</v>
      </c>
      <c r="F927" s="6" t="s">
        <v>841</v>
      </c>
      <c r="G927" s="6" t="s">
        <v>17</v>
      </c>
      <c r="H927" s="6" t="s">
        <v>34</v>
      </c>
      <c r="I927" s="6">
        <v>450</v>
      </c>
      <c r="J927" s="6">
        <v>600</v>
      </c>
      <c r="K927" s="6">
        <v>1</v>
      </c>
      <c r="L927" s="10">
        <f t="shared" si="19"/>
        <v>0.46689999999999998</v>
      </c>
      <c r="M927" s="6" t="s">
        <v>75</v>
      </c>
      <c r="N927" s="6"/>
      <c r="O927" s="6"/>
      <c r="P927" s="17" t="s">
        <v>54</v>
      </c>
      <c r="Q927" s="17" t="s">
        <v>54</v>
      </c>
      <c r="R927" s="17" t="s">
        <v>54</v>
      </c>
    </row>
    <row r="928" spans="1:18" ht="30" customHeight="1" x14ac:dyDescent="0.3">
      <c r="A928" s="7">
        <v>45818.759696064815</v>
      </c>
      <c r="B928" s="6" t="s">
        <v>4</v>
      </c>
      <c r="C928" s="6"/>
      <c r="D928" s="6" t="str">
        <f>VLOOKUP(B928,'Veri doğrulama'!$D$6:$E$13,2,0)</f>
        <v>MEHMET YAZICI</v>
      </c>
      <c r="E928" s="6">
        <v>78902</v>
      </c>
      <c r="F928" s="6" t="s">
        <v>840</v>
      </c>
      <c r="G928" s="6" t="s">
        <v>17</v>
      </c>
      <c r="H928" s="6" t="s">
        <v>34</v>
      </c>
      <c r="I928" s="6">
        <v>450</v>
      </c>
      <c r="J928" s="6">
        <v>581</v>
      </c>
      <c r="K928" s="6">
        <v>1</v>
      </c>
      <c r="L928" s="10">
        <f t="shared" si="19"/>
        <v>0.218834</v>
      </c>
      <c r="M928" s="6" t="s">
        <v>103</v>
      </c>
      <c r="N928" s="6"/>
      <c r="O928" s="6"/>
      <c r="P928" s="17" t="s">
        <v>54</v>
      </c>
      <c r="Q928" s="17" t="s">
        <v>54</v>
      </c>
      <c r="R928" s="17" t="s">
        <v>54</v>
      </c>
    </row>
    <row r="929" spans="1:18" ht="30" customHeight="1" x14ac:dyDescent="0.3">
      <c r="A929" s="7">
        <v>45818.758691898147</v>
      </c>
      <c r="B929" s="6" t="s">
        <v>4</v>
      </c>
      <c r="C929" s="6"/>
      <c r="D929" s="6" t="str">
        <f>VLOOKUP(B929,'Veri doğrulama'!$D$6:$E$13,2,0)</f>
        <v>MEHMET YAZICI</v>
      </c>
      <c r="E929" s="6">
        <v>78904</v>
      </c>
      <c r="F929" s="6" t="s">
        <v>798</v>
      </c>
      <c r="G929" s="6" t="s">
        <v>24</v>
      </c>
      <c r="H929" s="6" t="s">
        <v>34</v>
      </c>
      <c r="I929" s="6">
        <v>900</v>
      </c>
      <c r="J929" s="6">
        <v>600</v>
      </c>
      <c r="K929" s="6">
        <v>1</v>
      </c>
      <c r="L929" s="10">
        <f t="shared" si="19"/>
        <v>0.27</v>
      </c>
      <c r="M929" s="6" t="s">
        <v>75</v>
      </c>
      <c r="N929" s="6"/>
      <c r="O929" s="6"/>
      <c r="P929" s="17" t="s">
        <v>54</v>
      </c>
      <c r="Q929" s="17" t="s">
        <v>54</v>
      </c>
      <c r="R929" s="17" t="s">
        <v>54</v>
      </c>
    </row>
    <row r="930" spans="1:18" ht="30" customHeight="1" x14ac:dyDescent="0.3">
      <c r="A930" s="7">
        <v>45818.757280092592</v>
      </c>
      <c r="B930" s="6" t="s">
        <v>4</v>
      </c>
      <c r="C930" s="6"/>
      <c r="D930" s="6" t="str">
        <f>VLOOKUP(B930,'Veri doğrulama'!$D$6:$E$13,2,0)</f>
        <v>MEHMET YAZICI</v>
      </c>
      <c r="E930" s="6">
        <v>78904</v>
      </c>
      <c r="F930" s="6" t="s">
        <v>839</v>
      </c>
      <c r="G930" s="6" t="s">
        <v>19</v>
      </c>
      <c r="H930" s="6" t="s">
        <v>35</v>
      </c>
      <c r="I930" s="6">
        <v>698</v>
      </c>
      <c r="J930" s="6">
        <v>435</v>
      </c>
      <c r="K930" s="6">
        <v>1</v>
      </c>
      <c r="L930" s="10">
        <f t="shared" si="19"/>
        <v>0.26145000000000002</v>
      </c>
      <c r="M930" s="6" t="s">
        <v>103</v>
      </c>
      <c r="N930" s="6"/>
      <c r="O930" s="6"/>
      <c r="P930" s="17" t="s">
        <v>54</v>
      </c>
      <c r="Q930" s="17" t="s">
        <v>54</v>
      </c>
      <c r="R930" s="17" t="s">
        <v>54</v>
      </c>
    </row>
    <row r="931" spans="1:18" ht="30" customHeight="1" x14ac:dyDescent="0.3">
      <c r="A931" s="7">
        <v>45818.756371527779</v>
      </c>
      <c r="B931" s="6" t="s">
        <v>5</v>
      </c>
      <c r="C931" s="6"/>
      <c r="D931" s="6" t="str">
        <f>VLOOKUP(B931,'Veri doğrulama'!$D$6:$E$13,2,0)</f>
        <v>MEHMET ÖZEN</v>
      </c>
      <c r="E931" s="6">
        <v>23038</v>
      </c>
      <c r="F931" s="6" t="s">
        <v>684</v>
      </c>
      <c r="G931" s="6" t="s">
        <v>17</v>
      </c>
      <c r="H931" s="6" t="s">
        <v>34</v>
      </c>
      <c r="I931" s="6">
        <v>2200</v>
      </c>
      <c r="J931" s="6">
        <v>450</v>
      </c>
      <c r="K931" s="6">
        <v>1</v>
      </c>
      <c r="L931" s="10">
        <f t="shared" si="19"/>
        <v>0.54</v>
      </c>
      <c r="M931" s="6" t="s">
        <v>103</v>
      </c>
      <c r="N931" s="6"/>
      <c r="O931" s="6"/>
      <c r="P931" s="17" t="s">
        <v>54</v>
      </c>
      <c r="Q931" s="17" t="s">
        <v>54</v>
      </c>
      <c r="R931" s="17" t="s">
        <v>54</v>
      </c>
    </row>
    <row r="932" spans="1:18" ht="30" customHeight="1" x14ac:dyDescent="0.3">
      <c r="A932" s="7">
        <v>45818.661174652778</v>
      </c>
      <c r="B932" s="6" t="s">
        <v>4</v>
      </c>
      <c r="C932" s="6"/>
      <c r="D932" s="6" t="str">
        <f>VLOOKUP(B932,'Veri doğrulama'!$D$6:$E$13,2,0)</f>
        <v>MEHMET YAZICI</v>
      </c>
      <c r="E932" s="6">
        <v>23119</v>
      </c>
      <c r="F932" s="6" t="s">
        <v>838</v>
      </c>
      <c r="G932" s="6" t="s">
        <v>17</v>
      </c>
      <c r="H932" s="6" t="s">
        <v>34</v>
      </c>
      <c r="I932" s="6">
        <v>800</v>
      </c>
      <c r="J932" s="6">
        <v>360</v>
      </c>
      <c r="K932" s="6">
        <v>1</v>
      </c>
      <c r="L932" s="10">
        <f t="shared" si="19"/>
        <v>0.30363000000000001</v>
      </c>
      <c r="M932" s="6" t="s">
        <v>103</v>
      </c>
      <c r="N932" s="6" t="s">
        <v>206</v>
      </c>
      <c r="O932" s="6"/>
      <c r="P932" s="17" t="s">
        <v>54</v>
      </c>
      <c r="Q932" s="17" t="s">
        <v>54</v>
      </c>
      <c r="R932" s="17" t="s">
        <v>54</v>
      </c>
    </row>
    <row r="933" spans="1:18" ht="30" customHeight="1" x14ac:dyDescent="0.3">
      <c r="A933" s="7">
        <v>45818.617457870372</v>
      </c>
      <c r="B933" s="6" t="s">
        <v>4</v>
      </c>
      <c r="C933" s="6"/>
      <c r="D933" s="6" t="str">
        <f>VLOOKUP(B933,'Veri doğrulama'!$D$6:$E$13,2,0)</f>
        <v>MEHMET YAZICI</v>
      </c>
      <c r="E933" s="6">
        <v>23085</v>
      </c>
      <c r="F933" s="6" t="s">
        <v>836</v>
      </c>
      <c r="G933" s="6" t="s">
        <v>24</v>
      </c>
      <c r="H933" s="6" t="s">
        <v>34</v>
      </c>
      <c r="I933" s="6">
        <v>672</v>
      </c>
      <c r="J933" s="6">
        <v>446</v>
      </c>
      <c r="K933" s="6">
        <v>1</v>
      </c>
      <c r="L933" s="10">
        <f t="shared" si="19"/>
        <v>0.99</v>
      </c>
      <c r="M933" s="6" t="s">
        <v>102</v>
      </c>
      <c r="N933" s="6" t="s">
        <v>667</v>
      </c>
      <c r="O933" s="6"/>
      <c r="P933" s="17" t="s">
        <v>54</v>
      </c>
      <c r="Q933" s="17" t="s">
        <v>54</v>
      </c>
      <c r="R933" s="17" t="s">
        <v>54</v>
      </c>
    </row>
    <row r="934" spans="1:18" ht="30" customHeight="1" x14ac:dyDescent="0.3">
      <c r="A934" s="7">
        <v>45818.569912500003</v>
      </c>
      <c r="B934" s="6" t="s">
        <v>4</v>
      </c>
      <c r="C934" s="6"/>
      <c r="D934" s="6" t="str">
        <f>VLOOKUP(B934,'Veri doğrulama'!$D$6:$E$13,2,0)</f>
        <v>MEHMET YAZICI</v>
      </c>
      <c r="E934" s="6" t="s">
        <v>837</v>
      </c>
      <c r="F934" s="6" t="s">
        <v>833</v>
      </c>
      <c r="G934" s="6" t="s">
        <v>24</v>
      </c>
      <c r="H934" s="6" t="s">
        <v>34</v>
      </c>
      <c r="I934" s="6">
        <v>574</v>
      </c>
      <c r="J934" s="6">
        <v>410</v>
      </c>
      <c r="K934" s="6">
        <v>1</v>
      </c>
      <c r="L934" s="10">
        <f t="shared" si="19"/>
        <v>0.28799999999999998</v>
      </c>
      <c r="M934" s="6" t="s">
        <v>102</v>
      </c>
      <c r="N934" s="6" t="s">
        <v>834</v>
      </c>
      <c r="O934" s="6"/>
      <c r="P934" s="17" t="s">
        <v>54</v>
      </c>
      <c r="Q934" s="17" t="s">
        <v>54</v>
      </c>
      <c r="R934" s="17" t="s">
        <v>54</v>
      </c>
    </row>
    <row r="935" spans="1:18" ht="30" customHeight="1" x14ac:dyDescent="0.3">
      <c r="A935" s="7">
        <v>45818.491026620373</v>
      </c>
      <c r="B935" s="6" t="s">
        <v>4</v>
      </c>
      <c r="C935" s="6"/>
      <c r="D935" s="6" t="str">
        <f>VLOOKUP(B935,'Veri doğrulama'!$D$6:$E$13,2,0)</f>
        <v>MEHMET YAZICI</v>
      </c>
      <c r="E935" s="6" t="s">
        <v>835</v>
      </c>
      <c r="F935" s="6" t="s">
        <v>831</v>
      </c>
      <c r="G935" s="6" t="s">
        <v>26</v>
      </c>
      <c r="H935" s="6" t="s">
        <v>34</v>
      </c>
      <c r="I935" s="6">
        <v>715</v>
      </c>
      <c r="J935" s="6">
        <v>434</v>
      </c>
      <c r="K935" s="6">
        <v>1</v>
      </c>
      <c r="L935" s="10">
        <f t="shared" si="19"/>
        <v>0.29971199999999998</v>
      </c>
      <c r="M935" s="6" t="s">
        <v>75</v>
      </c>
      <c r="N935" s="6" t="s">
        <v>829</v>
      </c>
      <c r="O935" s="6"/>
      <c r="P935" s="17" t="s">
        <v>54</v>
      </c>
      <c r="Q935" s="17" t="s">
        <v>54</v>
      </c>
      <c r="R935" s="17" t="s">
        <v>54</v>
      </c>
    </row>
    <row r="936" spans="1:18" ht="30" customHeight="1" x14ac:dyDescent="0.3">
      <c r="A936" s="7">
        <v>45818.470329976852</v>
      </c>
      <c r="B936" s="6" t="s">
        <v>4</v>
      </c>
      <c r="C936" s="6"/>
      <c r="D936" s="6" t="str">
        <f>VLOOKUP(B936,'Veri doğrulama'!$D$6:$E$13,2,0)</f>
        <v>MEHMET YAZICI</v>
      </c>
      <c r="E936" s="6" t="s">
        <v>832</v>
      </c>
      <c r="F936" s="6" t="s">
        <v>97</v>
      </c>
      <c r="G936" s="6" t="s">
        <v>27</v>
      </c>
      <c r="H936" s="6" t="s">
        <v>34</v>
      </c>
      <c r="I936" s="6">
        <v>720</v>
      </c>
      <c r="J936" s="6">
        <v>320</v>
      </c>
      <c r="K936" s="6">
        <v>1</v>
      </c>
      <c r="L936" s="10">
        <f t="shared" si="19"/>
        <v>0.23533999999999999</v>
      </c>
      <c r="M936" s="6" t="s">
        <v>103</v>
      </c>
      <c r="N936" s="6"/>
      <c r="O936" s="6"/>
      <c r="P936" s="17" t="s">
        <v>54</v>
      </c>
      <c r="Q936" s="17" t="s">
        <v>54</v>
      </c>
      <c r="R936" s="17" t="s">
        <v>54</v>
      </c>
    </row>
    <row r="937" spans="1:18" ht="30" customHeight="1" x14ac:dyDescent="0.3">
      <c r="A937" s="7">
        <v>45818.403803587964</v>
      </c>
      <c r="B937" s="6" t="s">
        <v>4</v>
      </c>
      <c r="C937" s="6"/>
      <c r="D937" s="6" t="str">
        <f>VLOOKUP(B937,'Veri doğrulama'!$D$6:$E$13,2,0)</f>
        <v>MEHMET YAZICI</v>
      </c>
      <c r="E937" s="6" t="s">
        <v>830</v>
      </c>
      <c r="F937" s="6" t="s">
        <v>66</v>
      </c>
      <c r="G937" s="6" t="s">
        <v>67</v>
      </c>
      <c r="H937" s="6" t="s">
        <v>34</v>
      </c>
      <c r="I937" s="6">
        <v>710</v>
      </c>
      <c r="J937" s="6">
        <v>549</v>
      </c>
      <c r="K937" s="6">
        <v>1</v>
      </c>
      <c r="L937" s="10">
        <f t="shared" si="19"/>
        <v>0.31030999999999997</v>
      </c>
      <c r="M937" s="6" t="s">
        <v>75</v>
      </c>
      <c r="N937" s="6"/>
      <c r="O937" s="6"/>
      <c r="P937" s="17" t="s">
        <v>54</v>
      </c>
      <c r="Q937" s="17" t="s">
        <v>54</v>
      </c>
      <c r="R937" s="17" t="s">
        <v>54</v>
      </c>
    </row>
    <row r="938" spans="1:18" ht="30" customHeight="1" x14ac:dyDescent="0.3">
      <c r="A938" s="7">
        <v>45807.769431250003</v>
      </c>
      <c r="B938" s="6" t="s">
        <v>4</v>
      </c>
      <c r="C938" s="6"/>
      <c r="D938" s="6" t="str">
        <f>VLOOKUP(B938,'Veri doğrulama'!$D$6:$E$13,2,0)</f>
        <v>MEHMET YAZICI</v>
      </c>
      <c r="E938" s="6"/>
      <c r="F938" s="6" t="s">
        <v>826</v>
      </c>
      <c r="G938" s="6" t="s">
        <v>16</v>
      </c>
      <c r="H938" s="6" t="s">
        <v>35</v>
      </c>
      <c r="I938" s="6">
        <v>900</v>
      </c>
      <c r="J938" s="6">
        <v>580</v>
      </c>
      <c r="K938" s="6">
        <v>2</v>
      </c>
      <c r="L938" s="10">
        <f>I937*J937/1000000*K939</f>
        <v>0.38979000000000003</v>
      </c>
      <c r="M938" s="6" t="s">
        <v>37</v>
      </c>
      <c r="N938" s="6"/>
      <c r="O938" s="6"/>
      <c r="P938" s="17" t="s">
        <v>54</v>
      </c>
      <c r="Q938" s="17" t="s">
        <v>54</v>
      </c>
      <c r="R938" s="17" t="s">
        <v>54</v>
      </c>
    </row>
    <row r="939" spans="1:18" ht="30" customHeight="1" x14ac:dyDescent="0.3">
      <c r="A939" s="7">
        <v>45807.767299768515</v>
      </c>
      <c r="B939" s="6" t="s">
        <v>4</v>
      </c>
      <c r="C939" s="6"/>
      <c r="D939" s="6" t="str">
        <f>VLOOKUP(B939,'Veri doğrulama'!$D$6:$E$13,2,0)</f>
        <v>MEHMET YAZICI</v>
      </c>
      <c r="E939" s="6"/>
      <c r="F939" s="6"/>
      <c r="G939" s="6" t="s">
        <v>16</v>
      </c>
      <c r="H939" s="6" t="s">
        <v>34</v>
      </c>
      <c r="I939" s="6">
        <v>575</v>
      </c>
      <c r="J939" s="6">
        <v>448</v>
      </c>
      <c r="K939" s="6">
        <v>1</v>
      </c>
      <c r="L939" s="10">
        <f>I938*J938/1000000*K940</f>
        <v>0.52200000000000002</v>
      </c>
      <c r="M939" s="6" t="s">
        <v>40</v>
      </c>
      <c r="N939" s="6"/>
      <c r="O939" s="6"/>
      <c r="P939" s="17" t="s">
        <v>54</v>
      </c>
      <c r="Q939" s="17" t="s">
        <v>54</v>
      </c>
      <c r="R939" s="17"/>
    </row>
    <row r="940" spans="1:18" ht="30" customHeight="1" x14ac:dyDescent="0.3">
      <c r="A940" s="7">
        <v>45807.766696527775</v>
      </c>
      <c r="B940" s="6" t="s">
        <v>4</v>
      </c>
      <c r="C940" s="6"/>
      <c r="D940" s="6" t="str">
        <f>VLOOKUP(B940,'Veri doğrulama'!$D$6:$E$13,2,0)</f>
        <v>MEHMET YAZICI</v>
      </c>
      <c r="E940" s="6"/>
      <c r="F940" s="6" t="s">
        <v>825</v>
      </c>
      <c r="G940" s="6" t="s">
        <v>16</v>
      </c>
      <c r="H940" s="6" t="s">
        <v>34</v>
      </c>
      <c r="I940" s="6">
        <v>1815</v>
      </c>
      <c r="J940" s="6">
        <v>397</v>
      </c>
      <c r="K940" s="6">
        <v>1</v>
      </c>
      <c r="L940" s="10">
        <f>I938*J938/1000000*K940</f>
        <v>0.52200000000000002</v>
      </c>
      <c r="M940" s="6" t="s">
        <v>39</v>
      </c>
      <c r="N940" s="6" t="s">
        <v>715</v>
      </c>
      <c r="O940" s="6"/>
      <c r="P940" s="17"/>
      <c r="Q940" s="17" t="s">
        <v>54</v>
      </c>
      <c r="R940" s="17"/>
    </row>
    <row r="941" spans="1:18" ht="30" customHeight="1" x14ac:dyDescent="0.3">
      <c r="A941" s="7">
        <v>45807.761410995372</v>
      </c>
      <c r="B941" s="6" t="s">
        <v>4</v>
      </c>
      <c r="C941" s="6"/>
      <c r="D941" s="6" t="str">
        <f>VLOOKUP(B941,'Veri doğrulama'!$D$6:$E$13,2,0)</f>
        <v>MEHMET YAZICI</v>
      </c>
      <c r="E941" s="6"/>
      <c r="F941" s="6" t="s">
        <v>138</v>
      </c>
      <c r="G941" s="6" t="s">
        <v>29</v>
      </c>
      <c r="H941" s="6" t="s">
        <v>34</v>
      </c>
      <c r="I941" s="6">
        <v>953</v>
      </c>
      <c r="J941" s="6">
        <v>450</v>
      </c>
      <c r="K941" s="6">
        <v>1</v>
      </c>
      <c r="L941" s="10">
        <f>I939*J939/1000000*K941</f>
        <v>0.2576</v>
      </c>
      <c r="M941" s="6" t="s">
        <v>156</v>
      </c>
      <c r="N941" s="6"/>
      <c r="O941" s="6"/>
      <c r="P941" s="17"/>
      <c r="Q941" s="17"/>
      <c r="R941" s="17"/>
    </row>
    <row r="942" spans="1:18" ht="30" customHeight="1" x14ac:dyDescent="0.3">
      <c r="A942" s="7">
        <v>45807.760983796295</v>
      </c>
      <c r="B942" s="6" t="s">
        <v>5</v>
      </c>
      <c r="C942" s="6"/>
      <c r="D942" s="6" t="str">
        <f>VLOOKUP(B942,'Veri doğrulama'!$D$6:$E$13,2,0)</f>
        <v>MEHMET ÖZEN</v>
      </c>
      <c r="E942" s="6"/>
      <c r="F942" s="6" t="s">
        <v>88</v>
      </c>
      <c r="G942" s="6" t="s">
        <v>20</v>
      </c>
      <c r="H942" s="6" t="s">
        <v>35</v>
      </c>
      <c r="I942" s="6">
        <v>1600</v>
      </c>
      <c r="J942" s="6">
        <v>1200</v>
      </c>
      <c r="K942" s="6">
        <v>1</v>
      </c>
      <c r="L942" s="10">
        <f>I940*J940/1000000*K942</f>
        <v>0.72055499999999995</v>
      </c>
      <c r="M942" s="6" t="s">
        <v>103</v>
      </c>
      <c r="N942" s="6"/>
      <c r="O942" s="6"/>
      <c r="P942" s="17"/>
      <c r="Q942" s="17"/>
      <c r="R942" s="17"/>
    </row>
    <row r="943" spans="1:18" ht="30" customHeight="1" x14ac:dyDescent="0.3">
      <c r="A943" s="7">
        <v>45807.455942476852</v>
      </c>
      <c r="B943" s="6" t="s">
        <v>4</v>
      </c>
      <c r="C943" s="6"/>
      <c r="D943" s="6" t="str">
        <f>VLOOKUP(B943,'Veri doğrulama'!$D$6:$E$13,2,0)</f>
        <v>MEHMET YAZICI</v>
      </c>
      <c r="E943" s="6"/>
      <c r="F943" s="6" t="s">
        <v>822</v>
      </c>
      <c r="G943" s="6" t="s">
        <v>26</v>
      </c>
      <c r="H943" s="6" t="s">
        <v>35</v>
      </c>
      <c r="I943" s="6">
        <v>450</v>
      </c>
      <c r="J943" s="6">
        <v>170</v>
      </c>
      <c r="K943" s="6">
        <v>1</v>
      </c>
      <c r="L943" s="10">
        <f>I942*J942/1000000*K944</f>
        <v>1.92</v>
      </c>
      <c r="M943" s="6" t="s">
        <v>75</v>
      </c>
      <c r="N943" s="6" t="s">
        <v>632</v>
      </c>
      <c r="O943" s="6"/>
      <c r="P943" s="17" t="s">
        <v>54</v>
      </c>
      <c r="Q943" s="17" t="s">
        <v>54</v>
      </c>
      <c r="R943" s="17"/>
    </row>
    <row r="944" spans="1:18" ht="30" customHeight="1" x14ac:dyDescent="0.3">
      <c r="A944" s="7">
        <v>45807.45530439815</v>
      </c>
      <c r="B944" s="6" t="s">
        <v>4</v>
      </c>
      <c r="C944" s="6"/>
      <c r="D944" s="6" t="str">
        <f>VLOOKUP(B944,'Veri doğrulama'!$D$6:$E$13,2,0)</f>
        <v>MEHMET YAZICI</v>
      </c>
      <c r="E944" s="6" t="s">
        <v>90</v>
      </c>
      <c r="F944" s="6" t="s">
        <v>133</v>
      </c>
      <c r="G944" s="6" t="s">
        <v>26</v>
      </c>
      <c r="H944" s="6" t="s">
        <v>34</v>
      </c>
      <c r="I944" s="6">
        <v>449</v>
      </c>
      <c r="J944" s="6">
        <v>435</v>
      </c>
      <c r="K944" s="6">
        <v>1</v>
      </c>
      <c r="L944" s="10">
        <f>I943*J943/1000000*K945</f>
        <v>7.6499999999999999E-2</v>
      </c>
      <c r="M944" s="6" t="s">
        <v>38</v>
      </c>
      <c r="N944" s="6"/>
      <c r="O944" s="6"/>
      <c r="P944" s="17" t="s">
        <v>54</v>
      </c>
      <c r="Q944" s="17" t="s">
        <v>54</v>
      </c>
      <c r="R944" s="17"/>
    </row>
    <row r="945" spans="1:18" ht="30" customHeight="1" x14ac:dyDescent="0.3">
      <c r="A945" s="7">
        <v>45807.45464398148</v>
      </c>
      <c r="B945" s="6" t="s">
        <v>4</v>
      </c>
      <c r="C945" s="6"/>
      <c r="D945" s="6" t="str">
        <f>VLOOKUP(B945,'Veri doğrulama'!$D$6:$E$13,2,0)</f>
        <v>MEHMET YAZICI</v>
      </c>
      <c r="E945" s="6" t="s">
        <v>821</v>
      </c>
      <c r="F945" s="6" t="s">
        <v>818</v>
      </c>
      <c r="G945" s="6" t="s">
        <v>17</v>
      </c>
      <c r="H945" s="6" t="s">
        <v>34</v>
      </c>
      <c r="I945" s="6">
        <v>392</v>
      </c>
      <c r="J945" s="6">
        <v>162</v>
      </c>
      <c r="K945" s="6">
        <v>1</v>
      </c>
      <c r="L945" s="10">
        <f>I943*J943/1000000*K945</f>
        <v>7.6499999999999999E-2</v>
      </c>
      <c r="M945" s="6" t="s">
        <v>75</v>
      </c>
      <c r="N945" s="6" t="s">
        <v>805</v>
      </c>
      <c r="O945" s="6"/>
      <c r="P945" s="17" t="s">
        <v>54</v>
      </c>
      <c r="Q945" s="17" t="s">
        <v>54</v>
      </c>
      <c r="R945" s="17"/>
    </row>
    <row r="946" spans="1:18" ht="30" customHeight="1" x14ac:dyDescent="0.3">
      <c r="A946" s="7">
        <v>45807.368015740743</v>
      </c>
      <c r="B946" s="6" t="s">
        <v>4</v>
      </c>
      <c r="C946" s="6"/>
      <c r="D946" s="6" t="str">
        <f>VLOOKUP(B946,'Veri doğrulama'!$D$6:$E$13,2,0)</f>
        <v>MEHMET YAZICI</v>
      </c>
      <c r="E946" s="6" t="s">
        <v>134</v>
      </c>
      <c r="F946" s="6" t="s">
        <v>817</v>
      </c>
      <c r="G946" s="6" t="s">
        <v>17</v>
      </c>
      <c r="H946" s="6" t="s">
        <v>34</v>
      </c>
      <c r="I946" s="6">
        <v>353</v>
      </c>
      <c r="J946" s="6">
        <v>448</v>
      </c>
      <c r="K946" s="6">
        <v>1</v>
      </c>
      <c r="L946" s="10">
        <f>I945*J945/1000000*K947</f>
        <v>6.3504000000000005E-2</v>
      </c>
      <c r="M946" s="6" t="s">
        <v>42</v>
      </c>
      <c r="N946" s="6" t="s">
        <v>805</v>
      </c>
      <c r="O946" s="6"/>
      <c r="P946" s="17" t="s">
        <v>54</v>
      </c>
      <c r="Q946" s="17" t="s">
        <v>54</v>
      </c>
      <c r="R946" s="17" t="s">
        <v>54</v>
      </c>
    </row>
    <row r="947" spans="1:18" ht="30" customHeight="1" x14ac:dyDescent="0.3">
      <c r="A947" s="7">
        <v>45807.366403819447</v>
      </c>
      <c r="B947" s="6" t="s">
        <v>4</v>
      </c>
      <c r="C947" s="6"/>
      <c r="D947" s="6" t="str">
        <f>VLOOKUP(B947,'Veri doğrulama'!$D$6:$E$13,2,0)</f>
        <v>MEHMET YAZICI</v>
      </c>
      <c r="E947" s="6"/>
      <c r="F947" s="6" t="s">
        <v>820</v>
      </c>
      <c r="G947" s="6" t="s">
        <v>26</v>
      </c>
      <c r="H947" s="6" t="s">
        <v>34</v>
      </c>
      <c r="I947" s="6">
        <v>715</v>
      </c>
      <c r="J947" s="6">
        <v>434</v>
      </c>
      <c r="K947" s="6">
        <v>1</v>
      </c>
      <c r="L947" s="10">
        <f>I945*J945/1000000*K947</f>
        <v>6.3504000000000005E-2</v>
      </c>
      <c r="M947" s="6" t="s">
        <v>102</v>
      </c>
      <c r="N947" s="6" t="s">
        <v>805</v>
      </c>
      <c r="O947" s="6"/>
      <c r="P947" s="17" t="s">
        <v>54</v>
      </c>
      <c r="Q947" s="17" t="s">
        <v>54</v>
      </c>
      <c r="R947" s="17" t="s">
        <v>54</v>
      </c>
    </row>
    <row r="948" spans="1:18" ht="30" customHeight="1" x14ac:dyDescent="0.3">
      <c r="A948" s="7">
        <v>45807.365521874999</v>
      </c>
      <c r="B948" s="6" t="s">
        <v>5</v>
      </c>
      <c r="C948" s="6"/>
      <c r="D948" s="6" t="str">
        <f>VLOOKUP(B948,'Veri doğrulama'!$D$6:$E$13,2,0)</f>
        <v>MEHMET ÖZEN</v>
      </c>
      <c r="E948" s="6" t="s">
        <v>815</v>
      </c>
      <c r="F948" s="6" t="s">
        <v>112</v>
      </c>
      <c r="G948" s="6" t="s">
        <v>111</v>
      </c>
      <c r="H948" s="6" t="s">
        <v>34</v>
      </c>
      <c r="I948" s="6">
        <v>610</v>
      </c>
      <c r="J948" s="6">
        <v>160</v>
      </c>
      <c r="K948" s="6">
        <v>1</v>
      </c>
      <c r="L948" s="10">
        <f>I946*J946/1000000*K948</f>
        <v>0.15814400000000001</v>
      </c>
      <c r="M948" s="6" t="s">
        <v>75</v>
      </c>
      <c r="N948" s="6"/>
      <c r="O948" s="6"/>
      <c r="P948" s="17" t="s">
        <v>54</v>
      </c>
      <c r="Q948" s="17"/>
      <c r="R948" s="17"/>
    </row>
    <row r="949" spans="1:18" ht="30" customHeight="1" x14ac:dyDescent="0.3">
      <c r="A949" s="7">
        <v>45806.756808564816</v>
      </c>
      <c r="B949" s="6" t="s">
        <v>4</v>
      </c>
      <c r="C949" s="6"/>
      <c r="D949" s="6" t="str">
        <f>VLOOKUP(B949,'Veri doğrulama'!$D$6:$E$13,2,0)</f>
        <v>MEHMET YAZICI</v>
      </c>
      <c r="E949" s="6" t="s">
        <v>819</v>
      </c>
      <c r="F949" s="6" t="s">
        <v>74</v>
      </c>
      <c r="G949" s="6" t="s">
        <v>28</v>
      </c>
      <c r="H949" s="6" t="s">
        <v>34</v>
      </c>
      <c r="I949" s="6">
        <v>1800</v>
      </c>
      <c r="J949" s="6">
        <v>500</v>
      </c>
      <c r="K949" s="6">
        <v>1</v>
      </c>
      <c r="L949" s="10">
        <f>I947*J947/1000000*K949</f>
        <v>0.31030999999999997</v>
      </c>
      <c r="M949" s="6" t="s">
        <v>42</v>
      </c>
      <c r="N949" s="6"/>
      <c r="O949" s="6"/>
      <c r="P949" s="17" t="s">
        <v>54</v>
      </c>
      <c r="Q949" s="17"/>
      <c r="R949" s="17"/>
    </row>
    <row r="950" spans="1:18" ht="30" customHeight="1" x14ac:dyDescent="0.3">
      <c r="A950" s="7">
        <v>45806.559216435184</v>
      </c>
      <c r="B950" s="6" t="s">
        <v>7</v>
      </c>
      <c r="C950" s="6"/>
      <c r="D950" s="6" t="str">
        <f>VLOOKUP(B950,'Veri doğrulama'!$D$6:$E$13,2,0)</f>
        <v>SIDDIK KAPLAN</v>
      </c>
      <c r="E950" s="6" t="s">
        <v>108</v>
      </c>
      <c r="F950" s="6" t="s">
        <v>323</v>
      </c>
      <c r="G950" s="6" t="s">
        <v>324</v>
      </c>
      <c r="H950" s="6" t="s">
        <v>35</v>
      </c>
      <c r="I950" s="6">
        <v>2200</v>
      </c>
      <c r="J950" s="6">
        <v>450</v>
      </c>
      <c r="K950" s="6">
        <v>6</v>
      </c>
      <c r="L950" s="10">
        <f>I949*J949/1000000*K951</f>
        <v>0.9</v>
      </c>
      <c r="M950" s="6" t="s">
        <v>43</v>
      </c>
      <c r="N950" s="6" t="s">
        <v>231</v>
      </c>
      <c r="O950" s="6"/>
      <c r="P950" s="17" t="s">
        <v>54</v>
      </c>
      <c r="Q950" s="17" t="s">
        <v>54</v>
      </c>
      <c r="R950" s="17"/>
    </row>
    <row r="951" spans="1:18" ht="30" customHeight="1" x14ac:dyDescent="0.3">
      <c r="A951" s="7">
        <v>45806.558521990744</v>
      </c>
      <c r="B951" s="6" t="s">
        <v>4</v>
      </c>
      <c r="C951" s="6"/>
      <c r="D951" s="6" t="str">
        <f>VLOOKUP(B951,'Veri doğrulama'!$D$6:$E$13,2,0)</f>
        <v>MEHMET YAZICI</v>
      </c>
      <c r="E951" s="6"/>
      <c r="F951" s="6" t="s">
        <v>72</v>
      </c>
      <c r="G951" s="6" t="s">
        <v>28</v>
      </c>
      <c r="H951" s="6" t="s">
        <v>34</v>
      </c>
      <c r="I951" s="6">
        <v>1500</v>
      </c>
      <c r="J951" s="6">
        <v>500</v>
      </c>
      <c r="K951" s="6">
        <v>1</v>
      </c>
      <c r="L951" s="10">
        <f>I950*J950/1000000*K952</f>
        <v>0.99</v>
      </c>
      <c r="M951" s="6" t="s">
        <v>39</v>
      </c>
      <c r="N951" s="6" t="s">
        <v>805</v>
      </c>
      <c r="O951" s="6"/>
      <c r="P951" s="17" t="s">
        <v>54</v>
      </c>
      <c r="Q951" s="17" t="s">
        <v>54</v>
      </c>
      <c r="R951" s="17"/>
    </row>
    <row r="952" spans="1:18" ht="30" customHeight="1" x14ac:dyDescent="0.3">
      <c r="A952" s="7">
        <v>45805.723822800923</v>
      </c>
      <c r="B952" s="6" t="s">
        <v>4</v>
      </c>
      <c r="C952" s="6"/>
      <c r="D952" s="6" t="str">
        <f>VLOOKUP(B952,'Veri doğrulama'!$D$6:$E$13,2,0)</f>
        <v>MEHMET YAZICI</v>
      </c>
      <c r="E952" s="6"/>
      <c r="F952" s="6" t="s">
        <v>810</v>
      </c>
      <c r="G952" s="6" t="s">
        <v>28</v>
      </c>
      <c r="H952" s="6" t="s">
        <v>34</v>
      </c>
      <c r="I952" s="6">
        <v>264</v>
      </c>
      <c r="J952" s="6">
        <v>499</v>
      </c>
      <c r="K952" s="6">
        <v>1</v>
      </c>
      <c r="L952" s="10">
        <f>I951*J951/1000000*K953</f>
        <v>1.5</v>
      </c>
      <c r="M952" s="6" t="s">
        <v>43</v>
      </c>
      <c r="N952" s="6"/>
      <c r="O952" s="6"/>
      <c r="P952" s="17" t="s">
        <v>54</v>
      </c>
      <c r="Q952" s="17" t="s">
        <v>54</v>
      </c>
      <c r="R952" s="17"/>
    </row>
    <row r="953" spans="1:18" ht="30" customHeight="1" x14ac:dyDescent="0.3">
      <c r="A953" s="7">
        <v>45804.492953703702</v>
      </c>
      <c r="B953" s="6" t="s">
        <v>4</v>
      </c>
      <c r="C953" s="6"/>
      <c r="D953" s="6" t="str">
        <f>VLOOKUP(B953,'Veri doğrulama'!$D$6:$E$13,2,0)</f>
        <v>MEHMET YAZICI</v>
      </c>
      <c r="E953" s="6" t="s">
        <v>813</v>
      </c>
      <c r="F953" s="6" t="s">
        <v>374</v>
      </c>
      <c r="G953" s="6" t="s">
        <v>28</v>
      </c>
      <c r="H953" s="6" t="s">
        <v>34</v>
      </c>
      <c r="I953" s="6">
        <v>684</v>
      </c>
      <c r="J953" s="6">
        <v>330</v>
      </c>
      <c r="K953" s="6">
        <v>2</v>
      </c>
      <c r="L953" s="10">
        <f t="shared" ref="L953:L963" si="20">I951*J951/1000000*K953</f>
        <v>1.5</v>
      </c>
      <c r="M953" s="6" t="s">
        <v>156</v>
      </c>
      <c r="N953" s="6"/>
      <c r="O953" s="6"/>
      <c r="P953" s="17" t="s">
        <v>54</v>
      </c>
      <c r="Q953" s="17" t="s">
        <v>54</v>
      </c>
      <c r="R953" s="17"/>
    </row>
    <row r="954" spans="1:18" ht="30" customHeight="1" x14ac:dyDescent="0.3">
      <c r="A954" s="7">
        <v>45804.492103819444</v>
      </c>
      <c r="B954" s="6" t="s">
        <v>4</v>
      </c>
      <c r="C954" s="6"/>
      <c r="D954" s="6" t="str">
        <f>VLOOKUP(B954,'Veri doğrulama'!$D$6:$E$13,2,0)</f>
        <v>MEHMET YAZICI</v>
      </c>
      <c r="E954" s="6">
        <v>23047</v>
      </c>
      <c r="F954" s="6" t="s">
        <v>827</v>
      </c>
      <c r="G954" s="6" t="s">
        <v>19</v>
      </c>
      <c r="H954" s="6" t="s">
        <v>34</v>
      </c>
      <c r="I954" s="6">
        <v>726</v>
      </c>
      <c r="J954" s="6">
        <v>392</v>
      </c>
      <c r="K954" s="6">
        <v>2</v>
      </c>
      <c r="L954" s="10">
        <f t="shared" si="20"/>
        <v>0.26347199999999998</v>
      </c>
      <c r="M954" s="6" t="s">
        <v>75</v>
      </c>
      <c r="N954" s="6"/>
      <c r="O954" s="6"/>
      <c r="P954" s="17" t="s">
        <v>54</v>
      </c>
      <c r="Q954" s="17"/>
      <c r="R954" s="17"/>
    </row>
    <row r="955" spans="1:18" ht="30" customHeight="1" x14ac:dyDescent="0.3">
      <c r="A955" s="7">
        <v>45804.490649768515</v>
      </c>
      <c r="B955" s="6" t="s">
        <v>4</v>
      </c>
      <c r="C955" s="6"/>
      <c r="D955" s="6" t="str">
        <f>VLOOKUP(B955,'Veri doğrulama'!$D$6:$E$13,2,0)</f>
        <v>MEHMET YAZICI</v>
      </c>
      <c r="E955" s="6">
        <v>23047</v>
      </c>
      <c r="F955" s="6" t="s">
        <v>538</v>
      </c>
      <c r="G955" s="6" t="s">
        <v>18</v>
      </c>
      <c r="H955" s="6" t="s">
        <v>34</v>
      </c>
      <c r="I955" s="6">
        <v>2200</v>
      </c>
      <c r="J955" s="6">
        <v>410</v>
      </c>
      <c r="K955" s="6">
        <v>2</v>
      </c>
      <c r="L955" s="10">
        <f t="shared" si="20"/>
        <v>0.45144000000000001</v>
      </c>
      <c r="M955" s="6" t="s">
        <v>75</v>
      </c>
      <c r="N955" s="6" t="s">
        <v>632</v>
      </c>
      <c r="O955" s="6"/>
      <c r="P955" s="17" t="s">
        <v>54</v>
      </c>
      <c r="Q955" s="17" t="s">
        <v>54</v>
      </c>
      <c r="R955" s="17"/>
    </row>
    <row r="956" spans="1:18" ht="30" customHeight="1" x14ac:dyDescent="0.3">
      <c r="A956" s="7">
        <v>45804.400036342595</v>
      </c>
      <c r="B956" s="6" t="s">
        <v>4</v>
      </c>
      <c r="C956" s="6"/>
      <c r="D956" s="6" t="str">
        <f>VLOOKUP(B956,'Veri doğrulama'!$D$6:$E$13,2,0)</f>
        <v>MEHMET YAZICI</v>
      </c>
      <c r="E956" s="6"/>
      <c r="F956" s="6" t="s">
        <v>824</v>
      </c>
      <c r="G956" s="6" t="s">
        <v>16</v>
      </c>
      <c r="H956" s="6" t="s">
        <v>34</v>
      </c>
      <c r="I956" s="6">
        <v>1877</v>
      </c>
      <c r="J956" s="6">
        <v>377</v>
      </c>
      <c r="K956" s="6">
        <v>1</v>
      </c>
      <c r="L956" s="10">
        <f t="shared" si="20"/>
        <v>0.28459200000000001</v>
      </c>
      <c r="M956" s="6" t="s">
        <v>102</v>
      </c>
      <c r="N956" s="6" t="s">
        <v>715</v>
      </c>
      <c r="O956" s="6"/>
      <c r="P956" s="17"/>
      <c r="Q956" s="17" t="s">
        <v>54</v>
      </c>
      <c r="R956" s="17" t="s">
        <v>54</v>
      </c>
    </row>
    <row r="957" spans="1:18" ht="30" customHeight="1" x14ac:dyDescent="0.3">
      <c r="A957" s="7">
        <v>45800.674605902779</v>
      </c>
      <c r="B957" s="6" t="s">
        <v>4</v>
      </c>
      <c r="C957" s="6"/>
      <c r="D957" s="6" t="str">
        <f>VLOOKUP(B957,'Veri doğrulama'!$D$6:$E$13,2,0)</f>
        <v>MEHMET YAZICI</v>
      </c>
      <c r="E957" s="6" t="s">
        <v>823</v>
      </c>
      <c r="F957" s="6" t="s">
        <v>808</v>
      </c>
      <c r="G957" s="6" t="s">
        <v>18</v>
      </c>
      <c r="H957" s="6" t="s">
        <v>34</v>
      </c>
      <c r="I957" s="6">
        <v>2200</v>
      </c>
      <c r="J957" s="6">
        <v>450</v>
      </c>
      <c r="K957" s="6">
        <v>1</v>
      </c>
      <c r="L957" s="10">
        <f t="shared" si="20"/>
        <v>0.90200000000000002</v>
      </c>
      <c r="M957" s="6" t="s">
        <v>75</v>
      </c>
      <c r="N957" s="6"/>
      <c r="O957" s="6"/>
      <c r="P957" s="17" t="s">
        <v>54</v>
      </c>
      <c r="Q957" s="17" t="s">
        <v>54</v>
      </c>
      <c r="R957" s="17" t="s">
        <v>54</v>
      </c>
    </row>
    <row r="958" spans="1:18" ht="30" customHeight="1" x14ac:dyDescent="0.3">
      <c r="A958" s="7">
        <v>45799.739487268518</v>
      </c>
      <c r="B958" s="6" t="s">
        <v>4</v>
      </c>
      <c r="C958" s="6"/>
      <c r="D958" s="6" t="str">
        <f>VLOOKUP(B958,'Veri doğrulama'!$D$6:$E$13,2,0)</f>
        <v>MEHMET YAZICI</v>
      </c>
      <c r="E958" s="6"/>
      <c r="F958" s="6" t="s">
        <v>809</v>
      </c>
      <c r="G958" s="6" t="s">
        <v>19</v>
      </c>
      <c r="H958" s="6" t="s">
        <v>34</v>
      </c>
      <c r="I958" s="6">
        <v>1155</v>
      </c>
      <c r="J958" s="6">
        <v>397</v>
      </c>
      <c r="K958" s="6">
        <v>2</v>
      </c>
      <c r="L958" s="10">
        <f t="shared" si="20"/>
        <v>1.4152579999999999</v>
      </c>
      <c r="M958" s="6" t="s">
        <v>103</v>
      </c>
      <c r="N958" s="6" t="s">
        <v>632</v>
      </c>
      <c r="O958" s="6"/>
      <c r="P958" s="17"/>
      <c r="Q958" s="17"/>
      <c r="R958" s="17"/>
    </row>
    <row r="959" spans="1:18" ht="30" customHeight="1" x14ac:dyDescent="0.3">
      <c r="A959" s="7">
        <v>45799.739037037034</v>
      </c>
      <c r="B959" s="6" t="s">
        <v>4</v>
      </c>
      <c r="C959" s="6"/>
      <c r="D959" s="6" t="str">
        <f>VLOOKUP(B959,'Veri doğrulama'!$D$6:$E$13,2,0)</f>
        <v>MEHMET YAZICI</v>
      </c>
      <c r="E959" s="6" t="s">
        <v>807</v>
      </c>
      <c r="F959" s="6" t="s">
        <v>362</v>
      </c>
      <c r="G959" s="6" t="s">
        <v>19</v>
      </c>
      <c r="H959" s="6" t="s">
        <v>34</v>
      </c>
      <c r="I959" s="6">
        <v>2600</v>
      </c>
      <c r="J959" s="6">
        <v>300</v>
      </c>
      <c r="K959" s="6">
        <v>1</v>
      </c>
      <c r="L959" s="10">
        <f t="shared" si="20"/>
        <v>0.99</v>
      </c>
      <c r="M959" s="6" t="s">
        <v>103</v>
      </c>
      <c r="N959" s="6" t="s">
        <v>632</v>
      </c>
      <c r="O959" s="6"/>
      <c r="P959" s="17" t="s">
        <v>54</v>
      </c>
      <c r="Q959" s="17" t="s">
        <v>54</v>
      </c>
      <c r="R959" s="17" t="s">
        <v>54</v>
      </c>
    </row>
    <row r="960" spans="1:18" ht="30" customHeight="1" x14ac:dyDescent="0.3">
      <c r="A960" s="7">
        <v>45799.605326620367</v>
      </c>
      <c r="B960" s="6" t="s">
        <v>4</v>
      </c>
      <c r="C960" s="6"/>
      <c r="D960" s="6" t="str">
        <f>VLOOKUP(B960,'Veri doğrulama'!$D$6:$E$13,2,0)</f>
        <v>MEHMET YAZICI</v>
      </c>
      <c r="E960" s="6"/>
      <c r="F960" s="6" t="s">
        <v>801</v>
      </c>
      <c r="G960" s="6" t="s">
        <v>19</v>
      </c>
      <c r="H960" s="6" t="s">
        <v>34</v>
      </c>
      <c r="I960" s="6">
        <v>1155</v>
      </c>
      <c r="J960" s="6">
        <v>397</v>
      </c>
      <c r="K960" s="6">
        <v>2</v>
      </c>
      <c r="L960" s="10">
        <f t="shared" si="20"/>
        <v>0.91707000000000005</v>
      </c>
      <c r="M960" s="6" t="s">
        <v>102</v>
      </c>
      <c r="N960" s="6" t="s">
        <v>715</v>
      </c>
      <c r="O960" s="6"/>
      <c r="P960" s="17" t="s">
        <v>54</v>
      </c>
      <c r="Q960" s="17" t="s">
        <v>54</v>
      </c>
      <c r="R960" s="17" t="s">
        <v>54</v>
      </c>
    </row>
    <row r="961" spans="1:18" ht="30" customHeight="1" x14ac:dyDescent="0.3">
      <c r="A961" s="7">
        <v>45799.478271759261</v>
      </c>
      <c r="B961" s="6" t="s">
        <v>6</v>
      </c>
      <c r="C961" s="6"/>
      <c r="D961" s="6" t="str">
        <f>VLOOKUP(B961,'Veri doğrulama'!$D$6:$E$13,2,0)</f>
        <v>SERVET KAPLAN</v>
      </c>
      <c r="E961" s="6" t="s">
        <v>802</v>
      </c>
      <c r="F961" s="6" t="s">
        <v>814</v>
      </c>
      <c r="G961" s="6" t="s">
        <v>26</v>
      </c>
      <c r="H961" s="6" t="s">
        <v>34</v>
      </c>
      <c r="I961" s="6">
        <v>2420</v>
      </c>
      <c r="J961" s="6">
        <v>405</v>
      </c>
      <c r="K961" s="6">
        <v>2</v>
      </c>
      <c r="L961" s="10">
        <f t="shared" si="20"/>
        <v>1.56</v>
      </c>
      <c r="M961" s="6" t="s">
        <v>102</v>
      </c>
      <c r="N961" s="6"/>
      <c r="O961" s="6"/>
      <c r="P961" s="17" t="s">
        <v>54</v>
      </c>
      <c r="Q961" s="17" t="s">
        <v>54</v>
      </c>
      <c r="R961" s="17" t="s">
        <v>54</v>
      </c>
    </row>
    <row r="962" spans="1:18" ht="30" customHeight="1" x14ac:dyDescent="0.3">
      <c r="A962" s="7">
        <v>45799.477493865743</v>
      </c>
      <c r="B962" s="6" t="s">
        <v>81</v>
      </c>
      <c r="C962" s="6"/>
      <c r="D962" s="6" t="str">
        <f>VLOOKUP(B962,'Veri doğrulama'!$D$6:$E$13,2,0)</f>
        <v>İBRAHİM ÇELİK</v>
      </c>
      <c r="E962" s="6">
        <v>22957</v>
      </c>
      <c r="F962" s="6" t="s">
        <v>120</v>
      </c>
      <c r="G962" s="6" t="s">
        <v>119</v>
      </c>
      <c r="H962" s="6" t="s">
        <v>34</v>
      </c>
      <c r="I962" s="6">
        <v>451</v>
      </c>
      <c r="J962" s="6">
        <v>397</v>
      </c>
      <c r="K962" s="6">
        <v>6</v>
      </c>
      <c r="L962" s="10">
        <f t="shared" si="20"/>
        <v>2.7512100000000004</v>
      </c>
      <c r="M962" s="6" t="s">
        <v>102</v>
      </c>
      <c r="N962" s="6"/>
      <c r="O962" s="6"/>
      <c r="P962" s="17" t="s">
        <v>54</v>
      </c>
      <c r="Q962" s="17" t="s">
        <v>54</v>
      </c>
      <c r="R962" s="17" t="s">
        <v>54</v>
      </c>
    </row>
    <row r="963" spans="1:18" ht="30" customHeight="1" x14ac:dyDescent="0.3">
      <c r="A963" s="7">
        <v>45799.461642708331</v>
      </c>
      <c r="B963" s="6" t="s">
        <v>5</v>
      </c>
      <c r="C963" s="6"/>
      <c r="D963" s="6" t="str">
        <f>VLOOKUP(B963,'Veri doğrulama'!$D$6:$E$13,2,0)</f>
        <v>MEHMET ÖZEN</v>
      </c>
      <c r="E963" s="6"/>
      <c r="F963" s="6" t="s">
        <v>796</v>
      </c>
      <c r="G963" s="6" t="s">
        <v>111</v>
      </c>
      <c r="H963" s="6" t="s">
        <v>34</v>
      </c>
      <c r="I963" s="6">
        <v>1300</v>
      </c>
      <c r="J963" s="6">
        <v>350</v>
      </c>
      <c r="K963" s="6">
        <v>2</v>
      </c>
      <c r="L963" s="10">
        <f t="shared" si="20"/>
        <v>1.9601999999999999</v>
      </c>
      <c r="M963" s="6" t="s">
        <v>43</v>
      </c>
      <c r="N963" s="6"/>
      <c r="O963" s="6"/>
      <c r="P963" s="17" t="s">
        <v>54</v>
      </c>
      <c r="Q963" s="17"/>
      <c r="R963" s="17"/>
    </row>
    <row r="964" spans="1:18" ht="30" customHeight="1" x14ac:dyDescent="0.3">
      <c r="A964" s="7">
        <v>45798.673614004627</v>
      </c>
      <c r="B964" s="6" t="s">
        <v>4</v>
      </c>
      <c r="C964" s="6"/>
      <c r="D964" s="6" t="str">
        <f>VLOOKUP(B964,'Veri doğrulama'!$D$6:$E$13,2,0)</f>
        <v>MEHMET YAZICI</v>
      </c>
      <c r="E964" s="6"/>
      <c r="F964" s="6" t="s">
        <v>76</v>
      </c>
      <c r="G964" s="6" t="s">
        <v>13</v>
      </c>
      <c r="H964" s="6" t="s">
        <v>34</v>
      </c>
      <c r="I964" s="6">
        <v>715</v>
      </c>
      <c r="J964" s="6">
        <v>600</v>
      </c>
      <c r="K964" s="6">
        <v>12</v>
      </c>
      <c r="L964" s="10">
        <f>I963*J963/1000000*K965</f>
        <v>0.45500000000000002</v>
      </c>
      <c r="M964" s="6" t="s">
        <v>37</v>
      </c>
      <c r="N964" s="6"/>
      <c r="O964" s="6"/>
      <c r="P964" s="17" t="s">
        <v>54</v>
      </c>
      <c r="Q964" s="17" t="s">
        <v>54</v>
      </c>
      <c r="R964" s="17"/>
    </row>
    <row r="965" spans="1:18" ht="30" customHeight="1" x14ac:dyDescent="0.3">
      <c r="A965" s="7">
        <v>45798.51007650463</v>
      </c>
      <c r="B965" s="6" t="s">
        <v>4</v>
      </c>
      <c r="C965" s="6"/>
      <c r="D965" s="6" t="str">
        <f>VLOOKUP(B965,'Veri doğrulama'!$D$6:$E$13,2,0)</f>
        <v>MEHMET YAZICI</v>
      </c>
      <c r="E965" s="6" t="s">
        <v>795</v>
      </c>
      <c r="F965" s="6" t="s">
        <v>71</v>
      </c>
      <c r="G965" s="6" t="s">
        <v>30</v>
      </c>
      <c r="H965" s="6" t="s">
        <v>35</v>
      </c>
      <c r="I965" s="6">
        <v>1800</v>
      </c>
      <c r="J965" s="6">
        <v>360</v>
      </c>
      <c r="K965" s="6">
        <v>1</v>
      </c>
      <c r="L965" s="10">
        <f>I963*J963/1000000*K965</f>
        <v>0.45500000000000002</v>
      </c>
      <c r="M965" s="6" t="s">
        <v>38</v>
      </c>
      <c r="N965" s="6"/>
      <c r="O965" s="6"/>
      <c r="P965" s="17" t="s">
        <v>54</v>
      </c>
      <c r="Q965" s="17" t="s">
        <v>54</v>
      </c>
      <c r="R965" s="17"/>
    </row>
    <row r="966" spans="1:18" ht="30" customHeight="1" x14ac:dyDescent="0.3">
      <c r="A966" s="7">
        <v>45798.332455208336</v>
      </c>
      <c r="B966" s="6" t="s">
        <v>4</v>
      </c>
      <c r="C966" s="6"/>
      <c r="D966" s="6" t="str">
        <f>VLOOKUP(B966,'Veri doğrulama'!$D$6:$E$13,2,0)</f>
        <v>MEHMET YAZICI</v>
      </c>
      <c r="E966" s="6" t="s">
        <v>78</v>
      </c>
      <c r="F966" s="6" t="s">
        <v>798</v>
      </c>
      <c r="G966" s="6" t="s">
        <v>26</v>
      </c>
      <c r="H966" s="6" t="s">
        <v>34</v>
      </c>
      <c r="I966" s="6">
        <v>900</v>
      </c>
      <c r="J966" s="6">
        <v>600</v>
      </c>
      <c r="K966" s="6">
        <v>1</v>
      </c>
      <c r="L966" s="10">
        <f>I965*J965/1000000*K967</f>
        <v>0.64800000000000002</v>
      </c>
      <c r="M966" s="6" t="s">
        <v>40</v>
      </c>
      <c r="N966" s="6" t="s">
        <v>632</v>
      </c>
      <c r="O966" s="6"/>
      <c r="P966" s="17" t="s">
        <v>54</v>
      </c>
      <c r="Q966" s="17" t="s">
        <v>54</v>
      </c>
      <c r="R966" s="17"/>
    </row>
    <row r="967" spans="1:18" ht="30" customHeight="1" x14ac:dyDescent="0.3">
      <c r="A967" s="7">
        <v>45797.75455902778</v>
      </c>
      <c r="B967" s="6" t="s">
        <v>4</v>
      </c>
      <c r="C967" s="6"/>
      <c r="D967" s="6" t="str">
        <f>VLOOKUP(B967,'Veri doğrulama'!$D$6:$E$13,2,0)</f>
        <v>MEHMET YAZICI</v>
      </c>
      <c r="E967" s="6"/>
      <c r="F967" s="6" t="s">
        <v>93</v>
      </c>
      <c r="G967" s="6" t="s">
        <v>21</v>
      </c>
      <c r="H967" s="6" t="s">
        <v>35</v>
      </c>
      <c r="I967" s="6">
        <v>1300</v>
      </c>
      <c r="J967" s="6">
        <v>320</v>
      </c>
      <c r="K967" s="6">
        <v>1</v>
      </c>
      <c r="L967" s="10">
        <f>I966*J966/1000000*K968</f>
        <v>0.54</v>
      </c>
      <c r="M967" s="6" t="s">
        <v>40</v>
      </c>
      <c r="N967" s="6"/>
      <c r="O967" s="6"/>
      <c r="P967" s="17" t="s">
        <v>54</v>
      </c>
      <c r="Q967" s="17" t="s">
        <v>54</v>
      </c>
      <c r="R967" s="17" t="s">
        <v>54</v>
      </c>
    </row>
    <row r="968" spans="1:18" ht="30" customHeight="1" x14ac:dyDescent="0.3">
      <c r="A968" s="7">
        <v>45797.712950810186</v>
      </c>
      <c r="B968" s="6" t="s">
        <v>4</v>
      </c>
      <c r="C968" s="6"/>
      <c r="D968" s="6" t="str">
        <f>VLOOKUP(B968,'Veri doğrulama'!$D$6:$E$13,2,0)</f>
        <v>MEHMET YAZICI</v>
      </c>
      <c r="E968" s="6" t="s">
        <v>797</v>
      </c>
      <c r="F968" s="6" t="s">
        <v>800</v>
      </c>
      <c r="G968" s="6" t="s">
        <v>19</v>
      </c>
      <c r="H968" s="6" t="s">
        <v>34</v>
      </c>
      <c r="I968" s="6">
        <v>762</v>
      </c>
      <c r="J968" s="6">
        <v>430</v>
      </c>
      <c r="K968" s="6">
        <v>1</v>
      </c>
      <c r="L968" s="10">
        <f>I966*J966/1000000*K968</f>
        <v>0.54</v>
      </c>
      <c r="M968" s="6" t="s">
        <v>102</v>
      </c>
      <c r="N968" s="6" t="s">
        <v>715</v>
      </c>
      <c r="O968" s="6"/>
      <c r="P968" s="17" t="s">
        <v>54</v>
      </c>
      <c r="Q968" s="17"/>
      <c r="R968" s="17"/>
    </row>
    <row r="969" spans="1:18" ht="30" customHeight="1" x14ac:dyDescent="0.3">
      <c r="A969" s="7">
        <v>45797.712084259256</v>
      </c>
      <c r="B969" s="6" t="s">
        <v>4</v>
      </c>
      <c r="C969" s="6"/>
      <c r="D969" s="6" t="str">
        <f>VLOOKUP(B969,'Veri doğrulama'!$D$6:$E$13,2,0)</f>
        <v>MEHMET YAZICI</v>
      </c>
      <c r="E969" s="6"/>
      <c r="F969" s="6" t="s">
        <v>116</v>
      </c>
      <c r="G969" s="6" t="s">
        <v>23</v>
      </c>
      <c r="H969" s="6" t="s">
        <v>34</v>
      </c>
      <c r="I969" s="6">
        <v>2600</v>
      </c>
      <c r="J969" s="6">
        <v>600</v>
      </c>
      <c r="K969" s="6">
        <v>1</v>
      </c>
      <c r="L969" s="10">
        <f>I968*J968/1000000*K970</f>
        <v>0.32766000000000001</v>
      </c>
      <c r="M969" s="6" t="s">
        <v>40</v>
      </c>
      <c r="N969" s="6" t="s">
        <v>632</v>
      </c>
      <c r="O969" s="6"/>
      <c r="P969" s="17" t="s">
        <v>54</v>
      </c>
      <c r="Q969" s="17" t="s">
        <v>54</v>
      </c>
      <c r="R969" s="17" t="s">
        <v>54</v>
      </c>
    </row>
    <row r="970" spans="1:18" ht="30" customHeight="1" x14ac:dyDescent="0.3">
      <c r="A970" s="7">
        <v>45797.711468402777</v>
      </c>
      <c r="B970" s="6" t="s">
        <v>4</v>
      </c>
      <c r="C970" s="6"/>
      <c r="D970" s="6" t="str">
        <f>VLOOKUP(B970,'Veri doğrulama'!$D$6:$E$13,2,0)</f>
        <v>MEHMET YAZICI</v>
      </c>
      <c r="E970" s="6" t="s">
        <v>799</v>
      </c>
      <c r="F970" s="6" t="s">
        <v>374</v>
      </c>
      <c r="G970" s="6" t="s">
        <v>28</v>
      </c>
      <c r="H970" s="6" t="s">
        <v>34</v>
      </c>
      <c r="I970" s="6">
        <v>264</v>
      </c>
      <c r="J970" s="6">
        <v>447</v>
      </c>
      <c r="K970" s="6">
        <v>1</v>
      </c>
      <c r="L970" s="10">
        <f t="shared" ref="L970:L976" si="21">I968*J968/1000000*K970</f>
        <v>0.32766000000000001</v>
      </c>
      <c r="M970" s="6" t="s">
        <v>103</v>
      </c>
      <c r="N970" s="6"/>
      <c r="O970" s="6"/>
      <c r="P970" s="17" t="s">
        <v>54</v>
      </c>
      <c r="Q970" s="17" t="s">
        <v>54</v>
      </c>
      <c r="R970" s="17" t="s">
        <v>54</v>
      </c>
    </row>
    <row r="971" spans="1:18" ht="30" customHeight="1" x14ac:dyDescent="0.3">
      <c r="A971" s="7">
        <v>45797.374815277777</v>
      </c>
      <c r="B971" s="6" t="s">
        <v>4</v>
      </c>
      <c r="C971" s="6"/>
      <c r="D971" s="6" t="str">
        <f>VLOOKUP(B971,'Veri doğrulama'!$D$6:$E$13,2,0)</f>
        <v>MEHMET YAZICI</v>
      </c>
      <c r="E971" s="6" t="s">
        <v>787</v>
      </c>
      <c r="F971" s="6" t="s">
        <v>806</v>
      </c>
      <c r="G971" s="6" t="s">
        <v>16</v>
      </c>
      <c r="H971" s="6" t="s">
        <v>34</v>
      </c>
      <c r="I971" s="6">
        <v>1200</v>
      </c>
      <c r="J971" s="6">
        <v>800</v>
      </c>
      <c r="K971" s="6">
        <v>1</v>
      </c>
      <c r="L971" s="10">
        <f t="shared" si="21"/>
        <v>1.56</v>
      </c>
      <c r="M971" s="6" t="s">
        <v>103</v>
      </c>
      <c r="N971" s="6" t="s">
        <v>805</v>
      </c>
      <c r="O971" s="6"/>
      <c r="P971" s="17" t="s">
        <v>54</v>
      </c>
      <c r="Q971" s="17" t="s">
        <v>54</v>
      </c>
      <c r="R971" s="17" t="s">
        <v>54</v>
      </c>
    </row>
    <row r="972" spans="1:18" ht="30" customHeight="1" x14ac:dyDescent="0.3">
      <c r="A972" s="7">
        <v>45793.44966215278</v>
      </c>
      <c r="B972" s="6" t="s">
        <v>4</v>
      </c>
      <c r="C972" s="6"/>
      <c r="D972" s="6" t="str">
        <f>VLOOKUP(B972,'Veri doğrulama'!$D$6:$E$13,2,0)</f>
        <v>MEHMET YAZICI</v>
      </c>
      <c r="E972" s="6">
        <v>23047</v>
      </c>
      <c r="F972" s="6" t="s">
        <v>128</v>
      </c>
      <c r="G972" s="6" t="s">
        <v>15</v>
      </c>
      <c r="H972" s="6" t="s">
        <v>34</v>
      </c>
      <c r="I972" s="6">
        <v>1400</v>
      </c>
      <c r="J972" s="6">
        <v>1200</v>
      </c>
      <c r="K972" s="6">
        <v>1</v>
      </c>
      <c r="L972" s="10">
        <f t="shared" si="21"/>
        <v>0.118008</v>
      </c>
      <c r="M972" s="6" t="s">
        <v>75</v>
      </c>
      <c r="N972" s="6" t="s">
        <v>812</v>
      </c>
      <c r="O972" s="6"/>
      <c r="P972" s="17" t="s">
        <v>54</v>
      </c>
      <c r="Q972" s="17" t="s">
        <v>54</v>
      </c>
      <c r="R972" s="17"/>
    </row>
    <row r="973" spans="1:18" ht="30" customHeight="1" x14ac:dyDescent="0.3">
      <c r="A973" s="7">
        <v>45793.353464351851</v>
      </c>
      <c r="B973" s="6" t="s">
        <v>4</v>
      </c>
      <c r="C973" s="6"/>
      <c r="D973" s="6" t="str">
        <f>VLOOKUP(B973,'Veri doğrulama'!$D$6:$E$13,2,0)</f>
        <v>MEHMET YAZICI</v>
      </c>
      <c r="E973" s="6"/>
      <c r="F973" s="6" t="s">
        <v>222</v>
      </c>
      <c r="G973" s="6" t="s">
        <v>19</v>
      </c>
      <c r="H973" s="6" t="s">
        <v>34</v>
      </c>
      <c r="I973" s="6">
        <v>672</v>
      </c>
      <c r="J973" s="6">
        <v>446</v>
      </c>
      <c r="K973" s="6">
        <v>1</v>
      </c>
      <c r="L973" s="10">
        <f t="shared" si="21"/>
        <v>0.96</v>
      </c>
      <c r="M973" s="6" t="s">
        <v>75</v>
      </c>
      <c r="N973" s="6" t="s">
        <v>829</v>
      </c>
      <c r="O973" s="6"/>
      <c r="P973" s="17" t="s">
        <v>54</v>
      </c>
      <c r="Q973" s="17"/>
      <c r="R973" s="17"/>
    </row>
    <row r="974" spans="1:18" ht="30" customHeight="1" x14ac:dyDescent="0.3">
      <c r="A974" s="7">
        <v>45793.352879976854</v>
      </c>
      <c r="B974" s="6" t="s">
        <v>5</v>
      </c>
      <c r="C974" s="6"/>
      <c r="D974" s="6" t="str">
        <f>VLOOKUP(B974,'Veri doğrulama'!$D$6:$E$13,2,0)</f>
        <v>MEHMET ÖZEN</v>
      </c>
      <c r="E974" s="6"/>
      <c r="F974" s="6" t="s">
        <v>783</v>
      </c>
      <c r="G974" s="6" t="s">
        <v>16</v>
      </c>
      <c r="H974" s="6" t="s">
        <v>34</v>
      </c>
      <c r="I974" s="6">
        <v>1200</v>
      </c>
      <c r="J974" s="6">
        <v>800</v>
      </c>
      <c r="K974" s="6">
        <v>1</v>
      </c>
      <c r="L974" s="10">
        <f t="shared" si="21"/>
        <v>1.68</v>
      </c>
      <c r="M974" s="6" t="s">
        <v>42</v>
      </c>
      <c r="N974" s="6"/>
      <c r="O974" s="6"/>
      <c r="P974" s="17" t="s">
        <v>54</v>
      </c>
      <c r="Q974" s="17" t="s">
        <v>54</v>
      </c>
      <c r="R974" s="17"/>
    </row>
    <row r="975" spans="1:18" ht="30" customHeight="1" x14ac:dyDescent="0.3">
      <c r="A975" s="7">
        <v>45792.753199421299</v>
      </c>
      <c r="B975" s="6" t="s">
        <v>4</v>
      </c>
      <c r="C975" s="6"/>
      <c r="D975" s="6" t="str">
        <f>VLOOKUP(B975,'Veri doğrulama'!$D$6:$E$13,2,0)</f>
        <v>MEHMET YAZICI</v>
      </c>
      <c r="E975" s="6" t="s">
        <v>828</v>
      </c>
      <c r="F975" s="6" t="s">
        <v>70</v>
      </c>
      <c r="G975" s="6" t="s">
        <v>23</v>
      </c>
      <c r="H975" s="6" t="s">
        <v>34</v>
      </c>
      <c r="I975" s="6">
        <v>1800</v>
      </c>
      <c r="J975" s="6">
        <v>850</v>
      </c>
      <c r="K975" s="6">
        <v>1</v>
      </c>
      <c r="L975" s="10">
        <f t="shared" si="21"/>
        <v>0.29971199999999998</v>
      </c>
      <c r="M975" s="6" t="s">
        <v>102</v>
      </c>
      <c r="N975" s="6"/>
      <c r="O975" s="6"/>
      <c r="P975" s="17" t="s">
        <v>54</v>
      </c>
      <c r="Q975" s="17" t="s">
        <v>54</v>
      </c>
      <c r="R975" s="17" t="s">
        <v>54</v>
      </c>
    </row>
    <row r="976" spans="1:18" ht="30" customHeight="1" x14ac:dyDescent="0.3">
      <c r="A976" s="7">
        <v>45792.400751504632</v>
      </c>
      <c r="B976" s="6" t="s">
        <v>4</v>
      </c>
      <c r="C976" s="6"/>
      <c r="D976" s="6" t="str">
        <f>VLOOKUP(B976,'Veri doğrulama'!$D$6:$E$13,2,0)</f>
        <v>MEHMET YAZICI</v>
      </c>
      <c r="E976" s="6"/>
      <c r="F976" s="6" t="s">
        <v>816</v>
      </c>
      <c r="G976" s="6" t="s">
        <v>17</v>
      </c>
      <c r="H976" s="6" t="s">
        <v>35</v>
      </c>
      <c r="I976" s="6">
        <v>557</v>
      </c>
      <c r="J976" s="6">
        <v>247</v>
      </c>
      <c r="K976" s="6">
        <v>1</v>
      </c>
      <c r="L976" s="10">
        <f t="shared" si="21"/>
        <v>0.96</v>
      </c>
      <c r="M976" s="6" t="s">
        <v>103</v>
      </c>
      <c r="N976" s="6" t="s">
        <v>805</v>
      </c>
      <c r="O976" s="6"/>
      <c r="P976" s="17" t="s">
        <v>54</v>
      </c>
      <c r="Q976" s="17" t="s">
        <v>54</v>
      </c>
      <c r="R976" s="17" t="s">
        <v>54</v>
      </c>
    </row>
    <row r="977" spans="1:18" ht="30" customHeight="1" x14ac:dyDescent="0.3">
      <c r="A977" s="7">
        <v>45791.618877314817</v>
      </c>
      <c r="B977" s="6" t="s">
        <v>4</v>
      </c>
      <c r="C977" s="6"/>
      <c r="D977" s="6" t="str">
        <f>VLOOKUP(B977,'Veri doğrulama'!$D$6:$E$13,2,0)</f>
        <v>MEHMET YAZICI</v>
      </c>
      <c r="E977" s="6"/>
      <c r="F977" s="6" t="s">
        <v>68</v>
      </c>
      <c r="G977" s="6" t="s">
        <v>15</v>
      </c>
      <c r="H977" s="6" t="s">
        <v>34</v>
      </c>
      <c r="I977" s="6">
        <v>1600</v>
      </c>
      <c r="J977" s="6">
        <v>1400</v>
      </c>
      <c r="K977" s="6">
        <v>1</v>
      </c>
      <c r="L977" s="10">
        <f>I976*J976/1000000*K978</f>
        <v>0.27515800000000001</v>
      </c>
      <c r="M977" s="6" t="s">
        <v>40</v>
      </c>
      <c r="N977" s="6"/>
      <c r="O977" s="6"/>
      <c r="P977" s="17" t="s">
        <v>54</v>
      </c>
      <c r="Q977" s="17" t="s">
        <v>54</v>
      </c>
      <c r="R977" s="17"/>
    </row>
    <row r="978" spans="1:18" ht="30" customHeight="1" x14ac:dyDescent="0.3">
      <c r="A978" s="7">
        <v>45791.387685532405</v>
      </c>
      <c r="B978" s="6" t="s">
        <v>4</v>
      </c>
      <c r="C978" s="6"/>
      <c r="D978" s="6" t="str">
        <f>VLOOKUP(B978,'Veri doğrulama'!$D$6:$E$13,2,0)</f>
        <v>MEHMET YAZICI</v>
      </c>
      <c r="E978" s="6" t="s">
        <v>815</v>
      </c>
      <c r="F978" s="6" t="s">
        <v>804</v>
      </c>
      <c r="G978" s="6" t="s">
        <v>18</v>
      </c>
      <c r="H978" s="6" t="s">
        <v>34</v>
      </c>
      <c r="I978" s="6">
        <v>2200</v>
      </c>
      <c r="J978" s="6">
        <v>450</v>
      </c>
      <c r="K978" s="6">
        <v>2</v>
      </c>
      <c r="L978" s="10">
        <f>I976*J976/1000000*K978</f>
        <v>0.27515800000000001</v>
      </c>
      <c r="M978" s="6" t="s">
        <v>102</v>
      </c>
      <c r="N978" s="6" t="s">
        <v>805</v>
      </c>
      <c r="O978" s="6"/>
      <c r="P978" s="17" t="s">
        <v>54</v>
      </c>
      <c r="Q978" s="17"/>
      <c r="R978" s="17"/>
    </row>
    <row r="979" spans="1:18" ht="30" customHeight="1" x14ac:dyDescent="0.3">
      <c r="A979" s="7">
        <v>45790.725753935185</v>
      </c>
      <c r="B979" s="6" t="s">
        <v>4</v>
      </c>
      <c r="C979" s="6"/>
      <c r="D979" s="6" t="str">
        <f>VLOOKUP(B979,'Veri doğrulama'!$D$6:$E$13,2,0)</f>
        <v>MEHMET YAZICI</v>
      </c>
      <c r="E979" s="6"/>
      <c r="F979" s="6" t="s">
        <v>73</v>
      </c>
      <c r="G979" s="6" t="s">
        <v>17</v>
      </c>
      <c r="H979" s="6" t="s">
        <v>34</v>
      </c>
      <c r="I979" s="6">
        <v>900</v>
      </c>
      <c r="J979" s="6">
        <v>320</v>
      </c>
      <c r="K979" s="6">
        <v>1</v>
      </c>
      <c r="L979" s="10">
        <f>I978*J978/1000000*K980</f>
        <v>0.99</v>
      </c>
      <c r="M979" s="6" t="s">
        <v>40</v>
      </c>
      <c r="N979" s="6"/>
      <c r="O979" s="6"/>
      <c r="P979" s="17" t="s">
        <v>54</v>
      </c>
      <c r="Q979" s="17" t="s">
        <v>54</v>
      </c>
      <c r="R979" s="17"/>
    </row>
    <row r="980" spans="1:18" ht="30" customHeight="1" x14ac:dyDescent="0.3">
      <c r="A980" s="7">
        <v>45790.69454016204</v>
      </c>
      <c r="B980" s="6" t="s">
        <v>81</v>
      </c>
      <c r="C980" s="6"/>
      <c r="D980" s="6" t="str">
        <f>VLOOKUP(B980,'Veri doğrulama'!$D$6:$E$13,2,0)</f>
        <v>İBRAHİM ÇELİK</v>
      </c>
      <c r="E980" s="6" t="s">
        <v>803</v>
      </c>
      <c r="F980" s="6" t="s">
        <v>82</v>
      </c>
      <c r="G980" s="6" t="s">
        <v>19</v>
      </c>
      <c r="H980" s="6" t="s">
        <v>34</v>
      </c>
      <c r="I980" s="6">
        <v>1462</v>
      </c>
      <c r="J980" s="6">
        <v>520</v>
      </c>
      <c r="K980" s="6">
        <v>1</v>
      </c>
      <c r="L980" s="10">
        <f>I978*J978/1000000*K980</f>
        <v>0.99</v>
      </c>
      <c r="M980" s="6" t="s">
        <v>39</v>
      </c>
      <c r="N980" s="6"/>
      <c r="O980" s="6"/>
      <c r="P980" s="17" t="s">
        <v>54</v>
      </c>
      <c r="Q980" s="17" t="s">
        <v>54</v>
      </c>
      <c r="R980" s="17" t="s">
        <v>54</v>
      </c>
    </row>
    <row r="981" spans="1:18" ht="30" customHeight="1" x14ac:dyDescent="0.3">
      <c r="A981" s="7">
        <v>45790.471053240741</v>
      </c>
      <c r="B981" s="6" t="s">
        <v>4</v>
      </c>
      <c r="C981" s="6"/>
      <c r="D981" s="6" t="str">
        <f>VLOOKUP(B981,'Veri doğrulama'!$D$6:$E$13,2,0)</f>
        <v>MEHMET YAZICI</v>
      </c>
      <c r="E981" s="6"/>
      <c r="F981" s="6" t="s">
        <v>99</v>
      </c>
      <c r="G981" s="6" t="s">
        <v>24</v>
      </c>
      <c r="H981" s="6" t="s">
        <v>34</v>
      </c>
      <c r="I981" s="6">
        <v>1800</v>
      </c>
      <c r="J981" s="6">
        <v>360</v>
      </c>
      <c r="K981" s="6">
        <v>1</v>
      </c>
      <c r="L981" s="10">
        <f>I980*J980/1000000*K982</f>
        <v>1.5204800000000001</v>
      </c>
      <c r="M981" s="6" t="s">
        <v>40</v>
      </c>
      <c r="N981" s="6" t="s">
        <v>632</v>
      </c>
      <c r="O981" s="6"/>
      <c r="P981" s="17" t="s">
        <v>54</v>
      </c>
      <c r="Q981" s="17" t="s">
        <v>54</v>
      </c>
      <c r="R981" s="17"/>
    </row>
    <row r="982" spans="1:18" ht="30" customHeight="1" x14ac:dyDescent="0.3">
      <c r="A982" s="7">
        <v>45790.445480671297</v>
      </c>
      <c r="B982" s="6" t="s">
        <v>5</v>
      </c>
      <c r="C982" s="6"/>
      <c r="D982" s="6" t="str">
        <f>VLOOKUP(B982,'Veri doğrulama'!$D$6:$E$13,2,0)</f>
        <v>MEHMET ÖZEN</v>
      </c>
      <c r="E982" s="6" t="s">
        <v>83</v>
      </c>
      <c r="F982" s="6" t="s">
        <v>107</v>
      </c>
      <c r="G982" s="6" t="s">
        <v>24</v>
      </c>
      <c r="H982" s="6" t="s">
        <v>34</v>
      </c>
      <c r="I982" s="6">
        <v>1800</v>
      </c>
      <c r="J982" s="6">
        <v>390</v>
      </c>
      <c r="K982" s="6">
        <v>2</v>
      </c>
      <c r="L982" s="10">
        <f>I981*J981/1000000*K983</f>
        <v>0.64800000000000002</v>
      </c>
      <c r="M982" s="6" t="s">
        <v>40</v>
      </c>
      <c r="N982" s="6"/>
      <c r="O982" s="6"/>
      <c r="P982" s="17" t="s">
        <v>54</v>
      </c>
      <c r="Q982" s="17" t="s">
        <v>54</v>
      </c>
      <c r="R982" s="17"/>
    </row>
    <row r="983" spans="1:18" ht="30" customHeight="1" x14ac:dyDescent="0.3">
      <c r="A983" s="7">
        <v>45790.415314814818</v>
      </c>
      <c r="B983" s="6" t="s">
        <v>7</v>
      </c>
      <c r="C983" s="6"/>
      <c r="D983" s="6" t="str">
        <f>VLOOKUP(B983,'Veri doğrulama'!$D$6:$E$13,2,0)</f>
        <v>SIDDIK KAPLAN</v>
      </c>
      <c r="E983" s="6" t="s">
        <v>772</v>
      </c>
      <c r="F983" s="6" t="s">
        <v>530</v>
      </c>
      <c r="G983" s="6" t="s">
        <v>24</v>
      </c>
      <c r="H983" s="6" t="s">
        <v>34</v>
      </c>
      <c r="I983" s="6">
        <v>500</v>
      </c>
      <c r="J983" s="6">
        <v>410</v>
      </c>
      <c r="K983" s="6">
        <v>1</v>
      </c>
      <c r="L983" s="10">
        <f t="shared" ref="L983:L1000" si="22">I981*J981/1000000*K983</f>
        <v>0.64800000000000002</v>
      </c>
      <c r="M983" s="6" t="s">
        <v>156</v>
      </c>
      <c r="N983" s="6" t="s">
        <v>209</v>
      </c>
      <c r="O983" s="6"/>
      <c r="P983" s="17" t="s">
        <v>54</v>
      </c>
      <c r="Q983" s="17" t="s">
        <v>54</v>
      </c>
      <c r="R983" s="17"/>
    </row>
    <row r="984" spans="1:18" ht="30" customHeight="1" x14ac:dyDescent="0.3">
      <c r="A984" s="7">
        <v>45790.411348148147</v>
      </c>
      <c r="B984" s="6" t="s">
        <v>4</v>
      </c>
      <c r="C984" s="6"/>
      <c r="D984" s="6" t="str">
        <f>VLOOKUP(B984,'Veri doğrulama'!$D$6:$E$13,2,0)</f>
        <v>MEHMET YAZICI</v>
      </c>
      <c r="E984" s="6"/>
      <c r="F984" s="6" t="s">
        <v>777</v>
      </c>
      <c r="G984" s="6" t="s">
        <v>29</v>
      </c>
      <c r="H984" s="6" t="s">
        <v>35</v>
      </c>
      <c r="I984" s="6">
        <v>2200</v>
      </c>
      <c r="J984" s="6">
        <v>415</v>
      </c>
      <c r="K984" s="6">
        <v>1</v>
      </c>
      <c r="L984" s="10">
        <f t="shared" si="22"/>
        <v>0.70199999999999996</v>
      </c>
      <c r="M984" s="6" t="s">
        <v>103</v>
      </c>
      <c r="N984" s="6" t="s">
        <v>632</v>
      </c>
      <c r="O984" s="6"/>
      <c r="P984" s="17" t="s">
        <v>54</v>
      </c>
      <c r="Q984" s="17" t="s">
        <v>54</v>
      </c>
      <c r="R984" s="17" t="s">
        <v>54</v>
      </c>
    </row>
    <row r="985" spans="1:18" ht="30" customHeight="1" x14ac:dyDescent="0.3">
      <c r="A985" s="7">
        <v>45790.377364351851</v>
      </c>
      <c r="B985" s="6" t="s">
        <v>4</v>
      </c>
      <c r="C985" s="6"/>
      <c r="D985" s="6" t="str">
        <f>VLOOKUP(B985,'Veri doğrulama'!$D$6:$E$13,2,0)</f>
        <v>MEHMET YAZICI</v>
      </c>
      <c r="E985" s="6"/>
      <c r="F985" s="6" t="s">
        <v>773</v>
      </c>
      <c r="G985" s="6" t="s">
        <v>18</v>
      </c>
      <c r="H985" s="6" t="s">
        <v>34</v>
      </c>
      <c r="I985" s="6">
        <v>1600</v>
      </c>
      <c r="J985" s="6">
        <v>800</v>
      </c>
      <c r="K985" s="6">
        <v>2</v>
      </c>
      <c r="L985" s="10">
        <f t="shared" si="22"/>
        <v>0.41</v>
      </c>
      <c r="M985" s="6" t="s">
        <v>42</v>
      </c>
      <c r="N985" s="6" t="s">
        <v>632</v>
      </c>
      <c r="O985" s="6"/>
      <c r="P985" s="17" t="s">
        <v>54</v>
      </c>
      <c r="Q985" s="17" t="s">
        <v>54</v>
      </c>
      <c r="R985" s="17" t="s">
        <v>54</v>
      </c>
    </row>
    <row r="986" spans="1:18" ht="30" customHeight="1" x14ac:dyDescent="0.3">
      <c r="A986" s="7">
        <v>45790.344421412039</v>
      </c>
      <c r="B986" s="6" t="s">
        <v>5</v>
      </c>
      <c r="C986" s="6"/>
      <c r="D986" s="6" t="str">
        <f>VLOOKUP(B986,'Veri doğrulama'!$D$6:$E$13,2,0)</f>
        <v>MEHMET ÖZEN</v>
      </c>
      <c r="E986" s="6" t="s">
        <v>776</v>
      </c>
      <c r="F986" s="6" t="s">
        <v>767</v>
      </c>
      <c r="G986" s="6" t="s">
        <v>18</v>
      </c>
      <c r="H986" s="6" t="s">
        <v>34</v>
      </c>
      <c r="I986" s="6">
        <v>1150</v>
      </c>
      <c r="J986" s="6">
        <v>450</v>
      </c>
      <c r="K986" s="6">
        <v>1</v>
      </c>
      <c r="L986" s="10">
        <f t="shared" si="22"/>
        <v>0.91300000000000003</v>
      </c>
      <c r="M986" s="6" t="s">
        <v>75</v>
      </c>
      <c r="N986" s="6"/>
      <c r="O986" s="6"/>
      <c r="P986" s="17" t="s">
        <v>54</v>
      </c>
      <c r="Q986" s="17" t="s">
        <v>54</v>
      </c>
      <c r="R986" s="17"/>
    </row>
    <row r="987" spans="1:18" ht="30" customHeight="1" x14ac:dyDescent="0.3">
      <c r="A987" s="7">
        <v>45789.686843634256</v>
      </c>
      <c r="B987" s="6" t="s">
        <v>4</v>
      </c>
      <c r="C987" s="6"/>
      <c r="D987" s="6" t="str">
        <f>VLOOKUP(B987,'Veri doğrulama'!$D$6:$E$13,2,0)</f>
        <v>MEHMET YAZICI</v>
      </c>
      <c r="E987" s="6"/>
      <c r="F987" s="6" t="s">
        <v>778</v>
      </c>
      <c r="G987" s="6" t="s">
        <v>16</v>
      </c>
      <c r="H987" s="6" t="s">
        <v>34</v>
      </c>
      <c r="I987" s="6">
        <v>460</v>
      </c>
      <c r="J987" s="6">
        <v>560</v>
      </c>
      <c r="K987" s="6">
        <v>1</v>
      </c>
      <c r="L987" s="10">
        <f t="shared" si="22"/>
        <v>1.28</v>
      </c>
      <c r="M987" s="6" t="s">
        <v>102</v>
      </c>
      <c r="N987" s="6" t="s">
        <v>779</v>
      </c>
      <c r="O987" s="6"/>
      <c r="P987" s="17" t="s">
        <v>54</v>
      </c>
      <c r="Q987" s="17" t="s">
        <v>54</v>
      </c>
      <c r="R987" s="17" t="s">
        <v>54</v>
      </c>
    </row>
    <row r="988" spans="1:18" ht="30" customHeight="1" x14ac:dyDescent="0.3">
      <c r="A988" s="7">
        <v>45789.686158564815</v>
      </c>
      <c r="B988" s="6" t="s">
        <v>5</v>
      </c>
      <c r="C988" s="6"/>
      <c r="D988" s="6" t="str">
        <f>VLOOKUP(B988,'Veri doğrulama'!$D$6:$E$13,2,0)</f>
        <v>MEHMET ÖZEN</v>
      </c>
      <c r="E988" s="6"/>
      <c r="F988" s="6" t="s">
        <v>782</v>
      </c>
      <c r="G988" s="6" t="s">
        <v>15</v>
      </c>
      <c r="H988" s="6" t="s">
        <v>34</v>
      </c>
      <c r="I988" s="6">
        <v>1200</v>
      </c>
      <c r="J988" s="6">
        <v>800</v>
      </c>
      <c r="K988" s="6">
        <v>4</v>
      </c>
      <c r="L988" s="10">
        <f t="shared" si="22"/>
        <v>2.0699999999999998</v>
      </c>
      <c r="M988" s="6" t="s">
        <v>43</v>
      </c>
      <c r="N988" s="6"/>
      <c r="O988" s="6"/>
      <c r="P988" s="17" t="s">
        <v>54</v>
      </c>
      <c r="Q988" s="17" t="s">
        <v>54</v>
      </c>
      <c r="R988" s="17" t="s">
        <v>54</v>
      </c>
    </row>
    <row r="989" spans="1:18" ht="30" customHeight="1" x14ac:dyDescent="0.3">
      <c r="A989" s="7">
        <v>45789.66470439815</v>
      </c>
      <c r="B989" s="6" t="s">
        <v>7</v>
      </c>
      <c r="C989" s="6"/>
      <c r="D989" s="6" t="str">
        <f>VLOOKUP(B989,'Veri doğrulama'!$D$6:$E$13,2,0)</f>
        <v>SIDDIK KAPLAN</v>
      </c>
      <c r="E989" s="6"/>
      <c r="F989" s="6" t="s">
        <v>768</v>
      </c>
      <c r="G989" s="6" t="s">
        <v>29</v>
      </c>
      <c r="H989" s="6" t="s">
        <v>34</v>
      </c>
      <c r="I989" s="6">
        <v>1600</v>
      </c>
      <c r="J989" s="6">
        <v>1200</v>
      </c>
      <c r="K989" s="6">
        <v>1</v>
      </c>
      <c r="L989" s="10">
        <f t="shared" si="22"/>
        <v>0.2576</v>
      </c>
      <c r="M989" s="6" t="s">
        <v>75</v>
      </c>
      <c r="N989" s="6" t="s">
        <v>266</v>
      </c>
      <c r="O989" s="6"/>
      <c r="P989" s="17" t="s">
        <v>54</v>
      </c>
      <c r="Q989" s="17" t="s">
        <v>54</v>
      </c>
      <c r="R989" s="17" t="s">
        <v>54</v>
      </c>
    </row>
    <row r="990" spans="1:18" ht="30" customHeight="1" x14ac:dyDescent="0.3">
      <c r="A990" s="7">
        <v>45789.614337615742</v>
      </c>
      <c r="B990" s="6" t="s">
        <v>4</v>
      </c>
      <c r="C990" s="6"/>
      <c r="D990" s="6" t="str">
        <f>VLOOKUP(B990,'Veri doğrulama'!$D$6:$E$13,2,0)</f>
        <v>MEHMET YAZICI</v>
      </c>
      <c r="E990" s="6"/>
      <c r="F990" s="6" t="s">
        <v>789</v>
      </c>
      <c r="G990" s="6" t="s">
        <v>19</v>
      </c>
      <c r="H990" s="6" t="s">
        <v>34</v>
      </c>
      <c r="I990" s="6">
        <v>2600</v>
      </c>
      <c r="J990" s="6">
        <v>300</v>
      </c>
      <c r="K990" s="6">
        <v>1</v>
      </c>
      <c r="L990" s="10">
        <f t="shared" si="22"/>
        <v>0.96</v>
      </c>
      <c r="M990" s="6" t="s">
        <v>103</v>
      </c>
      <c r="N990" s="6" t="s">
        <v>632</v>
      </c>
      <c r="O990" s="6"/>
      <c r="P990" s="17" t="s">
        <v>54</v>
      </c>
      <c r="Q990" s="17"/>
      <c r="R990" s="17"/>
    </row>
    <row r="991" spans="1:18" ht="30" customHeight="1" x14ac:dyDescent="0.3">
      <c r="A991" s="7">
        <v>45789.61353599537</v>
      </c>
      <c r="B991" s="6" t="s">
        <v>4</v>
      </c>
      <c r="C991" s="6"/>
      <c r="D991" s="6" t="str">
        <f>VLOOKUP(B991,'Veri doğrulama'!$D$6:$E$13,2,0)</f>
        <v>MEHMET YAZICI</v>
      </c>
      <c r="E991" s="6"/>
      <c r="F991" s="6" t="s">
        <v>775</v>
      </c>
      <c r="G991" s="6" t="s">
        <v>17</v>
      </c>
      <c r="H991" s="6" t="s">
        <v>34</v>
      </c>
      <c r="I991" s="6">
        <v>360</v>
      </c>
      <c r="J991" s="6">
        <v>696</v>
      </c>
      <c r="K991" s="6">
        <v>1</v>
      </c>
      <c r="L991" s="10">
        <f t="shared" si="22"/>
        <v>1.92</v>
      </c>
      <c r="M991" s="6" t="s">
        <v>43</v>
      </c>
      <c r="N991" s="6" t="s">
        <v>632</v>
      </c>
      <c r="O991" s="6"/>
      <c r="P991" s="17" t="s">
        <v>54</v>
      </c>
      <c r="Q991" s="17" t="s">
        <v>54</v>
      </c>
      <c r="R991" s="17" t="s">
        <v>54</v>
      </c>
    </row>
    <row r="992" spans="1:18" ht="30" customHeight="1" x14ac:dyDescent="0.3">
      <c r="A992" s="7">
        <v>45789.568516435182</v>
      </c>
      <c r="B992" s="6" t="s">
        <v>5</v>
      </c>
      <c r="C992" s="6"/>
      <c r="D992" s="6" t="str">
        <f>VLOOKUP(B992,'Veri doğrulama'!$D$6:$E$13,2,0)</f>
        <v>MEHMET ÖZEN</v>
      </c>
      <c r="E992" s="6" t="s">
        <v>787</v>
      </c>
      <c r="F992" s="6" t="s">
        <v>766</v>
      </c>
      <c r="G992" s="6" t="s">
        <v>18</v>
      </c>
      <c r="H992" s="6" t="s">
        <v>34</v>
      </c>
      <c r="I992" s="6">
        <v>1600</v>
      </c>
      <c r="J992" s="6">
        <v>800</v>
      </c>
      <c r="K992" s="6">
        <v>1</v>
      </c>
      <c r="L992" s="10">
        <f t="shared" si="22"/>
        <v>0.78</v>
      </c>
      <c r="M992" s="6" t="s">
        <v>102</v>
      </c>
      <c r="N992" s="6"/>
      <c r="O992" s="6"/>
      <c r="P992" s="17" t="s">
        <v>54</v>
      </c>
      <c r="Q992" s="17" t="s">
        <v>54</v>
      </c>
      <c r="R992" s="17" t="s">
        <v>54</v>
      </c>
    </row>
    <row r="993" spans="1:18" ht="30" customHeight="1" x14ac:dyDescent="0.3">
      <c r="A993" s="7">
        <v>45789.553004629626</v>
      </c>
      <c r="B993" s="6" t="s">
        <v>4</v>
      </c>
      <c r="C993" s="6"/>
      <c r="D993" s="6" t="str">
        <f>VLOOKUP(B993,'Veri doğrulama'!$D$6:$E$13,2,0)</f>
        <v>MEHMET YAZICI</v>
      </c>
      <c r="E993" s="6"/>
      <c r="F993" s="6" t="s">
        <v>758</v>
      </c>
      <c r="G993" s="6" t="s">
        <v>18</v>
      </c>
      <c r="H993" s="6" t="s">
        <v>34</v>
      </c>
      <c r="I993" s="6">
        <v>762</v>
      </c>
      <c r="J993" s="6">
        <v>320</v>
      </c>
      <c r="K993" s="6">
        <v>1</v>
      </c>
      <c r="L993" s="10">
        <f t="shared" si="22"/>
        <v>0.25056</v>
      </c>
      <c r="M993" s="6" t="s">
        <v>102</v>
      </c>
      <c r="N993" s="6" t="s">
        <v>632</v>
      </c>
      <c r="O993" s="6"/>
      <c r="P993" s="17" t="s">
        <v>54</v>
      </c>
      <c r="Q993" s="17"/>
      <c r="R993" s="17"/>
    </row>
    <row r="994" spans="1:18" ht="30" customHeight="1" x14ac:dyDescent="0.3">
      <c r="A994" s="7">
        <v>45789.473131597224</v>
      </c>
      <c r="B994" s="6" t="s">
        <v>4</v>
      </c>
      <c r="C994" s="6"/>
      <c r="D994" s="6" t="str">
        <f>VLOOKUP(B994,'Veri doğrulama'!$D$6:$E$13,2,0)</f>
        <v>MEHMET YAZICI</v>
      </c>
      <c r="E994" s="6"/>
      <c r="F994" s="6" t="s">
        <v>757</v>
      </c>
      <c r="G994" s="6" t="s">
        <v>18</v>
      </c>
      <c r="H994" s="6" t="s">
        <v>34</v>
      </c>
      <c r="I994" s="6">
        <v>1150</v>
      </c>
      <c r="J994" s="6">
        <v>450</v>
      </c>
      <c r="K994" s="6">
        <v>2</v>
      </c>
      <c r="L994" s="10">
        <f t="shared" si="22"/>
        <v>2.56</v>
      </c>
      <c r="M994" s="6" t="s">
        <v>103</v>
      </c>
      <c r="N994" s="6" t="s">
        <v>632</v>
      </c>
      <c r="O994" s="6"/>
      <c r="P994" s="17" t="s">
        <v>54</v>
      </c>
      <c r="Q994" s="17" t="s">
        <v>54</v>
      </c>
      <c r="R994" s="17" t="s">
        <v>54</v>
      </c>
    </row>
    <row r="995" spans="1:18" ht="30" customHeight="1" x14ac:dyDescent="0.3">
      <c r="A995" s="7">
        <v>45789.464145486112</v>
      </c>
      <c r="B995" s="6" t="s">
        <v>5</v>
      </c>
      <c r="C995" s="6"/>
      <c r="D995" s="6" t="str">
        <f>VLOOKUP(B995,'Veri doğrulama'!$D$6:$E$13,2,0)</f>
        <v>MEHMET ÖZEN</v>
      </c>
      <c r="E995" s="6"/>
      <c r="F995" s="6" t="s">
        <v>756</v>
      </c>
      <c r="G995" s="6" t="s">
        <v>18</v>
      </c>
      <c r="H995" s="6" t="s">
        <v>34</v>
      </c>
      <c r="I995" s="6">
        <v>763</v>
      </c>
      <c r="J995" s="6">
        <v>320</v>
      </c>
      <c r="K995" s="6">
        <v>3</v>
      </c>
      <c r="L995" s="10">
        <f t="shared" si="22"/>
        <v>0.73151999999999995</v>
      </c>
      <c r="M995" s="6" t="s">
        <v>103</v>
      </c>
      <c r="N995" s="6"/>
      <c r="O995" s="6"/>
      <c r="P995" s="17" t="s">
        <v>54</v>
      </c>
      <c r="Q995" s="17" t="s">
        <v>54</v>
      </c>
      <c r="R995" s="17" t="s">
        <v>54</v>
      </c>
    </row>
    <row r="996" spans="1:18" ht="30" customHeight="1" x14ac:dyDescent="0.3">
      <c r="A996" s="7">
        <v>45786.698589120373</v>
      </c>
      <c r="B996" s="6" t="s">
        <v>7</v>
      </c>
      <c r="C996" s="6"/>
      <c r="D996" s="6" t="str">
        <f>VLOOKUP(B996,'Veri doğrulama'!$D$6:$E$13,2,0)</f>
        <v>SIDDIK KAPLAN</v>
      </c>
      <c r="E996" s="6"/>
      <c r="F996" s="6" t="s">
        <v>755</v>
      </c>
      <c r="G996" s="6" t="s">
        <v>18</v>
      </c>
      <c r="H996" s="6" t="s">
        <v>34</v>
      </c>
      <c r="I996" s="6">
        <v>763</v>
      </c>
      <c r="J996" s="6">
        <v>340</v>
      </c>
      <c r="K996" s="6">
        <v>1</v>
      </c>
      <c r="L996" s="10">
        <f t="shared" si="22"/>
        <v>0.51749999999999996</v>
      </c>
      <c r="M996" s="6" t="s">
        <v>103</v>
      </c>
      <c r="N996" s="6"/>
      <c r="O996" s="6"/>
      <c r="P996" s="17" t="s">
        <v>54</v>
      </c>
      <c r="Q996" s="17" t="s">
        <v>54</v>
      </c>
      <c r="R996" s="17" t="s">
        <v>54</v>
      </c>
    </row>
    <row r="997" spans="1:18" ht="30" customHeight="1" x14ac:dyDescent="0.3">
      <c r="A997" s="7">
        <v>45786.698003240737</v>
      </c>
      <c r="B997" s="6" t="s">
        <v>5</v>
      </c>
      <c r="C997" s="6"/>
      <c r="D997" s="6" t="str">
        <f>VLOOKUP(B997,'Veri doğrulama'!$D$6:$E$13,2,0)</f>
        <v>MEHMET ÖZEN</v>
      </c>
      <c r="E997" s="6"/>
      <c r="F997" s="6" t="s">
        <v>754</v>
      </c>
      <c r="G997" s="6" t="s">
        <v>18</v>
      </c>
      <c r="H997" s="6" t="s">
        <v>34</v>
      </c>
      <c r="I997" s="6">
        <v>735</v>
      </c>
      <c r="J997" s="6">
        <v>397</v>
      </c>
      <c r="K997" s="6">
        <v>1</v>
      </c>
      <c r="L997" s="10">
        <f t="shared" si="22"/>
        <v>0.24415999999999999</v>
      </c>
      <c r="M997" s="6" t="s">
        <v>103</v>
      </c>
      <c r="N997" s="6" t="s">
        <v>753</v>
      </c>
      <c r="O997" s="6"/>
      <c r="P997" s="17" t="s">
        <v>54</v>
      </c>
      <c r="Q997" s="17" t="s">
        <v>54</v>
      </c>
      <c r="R997" s="17" t="s">
        <v>54</v>
      </c>
    </row>
    <row r="998" spans="1:18" ht="30" customHeight="1" x14ac:dyDescent="0.3">
      <c r="A998" s="7">
        <v>45786.697395138886</v>
      </c>
      <c r="B998" s="6" t="s">
        <v>5</v>
      </c>
      <c r="C998" s="6"/>
      <c r="D998" s="6" t="str">
        <f>VLOOKUP(B998,'Veri doğrulama'!$D$6:$E$13,2,0)</f>
        <v>MEHMET ÖZEN</v>
      </c>
      <c r="E998" s="6"/>
      <c r="F998" s="6" t="s">
        <v>752</v>
      </c>
      <c r="G998" s="6" t="s">
        <v>18</v>
      </c>
      <c r="H998" s="6" t="s">
        <v>34</v>
      </c>
      <c r="I998" s="6">
        <v>1077</v>
      </c>
      <c r="J998" s="6">
        <v>397</v>
      </c>
      <c r="K998" s="6">
        <v>1</v>
      </c>
      <c r="L998" s="10">
        <f t="shared" si="22"/>
        <v>0.25941999999999998</v>
      </c>
      <c r="M998" s="6" t="s">
        <v>43</v>
      </c>
      <c r="N998" s="6" t="s">
        <v>753</v>
      </c>
      <c r="O998" s="6"/>
      <c r="P998" s="17" t="s">
        <v>54</v>
      </c>
      <c r="Q998" s="17" t="s">
        <v>54</v>
      </c>
      <c r="R998" s="17" t="s">
        <v>54</v>
      </c>
    </row>
    <row r="999" spans="1:18" ht="30" customHeight="1" x14ac:dyDescent="0.3">
      <c r="A999" s="7">
        <v>45786.69677962963</v>
      </c>
      <c r="B999" s="6" t="s">
        <v>5</v>
      </c>
      <c r="C999" s="6"/>
      <c r="D999" s="6" t="str">
        <f>VLOOKUP(B999,'Veri doğrulama'!$D$6:$E$13,2,0)</f>
        <v>MEHMET ÖZEN</v>
      </c>
      <c r="E999" s="6"/>
      <c r="F999" s="6" t="s">
        <v>84</v>
      </c>
      <c r="G999" s="6" t="s">
        <v>22</v>
      </c>
      <c r="H999" s="6" t="s">
        <v>34</v>
      </c>
      <c r="I999" s="6">
        <v>1382</v>
      </c>
      <c r="J999" s="6">
        <v>725</v>
      </c>
      <c r="K999" s="6">
        <v>2</v>
      </c>
      <c r="L999" s="10">
        <f t="shared" si="22"/>
        <v>0.58359000000000005</v>
      </c>
      <c r="M999" s="6" t="s">
        <v>43</v>
      </c>
      <c r="N999" s="6"/>
      <c r="O999" s="6"/>
      <c r="P999" s="17" t="s">
        <v>54</v>
      </c>
      <c r="Q999" s="17" t="s">
        <v>54</v>
      </c>
      <c r="R999" s="17" t="s">
        <v>54</v>
      </c>
    </row>
    <row r="1000" spans="1:18" ht="30" customHeight="1" x14ac:dyDescent="0.3">
      <c r="A1000" s="7">
        <v>45786.695873032404</v>
      </c>
      <c r="B1000" s="6" t="s">
        <v>5</v>
      </c>
      <c r="C1000" s="6"/>
      <c r="D1000" s="6" t="str">
        <f>VLOOKUP(B1000,'Veri doğrulama'!$D$6:$E$13,2,0)</f>
        <v>MEHMET ÖZEN</v>
      </c>
      <c r="E1000" s="6"/>
      <c r="F1000" s="6" t="s">
        <v>640</v>
      </c>
      <c r="G1000" s="6" t="s">
        <v>18</v>
      </c>
      <c r="H1000" s="6" t="s">
        <v>34</v>
      </c>
      <c r="I1000" s="6">
        <v>1800</v>
      </c>
      <c r="J1000" s="6">
        <v>360</v>
      </c>
      <c r="K1000" s="6">
        <v>2</v>
      </c>
      <c r="L1000" s="10">
        <f t="shared" si="22"/>
        <v>0.85513799999999995</v>
      </c>
      <c r="M1000" s="6" t="s">
        <v>43</v>
      </c>
      <c r="N1000" s="6" t="s">
        <v>751</v>
      </c>
      <c r="O1000" s="6"/>
      <c r="P1000" s="17" t="s">
        <v>54</v>
      </c>
      <c r="Q1000" s="17" t="s">
        <v>54</v>
      </c>
      <c r="R1000" s="17" t="s">
        <v>54</v>
      </c>
    </row>
    <row r="1001" spans="1:18" ht="30" customHeight="1" x14ac:dyDescent="0.3">
      <c r="A1001" s="7">
        <v>45786.605041550923</v>
      </c>
      <c r="B1001" s="6" t="s">
        <v>7</v>
      </c>
      <c r="C1001" s="6"/>
      <c r="D1001" s="6" t="str">
        <f>VLOOKUP(B1001,'Veri doğrulama'!$D$6:$E$13,2,0)</f>
        <v>SIDDIK KAPLAN</v>
      </c>
      <c r="E1001" s="6"/>
      <c r="F1001" s="6" t="s">
        <v>740</v>
      </c>
      <c r="G1001" s="6" t="s">
        <v>13</v>
      </c>
      <c r="H1001" s="6" t="s">
        <v>34</v>
      </c>
      <c r="I1001" s="6">
        <v>2220</v>
      </c>
      <c r="J1001" s="6">
        <v>1220</v>
      </c>
      <c r="K1001" s="6">
        <v>2</v>
      </c>
      <c r="L1001" s="10">
        <f>I1000*J1000/1000000*K1002</f>
        <v>3.8879999999999999</v>
      </c>
      <c r="M1001" s="6" t="s">
        <v>38</v>
      </c>
      <c r="N1001" s="6" t="s">
        <v>774</v>
      </c>
      <c r="O1001" s="6"/>
      <c r="P1001" s="17" t="s">
        <v>54</v>
      </c>
      <c r="Q1001" s="17" t="s">
        <v>54</v>
      </c>
      <c r="R1001" s="17" t="s">
        <v>54</v>
      </c>
    </row>
    <row r="1002" spans="1:18" ht="30" customHeight="1" x14ac:dyDescent="0.3">
      <c r="A1002" s="7">
        <v>45786.602904282408</v>
      </c>
      <c r="B1002" s="6" t="s">
        <v>5</v>
      </c>
      <c r="C1002" s="6"/>
      <c r="D1002" s="6" t="str">
        <f>VLOOKUP(B1002,'Veri doğrulama'!$D$6:$E$13,2,0)</f>
        <v>MEHMET ÖZEN</v>
      </c>
      <c r="E1002" s="6"/>
      <c r="F1002" s="6" t="s">
        <v>749</v>
      </c>
      <c r="G1002" s="6" t="s">
        <v>18</v>
      </c>
      <c r="H1002" s="6" t="s">
        <v>34</v>
      </c>
      <c r="I1002" s="6">
        <v>1600</v>
      </c>
      <c r="J1002" s="6">
        <v>800</v>
      </c>
      <c r="K1002" s="6">
        <v>6</v>
      </c>
      <c r="L1002" s="10">
        <f t="shared" ref="L1002:L1022" si="23">I1000*J1000/1000000*K1002</f>
        <v>3.8879999999999999</v>
      </c>
      <c r="M1002" s="6" t="s">
        <v>43</v>
      </c>
      <c r="N1002" s="6"/>
      <c r="O1002" s="6"/>
      <c r="P1002" s="17" t="s">
        <v>54</v>
      </c>
      <c r="Q1002" s="17" t="s">
        <v>54</v>
      </c>
      <c r="R1002" s="17" t="s">
        <v>54</v>
      </c>
    </row>
    <row r="1003" spans="1:18" ht="30" customHeight="1" x14ac:dyDescent="0.3">
      <c r="A1003" s="7">
        <v>45786.559983796295</v>
      </c>
      <c r="B1003" s="6" t="s">
        <v>7</v>
      </c>
      <c r="C1003" s="6"/>
      <c r="D1003" s="6" t="str">
        <f>VLOOKUP(B1003,'Veri doğrulama'!$D$6:$E$13,2,0)</f>
        <v>SIDDIK KAPLAN</v>
      </c>
      <c r="E1003" s="6"/>
      <c r="F1003" s="6" t="s">
        <v>555</v>
      </c>
      <c r="G1003" s="6" t="s">
        <v>15</v>
      </c>
      <c r="H1003" s="6" t="s">
        <v>34</v>
      </c>
      <c r="I1003" s="6">
        <v>1600</v>
      </c>
      <c r="J1003" s="6">
        <v>1400</v>
      </c>
      <c r="K1003" s="6">
        <v>1</v>
      </c>
      <c r="L1003" s="10">
        <f t="shared" si="23"/>
        <v>2.7084000000000001</v>
      </c>
      <c r="M1003" s="6" t="s">
        <v>43</v>
      </c>
      <c r="N1003" s="6"/>
      <c r="O1003" s="6"/>
      <c r="P1003" s="17" t="s">
        <v>54</v>
      </c>
      <c r="Q1003" s="17" t="s">
        <v>54</v>
      </c>
      <c r="R1003" s="17"/>
    </row>
    <row r="1004" spans="1:18" ht="30" customHeight="1" x14ac:dyDescent="0.3">
      <c r="A1004" s="7">
        <v>45786.334661111112</v>
      </c>
      <c r="B1004" s="6" t="s">
        <v>7</v>
      </c>
      <c r="C1004" s="6"/>
      <c r="D1004" s="6" t="str">
        <f>VLOOKUP(B1004,'Veri doğrulama'!$D$6:$E$13,2,0)</f>
        <v>SIDDIK KAPLAN</v>
      </c>
      <c r="E1004" s="6"/>
      <c r="F1004" s="6" t="s">
        <v>746</v>
      </c>
      <c r="G1004" s="6" t="s">
        <v>15</v>
      </c>
      <c r="H1004" s="6" t="s">
        <v>34</v>
      </c>
      <c r="I1004" s="6">
        <v>1400</v>
      </c>
      <c r="J1004" s="6">
        <v>800</v>
      </c>
      <c r="K1004" s="6">
        <v>1</v>
      </c>
      <c r="L1004" s="10">
        <f t="shared" si="23"/>
        <v>1.28</v>
      </c>
      <c r="M1004" s="6" t="s">
        <v>43</v>
      </c>
      <c r="N1004" s="6"/>
      <c r="O1004" s="6"/>
      <c r="P1004" s="17" t="s">
        <v>54</v>
      </c>
      <c r="Q1004" s="17" t="s">
        <v>54</v>
      </c>
      <c r="R1004" s="17" t="s">
        <v>54</v>
      </c>
    </row>
    <row r="1005" spans="1:18" ht="30" customHeight="1" x14ac:dyDescent="0.3">
      <c r="A1005" s="7">
        <v>45785.650999884259</v>
      </c>
      <c r="B1005" s="6" t="s">
        <v>4</v>
      </c>
      <c r="C1005" s="6"/>
      <c r="D1005" s="6" t="str">
        <f>VLOOKUP(B1005,'Veri doğrulama'!$D$6:$E$13,2,0)</f>
        <v>MEHMET YAZICI</v>
      </c>
      <c r="E1005" s="6"/>
      <c r="F1005" s="6" t="s">
        <v>677</v>
      </c>
      <c r="G1005" s="6" t="s">
        <v>18</v>
      </c>
      <c r="H1005" s="6" t="s">
        <v>34</v>
      </c>
      <c r="I1005" s="6">
        <v>1150</v>
      </c>
      <c r="J1005" s="6">
        <v>450</v>
      </c>
      <c r="K1005" s="6">
        <v>1</v>
      </c>
      <c r="L1005" s="10">
        <f t="shared" si="23"/>
        <v>2.2400000000000002</v>
      </c>
      <c r="M1005" s="6" t="s">
        <v>596</v>
      </c>
      <c r="N1005" s="6" t="s">
        <v>715</v>
      </c>
      <c r="O1005" s="6"/>
      <c r="P1005" s="17" t="s">
        <v>54</v>
      </c>
      <c r="Q1005" s="17" t="s">
        <v>54</v>
      </c>
      <c r="R1005" s="17" t="s">
        <v>54</v>
      </c>
    </row>
    <row r="1006" spans="1:18" ht="30" customHeight="1" x14ac:dyDescent="0.3">
      <c r="A1006" s="7">
        <v>45785.595539120368</v>
      </c>
      <c r="B1006" s="6" t="s">
        <v>4</v>
      </c>
      <c r="C1006" s="6"/>
      <c r="D1006" s="6" t="str">
        <f>VLOOKUP(B1006,'Veri doğrulama'!$D$6:$E$13,2,0)</f>
        <v>MEHMET YAZICI</v>
      </c>
      <c r="E1006" s="6"/>
      <c r="F1006" s="6" t="s">
        <v>771</v>
      </c>
      <c r="G1006" s="6" t="s">
        <v>14</v>
      </c>
      <c r="H1006" s="6" t="s">
        <v>34</v>
      </c>
      <c r="I1006" s="6">
        <v>1600</v>
      </c>
      <c r="J1006" s="6">
        <v>800</v>
      </c>
      <c r="K1006" s="6">
        <v>1</v>
      </c>
      <c r="L1006" s="10">
        <f t="shared" si="23"/>
        <v>1.1200000000000001</v>
      </c>
      <c r="M1006" s="6" t="s">
        <v>43</v>
      </c>
      <c r="N1006" s="6" t="s">
        <v>715</v>
      </c>
      <c r="O1006" s="6"/>
      <c r="P1006" s="17" t="s">
        <v>54</v>
      </c>
      <c r="Q1006" s="17" t="s">
        <v>54</v>
      </c>
      <c r="R1006" s="17" t="s">
        <v>54</v>
      </c>
    </row>
    <row r="1007" spans="1:18" ht="30" customHeight="1" x14ac:dyDescent="0.3">
      <c r="A1007" s="7">
        <v>45785.504855671294</v>
      </c>
      <c r="B1007" s="6" t="s">
        <v>5</v>
      </c>
      <c r="C1007" s="6"/>
      <c r="D1007" s="6" t="str">
        <f>VLOOKUP(B1007,'Veri doğrulama'!$D$6:$E$13,2,0)</f>
        <v>MEHMET ÖZEN</v>
      </c>
      <c r="E1007" s="6" t="s">
        <v>747</v>
      </c>
      <c r="F1007" s="6" t="s">
        <v>794</v>
      </c>
      <c r="G1007" s="6" t="s">
        <v>111</v>
      </c>
      <c r="H1007" s="6" t="s">
        <v>34</v>
      </c>
      <c r="I1007" s="6">
        <v>1935</v>
      </c>
      <c r="J1007" s="6">
        <v>397</v>
      </c>
      <c r="K1007" s="6">
        <v>1</v>
      </c>
      <c r="L1007" s="10">
        <f t="shared" si="23"/>
        <v>0.51749999999999996</v>
      </c>
      <c r="M1007" s="6" t="s">
        <v>75</v>
      </c>
      <c r="N1007" s="6" t="s">
        <v>712</v>
      </c>
      <c r="O1007" s="6"/>
      <c r="P1007" s="17" t="s">
        <v>54</v>
      </c>
      <c r="Q1007" s="17" t="s">
        <v>54</v>
      </c>
      <c r="R1007" s="17" t="s">
        <v>54</v>
      </c>
    </row>
    <row r="1008" spans="1:18" ht="30" customHeight="1" x14ac:dyDescent="0.3">
      <c r="A1008" s="7">
        <v>45785.504260995367</v>
      </c>
      <c r="B1008" s="6" t="s">
        <v>5</v>
      </c>
      <c r="C1008" s="6"/>
      <c r="D1008" s="6" t="str">
        <f>VLOOKUP(B1008,'Veri doğrulama'!$D$6:$E$13,2,0)</f>
        <v>MEHMET ÖZEN</v>
      </c>
      <c r="E1008" s="6" t="s">
        <v>770</v>
      </c>
      <c r="F1008" s="6" t="s">
        <v>742</v>
      </c>
      <c r="G1008" s="6" t="s">
        <v>111</v>
      </c>
      <c r="H1008" s="6" t="s">
        <v>34</v>
      </c>
      <c r="I1008" s="6">
        <v>922</v>
      </c>
      <c r="J1008" s="6">
        <v>461</v>
      </c>
      <c r="K1008" s="6">
        <v>1</v>
      </c>
      <c r="L1008" s="10">
        <f t="shared" si="23"/>
        <v>1.28</v>
      </c>
      <c r="M1008" s="6" t="s">
        <v>75</v>
      </c>
      <c r="N1008" s="6"/>
      <c r="O1008" s="6"/>
      <c r="P1008" s="17" t="s">
        <v>54</v>
      </c>
      <c r="Q1008" s="17" t="s">
        <v>54</v>
      </c>
      <c r="R1008" s="17"/>
    </row>
    <row r="1009" spans="1:18" ht="30" customHeight="1" x14ac:dyDescent="0.3">
      <c r="A1009" s="7">
        <v>45784.726345717594</v>
      </c>
      <c r="B1009" s="6" t="s">
        <v>5</v>
      </c>
      <c r="C1009" s="6"/>
      <c r="D1009" s="6" t="str">
        <f>VLOOKUP(B1009,'Veri doğrulama'!$D$6:$E$13,2,0)</f>
        <v>MEHMET ÖZEN</v>
      </c>
      <c r="E1009" s="6" t="s">
        <v>793</v>
      </c>
      <c r="F1009" s="6" t="s">
        <v>741</v>
      </c>
      <c r="G1009" s="6" t="s">
        <v>111</v>
      </c>
      <c r="H1009" s="6" t="s">
        <v>34</v>
      </c>
      <c r="I1009" s="6">
        <v>610</v>
      </c>
      <c r="J1009" s="6">
        <v>160</v>
      </c>
      <c r="K1009" s="6">
        <v>1</v>
      </c>
      <c r="L1009" s="10">
        <f t="shared" si="23"/>
        <v>0.76819499999999996</v>
      </c>
      <c r="M1009" s="6" t="s">
        <v>38</v>
      </c>
      <c r="N1009" s="6"/>
      <c r="O1009" s="6"/>
      <c r="P1009" s="17" t="s">
        <v>54</v>
      </c>
      <c r="Q1009" s="17" t="s">
        <v>54</v>
      </c>
      <c r="R1009" s="17" t="s">
        <v>54</v>
      </c>
    </row>
    <row r="1010" spans="1:18" ht="30" customHeight="1" x14ac:dyDescent="0.3">
      <c r="A1010" s="7">
        <v>45784.722099652776</v>
      </c>
      <c r="B1010" s="6" t="s">
        <v>4</v>
      </c>
      <c r="C1010" s="6"/>
      <c r="D1010" s="6" t="str">
        <f>VLOOKUP(B1010,'Veri doğrulama'!$D$6:$E$13,2,0)</f>
        <v>MEHMET YAZICI</v>
      </c>
      <c r="E1010" s="6"/>
      <c r="F1010" s="6" t="s">
        <v>765</v>
      </c>
      <c r="G1010" s="6" t="s">
        <v>16</v>
      </c>
      <c r="H1010" s="6" t="s">
        <v>34</v>
      </c>
      <c r="I1010" s="6">
        <v>1800</v>
      </c>
      <c r="J1010" s="6">
        <v>450</v>
      </c>
      <c r="K1010" s="6">
        <v>1</v>
      </c>
      <c r="L1010" s="10">
        <f t="shared" si="23"/>
        <v>0.42504199999999998</v>
      </c>
      <c r="M1010" s="6" t="s">
        <v>75</v>
      </c>
      <c r="N1010" s="6" t="s">
        <v>632</v>
      </c>
      <c r="O1010" s="6"/>
      <c r="P1010" s="17" t="s">
        <v>54</v>
      </c>
      <c r="Q1010" s="17" t="s">
        <v>54</v>
      </c>
      <c r="R1010" s="17" t="s">
        <v>54</v>
      </c>
    </row>
    <row r="1011" spans="1:18" ht="30" customHeight="1" x14ac:dyDescent="0.3">
      <c r="A1011" s="7">
        <v>45784.711403240741</v>
      </c>
      <c r="B1011" s="6" t="s">
        <v>7</v>
      </c>
      <c r="C1011" s="6"/>
      <c r="D1011" s="6" t="str">
        <f>VLOOKUP(B1011,'Veri doğrulama'!$D$6:$E$13,2,0)</f>
        <v>SIDDIK KAPLAN</v>
      </c>
      <c r="E1011" s="6"/>
      <c r="F1011" s="6" t="s">
        <v>745</v>
      </c>
      <c r="G1011" s="6" t="s">
        <v>15</v>
      </c>
      <c r="H1011" s="6" t="s">
        <v>34</v>
      </c>
      <c r="I1011" s="6">
        <v>1600</v>
      </c>
      <c r="J1011" s="6">
        <v>1400</v>
      </c>
      <c r="K1011" s="6">
        <v>1</v>
      </c>
      <c r="L1011" s="10">
        <f t="shared" si="23"/>
        <v>9.7600000000000006E-2</v>
      </c>
      <c r="M1011" s="6" t="s">
        <v>75</v>
      </c>
      <c r="N1011" s="6"/>
      <c r="O1011" s="6"/>
      <c r="P1011" s="17" t="s">
        <v>54</v>
      </c>
      <c r="Q1011" s="17" t="s">
        <v>54</v>
      </c>
      <c r="R1011" s="17" t="s">
        <v>54</v>
      </c>
    </row>
    <row r="1012" spans="1:18" ht="30" customHeight="1" x14ac:dyDescent="0.3">
      <c r="A1012" s="7">
        <v>45784.62156284722</v>
      </c>
      <c r="B1012" s="6" t="s">
        <v>7</v>
      </c>
      <c r="C1012" s="6"/>
      <c r="D1012" s="6" t="str">
        <f>VLOOKUP(B1012,'Veri doğrulama'!$D$6:$E$13,2,0)</f>
        <v>SIDDIK KAPLAN</v>
      </c>
      <c r="E1012" s="6" t="s">
        <v>736</v>
      </c>
      <c r="F1012" s="6" t="s">
        <v>748</v>
      </c>
      <c r="G1012" s="6" t="s">
        <v>13</v>
      </c>
      <c r="H1012" s="6" t="s">
        <v>34</v>
      </c>
      <c r="I1012" s="6">
        <v>2600</v>
      </c>
      <c r="J1012" s="6">
        <v>600</v>
      </c>
      <c r="K1012" s="6">
        <v>1</v>
      </c>
      <c r="L1012" s="10">
        <f t="shared" si="23"/>
        <v>0.81</v>
      </c>
      <c r="M1012" s="6" t="s">
        <v>103</v>
      </c>
      <c r="N1012" s="6"/>
      <c r="O1012" s="6"/>
      <c r="P1012" s="17" t="s">
        <v>54</v>
      </c>
      <c r="Q1012" s="17" t="s">
        <v>54</v>
      </c>
      <c r="R1012" s="17" t="s">
        <v>54</v>
      </c>
    </row>
    <row r="1013" spans="1:18" ht="30" customHeight="1" x14ac:dyDescent="0.3">
      <c r="A1013" s="7">
        <v>45784.583527893519</v>
      </c>
      <c r="B1013" s="6" t="s">
        <v>5</v>
      </c>
      <c r="C1013" s="6"/>
      <c r="D1013" s="6" t="str">
        <f>VLOOKUP(B1013,'Veri doğrulama'!$D$6:$E$13,2,0)</f>
        <v>MEHMET ÖZEN</v>
      </c>
      <c r="E1013" s="6"/>
      <c r="F1013" s="6" t="s">
        <v>740</v>
      </c>
      <c r="G1013" s="6" t="s">
        <v>16</v>
      </c>
      <c r="H1013" s="6" t="s">
        <v>34</v>
      </c>
      <c r="I1013" s="6">
        <v>2410</v>
      </c>
      <c r="J1013" s="6">
        <v>1210</v>
      </c>
      <c r="K1013" s="6">
        <v>1</v>
      </c>
      <c r="L1013" s="10">
        <f t="shared" si="23"/>
        <v>2.2400000000000002</v>
      </c>
      <c r="M1013" s="6" t="s">
        <v>43</v>
      </c>
      <c r="N1013" s="6"/>
      <c r="O1013" s="6"/>
      <c r="P1013" s="17" t="s">
        <v>54</v>
      </c>
      <c r="Q1013" s="17" t="s">
        <v>54</v>
      </c>
      <c r="R1013" s="17" t="s">
        <v>54</v>
      </c>
    </row>
    <row r="1014" spans="1:18" ht="30" customHeight="1" x14ac:dyDescent="0.3">
      <c r="A1014" s="7">
        <v>45784.559508680555</v>
      </c>
      <c r="B1014" s="6" t="s">
        <v>4</v>
      </c>
      <c r="C1014" s="6"/>
      <c r="D1014" s="6" t="str">
        <f>VLOOKUP(B1014,'Veri doğrulama'!$D$6:$E$13,2,0)</f>
        <v>MEHMET YAZICI</v>
      </c>
      <c r="E1014" s="6"/>
      <c r="F1014" s="6" t="s">
        <v>416</v>
      </c>
      <c r="G1014" s="6" t="s">
        <v>16</v>
      </c>
      <c r="H1014" s="6" t="s">
        <v>34</v>
      </c>
      <c r="I1014" s="6">
        <v>470</v>
      </c>
      <c r="J1014" s="6">
        <v>447</v>
      </c>
      <c r="K1014" s="6">
        <v>1</v>
      </c>
      <c r="L1014" s="10">
        <f t="shared" si="23"/>
        <v>1.56</v>
      </c>
      <c r="M1014" s="6" t="s">
        <v>43</v>
      </c>
      <c r="N1014" s="6" t="s">
        <v>632</v>
      </c>
      <c r="O1014" s="6"/>
      <c r="P1014" s="17" t="s">
        <v>54</v>
      </c>
      <c r="Q1014" s="17" t="s">
        <v>54</v>
      </c>
      <c r="R1014" s="17" t="s">
        <v>54</v>
      </c>
    </row>
    <row r="1015" spans="1:18" ht="30" customHeight="1" x14ac:dyDescent="0.3">
      <c r="A1015" s="7">
        <v>45784.439410763887</v>
      </c>
      <c r="B1015" s="6" t="s">
        <v>4</v>
      </c>
      <c r="C1015" s="6"/>
      <c r="D1015" s="6" t="str">
        <f>VLOOKUP(B1015,'Veri doğrulama'!$D$6:$E$13,2,0)</f>
        <v>MEHMET YAZICI</v>
      </c>
      <c r="E1015" s="6"/>
      <c r="F1015" s="6" t="s">
        <v>744</v>
      </c>
      <c r="G1015" s="6" t="s">
        <v>18</v>
      </c>
      <c r="H1015" s="6" t="s">
        <v>34</v>
      </c>
      <c r="I1015" s="6">
        <v>735</v>
      </c>
      <c r="J1015" s="6">
        <v>397</v>
      </c>
      <c r="K1015" s="6">
        <v>1</v>
      </c>
      <c r="L1015" s="10">
        <f t="shared" si="23"/>
        <v>2.9161000000000001</v>
      </c>
      <c r="M1015" s="6" t="s">
        <v>42</v>
      </c>
      <c r="N1015" s="6"/>
      <c r="O1015" s="6"/>
      <c r="P1015" s="17" t="s">
        <v>54</v>
      </c>
      <c r="Q1015" s="17" t="s">
        <v>54</v>
      </c>
      <c r="R1015" s="17" t="s">
        <v>54</v>
      </c>
    </row>
    <row r="1016" spans="1:18" ht="30" customHeight="1" x14ac:dyDescent="0.3">
      <c r="A1016" s="7">
        <v>45784.437865624997</v>
      </c>
      <c r="B1016" s="6" t="s">
        <v>5</v>
      </c>
      <c r="C1016" s="6"/>
      <c r="D1016" s="6" t="str">
        <f>VLOOKUP(B1016,'Veri doğrulama'!$D$6:$E$13,2,0)</f>
        <v>MEHMET ÖZEN</v>
      </c>
      <c r="E1016" s="6" t="s">
        <v>736</v>
      </c>
      <c r="F1016" s="6" t="s">
        <v>739</v>
      </c>
      <c r="G1016" s="6" t="s">
        <v>15</v>
      </c>
      <c r="H1016" s="6" t="s">
        <v>34</v>
      </c>
      <c r="I1016" s="6">
        <v>1600</v>
      </c>
      <c r="J1016" s="6">
        <v>1200</v>
      </c>
      <c r="K1016" s="6">
        <v>1</v>
      </c>
      <c r="L1016" s="10">
        <f t="shared" si="23"/>
        <v>0.21009</v>
      </c>
      <c r="M1016" s="6" t="s">
        <v>75</v>
      </c>
      <c r="N1016" s="6" t="s">
        <v>712</v>
      </c>
      <c r="O1016" s="6"/>
      <c r="P1016" s="17" t="s">
        <v>54</v>
      </c>
      <c r="Q1016" s="17" t="s">
        <v>54</v>
      </c>
      <c r="R1016" s="17" t="s">
        <v>54</v>
      </c>
    </row>
    <row r="1017" spans="1:18" ht="30" customHeight="1" x14ac:dyDescent="0.3">
      <c r="A1017" s="7">
        <v>45783.401526851849</v>
      </c>
      <c r="B1017" s="6" t="s">
        <v>4</v>
      </c>
      <c r="C1017" s="6"/>
      <c r="D1017" s="6" t="str">
        <f>VLOOKUP(B1017,'Veri doğrulama'!$D$6:$E$13,2,0)</f>
        <v>MEHMET YAZICI</v>
      </c>
      <c r="E1017" s="6"/>
      <c r="F1017" s="6" t="s">
        <v>735</v>
      </c>
      <c r="G1017" s="6" t="s">
        <v>16</v>
      </c>
      <c r="H1017" s="6" t="s">
        <v>34</v>
      </c>
      <c r="I1017" s="6">
        <v>1598</v>
      </c>
      <c r="J1017" s="6">
        <v>557</v>
      </c>
      <c r="K1017" s="6">
        <v>2</v>
      </c>
      <c r="L1017" s="10">
        <f t="shared" si="23"/>
        <v>0.58359000000000005</v>
      </c>
      <c r="M1017" s="6" t="s">
        <v>156</v>
      </c>
      <c r="N1017" s="6"/>
      <c r="O1017" s="6"/>
      <c r="P1017" s="17" t="s">
        <v>54</v>
      </c>
      <c r="Q1017" s="17" t="s">
        <v>54</v>
      </c>
      <c r="R1017" s="17" t="s">
        <v>54</v>
      </c>
    </row>
    <row r="1018" spans="1:18" ht="30" customHeight="1" x14ac:dyDescent="0.3">
      <c r="A1018" s="7">
        <v>45783.399571296293</v>
      </c>
      <c r="B1018" s="6" t="s">
        <v>4</v>
      </c>
      <c r="C1018" s="6"/>
      <c r="D1018" s="6" t="str">
        <f>VLOOKUP(B1018,'Veri doğrulama'!$D$6:$E$13,2,0)</f>
        <v>MEHMET YAZICI</v>
      </c>
      <c r="E1018" s="6"/>
      <c r="F1018" s="6" t="s">
        <v>264</v>
      </c>
      <c r="G1018" s="6" t="s">
        <v>16</v>
      </c>
      <c r="H1018" s="6" t="s">
        <v>34</v>
      </c>
      <c r="I1018" s="6">
        <v>2200</v>
      </c>
      <c r="J1018" s="6">
        <v>445</v>
      </c>
      <c r="K1018" s="6">
        <v>1</v>
      </c>
      <c r="L1018" s="10">
        <f t="shared" si="23"/>
        <v>1.92</v>
      </c>
      <c r="M1018" s="6" t="s">
        <v>43</v>
      </c>
      <c r="N1018" s="6" t="s">
        <v>632</v>
      </c>
      <c r="O1018" s="6"/>
      <c r="P1018" s="17" t="s">
        <v>54</v>
      </c>
      <c r="Q1018" s="17" t="s">
        <v>54</v>
      </c>
      <c r="R1018" s="17" t="s">
        <v>54</v>
      </c>
    </row>
    <row r="1019" spans="1:18" ht="30" customHeight="1" x14ac:dyDescent="0.3">
      <c r="A1019" s="7">
        <v>45783.391872916669</v>
      </c>
      <c r="B1019" s="6" t="s">
        <v>4</v>
      </c>
      <c r="C1019" s="6"/>
      <c r="D1019" s="6" t="str">
        <f>VLOOKUP(B1019,'Veri doğrulama'!$D$6:$E$13,2,0)</f>
        <v>MEHMET YAZICI</v>
      </c>
      <c r="E1019" s="6" t="s">
        <v>734</v>
      </c>
      <c r="F1019" s="6" t="s">
        <v>80</v>
      </c>
      <c r="G1019" s="6" t="s">
        <v>20</v>
      </c>
      <c r="H1019" s="6" t="s">
        <v>35</v>
      </c>
      <c r="I1019" s="6">
        <v>1600</v>
      </c>
      <c r="J1019" s="6">
        <v>800</v>
      </c>
      <c r="K1019" s="6">
        <v>1</v>
      </c>
      <c r="L1019" s="10">
        <f t="shared" si="23"/>
        <v>0.89008600000000004</v>
      </c>
      <c r="M1019" s="6" t="s">
        <v>75</v>
      </c>
      <c r="N1019" s="6" t="s">
        <v>715</v>
      </c>
      <c r="O1019" s="6"/>
      <c r="P1019" s="17" t="s">
        <v>54</v>
      </c>
      <c r="Q1019" s="17" t="s">
        <v>54</v>
      </c>
      <c r="R1019" s="17" t="s">
        <v>54</v>
      </c>
    </row>
    <row r="1020" spans="1:18" ht="30" customHeight="1" x14ac:dyDescent="0.3">
      <c r="A1020" s="7">
        <v>45783.390251736113</v>
      </c>
      <c r="B1020" s="6" t="s">
        <v>4</v>
      </c>
      <c r="C1020" s="6"/>
      <c r="D1020" s="6" t="str">
        <f>VLOOKUP(B1020,'Veri doğrulama'!$D$6:$E$13,2,0)</f>
        <v>MEHMET YAZICI</v>
      </c>
      <c r="E1020" s="6" t="s">
        <v>732</v>
      </c>
      <c r="F1020" s="6" t="s">
        <v>731</v>
      </c>
      <c r="G1020" s="6" t="s">
        <v>16</v>
      </c>
      <c r="H1020" s="6" t="s">
        <v>34</v>
      </c>
      <c r="I1020" s="6">
        <v>900</v>
      </c>
      <c r="J1020" s="6">
        <v>600</v>
      </c>
      <c r="K1020" s="6">
        <v>2</v>
      </c>
      <c r="L1020" s="10">
        <f t="shared" si="23"/>
        <v>1.958</v>
      </c>
      <c r="M1020" s="6" t="s">
        <v>102</v>
      </c>
      <c r="N1020" s="6" t="s">
        <v>632</v>
      </c>
      <c r="O1020" s="6"/>
      <c r="P1020" s="17" t="s">
        <v>54</v>
      </c>
      <c r="Q1020" s="17" t="s">
        <v>54</v>
      </c>
      <c r="R1020" s="17" t="s">
        <v>54</v>
      </c>
    </row>
    <row r="1021" spans="1:18" ht="30" customHeight="1" x14ac:dyDescent="0.3">
      <c r="A1021" s="7">
        <v>45782.621550347219</v>
      </c>
      <c r="B1021" s="6" t="s">
        <v>4</v>
      </c>
      <c r="C1021" s="6"/>
      <c r="D1021" s="6" t="str">
        <f>VLOOKUP(B1021,'Veri doğrulama'!$D$6:$E$13,2,0)</f>
        <v>MEHMET YAZICI</v>
      </c>
      <c r="E1021" s="6" t="s">
        <v>792</v>
      </c>
      <c r="F1021" s="6" t="s">
        <v>72</v>
      </c>
      <c r="G1021" s="6" t="s">
        <v>25</v>
      </c>
      <c r="H1021" s="6" t="s">
        <v>35</v>
      </c>
      <c r="I1021" s="6">
        <v>1500</v>
      </c>
      <c r="J1021" s="6">
        <v>500</v>
      </c>
      <c r="K1021" s="6">
        <v>1</v>
      </c>
      <c r="L1021" s="10">
        <f t="shared" si="23"/>
        <v>1.28</v>
      </c>
      <c r="M1021" s="6" t="s">
        <v>42</v>
      </c>
      <c r="N1021" s="6"/>
      <c r="O1021" s="6"/>
      <c r="P1021" s="17" t="s">
        <v>54</v>
      </c>
      <c r="Q1021" s="17" t="s">
        <v>54</v>
      </c>
      <c r="R1021" s="17"/>
    </row>
    <row r="1022" spans="1:18" ht="30" customHeight="1" x14ac:dyDescent="0.3">
      <c r="A1022" s="7">
        <v>45782.403532870369</v>
      </c>
      <c r="B1022" s="6" t="s">
        <v>4</v>
      </c>
      <c r="C1022" s="6"/>
      <c r="D1022" s="6" t="str">
        <f>VLOOKUP(B1022,'Veri doğrulama'!$D$6:$E$13,2,0)</f>
        <v>MEHMET YAZICI</v>
      </c>
      <c r="E1022" s="6" t="s">
        <v>730</v>
      </c>
      <c r="F1022" s="6" t="s">
        <v>769</v>
      </c>
      <c r="G1022" s="6" t="s">
        <v>24</v>
      </c>
      <c r="H1022" s="6" t="s">
        <v>34</v>
      </c>
      <c r="I1022" s="6">
        <v>1800</v>
      </c>
      <c r="J1022" s="6">
        <v>350</v>
      </c>
      <c r="K1022" s="6">
        <v>1</v>
      </c>
      <c r="L1022" s="10">
        <f t="shared" si="23"/>
        <v>0.54</v>
      </c>
      <c r="M1022" s="6" t="s">
        <v>102</v>
      </c>
      <c r="N1022" s="6" t="s">
        <v>632</v>
      </c>
      <c r="O1022" s="6"/>
      <c r="P1022" s="17" t="s">
        <v>54</v>
      </c>
      <c r="Q1022" s="17" t="s">
        <v>54</v>
      </c>
      <c r="R1022" s="17" t="s">
        <v>54</v>
      </c>
    </row>
    <row r="1023" spans="1:18" ht="30" customHeight="1" x14ac:dyDescent="0.3">
      <c r="A1023" s="7">
        <v>45782.398623379631</v>
      </c>
      <c r="B1023" s="6" t="s">
        <v>7</v>
      </c>
      <c r="C1023" s="6"/>
      <c r="D1023" s="6" t="str">
        <f>VLOOKUP(B1023,'Veri doğrulama'!$D$6:$E$13,2,0)</f>
        <v>SIDDIK KAPLAN</v>
      </c>
      <c r="E1023" s="6"/>
      <c r="F1023" s="6" t="s">
        <v>733</v>
      </c>
      <c r="G1023" s="6" t="s">
        <v>18</v>
      </c>
      <c r="H1023" s="6" t="s">
        <v>34</v>
      </c>
      <c r="I1023" s="6">
        <v>2200</v>
      </c>
      <c r="J1023" s="6">
        <v>450</v>
      </c>
      <c r="K1023" s="6">
        <v>2</v>
      </c>
      <c r="L1023" s="10">
        <f>I1022*J1022/1000000*K1024</f>
        <v>0.63</v>
      </c>
      <c r="M1023" s="6" t="s">
        <v>75</v>
      </c>
      <c r="N1023" s="6"/>
      <c r="O1023" s="6"/>
      <c r="P1023" s="17" t="s">
        <v>54</v>
      </c>
      <c r="Q1023" s="17" t="s">
        <v>54</v>
      </c>
      <c r="R1023" s="17"/>
    </row>
    <row r="1024" spans="1:18" ht="30" customHeight="1" x14ac:dyDescent="0.3">
      <c r="A1024" s="7">
        <v>45782.393536689815</v>
      </c>
      <c r="B1024" s="6" t="s">
        <v>5</v>
      </c>
      <c r="C1024" s="6"/>
      <c r="D1024" s="6" t="str">
        <f>VLOOKUP(B1024,'Veri doğrulama'!$D$6:$E$13,2,0)</f>
        <v>MEHMET ÖZEN</v>
      </c>
      <c r="E1024" s="6"/>
      <c r="F1024" s="6" t="s">
        <v>763</v>
      </c>
      <c r="G1024" s="6" t="s">
        <v>19</v>
      </c>
      <c r="H1024" s="6" t="s">
        <v>34</v>
      </c>
      <c r="I1024" s="6">
        <v>1200</v>
      </c>
      <c r="J1024" s="6">
        <v>700</v>
      </c>
      <c r="K1024" s="6">
        <v>1</v>
      </c>
      <c r="L1024" s="10">
        <f t="shared" ref="L1024:L1029" si="24">I1022*J1022/1000000*K1024</f>
        <v>0.63</v>
      </c>
      <c r="M1024" s="6" t="s">
        <v>39</v>
      </c>
      <c r="N1024" s="6"/>
      <c r="O1024" s="6"/>
      <c r="P1024" s="17" t="s">
        <v>54</v>
      </c>
      <c r="Q1024" s="17" t="s">
        <v>54</v>
      </c>
      <c r="R1024" s="17" t="s">
        <v>54</v>
      </c>
    </row>
    <row r="1025" spans="1:18" ht="30" customHeight="1" x14ac:dyDescent="0.3">
      <c r="A1025" s="7">
        <v>45782.37500821759</v>
      </c>
      <c r="B1025" s="6" t="s">
        <v>4</v>
      </c>
      <c r="C1025" s="6"/>
      <c r="D1025" s="6" t="str">
        <f>VLOOKUP(B1025,'Veri doğrulama'!$D$6:$E$13,2,0)</f>
        <v>MEHMET YAZICI</v>
      </c>
      <c r="E1025" s="6"/>
      <c r="F1025" s="6" t="s">
        <v>743</v>
      </c>
      <c r="G1025" s="6" t="s">
        <v>14</v>
      </c>
      <c r="H1025" s="6" t="s">
        <v>34</v>
      </c>
      <c r="I1025" s="6">
        <v>820</v>
      </c>
      <c r="J1025" s="6">
        <v>432</v>
      </c>
      <c r="K1025" s="6">
        <v>1</v>
      </c>
      <c r="L1025" s="10">
        <f t="shared" si="24"/>
        <v>0.99</v>
      </c>
      <c r="M1025" s="6" t="s">
        <v>43</v>
      </c>
      <c r="N1025" s="6"/>
      <c r="O1025" s="6"/>
      <c r="P1025" s="17" t="s">
        <v>54</v>
      </c>
      <c r="Q1025" s="17" t="s">
        <v>54</v>
      </c>
      <c r="R1025" s="17" t="s">
        <v>54</v>
      </c>
    </row>
    <row r="1026" spans="1:18" ht="30" customHeight="1" x14ac:dyDescent="0.3">
      <c r="A1026" s="7">
        <v>45782.374260069446</v>
      </c>
      <c r="B1026" s="6" t="s">
        <v>4</v>
      </c>
      <c r="C1026" s="6"/>
      <c r="D1026" s="6" t="str">
        <f>VLOOKUP(B1026,'Veri doğrulama'!$D$6:$E$13,2,0)</f>
        <v>MEHMET YAZICI</v>
      </c>
      <c r="E1026" s="6" t="s">
        <v>762</v>
      </c>
      <c r="F1026" s="6" t="s">
        <v>721</v>
      </c>
      <c r="G1026" s="6" t="s">
        <v>14</v>
      </c>
      <c r="H1026" s="6" t="s">
        <v>34</v>
      </c>
      <c r="I1026" s="6">
        <v>447</v>
      </c>
      <c r="J1026" s="6">
        <v>470</v>
      </c>
      <c r="K1026" s="6">
        <v>1</v>
      </c>
      <c r="L1026" s="10">
        <f t="shared" si="24"/>
        <v>0.84</v>
      </c>
      <c r="M1026" s="6" t="s">
        <v>102</v>
      </c>
      <c r="N1026" s="6" t="s">
        <v>632</v>
      </c>
      <c r="O1026" s="6"/>
      <c r="P1026" s="17" t="s">
        <v>54</v>
      </c>
      <c r="Q1026" s="17" t="s">
        <v>54</v>
      </c>
      <c r="R1026" s="17" t="s">
        <v>54</v>
      </c>
    </row>
    <row r="1027" spans="1:18" ht="30" customHeight="1" x14ac:dyDescent="0.3">
      <c r="A1027" s="7">
        <v>45782.354090277775</v>
      </c>
      <c r="B1027" s="6" t="s">
        <v>4</v>
      </c>
      <c r="C1027" s="6"/>
      <c r="D1027" s="6" t="str">
        <f>VLOOKUP(B1027,'Veri doğrulama'!$D$6:$E$13,2,0)</f>
        <v>MEHMET YAZICI</v>
      </c>
      <c r="E1027" s="6" t="s">
        <v>737</v>
      </c>
      <c r="F1027" s="6" t="s">
        <v>95</v>
      </c>
      <c r="G1027" s="6" t="s">
        <v>24</v>
      </c>
      <c r="H1027" s="6" t="s">
        <v>34</v>
      </c>
      <c r="I1027" s="6">
        <v>541</v>
      </c>
      <c r="J1027" s="6">
        <v>453</v>
      </c>
      <c r="K1027" s="6">
        <v>1</v>
      </c>
      <c r="L1027" s="10">
        <f t="shared" si="24"/>
        <v>0.35424</v>
      </c>
      <c r="M1027" s="6" t="s">
        <v>156</v>
      </c>
      <c r="N1027" s="6" t="s">
        <v>385</v>
      </c>
      <c r="O1027" s="6"/>
      <c r="P1027" s="17" t="s">
        <v>54</v>
      </c>
      <c r="Q1027" s="17" t="s">
        <v>54</v>
      </c>
      <c r="R1027" s="17" t="s">
        <v>54</v>
      </c>
    </row>
    <row r="1028" spans="1:18" ht="30" customHeight="1" x14ac:dyDescent="0.3">
      <c r="A1028" s="7">
        <v>45779.676113657406</v>
      </c>
      <c r="B1028" s="6" t="s">
        <v>5</v>
      </c>
      <c r="C1028" s="6"/>
      <c r="D1028" s="6" t="str">
        <f>VLOOKUP(B1028,'Veri doğrulama'!$D$6:$E$13,2,0)</f>
        <v>MEHMET ÖZEN</v>
      </c>
      <c r="E1028" s="6"/>
      <c r="F1028" s="6" t="s">
        <v>87</v>
      </c>
      <c r="G1028" s="6" t="s">
        <v>24</v>
      </c>
      <c r="H1028" s="6" t="s">
        <v>34</v>
      </c>
      <c r="I1028" s="6">
        <v>1500</v>
      </c>
      <c r="J1028" s="6">
        <v>500</v>
      </c>
      <c r="K1028" s="6">
        <v>2</v>
      </c>
      <c r="L1028" s="10">
        <f t="shared" si="24"/>
        <v>0.42018</v>
      </c>
      <c r="M1028" s="6" t="s">
        <v>75</v>
      </c>
      <c r="N1028" s="6"/>
      <c r="O1028" s="6"/>
      <c r="P1028" s="17" t="s">
        <v>54</v>
      </c>
      <c r="Q1028" s="17" t="s">
        <v>54</v>
      </c>
      <c r="R1028" s="17" t="s">
        <v>54</v>
      </c>
    </row>
    <row r="1029" spans="1:18" ht="30" customHeight="1" x14ac:dyDescent="0.3">
      <c r="A1029" s="7">
        <v>45779.57796516204</v>
      </c>
      <c r="B1029" s="6" t="s">
        <v>4</v>
      </c>
      <c r="C1029" s="6"/>
      <c r="D1029" s="6" t="str">
        <f>VLOOKUP(B1029,'Veri doğrulama'!$D$6:$E$13,2,0)</f>
        <v>MEHMET YAZICI</v>
      </c>
      <c r="E1029" s="6"/>
      <c r="F1029" s="6" t="s">
        <v>750</v>
      </c>
      <c r="G1029" s="6" t="s">
        <v>21</v>
      </c>
      <c r="H1029" s="6" t="s">
        <v>34</v>
      </c>
      <c r="I1029" s="6">
        <v>2386</v>
      </c>
      <c r="J1029" s="6">
        <v>350</v>
      </c>
      <c r="K1029" s="6">
        <v>1</v>
      </c>
      <c r="L1029" s="10">
        <f t="shared" si="24"/>
        <v>0.24507300000000001</v>
      </c>
      <c r="M1029" s="6" t="s">
        <v>156</v>
      </c>
      <c r="N1029" s="6"/>
      <c r="O1029" s="6"/>
      <c r="P1029" s="17" t="s">
        <v>54</v>
      </c>
      <c r="Q1029" s="17" t="s">
        <v>54</v>
      </c>
      <c r="R1029" s="17" t="s">
        <v>54</v>
      </c>
    </row>
    <row r="1030" spans="1:18" ht="30" customHeight="1" x14ac:dyDescent="0.3">
      <c r="A1030" s="7">
        <v>45779.56555162037</v>
      </c>
      <c r="B1030" s="6" t="s">
        <v>5</v>
      </c>
      <c r="C1030" s="6"/>
      <c r="D1030" s="6" t="str">
        <f>VLOOKUP(B1030,'Veri doğrulama'!$D$6:$E$13,2,0)</f>
        <v>MEHMET ÖZEN</v>
      </c>
      <c r="E1030" s="6" t="s">
        <v>89</v>
      </c>
      <c r="F1030" s="6" t="s">
        <v>718</v>
      </c>
      <c r="G1030" s="6" t="s">
        <v>24</v>
      </c>
      <c r="H1030" s="6" t="s">
        <v>34</v>
      </c>
      <c r="I1030" s="6">
        <v>1600</v>
      </c>
      <c r="J1030" s="6">
        <v>800</v>
      </c>
      <c r="K1030" s="6">
        <v>1</v>
      </c>
      <c r="L1030" s="10">
        <f>I1029*J1029/1000000*K1031</f>
        <v>0.83509999999999995</v>
      </c>
      <c r="M1030" s="6" t="s">
        <v>43</v>
      </c>
      <c r="N1030" s="6" t="s">
        <v>411</v>
      </c>
      <c r="O1030" s="6"/>
      <c r="P1030" s="17" t="s">
        <v>54</v>
      </c>
      <c r="Q1030" s="17" t="s">
        <v>54</v>
      </c>
      <c r="R1030" s="17"/>
    </row>
    <row r="1031" spans="1:18" ht="30" customHeight="1" x14ac:dyDescent="0.3">
      <c r="A1031" s="7">
        <v>45779.564678472219</v>
      </c>
      <c r="B1031" s="6" t="s">
        <v>4</v>
      </c>
      <c r="C1031" s="6"/>
      <c r="D1031" s="6" t="str">
        <f>VLOOKUP(B1031,'Veri doğrulama'!$D$6:$E$13,2,0)</f>
        <v>MEHMET YAZICI</v>
      </c>
      <c r="E1031" s="6"/>
      <c r="F1031" s="6" t="s">
        <v>714</v>
      </c>
      <c r="G1031" s="6" t="s">
        <v>24</v>
      </c>
      <c r="H1031" s="6" t="s">
        <v>34</v>
      </c>
      <c r="I1031" s="6">
        <v>539</v>
      </c>
      <c r="J1031" s="6">
        <v>406</v>
      </c>
      <c r="K1031" s="6">
        <v>1</v>
      </c>
      <c r="L1031" s="10">
        <f t="shared" ref="L1031:L1075" si="25">I1029*J1029/1000000*K1031</f>
        <v>0.83509999999999995</v>
      </c>
      <c r="M1031" s="6" t="s">
        <v>155</v>
      </c>
      <c r="N1031" s="6" t="s">
        <v>715</v>
      </c>
      <c r="O1031" s="6"/>
      <c r="P1031" s="17" t="s">
        <v>54</v>
      </c>
      <c r="Q1031" s="17" t="s">
        <v>54</v>
      </c>
      <c r="R1031" s="17"/>
    </row>
    <row r="1032" spans="1:18" ht="30" customHeight="1" x14ac:dyDescent="0.3">
      <c r="A1032" s="7">
        <v>45779.416084837962</v>
      </c>
      <c r="B1032" s="6" t="s">
        <v>4</v>
      </c>
      <c r="C1032" s="6"/>
      <c r="D1032" s="6" t="str">
        <f>VLOOKUP(B1032,'Veri doğrulama'!$D$6:$E$13,2,0)</f>
        <v>MEHMET YAZICI</v>
      </c>
      <c r="E1032" s="6">
        <v>22616</v>
      </c>
      <c r="F1032" s="6" t="s">
        <v>713</v>
      </c>
      <c r="G1032" s="6" t="s">
        <v>24</v>
      </c>
      <c r="H1032" s="6" t="s">
        <v>34</v>
      </c>
      <c r="I1032" s="6">
        <v>1800</v>
      </c>
      <c r="J1032" s="6">
        <v>415</v>
      </c>
      <c r="K1032" s="6">
        <v>1</v>
      </c>
      <c r="L1032" s="10">
        <f t="shared" si="25"/>
        <v>1.28</v>
      </c>
      <c r="M1032" s="6" t="s">
        <v>42</v>
      </c>
      <c r="N1032" s="6" t="s">
        <v>494</v>
      </c>
      <c r="O1032" s="6"/>
      <c r="P1032" s="17" t="s">
        <v>54</v>
      </c>
      <c r="Q1032" s="17" t="s">
        <v>54</v>
      </c>
      <c r="R1032" s="17" t="s">
        <v>54</v>
      </c>
    </row>
    <row r="1033" spans="1:18" ht="30" customHeight="1" x14ac:dyDescent="0.3">
      <c r="A1033" s="7">
        <v>45777.767212615741</v>
      </c>
      <c r="B1033" s="6" t="s">
        <v>4</v>
      </c>
      <c r="C1033" s="6"/>
      <c r="D1033" s="6" t="str">
        <f>VLOOKUP(B1033,'Veri doğrulama'!$D$6:$E$13,2,0)</f>
        <v>MEHMET YAZICI</v>
      </c>
      <c r="E1033" s="6">
        <v>22616</v>
      </c>
      <c r="F1033" s="6" t="s">
        <v>679</v>
      </c>
      <c r="G1033" s="6" t="s">
        <v>24</v>
      </c>
      <c r="H1033" s="6" t="s">
        <v>34</v>
      </c>
      <c r="I1033" s="6">
        <v>541</v>
      </c>
      <c r="J1033" s="6">
        <v>453</v>
      </c>
      <c r="K1033" s="6">
        <v>5</v>
      </c>
      <c r="L1033" s="10">
        <f t="shared" si="25"/>
        <v>1.0941700000000001</v>
      </c>
      <c r="M1033" s="6" t="s">
        <v>103</v>
      </c>
      <c r="N1033" s="6" t="s">
        <v>385</v>
      </c>
      <c r="O1033" s="6"/>
      <c r="P1033" s="17" t="s">
        <v>54</v>
      </c>
      <c r="Q1033" s="17" t="s">
        <v>54</v>
      </c>
      <c r="R1033" s="17" t="s">
        <v>54</v>
      </c>
    </row>
    <row r="1034" spans="1:18" ht="30" customHeight="1" x14ac:dyDescent="0.3">
      <c r="A1034" s="7">
        <v>45777.765884606481</v>
      </c>
      <c r="B1034" s="6" t="s">
        <v>5</v>
      </c>
      <c r="C1034" s="6"/>
      <c r="D1034" s="6" t="str">
        <f>VLOOKUP(B1034,'Veri doğrulama'!$D$6:$E$13,2,0)</f>
        <v>MEHMET ÖZEN</v>
      </c>
      <c r="E1034" s="6"/>
      <c r="F1034" s="6" t="s">
        <v>711</v>
      </c>
      <c r="G1034" s="6" t="s">
        <v>24</v>
      </c>
      <c r="H1034" s="6" t="s">
        <v>34</v>
      </c>
      <c r="I1034" s="6">
        <v>1400</v>
      </c>
      <c r="J1034" s="6">
        <v>1200</v>
      </c>
      <c r="K1034" s="6">
        <v>1</v>
      </c>
      <c r="L1034" s="10">
        <f t="shared" si="25"/>
        <v>0.747</v>
      </c>
      <c r="M1034" s="6" t="s">
        <v>75</v>
      </c>
      <c r="N1034" s="6" t="s">
        <v>712</v>
      </c>
      <c r="O1034" s="6"/>
      <c r="P1034" s="17" t="s">
        <v>54</v>
      </c>
      <c r="Q1034" s="17" t="s">
        <v>54</v>
      </c>
      <c r="R1034" s="17" t="s">
        <v>54</v>
      </c>
    </row>
    <row r="1035" spans="1:18" ht="30" customHeight="1" x14ac:dyDescent="0.3">
      <c r="A1035" s="7">
        <v>45777.350077777781</v>
      </c>
      <c r="B1035" s="6" t="s">
        <v>4</v>
      </c>
      <c r="C1035" s="6"/>
      <c r="D1035" s="6" t="str">
        <f>VLOOKUP(B1035,'Veri doğrulama'!$D$6:$E$13,2,0)</f>
        <v>MEHMET YAZICI</v>
      </c>
      <c r="E1035" s="6">
        <v>22616</v>
      </c>
      <c r="F1035" s="6" t="s">
        <v>105</v>
      </c>
      <c r="G1035" s="6" t="s">
        <v>26</v>
      </c>
      <c r="H1035" s="6" t="s">
        <v>34</v>
      </c>
      <c r="I1035" s="6">
        <v>2600</v>
      </c>
      <c r="J1035" s="6">
        <v>600</v>
      </c>
      <c r="K1035" s="6">
        <v>3</v>
      </c>
      <c r="L1035" s="10">
        <f t="shared" si="25"/>
        <v>0.73521900000000007</v>
      </c>
      <c r="M1035" s="6" t="s">
        <v>75</v>
      </c>
      <c r="N1035" s="6" t="s">
        <v>632</v>
      </c>
      <c r="O1035" s="6"/>
      <c r="P1035" s="17" t="s">
        <v>54</v>
      </c>
      <c r="Q1035" s="17" t="s">
        <v>54</v>
      </c>
      <c r="R1035" s="17" t="s">
        <v>54</v>
      </c>
    </row>
    <row r="1036" spans="1:18" ht="30" customHeight="1" x14ac:dyDescent="0.3">
      <c r="A1036" s="7">
        <v>45776.561208101855</v>
      </c>
      <c r="B1036" s="6" t="s">
        <v>4</v>
      </c>
      <c r="C1036" s="6"/>
      <c r="D1036" s="6" t="str">
        <f>VLOOKUP(B1036,'Veri doğrulama'!$D$6:$E$13,2,0)</f>
        <v>MEHMET YAZICI</v>
      </c>
      <c r="E1036" s="6"/>
      <c r="F1036" s="6" t="s">
        <v>674</v>
      </c>
      <c r="G1036" s="6" t="s">
        <v>15</v>
      </c>
      <c r="H1036" s="6" t="s">
        <v>34</v>
      </c>
      <c r="I1036" s="6">
        <v>1800</v>
      </c>
      <c r="J1036" s="6">
        <v>800</v>
      </c>
      <c r="K1036" s="6">
        <v>1</v>
      </c>
      <c r="L1036" s="10">
        <f t="shared" si="25"/>
        <v>1.68</v>
      </c>
      <c r="M1036" s="6" t="s">
        <v>43</v>
      </c>
      <c r="N1036" s="6"/>
      <c r="O1036" s="6"/>
      <c r="P1036" s="17" t="s">
        <v>54</v>
      </c>
      <c r="Q1036" s="17" t="s">
        <v>54</v>
      </c>
      <c r="R1036" s="17" t="s">
        <v>54</v>
      </c>
    </row>
    <row r="1037" spans="1:18" ht="30" customHeight="1" x14ac:dyDescent="0.3">
      <c r="A1037" s="7">
        <v>45775.644426388892</v>
      </c>
      <c r="B1037" s="6" t="s">
        <v>4</v>
      </c>
      <c r="C1037" s="6"/>
      <c r="D1037" s="6" t="str">
        <f>VLOOKUP(B1037,'Veri doğrulama'!$D$6:$E$13,2,0)</f>
        <v>MEHMET YAZICI</v>
      </c>
      <c r="E1037" s="6" t="s">
        <v>790</v>
      </c>
      <c r="F1037" s="6" t="s">
        <v>427</v>
      </c>
      <c r="G1037" s="6" t="s">
        <v>24</v>
      </c>
      <c r="H1037" s="6" t="s">
        <v>34</v>
      </c>
      <c r="I1037" s="6">
        <v>470</v>
      </c>
      <c r="J1037" s="6">
        <v>497</v>
      </c>
      <c r="K1037" s="6">
        <v>1</v>
      </c>
      <c r="L1037" s="10">
        <f t="shared" si="25"/>
        <v>1.56</v>
      </c>
      <c r="M1037" s="6" t="s">
        <v>103</v>
      </c>
      <c r="N1037" s="6" t="s">
        <v>632</v>
      </c>
      <c r="O1037" s="6"/>
      <c r="P1037" s="17" t="s">
        <v>54</v>
      </c>
      <c r="Q1037" s="17" t="s">
        <v>54</v>
      </c>
      <c r="R1037" s="17" t="s">
        <v>54</v>
      </c>
    </row>
    <row r="1038" spans="1:18" ht="30" customHeight="1" x14ac:dyDescent="0.3">
      <c r="A1038" s="7">
        <v>45775.643831134257</v>
      </c>
      <c r="B1038" s="6" t="s">
        <v>4</v>
      </c>
      <c r="C1038" s="6"/>
      <c r="D1038" s="6" t="str">
        <f>VLOOKUP(B1038,'Veri doğrulama'!$D$6:$E$13,2,0)</f>
        <v>MEHMET YAZICI</v>
      </c>
      <c r="E1038" s="6"/>
      <c r="F1038" s="6" t="s">
        <v>602</v>
      </c>
      <c r="G1038" s="6" t="s">
        <v>21</v>
      </c>
      <c r="H1038" s="6" t="s">
        <v>34</v>
      </c>
      <c r="I1038" s="6">
        <v>600</v>
      </c>
      <c r="J1038" s="6">
        <v>354</v>
      </c>
      <c r="K1038" s="6">
        <v>1</v>
      </c>
      <c r="L1038" s="10">
        <f t="shared" si="25"/>
        <v>1.44</v>
      </c>
      <c r="M1038" s="6" t="s">
        <v>103</v>
      </c>
      <c r="N1038" s="6" t="s">
        <v>716</v>
      </c>
      <c r="O1038" s="6"/>
      <c r="P1038" s="17" t="s">
        <v>54</v>
      </c>
      <c r="Q1038" s="17" t="s">
        <v>54</v>
      </c>
      <c r="R1038" s="17" t="s">
        <v>54</v>
      </c>
    </row>
    <row r="1039" spans="1:18" ht="30" customHeight="1" x14ac:dyDescent="0.3">
      <c r="A1039" s="7">
        <v>45772.766321296294</v>
      </c>
      <c r="B1039" s="6" t="s">
        <v>4</v>
      </c>
      <c r="C1039" s="6"/>
      <c r="D1039" s="6" t="str">
        <f>VLOOKUP(B1039,'Veri doğrulama'!$D$6:$E$13,2,0)</f>
        <v>MEHMET YAZICI</v>
      </c>
      <c r="E1039" s="6">
        <v>22616</v>
      </c>
      <c r="F1039" s="6" t="s">
        <v>699</v>
      </c>
      <c r="G1039" s="6" t="s">
        <v>18</v>
      </c>
      <c r="H1039" s="6" t="s">
        <v>34</v>
      </c>
      <c r="I1039" s="6">
        <v>800</v>
      </c>
      <c r="J1039" s="6">
        <v>550</v>
      </c>
      <c r="K1039" s="6">
        <v>1</v>
      </c>
      <c r="L1039" s="10">
        <f t="shared" si="25"/>
        <v>0.23358999999999999</v>
      </c>
      <c r="M1039" s="6" t="s">
        <v>103</v>
      </c>
      <c r="N1039" s="6" t="s">
        <v>632</v>
      </c>
      <c r="O1039" s="6"/>
      <c r="P1039" s="17" t="s">
        <v>54</v>
      </c>
      <c r="Q1039" s="17" t="s">
        <v>54</v>
      </c>
      <c r="R1039" s="17" t="s">
        <v>54</v>
      </c>
    </row>
    <row r="1040" spans="1:18" ht="30" customHeight="1" x14ac:dyDescent="0.3">
      <c r="A1040" s="7">
        <v>45772.409410763888</v>
      </c>
      <c r="B1040" s="6" t="s">
        <v>4</v>
      </c>
      <c r="C1040" s="6"/>
      <c r="D1040" s="6" t="str">
        <f>VLOOKUP(B1040,'Veri doğrulama'!$D$6:$E$13,2,0)</f>
        <v>MEHMET YAZICI</v>
      </c>
      <c r="E1040" s="6">
        <v>22637</v>
      </c>
      <c r="F1040" s="6" t="s">
        <v>707</v>
      </c>
      <c r="G1040" s="6" t="s">
        <v>18</v>
      </c>
      <c r="H1040" s="6" t="s">
        <v>34</v>
      </c>
      <c r="I1040" s="6">
        <v>1142</v>
      </c>
      <c r="J1040" s="6">
        <v>450</v>
      </c>
      <c r="K1040" s="6">
        <v>1</v>
      </c>
      <c r="L1040" s="10">
        <f t="shared" si="25"/>
        <v>0.21240000000000001</v>
      </c>
      <c r="M1040" s="6" t="s">
        <v>156</v>
      </c>
      <c r="N1040" s="6" t="s">
        <v>632</v>
      </c>
      <c r="O1040" s="6"/>
      <c r="P1040" s="17" t="s">
        <v>54</v>
      </c>
      <c r="Q1040" s="17" t="s">
        <v>54</v>
      </c>
      <c r="R1040" s="17" t="s">
        <v>54</v>
      </c>
    </row>
    <row r="1041" spans="1:18" ht="30" customHeight="1" x14ac:dyDescent="0.3">
      <c r="A1041" s="7">
        <v>45771.566812268517</v>
      </c>
      <c r="B1041" s="6" t="s">
        <v>4</v>
      </c>
      <c r="C1041" s="6"/>
      <c r="D1041" s="6" t="str">
        <f>VLOOKUP(B1041,'Veri doğrulama'!$D$6:$E$13,2,0)</f>
        <v>MEHMET YAZICI</v>
      </c>
      <c r="E1041" s="6" t="s">
        <v>724</v>
      </c>
      <c r="F1041" s="6" t="s">
        <v>133</v>
      </c>
      <c r="G1041" s="6" t="s">
        <v>26</v>
      </c>
      <c r="H1041" s="6" t="s">
        <v>34</v>
      </c>
      <c r="I1041" s="6">
        <v>672</v>
      </c>
      <c r="J1041" s="6">
        <v>446</v>
      </c>
      <c r="K1041" s="6">
        <v>1</v>
      </c>
      <c r="L1041" s="10">
        <f t="shared" si="25"/>
        <v>0.44</v>
      </c>
      <c r="M1041" s="6" t="s">
        <v>75</v>
      </c>
      <c r="N1041" s="6" t="s">
        <v>632</v>
      </c>
      <c r="O1041" s="6"/>
      <c r="P1041" s="17" t="s">
        <v>54</v>
      </c>
      <c r="Q1041" s="17" t="s">
        <v>54</v>
      </c>
      <c r="R1041" s="17" t="s">
        <v>54</v>
      </c>
    </row>
    <row r="1042" spans="1:18" ht="30" customHeight="1" x14ac:dyDescent="0.3">
      <c r="A1042" s="7">
        <v>45771.566206597221</v>
      </c>
      <c r="B1042" s="6" t="s">
        <v>5</v>
      </c>
      <c r="C1042" s="6"/>
      <c r="D1042" s="6" t="str">
        <f>VLOOKUP(B1042,'Veri doğrulama'!$D$6:$E$13,2,0)</f>
        <v>MEHMET ÖZEN</v>
      </c>
      <c r="E1042" s="6"/>
      <c r="F1042" s="6" t="s">
        <v>729</v>
      </c>
      <c r="G1042" s="6" t="s">
        <v>20</v>
      </c>
      <c r="H1042" s="6" t="s">
        <v>34</v>
      </c>
      <c r="I1042" s="6">
        <v>1800</v>
      </c>
      <c r="J1042" s="6">
        <v>800</v>
      </c>
      <c r="K1042" s="6">
        <v>1</v>
      </c>
      <c r="L1042" s="10">
        <f t="shared" si="25"/>
        <v>0.51390000000000002</v>
      </c>
      <c r="M1042" s="6" t="s">
        <v>102</v>
      </c>
      <c r="N1042" s="6" t="s">
        <v>411</v>
      </c>
      <c r="O1042" s="6"/>
      <c r="P1042" s="17" t="s">
        <v>54</v>
      </c>
      <c r="Q1042" s="17" t="s">
        <v>54</v>
      </c>
      <c r="R1042" s="17" t="s">
        <v>54</v>
      </c>
    </row>
    <row r="1043" spans="1:18" ht="30" customHeight="1" x14ac:dyDescent="0.3">
      <c r="A1043" s="7">
        <v>45771.565443634259</v>
      </c>
      <c r="B1043" s="6" t="s">
        <v>5</v>
      </c>
      <c r="C1043" s="6"/>
      <c r="D1043" s="6" t="str">
        <f>VLOOKUP(B1043,'Veri doğrulama'!$D$6:$E$13,2,0)</f>
        <v>MEHMET ÖZEN</v>
      </c>
      <c r="E1043" s="6">
        <v>22616</v>
      </c>
      <c r="F1043" s="6" t="s">
        <v>781</v>
      </c>
      <c r="G1043" s="6" t="s">
        <v>27</v>
      </c>
      <c r="H1043" s="6" t="s">
        <v>34</v>
      </c>
      <c r="I1043" s="6">
        <v>2110</v>
      </c>
      <c r="J1043" s="6">
        <v>1510</v>
      </c>
      <c r="K1043" s="6">
        <v>1</v>
      </c>
      <c r="L1043" s="10">
        <f t="shared" si="25"/>
        <v>0.29971199999999998</v>
      </c>
      <c r="M1043" s="6" t="s">
        <v>75</v>
      </c>
      <c r="N1043" s="6"/>
      <c r="O1043" s="6"/>
      <c r="P1043" s="17" t="s">
        <v>54</v>
      </c>
      <c r="Q1043" s="17" t="s">
        <v>54</v>
      </c>
      <c r="R1043" s="17" t="s">
        <v>54</v>
      </c>
    </row>
    <row r="1044" spans="1:18" ht="30" customHeight="1" x14ac:dyDescent="0.3">
      <c r="A1044" s="7">
        <v>45769.478465972221</v>
      </c>
      <c r="B1044" s="6" t="s">
        <v>4</v>
      </c>
      <c r="C1044" s="6"/>
      <c r="D1044" s="6" t="str">
        <f>VLOOKUP(B1044,'Veri doğrulama'!$D$6:$E$13,2,0)</f>
        <v>MEHMET YAZICI</v>
      </c>
      <c r="E1044" s="6" t="s">
        <v>728</v>
      </c>
      <c r="F1044" s="6" t="s">
        <v>738</v>
      </c>
      <c r="G1044" s="6" t="s">
        <v>13</v>
      </c>
      <c r="H1044" s="6" t="s">
        <v>34</v>
      </c>
      <c r="I1044" s="6">
        <v>1737</v>
      </c>
      <c r="J1044" s="6">
        <v>100</v>
      </c>
      <c r="K1044" s="6">
        <v>1</v>
      </c>
      <c r="L1044" s="10">
        <f t="shared" si="25"/>
        <v>1.44</v>
      </c>
      <c r="M1044" s="6" t="s">
        <v>42</v>
      </c>
      <c r="N1044" s="6" t="s">
        <v>632</v>
      </c>
      <c r="O1044" s="6"/>
      <c r="P1044" s="17" t="s">
        <v>54</v>
      </c>
      <c r="Q1044" s="17" t="s">
        <v>54</v>
      </c>
      <c r="R1044" s="17" t="s">
        <v>54</v>
      </c>
    </row>
    <row r="1045" spans="1:18" ht="30" customHeight="1" x14ac:dyDescent="0.3">
      <c r="A1045" s="7">
        <v>45769.477965162034</v>
      </c>
      <c r="B1045" s="6" t="s">
        <v>4</v>
      </c>
      <c r="C1045" s="6"/>
      <c r="D1045" s="6" t="str">
        <f>VLOOKUP(B1045,'Veri doğrulama'!$D$6:$E$13,2,0)</f>
        <v>MEHMET YAZICI</v>
      </c>
      <c r="E1045" s="6" t="s">
        <v>780</v>
      </c>
      <c r="F1045" s="6" t="s">
        <v>710</v>
      </c>
      <c r="G1045" s="6" t="s">
        <v>15</v>
      </c>
      <c r="H1045" s="6" t="s">
        <v>34</v>
      </c>
      <c r="I1045" s="6">
        <v>1800</v>
      </c>
      <c r="J1045" s="6">
        <v>800</v>
      </c>
      <c r="K1045" s="6">
        <v>1</v>
      </c>
      <c r="L1045" s="10">
        <f t="shared" si="25"/>
        <v>3.1861000000000002</v>
      </c>
      <c r="M1045" s="6" t="s">
        <v>103</v>
      </c>
      <c r="N1045" s="6" t="s">
        <v>632</v>
      </c>
      <c r="O1045" s="6"/>
      <c r="P1045" s="17" t="s">
        <v>54</v>
      </c>
      <c r="Q1045" s="17" t="s">
        <v>54</v>
      </c>
      <c r="R1045" s="17" t="s">
        <v>54</v>
      </c>
    </row>
    <row r="1046" spans="1:18" ht="30" customHeight="1" x14ac:dyDescent="0.3">
      <c r="A1046" s="7">
        <v>45769.444882291667</v>
      </c>
      <c r="B1046" s="6" t="s">
        <v>4</v>
      </c>
      <c r="C1046" s="6"/>
      <c r="D1046" s="6" t="str">
        <f>VLOOKUP(B1046,'Veri doğrulama'!$D$6:$E$13,2,0)</f>
        <v>MEHMET YAZICI</v>
      </c>
      <c r="E1046" s="6" t="s">
        <v>737</v>
      </c>
      <c r="F1046" s="6" t="s">
        <v>706</v>
      </c>
      <c r="G1046" s="6" t="s">
        <v>18</v>
      </c>
      <c r="H1046" s="6" t="s">
        <v>34</v>
      </c>
      <c r="I1046" s="6">
        <v>561</v>
      </c>
      <c r="J1046" s="6">
        <v>453</v>
      </c>
      <c r="K1046" s="6">
        <v>1</v>
      </c>
      <c r="L1046" s="10">
        <f t="shared" si="25"/>
        <v>0.17369999999999999</v>
      </c>
      <c r="M1046" s="6" t="s">
        <v>75</v>
      </c>
      <c r="N1046" s="6" t="s">
        <v>632</v>
      </c>
      <c r="O1046" s="6"/>
      <c r="P1046" s="17" t="s">
        <v>54</v>
      </c>
      <c r="Q1046" s="17" t="s">
        <v>54</v>
      </c>
      <c r="R1046" s="17" t="s">
        <v>54</v>
      </c>
    </row>
    <row r="1047" spans="1:18" ht="30" customHeight="1" x14ac:dyDescent="0.3">
      <c r="A1047" s="7">
        <v>45769.41020092593</v>
      </c>
      <c r="B1047" s="6" t="s">
        <v>4</v>
      </c>
      <c r="C1047" s="6"/>
      <c r="D1047" s="6" t="str">
        <f>VLOOKUP(B1047,'Veri doğrulama'!$D$6:$E$13,2,0)</f>
        <v>MEHMET YAZICI</v>
      </c>
      <c r="E1047" s="6">
        <v>22581</v>
      </c>
      <c r="F1047" s="6" t="s">
        <v>709</v>
      </c>
      <c r="G1047" s="6" t="s">
        <v>24</v>
      </c>
      <c r="H1047" s="6" t="s">
        <v>34</v>
      </c>
      <c r="I1047" s="6">
        <v>1400</v>
      </c>
      <c r="J1047" s="6">
        <v>1200</v>
      </c>
      <c r="K1047" s="6">
        <v>2</v>
      </c>
      <c r="L1047" s="10">
        <f t="shared" si="25"/>
        <v>2.88</v>
      </c>
      <c r="M1047" s="6" t="s">
        <v>103</v>
      </c>
      <c r="N1047" s="6" t="s">
        <v>632</v>
      </c>
      <c r="O1047" s="6"/>
      <c r="P1047" s="17" t="s">
        <v>54</v>
      </c>
      <c r="Q1047" s="17" t="s">
        <v>54</v>
      </c>
      <c r="R1047" s="17" t="s">
        <v>54</v>
      </c>
    </row>
    <row r="1048" spans="1:18" ht="30" customHeight="1" x14ac:dyDescent="0.3">
      <c r="A1048" s="7">
        <v>45769.345617476851</v>
      </c>
      <c r="B1048" s="6" t="s">
        <v>4</v>
      </c>
      <c r="C1048" s="6"/>
      <c r="D1048" s="6" t="str">
        <f>VLOOKUP(B1048,'Veri doğrulama'!$D$6:$E$13,2,0)</f>
        <v>MEHMET YAZICI</v>
      </c>
      <c r="E1048" s="6"/>
      <c r="F1048" s="6" t="s">
        <v>727</v>
      </c>
      <c r="G1048" s="6" t="s">
        <v>16</v>
      </c>
      <c r="H1048" s="6" t="s">
        <v>34</v>
      </c>
      <c r="I1048" s="6">
        <v>400</v>
      </c>
      <c r="J1048" s="6">
        <v>385</v>
      </c>
      <c r="K1048" s="6">
        <v>1</v>
      </c>
      <c r="L1048" s="10">
        <f t="shared" si="25"/>
        <v>0.254133</v>
      </c>
      <c r="M1048" s="6" t="s">
        <v>102</v>
      </c>
      <c r="N1048" s="6" t="s">
        <v>632</v>
      </c>
      <c r="O1048" s="6"/>
      <c r="P1048" s="17" t="s">
        <v>54</v>
      </c>
      <c r="Q1048" s="17" t="s">
        <v>54</v>
      </c>
      <c r="R1048" s="17" t="s">
        <v>54</v>
      </c>
    </row>
    <row r="1049" spans="1:18" ht="30" customHeight="1" x14ac:dyDescent="0.3">
      <c r="A1049" s="7">
        <v>45769.344225925925</v>
      </c>
      <c r="B1049" s="6" t="s">
        <v>5</v>
      </c>
      <c r="C1049" s="6"/>
      <c r="D1049" s="6" t="str">
        <f>VLOOKUP(B1049,'Veri doğrulama'!$D$6:$E$13,2,0)</f>
        <v>MEHMET ÖZEN</v>
      </c>
      <c r="E1049" s="6" t="s">
        <v>708</v>
      </c>
      <c r="F1049" s="6" t="s">
        <v>372</v>
      </c>
      <c r="G1049" s="6" t="s">
        <v>26</v>
      </c>
      <c r="H1049" s="6" t="s">
        <v>34</v>
      </c>
      <c r="I1049" s="6">
        <v>698</v>
      </c>
      <c r="J1049" s="6">
        <v>430</v>
      </c>
      <c r="K1049" s="6">
        <v>1</v>
      </c>
      <c r="L1049" s="10">
        <f t="shared" si="25"/>
        <v>1.68</v>
      </c>
      <c r="M1049" s="6" t="s">
        <v>103</v>
      </c>
      <c r="N1049" s="6"/>
      <c r="O1049" s="6"/>
      <c r="P1049" s="17" t="s">
        <v>54</v>
      </c>
      <c r="Q1049" s="17" t="s">
        <v>54</v>
      </c>
      <c r="R1049" s="17" t="s">
        <v>54</v>
      </c>
    </row>
    <row r="1050" spans="1:18" ht="30" customHeight="1" x14ac:dyDescent="0.3">
      <c r="A1050" s="7">
        <v>45768.743842824071</v>
      </c>
      <c r="B1050" s="6" t="s">
        <v>5</v>
      </c>
      <c r="C1050" s="6"/>
      <c r="D1050" s="6" t="str">
        <f>VLOOKUP(B1050,'Veri doğrulama'!$D$6:$E$13,2,0)</f>
        <v>MEHMET ÖZEN</v>
      </c>
      <c r="E1050" s="6" t="s">
        <v>726</v>
      </c>
      <c r="F1050" s="6" t="s">
        <v>703</v>
      </c>
      <c r="G1050" s="6" t="s">
        <v>13</v>
      </c>
      <c r="H1050" s="6" t="s">
        <v>34</v>
      </c>
      <c r="I1050" s="6">
        <v>2210</v>
      </c>
      <c r="J1050" s="6">
        <v>910</v>
      </c>
      <c r="K1050" s="6">
        <v>1</v>
      </c>
      <c r="L1050" s="10">
        <f t="shared" si="25"/>
        <v>0.154</v>
      </c>
      <c r="M1050" s="6" t="s">
        <v>75</v>
      </c>
      <c r="N1050" s="6"/>
      <c r="O1050" s="6"/>
      <c r="P1050" s="17" t="s">
        <v>54</v>
      </c>
      <c r="Q1050" s="17" t="s">
        <v>54</v>
      </c>
      <c r="R1050" s="17" t="s">
        <v>54</v>
      </c>
    </row>
    <row r="1051" spans="1:18" ht="30" customHeight="1" x14ac:dyDescent="0.3">
      <c r="A1051" s="7">
        <v>45768.583640856479</v>
      </c>
      <c r="B1051" s="6" t="s">
        <v>5</v>
      </c>
      <c r="C1051" s="6"/>
      <c r="D1051" s="6" t="str">
        <f>VLOOKUP(B1051,'Veri doğrulama'!$D$6:$E$13,2,0)</f>
        <v>MEHMET ÖZEN</v>
      </c>
      <c r="E1051" s="6" t="s">
        <v>705</v>
      </c>
      <c r="F1051" s="6" t="s">
        <v>700</v>
      </c>
      <c r="G1051" s="6" t="s">
        <v>18</v>
      </c>
      <c r="H1051" s="6" t="s">
        <v>34</v>
      </c>
      <c r="I1051" s="6">
        <v>2200</v>
      </c>
      <c r="J1051" s="6">
        <v>900</v>
      </c>
      <c r="K1051" s="6">
        <v>1</v>
      </c>
      <c r="L1051" s="10">
        <f t="shared" si="25"/>
        <v>0.30014000000000002</v>
      </c>
      <c r="M1051" s="6" t="s">
        <v>156</v>
      </c>
      <c r="N1051" s="6"/>
      <c r="O1051" s="6"/>
      <c r="P1051" s="17" t="s">
        <v>54</v>
      </c>
      <c r="Q1051" s="17" t="s">
        <v>54</v>
      </c>
      <c r="R1051" s="17" t="s">
        <v>54</v>
      </c>
    </row>
    <row r="1052" spans="1:18" ht="30" customHeight="1" x14ac:dyDescent="0.3">
      <c r="A1052" s="7">
        <v>45768.558047685183</v>
      </c>
      <c r="B1052" s="6" t="s">
        <v>5</v>
      </c>
      <c r="C1052" s="6"/>
      <c r="D1052" s="6" t="str">
        <f>VLOOKUP(B1052,'Veri doğrulama'!$D$6:$E$13,2,0)</f>
        <v>MEHMET ÖZEN</v>
      </c>
      <c r="E1052" s="6" t="s">
        <v>702</v>
      </c>
      <c r="F1052" s="6" t="s">
        <v>101</v>
      </c>
      <c r="G1052" s="6" t="s">
        <v>20</v>
      </c>
      <c r="H1052" s="6" t="s">
        <v>34</v>
      </c>
      <c r="I1052" s="6">
        <v>800</v>
      </c>
      <c r="J1052" s="6">
        <v>385</v>
      </c>
      <c r="K1052" s="6">
        <v>1</v>
      </c>
      <c r="L1052" s="10">
        <f t="shared" si="25"/>
        <v>2.0110999999999999</v>
      </c>
      <c r="M1052" s="6" t="s">
        <v>42</v>
      </c>
      <c r="N1052" s="6"/>
      <c r="O1052" s="6"/>
      <c r="P1052" s="17" t="s">
        <v>54</v>
      </c>
      <c r="Q1052" s="17" t="s">
        <v>54</v>
      </c>
      <c r="R1052" s="17" t="s">
        <v>54</v>
      </c>
    </row>
    <row r="1053" spans="1:18" ht="30" customHeight="1" x14ac:dyDescent="0.3">
      <c r="A1053" s="7">
        <v>45764.714904166663</v>
      </c>
      <c r="B1053" s="6" t="s">
        <v>5</v>
      </c>
      <c r="C1053" s="6"/>
      <c r="D1053" s="6" t="str">
        <f>VLOOKUP(B1053,'Veri doğrulama'!$D$6:$E$13,2,0)</f>
        <v>MEHMET ÖZEN</v>
      </c>
      <c r="E1053" s="6"/>
      <c r="F1053" s="6" t="s">
        <v>697</v>
      </c>
      <c r="G1053" s="6" t="s">
        <v>16</v>
      </c>
      <c r="H1053" s="6" t="s">
        <v>34</v>
      </c>
      <c r="I1053" s="6">
        <v>1220</v>
      </c>
      <c r="J1053" s="6">
        <v>1420</v>
      </c>
      <c r="K1053" s="6">
        <v>1</v>
      </c>
      <c r="L1053" s="10">
        <f t="shared" si="25"/>
        <v>1.98</v>
      </c>
      <c r="M1053" s="6" t="s">
        <v>103</v>
      </c>
      <c r="N1053" s="6"/>
      <c r="O1053" s="6"/>
      <c r="P1053" s="17" t="s">
        <v>54</v>
      </c>
      <c r="Q1053" s="17" t="s">
        <v>54</v>
      </c>
      <c r="R1053" s="17" t="s">
        <v>54</v>
      </c>
    </row>
    <row r="1054" spans="1:18" ht="30" customHeight="1" x14ac:dyDescent="0.3">
      <c r="A1054" s="7">
        <v>45764.714187847225</v>
      </c>
      <c r="B1054" s="6" t="s">
        <v>5</v>
      </c>
      <c r="C1054" s="6"/>
      <c r="D1054" s="6" t="str">
        <f>VLOOKUP(B1054,'Veri doğrulama'!$D$6:$E$13,2,0)</f>
        <v>MEHMET ÖZEN</v>
      </c>
      <c r="E1054" s="6" t="s">
        <v>704</v>
      </c>
      <c r="F1054" s="6" t="s">
        <v>213</v>
      </c>
      <c r="G1054" s="6" t="s">
        <v>27</v>
      </c>
      <c r="H1054" s="6" t="s">
        <v>34</v>
      </c>
      <c r="I1054" s="6">
        <v>2386</v>
      </c>
      <c r="J1054" s="6">
        <v>586</v>
      </c>
      <c r="K1054" s="6">
        <v>1</v>
      </c>
      <c r="L1054" s="10">
        <f t="shared" si="25"/>
        <v>0.308</v>
      </c>
      <c r="M1054" s="6" t="s">
        <v>103</v>
      </c>
      <c r="N1054" s="6"/>
      <c r="O1054" s="6"/>
      <c r="P1054" s="17" t="s">
        <v>54</v>
      </c>
      <c r="Q1054" s="17" t="s">
        <v>54</v>
      </c>
      <c r="R1054" s="17" t="s">
        <v>54</v>
      </c>
    </row>
    <row r="1055" spans="1:18" ht="30" customHeight="1" x14ac:dyDescent="0.3">
      <c r="A1055" s="7">
        <v>45764.713226157408</v>
      </c>
      <c r="B1055" s="6" t="s">
        <v>5</v>
      </c>
      <c r="C1055" s="6"/>
      <c r="D1055" s="6" t="str">
        <f>VLOOKUP(B1055,'Veri doğrulama'!$D$6:$E$13,2,0)</f>
        <v>MEHMET ÖZEN</v>
      </c>
      <c r="E1055" s="6" t="s">
        <v>698</v>
      </c>
      <c r="F1055" s="6" t="s">
        <v>701</v>
      </c>
      <c r="G1055" s="6" t="s">
        <v>15</v>
      </c>
      <c r="H1055" s="6" t="s">
        <v>34</v>
      </c>
      <c r="I1055" s="6">
        <v>574</v>
      </c>
      <c r="J1055" s="6">
        <v>418</v>
      </c>
      <c r="K1055" s="6">
        <v>1</v>
      </c>
      <c r="L1055" s="10">
        <f t="shared" si="25"/>
        <v>1.7323999999999999</v>
      </c>
      <c r="M1055" s="6" t="s">
        <v>42</v>
      </c>
      <c r="N1055" s="6"/>
      <c r="O1055" s="6"/>
      <c r="P1055" s="17" t="s">
        <v>54</v>
      </c>
      <c r="Q1055" s="17" t="s">
        <v>54</v>
      </c>
      <c r="R1055" s="17" t="s">
        <v>54</v>
      </c>
    </row>
    <row r="1056" spans="1:18" ht="30" customHeight="1" x14ac:dyDescent="0.3">
      <c r="A1056" s="7">
        <v>45757.710437731483</v>
      </c>
      <c r="B1056" s="6" t="s">
        <v>5</v>
      </c>
      <c r="C1056" s="6"/>
      <c r="D1056" s="6" t="str">
        <f>VLOOKUP(B1056,'Veri doğrulama'!$D$6:$E$13,2,0)</f>
        <v>MEHMET ÖZEN</v>
      </c>
      <c r="E1056" s="6" t="s">
        <v>704</v>
      </c>
      <c r="F1056" s="6" t="s">
        <v>720</v>
      </c>
      <c r="G1056" s="6" t="s">
        <v>14</v>
      </c>
      <c r="H1056" s="6" t="s">
        <v>34</v>
      </c>
      <c r="I1056" s="6">
        <v>2415</v>
      </c>
      <c r="J1056" s="6">
        <v>1200</v>
      </c>
      <c r="K1056" s="6">
        <v>4</v>
      </c>
      <c r="L1056" s="10">
        <f t="shared" si="25"/>
        <v>5.592784</v>
      </c>
      <c r="M1056" s="6" t="s">
        <v>103</v>
      </c>
      <c r="N1056" s="6"/>
      <c r="O1056" s="6"/>
      <c r="P1056" s="17" t="s">
        <v>54</v>
      </c>
      <c r="Q1056" s="17" t="s">
        <v>54</v>
      </c>
      <c r="R1056" s="17" t="s">
        <v>54</v>
      </c>
    </row>
    <row r="1057" spans="1:18" ht="30" customHeight="1" x14ac:dyDescent="0.3">
      <c r="A1057" s="7">
        <v>45757.379964814812</v>
      </c>
      <c r="B1057" s="6" t="s">
        <v>5</v>
      </c>
      <c r="C1057" s="6"/>
      <c r="D1057" s="6" t="str">
        <f>VLOOKUP(B1057,'Veri doğrulama'!$D$6:$E$13,2,0)</f>
        <v>MEHMET ÖZEN</v>
      </c>
      <c r="E1057" s="6"/>
      <c r="F1057" s="6" t="s">
        <v>696</v>
      </c>
      <c r="G1057" s="6" t="s">
        <v>26</v>
      </c>
      <c r="H1057" s="6" t="s">
        <v>34</v>
      </c>
      <c r="I1057" s="6">
        <v>2345</v>
      </c>
      <c r="J1057" s="6">
        <v>410</v>
      </c>
      <c r="K1057" s="6">
        <v>1</v>
      </c>
      <c r="L1057" s="10">
        <f t="shared" si="25"/>
        <v>0.23993200000000001</v>
      </c>
      <c r="M1057" s="6" t="s">
        <v>42</v>
      </c>
      <c r="N1057" s="6"/>
      <c r="O1057" s="6"/>
      <c r="P1057" s="17" t="s">
        <v>54</v>
      </c>
      <c r="Q1057" s="17" t="s">
        <v>54</v>
      </c>
      <c r="R1057" s="17" t="s">
        <v>54</v>
      </c>
    </row>
    <row r="1058" spans="1:18" ht="30" customHeight="1" x14ac:dyDescent="0.3">
      <c r="A1058" s="7">
        <v>45757.379382870371</v>
      </c>
      <c r="B1058" s="6" t="s">
        <v>5</v>
      </c>
      <c r="C1058" s="6"/>
      <c r="D1058" s="6" t="str">
        <f>VLOOKUP(B1058,'Veri doğrulama'!$D$6:$E$13,2,0)</f>
        <v>MEHMET ÖZEN</v>
      </c>
      <c r="E1058" s="6" t="s">
        <v>719</v>
      </c>
      <c r="F1058" s="6" t="s">
        <v>699</v>
      </c>
      <c r="G1058" s="6" t="s">
        <v>24</v>
      </c>
      <c r="H1058" s="6" t="s">
        <v>33</v>
      </c>
      <c r="I1058" s="6">
        <v>800</v>
      </c>
      <c r="J1058" s="6">
        <v>550</v>
      </c>
      <c r="K1058" s="6">
        <v>1</v>
      </c>
      <c r="L1058" s="10">
        <f t="shared" si="25"/>
        <v>2.8980000000000001</v>
      </c>
      <c r="M1058" s="6" t="s">
        <v>43</v>
      </c>
      <c r="N1058" s="6"/>
      <c r="O1058" s="6"/>
      <c r="P1058" s="17" t="s">
        <v>54</v>
      </c>
      <c r="Q1058" s="17" t="s">
        <v>54</v>
      </c>
      <c r="R1058" s="17" t="s">
        <v>54</v>
      </c>
    </row>
    <row r="1059" spans="1:18" ht="30" customHeight="1" x14ac:dyDescent="0.3">
      <c r="A1059" s="7">
        <v>45757.378698958331</v>
      </c>
      <c r="B1059" s="6" t="s">
        <v>4</v>
      </c>
      <c r="C1059" s="6"/>
      <c r="D1059" s="6" t="str">
        <f>VLOOKUP(B1059,'Veri doğrulama'!$D$6:$E$13,2,0)</f>
        <v>MEHMET YAZICI</v>
      </c>
      <c r="E1059" s="6"/>
      <c r="F1059" s="6" t="s">
        <v>760</v>
      </c>
      <c r="G1059" s="6" t="s">
        <v>17</v>
      </c>
      <c r="H1059" s="6" t="s">
        <v>34</v>
      </c>
      <c r="I1059" s="6">
        <v>1148</v>
      </c>
      <c r="J1059" s="6">
        <v>557</v>
      </c>
      <c r="K1059" s="6">
        <v>1</v>
      </c>
      <c r="L1059" s="10">
        <f t="shared" si="25"/>
        <v>0.96145000000000003</v>
      </c>
      <c r="M1059" s="6" t="s">
        <v>103</v>
      </c>
      <c r="N1059" s="6" t="s">
        <v>761</v>
      </c>
      <c r="O1059" s="6"/>
      <c r="P1059" s="17" t="s">
        <v>54</v>
      </c>
      <c r="Q1059" s="17" t="s">
        <v>54</v>
      </c>
      <c r="R1059" s="17" t="s">
        <v>54</v>
      </c>
    </row>
    <row r="1060" spans="1:18" ht="30" customHeight="1" x14ac:dyDescent="0.3">
      <c r="A1060" s="7">
        <v>45756.600970833337</v>
      </c>
      <c r="B1060" s="6" t="s">
        <v>5</v>
      </c>
      <c r="C1060" s="6"/>
      <c r="D1060" s="6" t="str">
        <f>VLOOKUP(B1060,'Veri doğrulama'!$D$6:$E$13,2,0)</f>
        <v>MEHMET ÖZEN</v>
      </c>
      <c r="E1060" s="6"/>
      <c r="F1060" s="6" t="s">
        <v>674</v>
      </c>
      <c r="G1060" s="6" t="s">
        <v>17</v>
      </c>
      <c r="H1060" s="6" t="s">
        <v>34</v>
      </c>
      <c r="I1060" s="6">
        <v>1800</v>
      </c>
      <c r="J1060" s="6">
        <v>800</v>
      </c>
      <c r="K1060" s="6">
        <v>1</v>
      </c>
      <c r="L1060" s="10">
        <f t="shared" si="25"/>
        <v>0.44</v>
      </c>
      <c r="M1060" s="6" t="s">
        <v>103</v>
      </c>
      <c r="N1060" s="6"/>
      <c r="O1060" s="6"/>
      <c r="P1060" s="17" t="s">
        <v>54</v>
      </c>
      <c r="Q1060" s="17" t="s">
        <v>54</v>
      </c>
      <c r="R1060" s="17" t="s">
        <v>54</v>
      </c>
    </row>
    <row r="1061" spans="1:18" ht="30" customHeight="1" x14ac:dyDescent="0.3">
      <c r="A1061" s="7">
        <v>45756.466704282408</v>
      </c>
      <c r="B1061" s="6" t="s">
        <v>4</v>
      </c>
      <c r="C1061" s="6"/>
      <c r="D1061" s="6" t="str">
        <f>VLOOKUP(B1061,'Veri doğrulama'!$D$6:$E$13,2,0)</f>
        <v>MEHMET YAZICI</v>
      </c>
      <c r="E1061" s="6" t="s">
        <v>759</v>
      </c>
      <c r="F1061" s="6" t="s">
        <v>345</v>
      </c>
      <c r="G1061" s="6" t="s">
        <v>16</v>
      </c>
      <c r="H1061" s="6" t="s">
        <v>34</v>
      </c>
      <c r="I1061" s="6">
        <v>2200</v>
      </c>
      <c r="J1061" s="6">
        <v>1100</v>
      </c>
      <c r="K1061" s="6">
        <v>1</v>
      </c>
      <c r="L1061" s="10">
        <f t="shared" si="25"/>
        <v>0.639436</v>
      </c>
      <c r="M1061" s="6" t="s">
        <v>103</v>
      </c>
      <c r="N1061" s="6" t="s">
        <v>632</v>
      </c>
      <c r="O1061" s="6"/>
      <c r="P1061" s="17" t="s">
        <v>54</v>
      </c>
      <c r="Q1061" s="17" t="s">
        <v>54</v>
      </c>
      <c r="R1061" s="17" t="s">
        <v>54</v>
      </c>
    </row>
    <row r="1062" spans="1:18" ht="30" customHeight="1" x14ac:dyDescent="0.3">
      <c r="A1062" s="7">
        <v>45756.369028587964</v>
      </c>
      <c r="B1062" s="6" t="s">
        <v>4</v>
      </c>
      <c r="C1062" s="6"/>
      <c r="D1062" s="6" t="str">
        <f>VLOOKUP(B1062,'Veri doğrulama'!$D$6:$E$13,2,0)</f>
        <v>MEHMET YAZICI</v>
      </c>
      <c r="E1062" s="6"/>
      <c r="F1062" s="6" t="s">
        <v>693</v>
      </c>
      <c r="G1062" s="6" t="s">
        <v>18</v>
      </c>
      <c r="H1062" s="6" t="s">
        <v>34</v>
      </c>
      <c r="I1062" s="6">
        <v>1000</v>
      </c>
      <c r="J1062" s="6">
        <v>1400</v>
      </c>
      <c r="K1062" s="6">
        <v>1</v>
      </c>
      <c r="L1062" s="10">
        <f t="shared" si="25"/>
        <v>1.44</v>
      </c>
      <c r="M1062" s="6" t="s">
        <v>103</v>
      </c>
      <c r="N1062" s="6" t="s">
        <v>632</v>
      </c>
      <c r="O1062" s="6"/>
      <c r="P1062" s="17" t="s">
        <v>54</v>
      </c>
      <c r="Q1062" s="17" t="s">
        <v>54</v>
      </c>
      <c r="R1062" s="17" t="s">
        <v>54</v>
      </c>
    </row>
    <row r="1063" spans="1:18" ht="30" customHeight="1" x14ac:dyDescent="0.3">
      <c r="A1063" s="7">
        <v>45756.365533564815</v>
      </c>
      <c r="B1063" s="6" t="s">
        <v>4</v>
      </c>
      <c r="C1063" s="6"/>
      <c r="D1063" s="6" t="str">
        <f>VLOOKUP(B1063,'Veri doğrulama'!$D$6:$E$13,2,0)</f>
        <v>MEHMET YAZICI</v>
      </c>
      <c r="E1063" s="6" t="s">
        <v>689</v>
      </c>
      <c r="F1063" s="6" t="s">
        <v>682</v>
      </c>
      <c r="G1063" s="6" t="s">
        <v>16</v>
      </c>
      <c r="H1063" s="6" t="s">
        <v>34</v>
      </c>
      <c r="I1063" s="6">
        <v>1150</v>
      </c>
      <c r="J1063" s="6">
        <v>451</v>
      </c>
      <c r="K1063" s="6">
        <v>1</v>
      </c>
      <c r="L1063" s="10">
        <f t="shared" si="25"/>
        <v>2.42</v>
      </c>
      <c r="M1063" s="6" t="s">
        <v>103</v>
      </c>
      <c r="N1063" s="6" t="s">
        <v>632</v>
      </c>
      <c r="O1063" s="6"/>
      <c r="P1063" s="17" t="s">
        <v>54</v>
      </c>
      <c r="Q1063" s="17" t="s">
        <v>54</v>
      </c>
      <c r="R1063" s="17" t="s">
        <v>54</v>
      </c>
    </row>
    <row r="1064" spans="1:18" ht="30" customHeight="1" x14ac:dyDescent="0.3">
      <c r="A1064" s="7">
        <v>45755.677473495372</v>
      </c>
      <c r="B1064" s="6" t="s">
        <v>4</v>
      </c>
      <c r="C1064" s="6"/>
      <c r="D1064" s="6" t="str">
        <f>VLOOKUP(B1064,'Veri doğrulama'!$D$6:$E$13,2,0)</f>
        <v>MEHMET YAZICI</v>
      </c>
      <c r="E1064" s="6" t="s">
        <v>692</v>
      </c>
      <c r="F1064" s="6" t="s">
        <v>684</v>
      </c>
      <c r="G1064" s="6" t="s">
        <v>17</v>
      </c>
      <c r="H1064" s="6" t="s">
        <v>34</v>
      </c>
      <c r="I1064" s="6">
        <v>2200</v>
      </c>
      <c r="J1064" s="6">
        <v>450</v>
      </c>
      <c r="K1064" s="6">
        <v>1</v>
      </c>
      <c r="L1064" s="10">
        <f t="shared" si="25"/>
        <v>1.4</v>
      </c>
      <c r="M1064" s="6" t="s">
        <v>156</v>
      </c>
      <c r="N1064" s="6" t="s">
        <v>632</v>
      </c>
      <c r="O1064" s="6"/>
      <c r="P1064" s="17" t="s">
        <v>54</v>
      </c>
      <c r="Q1064" s="17" t="s">
        <v>54</v>
      </c>
      <c r="R1064" s="17" t="s">
        <v>54</v>
      </c>
    </row>
    <row r="1065" spans="1:18" ht="30" customHeight="1" x14ac:dyDescent="0.3">
      <c r="A1065" s="7">
        <v>45755.591631365744</v>
      </c>
      <c r="B1065" s="6" t="s">
        <v>4</v>
      </c>
      <c r="C1065" s="6"/>
      <c r="D1065" s="6" t="str">
        <f>VLOOKUP(B1065,'Veri doğrulama'!$D$6:$E$13,2,0)</f>
        <v>MEHMET YAZICI</v>
      </c>
      <c r="E1065" s="6" t="s">
        <v>681</v>
      </c>
      <c r="F1065" s="6" t="s">
        <v>677</v>
      </c>
      <c r="G1065" s="6" t="s">
        <v>17</v>
      </c>
      <c r="H1065" s="6" t="s">
        <v>34</v>
      </c>
      <c r="I1065" s="6">
        <v>1150</v>
      </c>
      <c r="J1065" s="6">
        <v>450</v>
      </c>
      <c r="K1065" s="6">
        <v>1</v>
      </c>
      <c r="L1065" s="10">
        <f t="shared" si="25"/>
        <v>0.51865000000000006</v>
      </c>
      <c r="M1065" s="6" t="s">
        <v>596</v>
      </c>
      <c r="N1065" s="6" t="s">
        <v>632</v>
      </c>
      <c r="O1065" s="6"/>
      <c r="P1065" s="17" t="s">
        <v>54</v>
      </c>
      <c r="Q1065" s="17" t="s">
        <v>54</v>
      </c>
      <c r="R1065" s="17" t="s">
        <v>54</v>
      </c>
    </row>
    <row r="1066" spans="1:18" ht="30" customHeight="1" x14ac:dyDescent="0.3">
      <c r="A1066" s="7">
        <v>45755.574736805553</v>
      </c>
      <c r="B1066" s="6" t="s">
        <v>7</v>
      </c>
      <c r="C1066" s="6"/>
      <c r="D1066" s="6" t="str">
        <f>VLOOKUP(B1066,'Veri doğrulama'!$D$6:$E$13,2,0)</f>
        <v>SIDDIK KAPLAN</v>
      </c>
      <c r="E1066" s="6" t="s">
        <v>683</v>
      </c>
      <c r="F1066" s="6" t="s">
        <v>764</v>
      </c>
      <c r="G1066" s="6" t="s">
        <v>29</v>
      </c>
      <c r="H1066" s="6" t="s">
        <v>34</v>
      </c>
      <c r="I1066" s="6">
        <v>1600</v>
      </c>
      <c r="J1066" s="6">
        <v>1200</v>
      </c>
      <c r="K1066" s="6">
        <v>1</v>
      </c>
      <c r="L1066" s="10">
        <f t="shared" si="25"/>
        <v>0.99</v>
      </c>
      <c r="M1066" s="6" t="s">
        <v>102</v>
      </c>
      <c r="N1066" s="6"/>
      <c r="O1066" s="6"/>
      <c r="P1066" s="17" t="s">
        <v>54</v>
      </c>
      <c r="Q1066" s="17" t="s">
        <v>54</v>
      </c>
      <c r="R1066" s="17" t="s">
        <v>54</v>
      </c>
    </row>
    <row r="1067" spans="1:18" ht="30" customHeight="1" x14ac:dyDescent="0.3">
      <c r="A1067" s="7">
        <v>45755.571993634258</v>
      </c>
      <c r="B1067" s="6" t="s">
        <v>4</v>
      </c>
      <c r="C1067" s="6"/>
      <c r="D1067" s="6" t="str">
        <f>VLOOKUP(B1067,'Veri doğrulama'!$D$6:$E$13,2,0)</f>
        <v>MEHMET YAZICI</v>
      </c>
      <c r="E1067" s="6" t="s">
        <v>676</v>
      </c>
      <c r="F1067" s="6" t="s">
        <v>680</v>
      </c>
      <c r="G1067" s="6" t="s">
        <v>18</v>
      </c>
      <c r="H1067" s="6" t="s">
        <v>34</v>
      </c>
      <c r="I1067" s="6">
        <v>1604</v>
      </c>
      <c r="J1067" s="6">
        <v>497</v>
      </c>
      <c r="K1067" s="6">
        <v>1</v>
      </c>
      <c r="L1067" s="10">
        <f t="shared" si="25"/>
        <v>0.51749999999999996</v>
      </c>
      <c r="M1067" s="6" t="s">
        <v>103</v>
      </c>
      <c r="N1067" s="6" t="s">
        <v>632</v>
      </c>
      <c r="O1067" s="6"/>
      <c r="P1067" s="17" t="s">
        <v>54</v>
      </c>
      <c r="Q1067" s="17" t="s">
        <v>54</v>
      </c>
      <c r="R1067" s="17" t="s">
        <v>54</v>
      </c>
    </row>
    <row r="1068" spans="1:18" ht="30" customHeight="1" x14ac:dyDescent="0.3">
      <c r="A1068" s="7">
        <v>45755.359147106479</v>
      </c>
      <c r="B1068" s="6" t="s">
        <v>81</v>
      </c>
      <c r="C1068" s="6"/>
      <c r="D1068" s="6" t="str">
        <f>VLOOKUP(B1068,'Veri doğrulama'!$D$6:$E$13,2,0)</f>
        <v>İBRAHİM ÇELİK</v>
      </c>
      <c r="E1068" s="6"/>
      <c r="F1068" s="6" t="s">
        <v>671</v>
      </c>
      <c r="G1068" s="6" t="s">
        <v>18</v>
      </c>
      <c r="H1068" s="6" t="s">
        <v>34</v>
      </c>
      <c r="I1068" s="6">
        <v>1480</v>
      </c>
      <c r="J1068" s="6">
        <v>390</v>
      </c>
      <c r="K1068" s="6">
        <v>1</v>
      </c>
      <c r="L1068" s="10">
        <f t="shared" si="25"/>
        <v>1.92</v>
      </c>
      <c r="M1068" s="6" t="s">
        <v>43</v>
      </c>
      <c r="N1068" s="6"/>
      <c r="O1068" s="6"/>
      <c r="P1068" s="17" t="s">
        <v>54</v>
      </c>
      <c r="Q1068" s="17" t="s">
        <v>54</v>
      </c>
      <c r="R1068" s="17" t="s">
        <v>54</v>
      </c>
    </row>
    <row r="1069" spans="1:18" ht="30" customHeight="1" x14ac:dyDescent="0.3">
      <c r="A1069" s="7">
        <v>45754.483726273145</v>
      </c>
      <c r="B1069" s="6" t="s">
        <v>5</v>
      </c>
      <c r="C1069" s="6"/>
      <c r="D1069" s="6" t="str">
        <f>VLOOKUP(B1069,'Veri doğrulama'!$D$6:$E$13,2,0)</f>
        <v>MEHMET ÖZEN</v>
      </c>
      <c r="E1069" s="6" t="s">
        <v>661</v>
      </c>
      <c r="F1069" s="6" t="s">
        <v>695</v>
      </c>
      <c r="G1069" s="6" t="s">
        <v>13</v>
      </c>
      <c r="H1069" s="6" t="s">
        <v>33</v>
      </c>
      <c r="I1069" s="6">
        <v>2070</v>
      </c>
      <c r="J1069" s="6">
        <v>607</v>
      </c>
      <c r="K1069" s="6">
        <v>1</v>
      </c>
      <c r="L1069" s="10">
        <f t="shared" si="25"/>
        <v>0.79718800000000001</v>
      </c>
      <c r="M1069" s="6" t="s">
        <v>156</v>
      </c>
      <c r="N1069" s="6"/>
      <c r="O1069" s="6"/>
      <c r="P1069" s="17" t="s">
        <v>54</v>
      </c>
      <c r="Q1069" s="17" t="s">
        <v>54</v>
      </c>
      <c r="R1069" s="17" t="s">
        <v>54</v>
      </c>
    </row>
    <row r="1070" spans="1:18" ht="30" customHeight="1" x14ac:dyDescent="0.3">
      <c r="A1070" s="7">
        <v>45754.482817708333</v>
      </c>
      <c r="B1070" s="6" t="s">
        <v>7</v>
      </c>
      <c r="C1070" s="6"/>
      <c r="D1070" s="6" t="str">
        <f>VLOOKUP(B1070,'Veri doğrulama'!$D$6:$E$13,2,0)</f>
        <v>SIDDIK KAPLAN</v>
      </c>
      <c r="E1070" s="6" t="s">
        <v>669</v>
      </c>
      <c r="F1070" s="6" t="s">
        <v>668</v>
      </c>
      <c r="G1070" s="6" t="s">
        <v>13</v>
      </c>
      <c r="H1070" s="6" t="s">
        <v>35</v>
      </c>
      <c r="I1070" s="6">
        <v>1785</v>
      </c>
      <c r="J1070" s="6">
        <v>600</v>
      </c>
      <c r="K1070" s="6">
        <v>1</v>
      </c>
      <c r="L1070" s="10">
        <f t="shared" si="25"/>
        <v>0.57720000000000005</v>
      </c>
      <c r="M1070" s="6" t="s">
        <v>102</v>
      </c>
      <c r="N1070" s="6" t="s">
        <v>209</v>
      </c>
      <c r="O1070" s="6"/>
      <c r="P1070" s="17" t="s">
        <v>54</v>
      </c>
      <c r="Q1070" s="17" t="s">
        <v>54</v>
      </c>
      <c r="R1070" s="17" t="s">
        <v>54</v>
      </c>
    </row>
    <row r="1071" spans="1:18" ht="30" customHeight="1" x14ac:dyDescent="0.3">
      <c r="A1071" s="7">
        <v>45754.339335763892</v>
      </c>
      <c r="B1071" s="6" t="s">
        <v>4</v>
      </c>
      <c r="C1071" s="6"/>
      <c r="D1071" s="6" t="str">
        <f>VLOOKUP(B1071,'Veri doğrulama'!$D$6:$E$13,2,0)</f>
        <v>MEHMET YAZICI</v>
      </c>
      <c r="E1071" s="6" t="s">
        <v>694</v>
      </c>
      <c r="F1071" s="6" t="s">
        <v>105</v>
      </c>
      <c r="G1071" s="6" t="s">
        <v>19</v>
      </c>
      <c r="H1071" s="6" t="s">
        <v>34</v>
      </c>
      <c r="I1071" s="6">
        <v>2600</v>
      </c>
      <c r="J1071" s="6">
        <v>300</v>
      </c>
      <c r="K1071" s="6">
        <v>2</v>
      </c>
      <c r="L1071" s="10">
        <f t="shared" si="25"/>
        <v>2.5129800000000002</v>
      </c>
      <c r="M1071" s="6" t="s">
        <v>75</v>
      </c>
      <c r="N1071" s="6" t="s">
        <v>723</v>
      </c>
      <c r="O1071" s="6"/>
      <c r="P1071" s="17" t="s">
        <v>54</v>
      </c>
      <c r="Q1071" s="17" t="s">
        <v>54</v>
      </c>
      <c r="R1071" s="17" t="s">
        <v>54</v>
      </c>
    </row>
    <row r="1072" spans="1:18" ht="30" customHeight="1" x14ac:dyDescent="0.3">
      <c r="A1072" s="7">
        <v>45754.336374074075</v>
      </c>
      <c r="B1072" s="6" t="s">
        <v>5</v>
      </c>
      <c r="C1072" s="6"/>
      <c r="D1072" s="6" t="str">
        <f>VLOOKUP(B1072,'Veri doğrulama'!$D$6:$E$13,2,0)</f>
        <v>MEHMET ÖZEN</v>
      </c>
      <c r="E1072" s="6"/>
      <c r="F1072" s="6" t="s">
        <v>685</v>
      </c>
      <c r="G1072" s="6" t="s">
        <v>26</v>
      </c>
      <c r="H1072" s="6" t="s">
        <v>34</v>
      </c>
      <c r="I1072" s="6">
        <v>2420</v>
      </c>
      <c r="J1072" s="6">
        <v>970</v>
      </c>
      <c r="K1072" s="6">
        <v>1</v>
      </c>
      <c r="L1072" s="10">
        <f t="shared" si="25"/>
        <v>1.071</v>
      </c>
      <c r="M1072" s="6" t="s">
        <v>43</v>
      </c>
      <c r="N1072" s="6" t="s">
        <v>411</v>
      </c>
      <c r="O1072" s="6"/>
      <c r="P1072" s="17" t="s">
        <v>54</v>
      </c>
      <c r="Q1072" s="17" t="s">
        <v>54</v>
      </c>
      <c r="R1072" s="17" t="s">
        <v>54</v>
      </c>
    </row>
    <row r="1073" spans="1:18" ht="30" customHeight="1" x14ac:dyDescent="0.3">
      <c r="A1073" s="7">
        <v>45742.626932870371</v>
      </c>
      <c r="B1073" s="6" t="s">
        <v>81</v>
      </c>
      <c r="C1073" s="6"/>
      <c r="D1073" s="6" t="str">
        <f>VLOOKUP(B1073,'Veri doğrulama'!$D$6:$E$13,2,0)</f>
        <v>İBRAHİM ÇELİK</v>
      </c>
      <c r="E1073" s="6" t="s">
        <v>722</v>
      </c>
      <c r="F1073" s="6" t="s">
        <v>670</v>
      </c>
      <c r="G1073" s="6" t="s">
        <v>18</v>
      </c>
      <c r="H1073" s="6" t="s">
        <v>34</v>
      </c>
      <c r="I1073" s="6">
        <v>2389</v>
      </c>
      <c r="J1073" s="6">
        <v>487</v>
      </c>
      <c r="K1073" s="6">
        <v>1</v>
      </c>
      <c r="L1073" s="10">
        <f t="shared" si="25"/>
        <v>0.78</v>
      </c>
      <c r="M1073" s="6" t="s">
        <v>43</v>
      </c>
      <c r="N1073" s="6"/>
      <c r="O1073" s="6"/>
      <c r="P1073" s="17" t="s">
        <v>54</v>
      </c>
      <c r="Q1073" s="17" t="s">
        <v>54</v>
      </c>
      <c r="R1073" s="17" t="s">
        <v>54</v>
      </c>
    </row>
    <row r="1074" spans="1:18" ht="30" customHeight="1" x14ac:dyDescent="0.3">
      <c r="A1074" s="7">
        <v>45742.626000578704</v>
      </c>
      <c r="B1074" s="6" t="s">
        <v>4</v>
      </c>
      <c r="C1074" s="6"/>
      <c r="D1074" s="6" t="str">
        <f>VLOOKUP(B1074,'Veri doğrulama'!$D$6:$E$13,2,0)</f>
        <v>MEHMET YAZICI</v>
      </c>
      <c r="E1074" s="6"/>
      <c r="F1074" s="6" t="s">
        <v>662</v>
      </c>
      <c r="G1074" s="6" t="s">
        <v>18</v>
      </c>
      <c r="H1074" s="6" t="s">
        <v>33</v>
      </c>
      <c r="I1074" s="6">
        <v>2372</v>
      </c>
      <c r="J1074" s="6">
        <v>520</v>
      </c>
      <c r="K1074" s="6">
        <v>2</v>
      </c>
      <c r="L1074" s="10">
        <f t="shared" si="25"/>
        <v>4.6947999999999999</v>
      </c>
      <c r="M1074" s="6" t="s">
        <v>43</v>
      </c>
      <c r="N1074" s="6" t="s">
        <v>632</v>
      </c>
      <c r="O1074" s="6"/>
      <c r="P1074" s="17" t="s">
        <v>54</v>
      </c>
      <c r="Q1074" s="17" t="s">
        <v>54</v>
      </c>
      <c r="R1074" s="17" t="s">
        <v>54</v>
      </c>
    </row>
    <row r="1075" spans="1:18" ht="30" customHeight="1" x14ac:dyDescent="0.3">
      <c r="A1075" s="7">
        <v>45741.443566319445</v>
      </c>
      <c r="B1075" s="6" t="s">
        <v>5</v>
      </c>
      <c r="C1075" s="6"/>
      <c r="D1075" s="6" t="str">
        <f>VLOOKUP(B1075,'Veri doğrulama'!$D$6:$E$13,2,0)</f>
        <v>MEHMET ÖZEN</v>
      </c>
      <c r="E1075" s="6" t="s">
        <v>669</v>
      </c>
      <c r="F1075" s="6" t="s">
        <v>281</v>
      </c>
      <c r="G1075" s="6" t="s">
        <v>24</v>
      </c>
      <c r="H1075" s="6" t="s">
        <v>34</v>
      </c>
      <c r="I1075" s="6">
        <v>1800</v>
      </c>
      <c r="J1075" s="6">
        <v>390</v>
      </c>
      <c r="K1075" s="6">
        <v>1</v>
      </c>
      <c r="L1075" s="10">
        <f t="shared" si="25"/>
        <v>1.163443</v>
      </c>
      <c r="M1075" s="6" t="s">
        <v>102</v>
      </c>
      <c r="N1075" s="6"/>
      <c r="O1075" s="6"/>
      <c r="P1075" s="17" t="s">
        <v>54</v>
      </c>
      <c r="Q1075" s="17" t="s">
        <v>54</v>
      </c>
      <c r="R1075" s="17" t="s">
        <v>54</v>
      </c>
    </row>
    <row r="1076" spans="1:18" ht="30" customHeight="1" x14ac:dyDescent="0.3">
      <c r="A1076" s="7">
        <v>45741.35273136574</v>
      </c>
      <c r="B1076" s="6" t="s">
        <v>4</v>
      </c>
      <c r="C1076" s="6"/>
      <c r="D1076" s="6" t="str">
        <f>VLOOKUP(B1076,'Veri doğrulama'!$D$6:$E$13,2,0)</f>
        <v>MEHMET YAZICI</v>
      </c>
      <c r="E1076" s="6" t="s">
        <v>661</v>
      </c>
      <c r="F1076" s="6" t="s">
        <v>679</v>
      </c>
      <c r="G1076" s="6" t="s">
        <v>16</v>
      </c>
      <c r="H1076" s="6" t="s">
        <v>34</v>
      </c>
      <c r="I1076" s="6">
        <v>539</v>
      </c>
      <c r="J1076" s="6">
        <v>451</v>
      </c>
      <c r="K1076" s="6">
        <v>1</v>
      </c>
      <c r="L1076" s="10">
        <f>I1075*J1075/1000000*K1077</f>
        <v>0.70199999999999996</v>
      </c>
      <c r="M1076" s="6" t="s">
        <v>39</v>
      </c>
      <c r="N1076" s="6" t="s">
        <v>632</v>
      </c>
      <c r="O1076" s="6"/>
      <c r="P1076" s="17" t="s">
        <v>54</v>
      </c>
      <c r="Q1076" s="17" t="s">
        <v>54</v>
      </c>
      <c r="R1076" s="17" t="s">
        <v>54</v>
      </c>
    </row>
    <row r="1077" spans="1:18" ht="30" customHeight="1" x14ac:dyDescent="0.3">
      <c r="A1077" s="7">
        <v>45740.65872615741</v>
      </c>
      <c r="B1077" s="6" t="s">
        <v>4</v>
      </c>
      <c r="C1077" s="6"/>
      <c r="D1077" s="6" t="str">
        <f>VLOOKUP(B1077,'Veri doğrulama'!$D$6:$E$13,2,0)</f>
        <v>MEHMET YAZICI</v>
      </c>
      <c r="E1077" s="6"/>
      <c r="F1077" s="6" t="s">
        <v>658</v>
      </c>
      <c r="G1077" s="6" t="s">
        <v>24</v>
      </c>
      <c r="H1077" s="6" t="s">
        <v>34</v>
      </c>
      <c r="I1077" s="6">
        <v>665</v>
      </c>
      <c r="J1077" s="6">
        <v>350</v>
      </c>
      <c r="K1077" s="6">
        <v>1</v>
      </c>
      <c r="L1077" s="10">
        <f>I1075*J1075/1000000*K1077</f>
        <v>0.70199999999999996</v>
      </c>
      <c r="M1077" s="6" t="s">
        <v>103</v>
      </c>
      <c r="N1077" s="6" t="s">
        <v>632</v>
      </c>
      <c r="O1077" s="6"/>
      <c r="P1077" s="17" t="s">
        <v>54</v>
      </c>
      <c r="Q1077" s="17" t="s">
        <v>54</v>
      </c>
      <c r="R1077" s="17" t="s">
        <v>54</v>
      </c>
    </row>
    <row r="1078" spans="1:18" ht="30" customHeight="1" x14ac:dyDescent="0.3">
      <c r="A1078" s="7">
        <v>45740.657666782405</v>
      </c>
      <c r="B1078" s="6" t="s">
        <v>5</v>
      </c>
      <c r="C1078" s="6"/>
      <c r="D1078" s="6" t="str">
        <f>VLOOKUP(B1078,'Veri doğrulama'!$D$6:$E$13,2,0)</f>
        <v>MEHMET ÖZEN</v>
      </c>
      <c r="E1078" s="6" t="s">
        <v>678</v>
      </c>
      <c r="F1078" s="6" t="s">
        <v>660</v>
      </c>
      <c r="G1078" s="6" t="s">
        <v>18</v>
      </c>
      <c r="H1078" s="6" t="s">
        <v>34</v>
      </c>
      <c r="I1078" s="6">
        <v>1220</v>
      </c>
      <c r="J1078" s="6">
        <v>1420</v>
      </c>
      <c r="K1078" s="6">
        <v>2</v>
      </c>
      <c r="L1078" s="10">
        <f>I1076*J1076/1000000*K1078</f>
        <v>0.486178</v>
      </c>
      <c r="M1078" s="6" t="s">
        <v>103</v>
      </c>
      <c r="N1078" s="6"/>
      <c r="O1078" s="6"/>
      <c r="P1078" s="17" t="s">
        <v>54</v>
      </c>
      <c r="Q1078" s="17" t="s">
        <v>54</v>
      </c>
      <c r="R1078" s="17" t="s">
        <v>54</v>
      </c>
    </row>
    <row r="1079" spans="1:18" ht="30" customHeight="1" x14ac:dyDescent="0.3">
      <c r="A1079" s="7">
        <v>45740.39544803241</v>
      </c>
      <c r="B1079" s="6" t="s">
        <v>5</v>
      </c>
      <c r="C1079" s="6"/>
      <c r="D1079" s="6" t="str">
        <f>VLOOKUP(B1079,'Veri doğrulama'!$D$6:$E$13,2,0)</f>
        <v>MEHMET ÖZEN</v>
      </c>
      <c r="E1079" s="6" t="s">
        <v>657</v>
      </c>
      <c r="F1079" s="6" t="s">
        <v>131</v>
      </c>
      <c r="G1079" s="6" t="s">
        <v>21</v>
      </c>
      <c r="H1079" s="6" t="s">
        <v>34</v>
      </c>
      <c r="I1079" s="6">
        <v>545</v>
      </c>
      <c r="J1079" s="6">
        <v>523</v>
      </c>
      <c r="K1079" s="6">
        <v>1</v>
      </c>
      <c r="L1079" s="10">
        <f>I1078*J1078/1000000*K1080</f>
        <v>1.7323999999999999</v>
      </c>
      <c r="M1079" s="6" t="s">
        <v>156</v>
      </c>
      <c r="N1079" s="6"/>
      <c r="O1079" s="6"/>
      <c r="P1079" s="17" t="s">
        <v>54</v>
      </c>
      <c r="Q1079" s="17" t="s">
        <v>54</v>
      </c>
      <c r="R1079" s="17" t="s">
        <v>54</v>
      </c>
    </row>
    <row r="1080" spans="1:18" ht="30" customHeight="1" x14ac:dyDescent="0.3">
      <c r="A1080" s="7">
        <v>45740.390228009259</v>
      </c>
      <c r="B1080" s="6" t="s">
        <v>7</v>
      </c>
      <c r="C1080" s="6"/>
      <c r="D1080" s="6" t="str">
        <f>VLOOKUP(B1080,'Veri doğrulama'!$D$6:$E$13,2,0)</f>
        <v>SIDDIK KAPLAN</v>
      </c>
      <c r="E1080" s="6" t="s">
        <v>659</v>
      </c>
      <c r="F1080" s="6" t="s">
        <v>686</v>
      </c>
      <c r="G1080" s="6" t="s">
        <v>15</v>
      </c>
      <c r="H1080" s="6" t="s">
        <v>34</v>
      </c>
      <c r="I1080" s="6">
        <v>1990</v>
      </c>
      <c r="J1080" s="6">
        <v>890</v>
      </c>
      <c r="K1080" s="6">
        <v>1</v>
      </c>
      <c r="L1080" s="10">
        <f>I1079*J1079/1000000*K1081</f>
        <v>0.28503499999999998</v>
      </c>
      <c r="M1080" s="6" t="s">
        <v>42</v>
      </c>
      <c r="N1080" s="6"/>
      <c r="O1080" s="6"/>
      <c r="P1080" s="17" t="s">
        <v>54</v>
      </c>
      <c r="Q1080" s="17" t="s">
        <v>54</v>
      </c>
      <c r="R1080" s="20" t="s">
        <v>54</v>
      </c>
    </row>
    <row r="1081" spans="1:18" ht="30" customHeight="1" x14ac:dyDescent="0.3">
      <c r="A1081" s="7">
        <v>45737.666967824072</v>
      </c>
      <c r="B1081" s="6" t="s">
        <v>4</v>
      </c>
      <c r="C1081" s="6"/>
      <c r="D1081" s="6" t="str">
        <f>VLOOKUP(B1081,'Veri doğrulama'!$D$6:$E$13,2,0)</f>
        <v>MEHMET YAZICI</v>
      </c>
      <c r="E1081" s="6"/>
      <c r="F1081" s="6" t="s">
        <v>100</v>
      </c>
      <c r="G1081" s="6" t="s">
        <v>18</v>
      </c>
      <c r="H1081" s="6" t="s">
        <v>34</v>
      </c>
      <c r="I1081" s="6">
        <v>1450</v>
      </c>
      <c r="J1081" s="6">
        <v>397</v>
      </c>
      <c r="K1081" s="6">
        <v>1</v>
      </c>
      <c r="L1081" s="10">
        <f>I1079*J1079/1000000*K1081</f>
        <v>0.28503499999999998</v>
      </c>
      <c r="M1081" s="6" t="s">
        <v>75</v>
      </c>
      <c r="N1081" s="6" t="s">
        <v>652</v>
      </c>
      <c r="O1081" s="6"/>
      <c r="P1081" s="17" t="s">
        <v>54</v>
      </c>
      <c r="Q1081" s="17" t="s">
        <v>54</v>
      </c>
      <c r="R1081" s="17" t="s">
        <v>54</v>
      </c>
    </row>
    <row r="1082" spans="1:18" ht="30" customHeight="1" x14ac:dyDescent="0.3">
      <c r="A1082" s="7">
        <v>45737.458499884262</v>
      </c>
      <c r="B1082" s="6" t="s">
        <v>4</v>
      </c>
      <c r="C1082" s="6"/>
      <c r="D1082" s="6" t="str">
        <f>VLOOKUP(B1082,'Veri doğrulama'!$D$6:$E$13,2,0)</f>
        <v>MEHMET YAZICI</v>
      </c>
      <c r="E1082" s="6"/>
      <c r="F1082" s="6" t="s">
        <v>646</v>
      </c>
      <c r="G1082" s="6" t="s">
        <v>18</v>
      </c>
      <c r="H1082" s="6" t="s">
        <v>34</v>
      </c>
      <c r="I1082" s="6">
        <v>1800</v>
      </c>
      <c r="J1082" s="6">
        <v>360</v>
      </c>
      <c r="K1082" s="6">
        <v>1</v>
      </c>
      <c r="L1082" s="10">
        <f>I1080*J1080/1000000*K1082</f>
        <v>1.7710999999999999</v>
      </c>
      <c r="M1082" s="6" t="s">
        <v>43</v>
      </c>
      <c r="N1082" s="6" t="s">
        <v>399</v>
      </c>
      <c r="O1082" s="6"/>
      <c r="P1082" s="17" t="s">
        <v>54</v>
      </c>
      <c r="Q1082" s="17" t="s">
        <v>54</v>
      </c>
      <c r="R1082" s="17" t="s">
        <v>54</v>
      </c>
    </row>
    <row r="1083" spans="1:18" ht="30" customHeight="1" x14ac:dyDescent="0.3">
      <c r="A1083" s="7">
        <v>45737.385769444445</v>
      </c>
      <c r="B1083" s="6" t="s">
        <v>4</v>
      </c>
      <c r="C1083" s="6"/>
      <c r="D1083" s="6" t="str">
        <f>VLOOKUP(B1083,'Veri doğrulama'!$D$6:$E$13,2,0)</f>
        <v>MEHMET YAZICI</v>
      </c>
      <c r="E1083" s="6"/>
      <c r="F1083" s="6" t="s">
        <v>69</v>
      </c>
      <c r="G1083" s="6" t="s">
        <v>16</v>
      </c>
      <c r="H1083" s="6" t="s">
        <v>34</v>
      </c>
      <c r="I1083" s="6">
        <v>900</v>
      </c>
      <c r="J1083" s="6">
        <v>600</v>
      </c>
      <c r="K1083" s="6">
        <v>1</v>
      </c>
      <c r="L1083" s="10">
        <f>I1082*J1082/1000000*K1084</f>
        <v>0.64800000000000002</v>
      </c>
      <c r="M1083" s="6" t="s">
        <v>156</v>
      </c>
      <c r="N1083" s="6"/>
      <c r="O1083" s="6"/>
      <c r="P1083" s="17" t="s">
        <v>54</v>
      </c>
      <c r="Q1083" s="17" t="s">
        <v>54</v>
      </c>
      <c r="R1083" s="17" t="s">
        <v>54</v>
      </c>
    </row>
    <row r="1084" spans="1:18" ht="30" customHeight="1" x14ac:dyDescent="0.3">
      <c r="A1084" s="7">
        <v>45737.384833564814</v>
      </c>
      <c r="B1084" s="6" t="s">
        <v>4</v>
      </c>
      <c r="C1084" s="6"/>
      <c r="D1084" s="6" t="str">
        <f>VLOOKUP(B1084,'Veri doğrulama'!$D$6:$E$13,2,0)</f>
        <v>MEHMET YAZICI</v>
      </c>
      <c r="E1084" s="13"/>
      <c r="F1084" s="6" t="s">
        <v>654</v>
      </c>
      <c r="G1084" s="6" t="s">
        <v>24</v>
      </c>
      <c r="H1084" s="6" t="s">
        <v>35</v>
      </c>
      <c r="I1084" s="6">
        <v>1800</v>
      </c>
      <c r="J1084" s="6">
        <v>450</v>
      </c>
      <c r="K1084" s="6">
        <v>1</v>
      </c>
      <c r="L1084" s="10">
        <f>I1083*J1083/1000000*K1085</f>
        <v>0.54</v>
      </c>
      <c r="M1084" s="6" t="s">
        <v>42</v>
      </c>
      <c r="N1084" s="6" t="s">
        <v>655</v>
      </c>
      <c r="O1084" s="6"/>
      <c r="P1084" s="17" t="s">
        <v>54</v>
      </c>
      <c r="Q1084" s="17" t="s">
        <v>54</v>
      </c>
      <c r="R1084" s="17" t="s">
        <v>54</v>
      </c>
    </row>
    <row r="1085" spans="1:18" ht="30" customHeight="1" x14ac:dyDescent="0.3">
      <c r="A1085" s="7">
        <v>45737.375818055552</v>
      </c>
      <c r="B1085" s="6" t="s">
        <v>5</v>
      </c>
      <c r="C1085" s="6"/>
      <c r="D1085" s="6" t="str">
        <f>VLOOKUP(B1085,'Veri doğrulama'!$D$6:$E$13,2,0)</f>
        <v>MEHMET ÖZEN</v>
      </c>
      <c r="E1085" s="6"/>
      <c r="F1085" s="6" t="s">
        <v>85</v>
      </c>
      <c r="G1085" s="6" t="s">
        <v>14</v>
      </c>
      <c r="H1085" s="6" t="s">
        <v>34</v>
      </c>
      <c r="I1085" s="6">
        <v>695</v>
      </c>
      <c r="J1085" s="6">
        <v>379</v>
      </c>
      <c r="K1085" s="6">
        <v>1</v>
      </c>
      <c r="L1085" s="10">
        <f>I1083*J1083/1000000</f>
        <v>0.54</v>
      </c>
      <c r="M1085" s="6" t="s">
        <v>40</v>
      </c>
      <c r="N1085" s="6"/>
      <c r="O1085" s="6"/>
      <c r="P1085" s="17" t="s">
        <v>54</v>
      </c>
      <c r="Q1085" s="17" t="s">
        <v>54</v>
      </c>
      <c r="R1085" s="17"/>
    </row>
    <row r="1086" spans="1:18" ht="30" customHeight="1" x14ac:dyDescent="0.3">
      <c r="A1086" s="7">
        <v>45737.358488773149</v>
      </c>
      <c r="B1086" s="6" t="s">
        <v>5</v>
      </c>
      <c r="C1086" s="6"/>
      <c r="D1086" s="6" t="str">
        <f>VLOOKUP(B1086,'Veri doğrulama'!$D$6:$E$13,2,0)</f>
        <v>MEHMET ÖZEN</v>
      </c>
      <c r="E1086" s="6" t="s">
        <v>653</v>
      </c>
      <c r="F1086" s="6" t="s">
        <v>643</v>
      </c>
      <c r="G1086" s="6" t="s">
        <v>14</v>
      </c>
      <c r="H1086" s="6" t="s">
        <v>34</v>
      </c>
      <c r="I1086" s="6">
        <v>1200</v>
      </c>
      <c r="J1086" s="6">
        <v>800</v>
      </c>
      <c r="K1086" s="6">
        <v>1</v>
      </c>
      <c r="L1086" s="10">
        <f>I1085*J1085/1000000*K1087</f>
        <v>0.263405</v>
      </c>
      <c r="M1086" s="6" t="s">
        <v>102</v>
      </c>
      <c r="N1086" s="6"/>
      <c r="O1086" s="6"/>
      <c r="P1086" s="17" t="s">
        <v>54</v>
      </c>
      <c r="Q1086" s="17" t="s">
        <v>54</v>
      </c>
      <c r="R1086" s="17" t="s">
        <v>54</v>
      </c>
    </row>
    <row r="1087" spans="1:18" ht="30" customHeight="1" x14ac:dyDescent="0.3">
      <c r="A1087" s="7">
        <v>45737.344368634258</v>
      </c>
      <c r="B1087" s="6" t="s">
        <v>4</v>
      </c>
      <c r="C1087" s="6"/>
      <c r="D1087" s="6" t="str">
        <f>VLOOKUP(B1087,'Veri doğrulama'!$D$6:$E$13,2,0)</f>
        <v>MEHMET YAZICI</v>
      </c>
      <c r="E1087" s="6"/>
      <c r="F1087" s="6" t="s">
        <v>656</v>
      </c>
      <c r="G1087" s="6" t="s">
        <v>16</v>
      </c>
      <c r="H1087" s="6" t="s">
        <v>34</v>
      </c>
      <c r="I1087" s="6">
        <v>1600</v>
      </c>
      <c r="J1087" s="6">
        <v>1600</v>
      </c>
      <c r="K1087" s="6">
        <v>1</v>
      </c>
      <c r="L1087" s="10">
        <f>I1085*J1085/1000000*K1087</f>
        <v>0.263405</v>
      </c>
      <c r="M1087" s="6" t="s">
        <v>43</v>
      </c>
      <c r="N1087" s="6" t="s">
        <v>385</v>
      </c>
      <c r="O1087" s="6"/>
      <c r="P1087" s="17" t="s">
        <v>54</v>
      </c>
      <c r="Q1087" s="17" t="s">
        <v>54</v>
      </c>
      <c r="R1087" s="17" t="s">
        <v>54</v>
      </c>
    </row>
    <row r="1088" spans="1:18" ht="30" customHeight="1" x14ac:dyDescent="0.3">
      <c r="A1088" s="7">
        <v>45737.343697222219</v>
      </c>
      <c r="B1088" s="6" t="s">
        <v>5</v>
      </c>
      <c r="C1088" s="6"/>
      <c r="D1088" s="6" t="str">
        <f>VLOOKUP(B1088,'Veri doğrulama'!$D$6:$E$13,2,0)</f>
        <v>MEHMET ÖZEN</v>
      </c>
      <c r="E1088" s="6"/>
      <c r="F1088" s="6" t="s">
        <v>200</v>
      </c>
      <c r="G1088" s="6" t="s">
        <v>18</v>
      </c>
      <c r="H1088" s="6" t="s">
        <v>34</v>
      </c>
      <c r="I1088" s="6">
        <v>735</v>
      </c>
      <c r="J1088" s="6">
        <v>397</v>
      </c>
      <c r="K1088" s="6">
        <v>1</v>
      </c>
      <c r="L1088" s="10">
        <f t="shared" ref="L1088:L1094" si="26">I1087*J1087/1000000*K1089</f>
        <v>2.56</v>
      </c>
      <c r="M1088" s="6" t="s">
        <v>103</v>
      </c>
      <c r="N1088" s="6" t="s">
        <v>402</v>
      </c>
      <c r="O1088" s="6"/>
      <c r="P1088" s="17" t="s">
        <v>54</v>
      </c>
      <c r="Q1088" s="17" t="s">
        <v>54</v>
      </c>
      <c r="R1088" s="17" t="s">
        <v>54</v>
      </c>
    </row>
    <row r="1089" spans="1:18" ht="30" customHeight="1" x14ac:dyDescent="0.3">
      <c r="A1089" s="7">
        <v>45736.683368055557</v>
      </c>
      <c r="B1089" s="6" t="s">
        <v>7</v>
      </c>
      <c r="C1089" s="6"/>
      <c r="D1089" s="6" t="str">
        <f>VLOOKUP(B1089,'Veri doğrulama'!$D$6:$E$13,2,0)</f>
        <v>SIDDIK KAPLAN</v>
      </c>
      <c r="E1089" s="6"/>
      <c r="F1089" s="6" t="s">
        <v>640</v>
      </c>
      <c r="G1089" s="6" t="s">
        <v>18</v>
      </c>
      <c r="H1089" s="6" t="s">
        <v>34</v>
      </c>
      <c r="I1089" s="6">
        <v>1435</v>
      </c>
      <c r="J1089" s="6">
        <v>360</v>
      </c>
      <c r="K1089" s="6">
        <v>1</v>
      </c>
      <c r="L1089" s="10">
        <f t="shared" si="26"/>
        <v>0.58359000000000005</v>
      </c>
      <c r="M1089" s="6" t="s">
        <v>43</v>
      </c>
      <c r="N1089" s="6" t="s">
        <v>209</v>
      </c>
      <c r="O1089" s="6"/>
      <c r="P1089" s="17" t="s">
        <v>54</v>
      </c>
      <c r="Q1089" s="17" t="s">
        <v>54</v>
      </c>
      <c r="R1089" s="17" t="s">
        <v>54</v>
      </c>
    </row>
    <row r="1090" spans="1:18" ht="30" customHeight="1" x14ac:dyDescent="0.3">
      <c r="A1090" s="7">
        <v>45736.625705324077</v>
      </c>
      <c r="B1090" s="6" t="s">
        <v>4</v>
      </c>
      <c r="C1090" s="6"/>
      <c r="D1090" s="6" t="str">
        <f>VLOOKUP(B1090,'Veri doğrulama'!$D$6:$E$13,2,0)</f>
        <v>MEHMET YAZICI</v>
      </c>
      <c r="E1090" s="14"/>
      <c r="F1090" s="6" t="s">
        <v>641</v>
      </c>
      <c r="G1090" s="6" t="s">
        <v>16</v>
      </c>
      <c r="H1090" s="6" t="s">
        <v>34</v>
      </c>
      <c r="I1090" s="6">
        <v>1400</v>
      </c>
      <c r="J1090" s="6">
        <v>1200</v>
      </c>
      <c r="K1090" s="6">
        <v>2</v>
      </c>
      <c r="L1090" s="10">
        <f t="shared" si="26"/>
        <v>0.51659999999999995</v>
      </c>
      <c r="M1090" s="6" t="s">
        <v>75</v>
      </c>
      <c r="N1090" s="6" t="s">
        <v>632</v>
      </c>
      <c r="O1090" s="6"/>
      <c r="P1090" s="17" t="s">
        <v>54</v>
      </c>
      <c r="Q1090" s="17" t="s">
        <v>54</v>
      </c>
      <c r="R1090" s="17" t="s">
        <v>54</v>
      </c>
    </row>
    <row r="1091" spans="1:18" ht="30" customHeight="1" x14ac:dyDescent="0.3">
      <c r="A1091" s="7">
        <v>45736.506536226851</v>
      </c>
      <c r="B1091" s="6" t="s">
        <v>5</v>
      </c>
      <c r="C1091" s="6"/>
      <c r="D1091" s="6" t="str">
        <f>VLOOKUP(B1091,'Veri doğrulama'!$D$6:$E$13,2,0)</f>
        <v>MEHMET ÖZEN</v>
      </c>
      <c r="E1091" s="6"/>
      <c r="F1091" s="6" t="s">
        <v>637</v>
      </c>
      <c r="G1091" s="6" t="s">
        <v>18</v>
      </c>
      <c r="H1091" s="6" t="s">
        <v>34</v>
      </c>
      <c r="I1091" s="6">
        <v>1450</v>
      </c>
      <c r="J1091" s="6">
        <v>397</v>
      </c>
      <c r="K1091" s="6">
        <v>1</v>
      </c>
      <c r="L1091" s="10">
        <f t="shared" si="26"/>
        <v>1.68</v>
      </c>
      <c r="M1091" s="6" t="s">
        <v>43</v>
      </c>
      <c r="N1091" s="6"/>
      <c r="O1091" s="6"/>
      <c r="P1091" s="17" t="s">
        <v>54</v>
      </c>
      <c r="Q1091" s="17" t="s">
        <v>54</v>
      </c>
      <c r="R1091" s="17" t="s">
        <v>54</v>
      </c>
    </row>
    <row r="1092" spans="1:18" ht="30" customHeight="1" x14ac:dyDescent="0.3">
      <c r="A1092" s="7">
        <v>45736.439236111109</v>
      </c>
      <c r="B1092" s="6" t="s">
        <v>4</v>
      </c>
      <c r="C1092" s="6"/>
      <c r="D1092" s="6" t="str">
        <f>VLOOKUP(B1092,'Veri doğrulama'!$D$6:$E$13,2,0)</f>
        <v>MEHMET YAZICI</v>
      </c>
      <c r="E1092" s="6"/>
      <c r="F1092" s="6" t="s">
        <v>264</v>
      </c>
      <c r="G1092" s="6" t="s">
        <v>13</v>
      </c>
      <c r="H1092" s="6" t="s">
        <v>34</v>
      </c>
      <c r="I1092" s="6">
        <v>2200</v>
      </c>
      <c r="J1092" s="6">
        <v>445</v>
      </c>
      <c r="K1092" s="6">
        <v>1</v>
      </c>
      <c r="L1092" s="10">
        <f t="shared" si="26"/>
        <v>1.1513</v>
      </c>
      <c r="M1092" s="6" t="s">
        <v>103</v>
      </c>
      <c r="N1092" s="6" t="s">
        <v>667</v>
      </c>
      <c r="O1092" s="6"/>
      <c r="P1092" s="17" t="s">
        <v>54</v>
      </c>
      <c r="Q1092" s="17" t="s">
        <v>54</v>
      </c>
      <c r="R1092" s="17" t="s">
        <v>54</v>
      </c>
    </row>
    <row r="1093" spans="1:18" ht="30" customHeight="1" x14ac:dyDescent="0.3">
      <c r="A1093" s="7">
        <v>45736.430509143516</v>
      </c>
      <c r="B1093" s="6" t="s">
        <v>4</v>
      </c>
      <c r="C1093" s="6"/>
      <c r="D1093" s="6" t="str">
        <f>VLOOKUP(B1093,'Veri doğrulama'!$D$6:$E$13,2,0)</f>
        <v>MEHMET YAZICI</v>
      </c>
      <c r="E1093" s="6"/>
      <c r="F1093" s="6" t="s">
        <v>674</v>
      </c>
      <c r="G1093" s="6" t="s">
        <v>17</v>
      </c>
      <c r="H1093" s="6" t="s">
        <v>35</v>
      </c>
      <c r="I1093" s="6">
        <v>1800</v>
      </c>
      <c r="J1093" s="6">
        <v>800</v>
      </c>
      <c r="K1093" s="6">
        <v>2</v>
      </c>
      <c r="L1093" s="10">
        <f t="shared" si="26"/>
        <v>0.97899999999999998</v>
      </c>
      <c r="M1093" s="6" t="s">
        <v>103</v>
      </c>
      <c r="N1093" s="6" t="s">
        <v>675</v>
      </c>
      <c r="O1093" s="6"/>
      <c r="P1093" s="17" t="s">
        <v>54</v>
      </c>
      <c r="Q1093" s="17" t="s">
        <v>54</v>
      </c>
      <c r="R1093" s="17" t="s">
        <v>54</v>
      </c>
    </row>
    <row r="1094" spans="1:18" ht="30" customHeight="1" x14ac:dyDescent="0.3">
      <c r="A1094" s="7">
        <v>45736.407135416666</v>
      </c>
      <c r="B1094" s="6" t="s">
        <v>5</v>
      </c>
      <c r="C1094" s="6"/>
      <c r="D1094" s="6" t="str">
        <f>VLOOKUP(B1094,'Veri doğrulama'!$D$6:$E$13,2,0)</f>
        <v>MEHMET ÖZEN</v>
      </c>
      <c r="E1094" s="6" t="s">
        <v>666</v>
      </c>
      <c r="F1094" s="6" t="s">
        <v>639</v>
      </c>
      <c r="G1094" s="6" t="s">
        <v>16</v>
      </c>
      <c r="H1094" s="6" t="s">
        <v>34</v>
      </c>
      <c r="I1094" s="6">
        <v>2000</v>
      </c>
      <c r="J1094" s="6">
        <v>1000</v>
      </c>
      <c r="K1094" s="6">
        <v>1</v>
      </c>
      <c r="L1094" s="10">
        <f t="shared" si="26"/>
        <v>1.44</v>
      </c>
      <c r="M1094" s="6" t="s">
        <v>42</v>
      </c>
      <c r="N1094" s="6"/>
      <c r="O1094" s="6"/>
      <c r="P1094" s="17" t="s">
        <v>54</v>
      </c>
      <c r="Q1094" s="17" t="s">
        <v>54</v>
      </c>
      <c r="R1094" s="17" t="s">
        <v>54</v>
      </c>
    </row>
    <row r="1095" spans="1:18" ht="30" customHeight="1" x14ac:dyDescent="0.3">
      <c r="A1095" s="7">
        <v>45736.406732870368</v>
      </c>
      <c r="B1095" s="6" t="s">
        <v>5</v>
      </c>
      <c r="C1095" s="6"/>
      <c r="D1095" s="6" t="str">
        <f>VLOOKUP(B1095,'Veri doğrulama'!$D$6:$E$13,2,0)</f>
        <v>MEHMET ÖZEN</v>
      </c>
      <c r="E1095" s="6" t="s">
        <v>673</v>
      </c>
      <c r="F1095" s="6" t="s">
        <v>644</v>
      </c>
      <c r="G1095" s="6" t="s">
        <v>24</v>
      </c>
      <c r="H1095" s="6" t="s">
        <v>34</v>
      </c>
      <c r="I1095" s="6">
        <v>900</v>
      </c>
      <c r="J1095" s="6">
        <v>600</v>
      </c>
      <c r="K1095" s="6">
        <v>1</v>
      </c>
      <c r="L1095" s="10">
        <f>I1093*J1093/1000000*K1095</f>
        <v>1.44</v>
      </c>
      <c r="M1095" s="6" t="s">
        <v>103</v>
      </c>
      <c r="N1095" s="6"/>
      <c r="O1095" s="6"/>
      <c r="P1095" s="17" t="s">
        <v>54</v>
      </c>
      <c r="Q1095" s="17" t="s">
        <v>54</v>
      </c>
      <c r="R1095" s="17" t="s">
        <v>54</v>
      </c>
    </row>
    <row r="1096" spans="1:18" ht="30" customHeight="1" x14ac:dyDescent="0.3">
      <c r="A1096" s="7">
        <v>45736.395106365744</v>
      </c>
      <c r="B1096" s="6" t="s">
        <v>4</v>
      </c>
      <c r="C1096" s="6"/>
      <c r="D1096" s="6" t="str">
        <f>VLOOKUP(B1096,'Veri doğrulama'!$D$6:$E$13,2,0)</f>
        <v>MEHMET YAZICI</v>
      </c>
      <c r="E1096" s="6"/>
      <c r="F1096" s="6" t="s">
        <v>631</v>
      </c>
      <c r="G1096" s="6" t="s">
        <v>24</v>
      </c>
      <c r="H1096" s="6" t="s">
        <v>35</v>
      </c>
      <c r="I1096" s="6">
        <v>580</v>
      </c>
      <c r="J1096" s="6">
        <v>324</v>
      </c>
      <c r="K1096" s="6">
        <v>1</v>
      </c>
      <c r="L1096" s="10">
        <f>I1095*J1095/1000000*K1097</f>
        <v>0.54</v>
      </c>
      <c r="M1096" s="6" t="s">
        <v>103</v>
      </c>
      <c r="N1096" s="6" t="s">
        <v>632</v>
      </c>
      <c r="O1096" s="6"/>
      <c r="P1096" s="17" t="s">
        <v>54</v>
      </c>
      <c r="Q1096" s="17" t="s">
        <v>54</v>
      </c>
      <c r="R1096" s="17" t="s">
        <v>54</v>
      </c>
    </row>
    <row r="1097" spans="1:18" ht="30" customHeight="1" x14ac:dyDescent="0.3">
      <c r="A1097" s="7">
        <v>45735.643850231485</v>
      </c>
      <c r="B1097" s="6" t="s">
        <v>5</v>
      </c>
      <c r="C1097" s="6"/>
      <c r="D1097" s="6" t="str">
        <f>VLOOKUP(B1097,'Veri doğrulama'!$D$6:$E$13,2,0)</f>
        <v>MEHMET ÖZEN</v>
      </c>
      <c r="E1097" s="6" t="s">
        <v>645</v>
      </c>
      <c r="F1097" s="6" t="s">
        <v>634</v>
      </c>
      <c r="G1097" s="6" t="s">
        <v>16</v>
      </c>
      <c r="H1097" s="6" t="s">
        <v>34</v>
      </c>
      <c r="I1097" s="6">
        <v>1800</v>
      </c>
      <c r="J1097" s="6">
        <v>800</v>
      </c>
      <c r="K1097" s="6">
        <v>1</v>
      </c>
      <c r="L1097" s="10">
        <f>I1096*J1096/1000000*K1098</f>
        <v>0.18792</v>
      </c>
      <c r="M1097" s="6" t="s">
        <v>43</v>
      </c>
      <c r="N1097" s="6"/>
      <c r="O1097" s="6"/>
      <c r="P1097" s="17" t="s">
        <v>54</v>
      </c>
      <c r="Q1097" s="17" t="s">
        <v>54</v>
      </c>
      <c r="R1097" s="17" t="s">
        <v>54</v>
      </c>
    </row>
    <row r="1098" spans="1:18" ht="30" customHeight="1" x14ac:dyDescent="0.3">
      <c r="A1098" s="7">
        <v>45735.643029050923</v>
      </c>
      <c r="B1098" s="6" t="s">
        <v>4</v>
      </c>
      <c r="C1098" s="6"/>
      <c r="D1098" s="6" t="str">
        <f>VLOOKUP(B1098,'Veri doğrulama'!$D$6:$E$13,2,0)</f>
        <v>MEHMET YAZICI</v>
      </c>
      <c r="E1098" s="6"/>
      <c r="F1098" s="6" t="s">
        <v>785</v>
      </c>
      <c r="G1098" s="6" t="s">
        <v>28</v>
      </c>
      <c r="H1098" s="6" t="s">
        <v>34</v>
      </c>
      <c r="I1098" s="6">
        <v>800</v>
      </c>
      <c r="J1098" s="6">
        <v>475</v>
      </c>
      <c r="K1098" s="6">
        <v>1</v>
      </c>
      <c r="L1098" s="10">
        <f>I1097*J1097/1000000*K1099</f>
        <v>1.44</v>
      </c>
      <c r="M1098" s="6" t="s">
        <v>155</v>
      </c>
      <c r="N1098" s="6" t="s">
        <v>786</v>
      </c>
      <c r="O1098" s="6"/>
      <c r="P1098" s="17" t="s">
        <v>54</v>
      </c>
      <c r="Q1098" s="17" t="s">
        <v>54</v>
      </c>
      <c r="R1098" s="17" t="s">
        <v>54</v>
      </c>
    </row>
    <row r="1099" spans="1:18" ht="30" customHeight="1" x14ac:dyDescent="0.3">
      <c r="A1099" s="7">
        <v>45735.641673958336</v>
      </c>
      <c r="B1099" s="6" t="s">
        <v>5</v>
      </c>
      <c r="C1099" s="6"/>
      <c r="D1099" s="6" t="str">
        <f>VLOOKUP(B1099,'Veri doğrulama'!$D$6:$E$13,2,0)</f>
        <v>MEHMET ÖZEN</v>
      </c>
      <c r="E1099" s="6"/>
      <c r="F1099" s="6" t="s">
        <v>637</v>
      </c>
      <c r="G1099" s="6" t="s">
        <v>18</v>
      </c>
      <c r="H1099" s="6" t="s">
        <v>34</v>
      </c>
      <c r="I1099" s="6">
        <v>1450</v>
      </c>
      <c r="J1099" s="6">
        <v>397</v>
      </c>
      <c r="K1099" s="6">
        <v>1</v>
      </c>
      <c r="L1099" s="10">
        <f>I1098*J1098/1000000*K1100</f>
        <v>0.38</v>
      </c>
      <c r="M1099" s="6" t="s">
        <v>596</v>
      </c>
      <c r="N1099" s="6" t="s">
        <v>638</v>
      </c>
      <c r="O1099" s="6"/>
      <c r="P1099" s="17" t="s">
        <v>54</v>
      </c>
      <c r="Q1099" s="17" t="s">
        <v>54</v>
      </c>
      <c r="R1099" s="17" t="s">
        <v>54</v>
      </c>
    </row>
    <row r="1100" spans="1:18" ht="30" customHeight="1" x14ac:dyDescent="0.3">
      <c r="A1100" s="7">
        <v>45735.437785532406</v>
      </c>
      <c r="B1100" s="6" t="s">
        <v>4</v>
      </c>
      <c r="C1100" s="6"/>
      <c r="D1100" s="6" t="str">
        <f>VLOOKUP(B1100,'Veri doğrulama'!$D$6:$E$13,2,0)</f>
        <v>MEHMET YAZICI</v>
      </c>
      <c r="E1100" s="6" t="s">
        <v>784</v>
      </c>
      <c r="F1100" s="6" t="s">
        <v>626</v>
      </c>
      <c r="G1100" s="6" t="s">
        <v>18</v>
      </c>
      <c r="H1100" s="6" t="s">
        <v>34</v>
      </c>
      <c r="I1100" s="6">
        <v>1600</v>
      </c>
      <c r="J1100" s="6">
        <v>1600</v>
      </c>
      <c r="K1100" s="6">
        <v>1</v>
      </c>
      <c r="L1100" s="10">
        <f>I1098*J1098/1000000*K1100</f>
        <v>0.38</v>
      </c>
      <c r="M1100" s="6" t="s">
        <v>103</v>
      </c>
      <c r="N1100" s="6" t="s">
        <v>620</v>
      </c>
      <c r="O1100" s="6"/>
      <c r="P1100" s="17" t="s">
        <v>54</v>
      </c>
      <c r="Q1100" s="17" t="s">
        <v>54</v>
      </c>
      <c r="R1100" s="17"/>
    </row>
    <row r="1101" spans="1:18" ht="30" customHeight="1" x14ac:dyDescent="0.3">
      <c r="A1101" s="7">
        <v>45735.381238194444</v>
      </c>
      <c r="B1101" s="6" t="s">
        <v>5</v>
      </c>
      <c r="C1101" s="6"/>
      <c r="D1101" s="6" t="str">
        <f>VLOOKUP(B1101,'Veri doğrulama'!$D$6:$E$13,2,0)</f>
        <v>MEHMET ÖZEN</v>
      </c>
      <c r="E1101" s="6"/>
      <c r="F1101" s="6" t="s">
        <v>642</v>
      </c>
      <c r="G1101" s="6" t="s">
        <v>14</v>
      </c>
      <c r="H1101" s="6" t="s">
        <v>34</v>
      </c>
      <c r="I1101" s="6">
        <v>1600</v>
      </c>
      <c r="J1101" s="6">
        <v>800</v>
      </c>
      <c r="K1101" s="6">
        <v>4</v>
      </c>
      <c r="L1101" s="10">
        <f t="shared" ref="L1101:L1106" si="27">I1100*J1100/1000000*K1102</f>
        <v>2.56</v>
      </c>
      <c r="M1101" s="6" t="s">
        <v>42</v>
      </c>
      <c r="N1101" s="6"/>
      <c r="O1101" s="6"/>
      <c r="P1101" s="17" t="s">
        <v>54</v>
      </c>
      <c r="Q1101" s="17" t="s">
        <v>54</v>
      </c>
      <c r="R1101" s="17" t="s">
        <v>54</v>
      </c>
    </row>
    <row r="1102" spans="1:18" ht="30" customHeight="1" x14ac:dyDescent="0.3">
      <c r="A1102" s="7">
        <v>45735.37872025463</v>
      </c>
      <c r="B1102" s="6" t="s">
        <v>4</v>
      </c>
      <c r="C1102" s="6"/>
      <c r="D1102" s="6" t="str">
        <f>VLOOKUP(B1102,'Veri doğrulama'!$D$6:$E$13,2,0)</f>
        <v>MEHMET YAZICI</v>
      </c>
      <c r="E1102" s="6"/>
      <c r="F1102" s="6" t="s">
        <v>160</v>
      </c>
      <c r="G1102" s="6" t="s">
        <v>16</v>
      </c>
      <c r="H1102" s="6" t="s">
        <v>34</v>
      </c>
      <c r="I1102" s="6">
        <v>1400</v>
      </c>
      <c r="J1102" s="6">
        <v>1200</v>
      </c>
      <c r="K1102" s="6">
        <v>1</v>
      </c>
      <c r="L1102" s="10">
        <f t="shared" si="27"/>
        <v>1.28</v>
      </c>
      <c r="M1102" s="6" t="s">
        <v>103</v>
      </c>
      <c r="N1102" s="6" t="s">
        <v>587</v>
      </c>
      <c r="O1102" s="6"/>
      <c r="P1102" s="17" t="s">
        <v>54</v>
      </c>
      <c r="Q1102" s="17" t="s">
        <v>54</v>
      </c>
      <c r="R1102" s="17" t="s">
        <v>54</v>
      </c>
    </row>
    <row r="1103" spans="1:18" ht="30" customHeight="1" x14ac:dyDescent="0.3">
      <c r="A1103" s="7">
        <v>45734.681564120372</v>
      </c>
      <c r="B1103" s="6" t="s">
        <v>4</v>
      </c>
      <c r="C1103" s="6"/>
      <c r="D1103" s="6" t="str">
        <f>VLOOKUP(B1103,'Veri doğrulama'!$D$6:$E$13,2,0)</f>
        <v>MEHMET YAZICI</v>
      </c>
      <c r="E1103" s="6"/>
      <c r="F1103" s="6" t="s">
        <v>629</v>
      </c>
      <c r="G1103" s="6" t="s">
        <v>24</v>
      </c>
      <c r="H1103" s="6" t="s">
        <v>34</v>
      </c>
      <c r="I1103" s="6">
        <v>560</v>
      </c>
      <c r="J1103" s="6">
        <v>324</v>
      </c>
      <c r="K1103" s="6">
        <v>1</v>
      </c>
      <c r="L1103" s="10">
        <f t="shared" si="27"/>
        <v>3.36</v>
      </c>
      <c r="M1103" s="6" t="s">
        <v>103</v>
      </c>
      <c r="N1103" s="6" t="s">
        <v>630</v>
      </c>
      <c r="O1103" s="6"/>
      <c r="P1103" s="17" t="s">
        <v>54</v>
      </c>
      <c r="Q1103" s="17" t="s">
        <v>54</v>
      </c>
      <c r="R1103" s="17" t="s">
        <v>54</v>
      </c>
    </row>
    <row r="1104" spans="1:18" ht="30" customHeight="1" x14ac:dyDescent="0.3">
      <c r="A1104" s="7">
        <v>45734.600393749999</v>
      </c>
      <c r="B1104" s="6" t="s">
        <v>4</v>
      </c>
      <c r="C1104" s="6"/>
      <c r="D1104" s="6" t="str">
        <f>VLOOKUP(B1104,'Veri doğrulama'!$D$6:$E$13,2,0)</f>
        <v>MEHMET YAZICI</v>
      </c>
      <c r="E1104" s="6"/>
      <c r="F1104" s="6" t="s">
        <v>92</v>
      </c>
      <c r="G1104" s="6" t="s">
        <v>13</v>
      </c>
      <c r="H1104" s="6" t="s">
        <v>34</v>
      </c>
      <c r="I1104" s="6">
        <v>2386</v>
      </c>
      <c r="J1104" s="6">
        <v>600</v>
      </c>
      <c r="K1104" s="6">
        <v>2</v>
      </c>
      <c r="L1104" s="10">
        <f t="shared" si="27"/>
        <v>0.18143999999999999</v>
      </c>
      <c r="M1104" s="6" t="s">
        <v>43</v>
      </c>
      <c r="N1104" s="6" t="s">
        <v>632</v>
      </c>
      <c r="O1104" s="6"/>
      <c r="P1104" s="17" t="s">
        <v>54</v>
      </c>
      <c r="Q1104" s="17" t="s">
        <v>54</v>
      </c>
      <c r="R1104" s="17" t="s">
        <v>54</v>
      </c>
    </row>
    <row r="1105" spans="1:18" ht="30" customHeight="1" x14ac:dyDescent="0.3">
      <c r="A1105" s="7">
        <v>45734.558764814814</v>
      </c>
      <c r="B1105" s="6" t="s">
        <v>4</v>
      </c>
      <c r="C1105" s="6"/>
      <c r="D1105" s="6" t="str">
        <f>VLOOKUP(B1105,'Veri doğrulama'!$D$6:$E$13,2,0)</f>
        <v>MEHMET YAZICI</v>
      </c>
      <c r="E1105" s="6" t="s">
        <v>633</v>
      </c>
      <c r="F1105" s="6" t="s">
        <v>691</v>
      </c>
      <c r="G1105" s="6" t="s">
        <v>20</v>
      </c>
      <c r="H1105" s="6" t="s">
        <v>34</v>
      </c>
      <c r="I1105" s="6">
        <v>1000</v>
      </c>
      <c r="J1105" s="6">
        <v>500</v>
      </c>
      <c r="K1105" s="6">
        <v>1</v>
      </c>
      <c r="L1105" s="10">
        <f t="shared" si="27"/>
        <v>1.4316</v>
      </c>
      <c r="M1105" s="6" t="s">
        <v>156</v>
      </c>
      <c r="N1105" s="6" t="s">
        <v>632</v>
      </c>
      <c r="O1105" s="6"/>
      <c r="P1105" s="17" t="s">
        <v>54</v>
      </c>
      <c r="Q1105" s="17" t="s">
        <v>54</v>
      </c>
      <c r="R1105" s="17" t="s">
        <v>54</v>
      </c>
    </row>
    <row r="1106" spans="1:18" ht="30" customHeight="1" x14ac:dyDescent="0.3">
      <c r="A1106" s="7">
        <v>45734.469930092593</v>
      </c>
      <c r="B1106" s="6" t="s">
        <v>5</v>
      </c>
      <c r="C1106" s="6"/>
      <c r="D1106" s="6" t="str">
        <f>VLOOKUP(B1106,'Veri doğrulama'!$D$6:$E$13,2,0)</f>
        <v>MEHMET ÖZEN</v>
      </c>
      <c r="E1106" s="6"/>
      <c r="F1106" s="6" t="s">
        <v>621</v>
      </c>
      <c r="G1106" s="6" t="s">
        <v>16</v>
      </c>
      <c r="H1106" s="6" t="s">
        <v>34</v>
      </c>
      <c r="I1106" s="6">
        <v>1600</v>
      </c>
      <c r="J1106" s="6">
        <v>390</v>
      </c>
      <c r="K1106" s="6">
        <v>1</v>
      </c>
      <c r="L1106" s="10">
        <f t="shared" si="27"/>
        <v>0.5</v>
      </c>
      <c r="M1106" s="6" t="s">
        <v>75</v>
      </c>
      <c r="N1106" s="6"/>
      <c r="O1106" s="6"/>
      <c r="P1106" s="17" t="s">
        <v>54</v>
      </c>
      <c r="Q1106" s="17" t="s">
        <v>54</v>
      </c>
      <c r="R1106" s="17" t="s">
        <v>54</v>
      </c>
    </row>
    <row r="1107" spans="1:18" ht="30" customHeight="1" x14ac:dyDescent="0.3">
      <c r="A1107" s="7">
        <v>45734.348197569445</v>
      </c>
      <c r="B1107" s="6" t="s">
        <v>4</v>
      </c>
      <c r="C1107" s="6"/>
      <c r="D1107" s="6" t="str">
        <f>VLOOKUP(B1107,'Veri doğrulama'!$D$6:$E$13,2,0)</f>
        <v>MEHMET YAZICI</v>
      </c>
      <c r="E1107" s="6" t="s">
        <v>690</v>
      </c>
      <c r="F1107" s="6" t="s">
        <v>619</v>
      </c>
      <c r="G1107" s="6" t="s">
        <v>16</v>
      </c>
      <c r="H1107" s="6" t="s">
        <v>35</v>
      </c>
      <c r="I1107" s="6">
        <v>1600</v>
      </c>
      <c r="J1107" s="6">
        <v>390</v>
      </c>
      <c r="K1107" s="6">
        <v>1</v>
      </c>
      <c r="L1107" s="10">
        <f>I1105*J1105/1000000*K1107</f>
        <v>0.5</v>
      </c>
      <c r="M1107" s="6" t="s">
        <v>103</v>
      </c>
      <c r="N1107" s="6" t="s">
        <v>620</v>
      </c>
      <c r="O1107" s="6"/>
      <c r="P1107" s="17" t="s">
        <v>54</v>
      </c>
      <c r="Q1107" s="17" t="s">
        <v>54</v>
      </c>
      <c r="R1107" s="17" t="s">
        <v>54</v>
      </c>
    </row>
    <row r="1108" spans="1:18" ht="30" customHeight="1" x14ac:dyDescent="0.3">
      <c r="A1108" s="7">
        <v>45734.345089699076</v>
      </c>
      <c r="B1108" s="6" t="s">
        <v>4</v>
      </c>
      <c r="C1108" s="6"/>
      <c r="D1108" s="6" t="str">
        <f>VLOOKUP(B1108,'Veri doğrulama'!$D$6:$E$13,2,0)</f>
        <v>MEHMET YAZICI</v>
      </c>
      <c r="E1108" s="6" t="s">
        <v>623</v>
      </c>
      <c r="F1108" s="6" t="s">
        <v>518</v>
      </c>
      <c r="G1108" s="6" t="s">
        <v>16</v>
      </c>
      <c r="H1108" s="6" t="s">
        <v>35</v>
      </c>
      <c r="I1108" s="6">
        <v>700</v>
      </c>
      <c r="J1108" s="6">
        <v>397</v>
      </c>
      <c r="K1108" s="6">
        <v>1</v>
      </c>
      <c r="L1108" s="10">
        <f>I1107*J1107/1000000*K1109</f>
        <v>0.624</v>
      </c>
      <c r="M1108" s="6" t="s">
        <v>102</v>
      </c>
      <c r="N1108" s="6" t="s">
        <v>587</v>
      </c>
      <c r="O1108" s="6"/>
      <c r="P1108" s="17" t="s">
        <v>54</v>
      </c>
      <c r="Q1108" s="17" t="s">
        <v>54</v>
      </c>
      <c r="R1108" s="17" t="s">
        <v>54</v>
      </c>
    </row>
    <row r="1109" spans="1:18" ht="30" customHeight="1" x14ac:dyDescent="0.3">
      <c r="A1109" s="7">
        <v>45734.344363773147</v>
      </c>
      <c r="B1109" s="6" t="s">
        <v>5</v>
      </c>
      <c r="C1109" s="6"/>
      <c r="D1109" s="6" t="str">
        <f>VLOOKUP(B1109,'Veri doğrulama'!$D$6:$E$13,2,0)</f>
        <v>MEHMET ÖZEN</v>
      </c>
      <c r="E1109" s="6"/>
      <c r="F1109" s="6" t="s">
        <v>635</v>
      </c>
      <c r="G1109" s="6" t="s">
        <v>17</v>
      </c>
      <c r="H1109" s="6" t="s">
        <v>34</v>
      </c>
      <c r="I1109" s="6">
        <v>924</v>
      </c>
      <c r="J1109" s="6">
        <v>410</v>
      </c>
      <c r="K1109" s="6">
        <v>1</v>
      </c>
      <c r="L1109" s="10">
        <f>I1108*J1108/1000000*K1110</f>
        <v>0.27789999999999998</v>
      </c>
      <c r="M1109" s="6" t="s">
        <v>103</v>
      </c>
      <c r="N1109" s="6" t="s">
        <v>636</v>
      </c>
      <c r="O1109" s="6"/>
      <c r="P1109" s="17" t="s">
        <v>54</v>
      </c>
      <c r="Q1109" s="17" t="s">
        <v>54</v>
      </c>
      <c r="R1109" s="17" t="s">
        <v>54</v>
      </c>
    </row>
    <row r="1110" spans="1:18" ht="30" customHeight="1" x14ac:dyDescent="0.3">
      <c r="A1110" s="7">
        <v>45734.343660185186</v>
      </c>
      <c r="B1110" s="6" t="s">
        <v>5</v>
      </c>
      <c r="C1110" s="6"/>
      <c r="D1110" s="6" t="str">
        <f>VLOOKUP(B1110,'Veri doğrulama'!$D$6:$E$13,2,0)</f>
        <v>MEHMET ÖZEN</v>
      </c>
      <c r="E1110" s="6"/>
      <c r="F1110" s="6" t="s">
        <v>622</v>
      </c>
      <c r="G1110" s="6" t="s">
        <v>14</v>
      </c>
      <c r="H1110" s="6" t="s">
        <v>34</v>
      </c>
      <c r="I1110" s="6">
        <v>1600</v>
      </c>
      <c r="J1110" s="6">
        <v>800</v>
      </c>
      <c r="K1110" s="6">
        <v>1</v>
      </c>
      <c r="L1110" s="10">
        <f>I1109*J1109/1000000*K1111</f>
        <v>0.37884000000000001</v>
      </c>
      <c r="M1110" s="6" t="s">
        <v>156</v>
      </c>
      <c r="N1110" s="6"/>
      <c r="O1110" s="6"/>
      <c r="P1110" s="17" t="s">
        <v>54</v>
      </c>
      <c r="Q1110" s="17" t="s">
        <v>54</v>
      </c>
      <c r="R1110" s="17" t="s">
        <v>54</v>
      </c>
    </row>
    <row r="1111" spans="1:18" ht="30" customHeight="1" x14ac:dyDescent="0.3">
      <c r="A1111" s="7">
        <v>45734.342302546298</v>
      </c>
      <c r="B1111" s="6" t="s">
        <v>5</v>
      </c>
      <c r="C1111" s="6"/>
      <c r="D1111" s="6" t="str">
        <f>VLOOKUP(B1111,'Veri doğrulama'!$D$6:$E$13,2,0)</f>
        <v>MEHMET ÖZEN</v>
      </c>
      <c r="E1111" s="6"/>
      <c r="F1111" s="6" t="s">
        <v>688</v>
      </c>
      <c r="G1111" s="6" t="s">
        <v>27</v>
      </c>
      <c r="H1111" s="6" t="s">
        <v>34</v>
      </c>
      <c r="I1111" s="6">
        <v>2010</v>
      </c>
      <c r="J1111" s="6">
        <v>860</v>
      </c>
      <c r="K1111" s="6">
        <v>1</v>
      </c>
      <c r="L1111" s="10">
        <f>I1110*J1110/1000000*K1112</f>
        <v>1.28</v>
      </c>
      <c r="M1111" s="6" t="s">
        <v>42</v>
      </c>
      <c r="N1111" s="6"/>
      <c r="O1111" s="6"/>
      <c r="P1111" s="17" t="s">
        <v>54</v>
      </c>
      <c r="Q1111" s="17" t="s">
        <v>54</v>
      </c>
      <c r="R1111" s="17" t="s">
        <v>54</v>
      </c>
    </row>
    <row r="1112" spans="1:18" ht="30" customHeight="1" x14ac:dyDescent="0.3">
      <c r="A1112" s="7">
        <v>45734.3406525463</v>
      </c>
      <c r="B1112" s="6" t="s">
        <v>4</v>
      </c>
      <c r="C1112" s="6"/>
      <c r="D1112" s="6" t="str">
        <f>VLOOKUP(B1112,'Veri doğrulama'!$D$6:$E$13,2,0)</f>
        <v>MEHMET YAZICI</v>
      </c>
      <c r="E1112" s="6" t="s">
        <v>625</v>
      </c>
      <c r="F1112" s="6" t="s">
        <v>612</v>
      </c>
      <c r="G1112" s="6" t="s">
        <v>27</v>
      </c>
      <c r="H1112" s="6" t="s">
        <v>35</v>
      </c>
      <c r="I1112" s="6">
        <v>804</v>
      </c>
      <c r="J1112" s="6">
        <v>342</v>
      </c>
      <c r="K1112" s="6">
        <v>1</v>
      </c>
      <c r="L1112" s="10">
        <f>I1111*J1111/1000000*K1113</f>
        <v>1.7285999999999999</v>
      </c>
      <c r="M1112" s="6" t="s">
        <v>103</v>
      </c>
      <c r="N1112" s="6" t="s">
        <v>613</v>
      </c>
      <c r="O1112" s="6"/>
      <c r="P1112" s="17" t="s">
        <v>54</v>
      </c>
      <c r="Q1112" s="17" t="s">
        <v>54</v>
      </c>
      <c r="R1112" s="17" t="s">
        <v>54</v>
      </c>
    </row>
    <row r="1113" spans="1:18" ht="30" customHeight="1" x14ac:dyDescent="0.3">
      <c r="A1113" s="7">
        <v>45733.620096412036</v>
      </c>
      <c r="B1113" s="6" t="s">
        <v>4</v>
      </c>
      <c r="C1113" s="6"/>
      <c r="D1113" s="6" t="str">
        <f>VLOOKUP(B1113,'Veri doğrulama'!$D$6:$E$13,2,0)</f>
        <v>MEHMET YAZICI</v>
      </c>
      <c r="E1113" s="6" t="s">
        <v>687</v>
      </c>
      <c r="F1113" s="6" t="s">
        <v>617</v>
      </c>
      <c r="G1113" s="6" t="s">
        <v>16</v>
      </c>
      <c r="H1113" s="6" t="s">
        <v>34</v>
      </c>
      <c r="I1113" s="6">
        <v>447</v>
      </c>
      <c r="J1113" s="6">
        <v>355</v>
      </c>
      <c r="K1113" s="6">
        <v>1</v>
      </c>
      <c r="L1113" s="10">
        <f>I1111*J1111/1000000*K1113</f>
        <v>1.7285999999999999</v>
      </c>
      <c r="M1113" s="6" t="s">
        <v>103</v>
      </c>
      <c r="N1113" s="6" t="s">
        <v>587</v>
      </c>
      <c r="O1113" s="6"/>
      <c r="P1113" s="17" t="s">
        <v>54</v>
      </c>
      <c r="Q1113" s="17" t="s">
        <v>54</v>
      </c>
      <c r="R1113" s="17" t="s">
        <v>54</v>
      </c>
    </row>
    <row r="1114" spans="1:18" ht="30" customHeight="1" x14ac:dyDescent="0.3">
      <c r="A1114" s="7">
        <v>45733.619632291666</v>
      </c>
      <c r="B1114" s="6" t="s">
        <v>5</v>
      </c>
      <c r="C1114" s="6"/>
      <c r="D1114" s="6" t="str">
        <f>VLOOKUP(B1114,'Veri doğrulama'!$D$6:$E$13,2,0)</f>
        <v>MEHMET ÖZEN</v>
      </c>
      <c r="E1114" s="6" t="s">
        <v>616</v>
      </c>
      <c r="F1114" s="6" t="s">
        <v>575</v>
      </c>
      <c r="G1114" s="6" t="s">
        <v>20</v>
      </c>
      <c r="H1114" s="6" t="s">
        <v>34</v>
      </c>
      <c r="I1114" s="6">
        <v>1600</v>
      </c>
      <c r="J1114" s="6">
        <v>800</v>
      </c>
      <c r="K1114" s="6">
        <v>1</v>
      </c>
      <c r="L1114" s="10">
        <f t="shared" ref="L1114:L1120" si="28">I1113*J1113/1000000*K1115</f>
        <v>0.15868499999999999</v>
      </c>
      <c r="M1114" s="6" t="s">
        <v>42</v>
      </c>
      <c r="N1114" s="6"/>
      <c r="O1114" s="6"/>
      <c r="P1114" s="17" t="s">
        <v>54</v>
      </c>
      <c r="Q1114" s="17" t="s">
        <v>54</v>
      </c>
      <c r="R1114" s="17" t="s">
        <v>54</v>
      </c>
    </row>
    <row r="1115" spans="1:18" ht="30" customHeight="1" x14ac:dyDescent="0.3">
      <c r="A1115" s="7">
        <v>45733.572128356478</v>
      </c>
      <c r="B1115" s="6" t="s">
        <v>4</v>
      </c>
      <c r="C1115" s="6"/>
      <c r="D1115" s="6" t="str">
        <f>VLOOKUP(B1115,'Veri doğrulama'!$D$6:$E$13,2,0)</f>
        <v>MEHMET YAZICI</v>
      </c>
      <c r="E1115" s="6"/>
      <c r="F1115" s="6" t="s">
        <v>610</v>
      </c>
      <c r="G1115" s="6" t="s">
        <v>16</v>
      </c>
      <c r="H1115" s="6" t="s">
        <v>34</v>
      </c>
      <c r="I1115" s="6">
        <v>1115</v>
      </c>
      <c r="J1115" s="6">
        <v>397</v>
      </c>
      <c r="K1115" s="6">
        <v>1</v>
      </c>
      <c r="L1115" s="10">
        <f t="shared" si="28"/>
        <v>1.28</v>
      </c>
      <c r="M1115" s="6" t="s">
        <v>42</v>
      </c>
      <c r="N1115" s="6" t="s">
        <v>339</v>
      </c>
      <c r="O1115" s="6"/>
      <c r="P1115" s="17" t="s">
        <v>54</v>
      </c>
      <c r="Q1115" s="17" t="s">
        <v>54</v>
      </c>
      <c r="R1115" s="17" t="s">
        <v>54</v>
      </c>
    </row>
    <row r="1116" spans="1:18" ht="30" customHeight="1" x14ac:dyDescent="0.3">
      <c r="A1116" s="7">
        <v>45733.417499768519</v>
      </c>
      <c r="B1116" s="6" t="s">
        <v>4</v>
      </c>
      <c r="C1116" s="6"/>
      <c r="D1116" s="6" t="str">
        <f>VLOOKUP(B1116,'Veri doğrulama'!$D$6:$E$13,2,0)</f>
        <v>MEHMET YAZICI</v>
      </c>
      <c r="E1116" s="6"/>
      <c r="F1116" s="6" t="s">
        <v>648</v>
      </c>
      <c r="G1116" s="6" t="s">
        <v>649</v>
      </c>
      <c r="H1116" s="6" t="s">
        <v>34</v>
      </c>
      <c r="I1116" s="6">
        <v>802</v>
      </c>
      <c r="J1116" s="6">
        <v>387</v>
      </c>
      <c r="K1116" s="6">
        <v>1</v>
      </c>
      <c r="L1116" s="10">
        <f t="shared" si="28"/>
        <v>0.88531000000000004</v>
      </c>
      <c r="M1116" s="6" t="s">
        <v>103</v>
      </c>
      <c r="N1116" s="6" t="s">
        <v>651</v>
      </c>
      <c r="O1116" s="6"/>
      <c r="P1116" s="17" t="s">
        <v>54</v>
      </c>
      <c r="Q1116" s="17" t="s">
        <v>54</v>
      </c>
      <c r="R1116" s="17" t="s">
        <v>54</v>
      </c>
    </row>
    <row r="1117" spans="1:18" ht="30" customHeight="1" x14ac:dyDescent="0.3">
      <c r="A1117" s="7">
        <v>45730.714700810182</v>
      </c>
      <c r="B1117" s="6" t="s">
        <v>4</v>
      </c>
      <c r="C1117" s="6"/>
      <c r="D1117" s="6" t="str">
        <f>VLOOKUP(B1117,'Veri doğrulama'!$D$6:$E$13,2,0)</f>
        <v>MEHMET YAZICI</v>
      </c>
      <c r="E1117" s="6"/>
      <c r="F1117" s="6" t="s">
        <v>166</v>
      </c>
      <c r="G1117" s="6" t="s">
        <v>17</v>
      </c>
      <c r="H1117" s="6" t="s">
        <v>34</v>
      </c>
      <c r="I1117" s="6">
        <v>480</v>
      </c>
      <c r="J1117" s="6">
        <v>430</v>
      </c>
      <c r="K1117" s="6">
        <v>2</v>
      </c>
      <c r="L1117" s="10">
        <f t="shared" si="28"/>
        <v>0.31037399999999998</v>
      </c>
      <c r="M1117" s="6" t="s">
        <v>75</v>
      </c>
      <c r="N1117" s="6" t="s">
        <v>399</v>
      </c>
      <c r="O1117" s="6"/>
      <c r="P1117" s="17" t="s">
        <v>54</v>
      </c>
      <c r="Q1117" s="17" t="s">
        <v>54</v>
      </c>
      <c r="R1117" s="17" t="s">
        <v>54</v>
      </c>
    </row>
    <row r="1118" spans="1:18" ht="30" customHeight="1" x14ac:dyDescent="0.3">
      <c r="A1118" s="7">
        <v>45730.713792129631</v>
      </c>
      <c r="B1118" s="6" t="s">
        <v>4</v>
      </c>
      <c r="C1118" s="6"/>
      <c r="D1118" s="6" t="str">
        <f>VLOOKUP(B1118,'Veri doğrulama'!$D$6:$E$13,2,0)</f>
        <v>MEHMET YAZICI</v>
      </c>
      <c r="E1118" s="6">
        <v>22200</v>
      </c>
      <c r="F1118" s="6" t="s">
        <v>615</v>
      </c>
      <c r="G1118" s="6" t="s">
        <v>14</v>
      </c>
      <c r="H1118" s="6" t="s">
        <v>34</v>
      </c>
      <c r="I1118" s="6">
        <v>1400</v>
      </c>
      <c r="J1118" s="6">
        <v>800</v>
      </c>
      <c r="K1118" s="6">
        <v>1</v>
      </c>
      <c r="L1118" s="10">
        <f t="shared" si="28"/>
        <v>0.2064</v>
      </c>
      <c r="M1118" s="6" t="s">
        <v>650</v>
      </c>
      <c r="N1118" s="6" t="s">
        <v>587</v>
      </c>
      <c r="O1118" s="6"/>
      <c r="P1118" s="17" t="s">
        <v>54</v>
      </c>
      <c r="Q1118" s="17" t="s">
        <v>54</v>
      </c>
      <c r="R1118" s="17" t="s">
        <v>54</v>
      </c>
    </row>
    <row r="1119" spans="1:18" ht="30" customHeight="1" x14ac:dyDescent="0.3">
      <c r="A1119" s="7">
        <v>45730.712822222224</v>
      </c>
      <c r="B1119" s="6" t="s">
        <v>4</v>
      </c>
      <c r="C1119" s="6"/>
      <c r="D1119" s="6" t="str">
        <f>VLOOKUP(B1119,'Veri doğrulama'!$D$6:$E$13,2,0)</f>
        <v>MEHMET YAZICI</v>
      </c>
      <c r="E1119" s="6" t="s">
        <v>618</v>
      </c>
      <c r="F1119" s="6" t="s">
        <v>595</v>
      </c>
      <c r="G1119" s="6" t="s">
        <v>13</v>
      </c>
      <c r="H1119" s="6" t="s">
        <v>34</v>
      </c>
      <c r="I1119" s="6">
        <v>1400</v>
      </c>
      <c r="J1119" s="6">
        <v>500</v>
      </c>
      <c r="K1119" s="6">
        <v>1</v>
      </c>
      <c r="L1119" s="10">
        <f t="shared" si="28"/>
        <v>1.1200000000000001</v>
      </c>
      <c r="M1119" s="6" t="s">
        <v>39</v>
      </c>
      <c r="N1119" s="6" t="s">
        <v>587</v>
      </c>
      <c r="O1119" s="6"/>
      <c r="P1119" s="17" t="s">
        <v>54</v>
      </c>
      <c r="Q1119" s="17" t="s">
        <v>54</v>
      </c>
      <c r="R1119" s="17" t="s">
        <v>54</v>
      </c>
    </row>
    <row r="1120" spans="1:18" ht="30" customHeight="1" x14ac:dyDescent="0.3">
      <c r="A1120" s="7">
        <v>45730.403909259257</v>
      </c>
      <c r="B1120" s="6" t="s">
        <v>4</v>
      </c>
      <c r="C1120" s="6"/>
      <c r="D1120" s="6" t="str">
        <f>VLOOKUP(B1120,'Veri doğrulama'!$D$6:$E$13,2,0)</f>
        <v>MEHMET YAZICI</v>
      </c>
      <c r="E1120" s="6"/>
      <c r="F1120" s="6" t="s">
        <v>604</v>
      </c>
      <c r="G1120" s="6" t="s">
        <v>16</v>
      </c>
      <c r="H1120" s="6" t="s">
        <v>35</v>
      </c>
      <c r="I1120" s="6">
        <v>1799</v>
      </c>
      <c r="J1120" s="6">
        <v>375</v>
      </c>
      <c r="K1120" s="6">
        <v>1</v>
      </c>
      <c r="L1120" s="10">
        <f t="shared" si="28"/>
        <v>0.7</v>
      </c>
      <c r="M1120" s="6" t="s">
        <v>75</v>
      </c>
      <c r="N1120" s="6"/>
      <c r="O1120" s="6"/>
      <c r="P1120" s="17" t="s">
        <v>54</v>
      </c>
      <c r="Q1120" s="17" t="s">
        <v>54</v>
      </c>
      <c r="R1120" s="17" t="s">
        <v>54</v>
      </c>
    </row>
    <row r="1121" spans="1:18" ht="30" customHeight="1" x14ac:dyDescent="0.3">
      <c r="A1121" s="7">
        <v>45730.397828472225</v>
      </c>
      <c r="B1121" s="6" t="s">
        <v>4</v>
      </c>
      <c r="C1121" s="6"/>
      <c r="D1121" s="6" t="str">
        <f>VLOOKUP(B1121,'Veri doğrulama'!$D$6:$E$13,2,0)</f>
        <v>MEHMET YAZICI</v>
      </c>
      <c r="E1121" s="6"/>
      <c r="F1121" s="6" t="s">
        <v>599</v>
      </c>
      <c r="G1121" s="6" t="s">
        <v>13</v>
      </c>
      <c r="H1121" s="6" t="s">
        <v>34</v>
      </c>
      <c r="I1121" s="6">
        <v>1400</v>
      </c>
      <c r="J1121" s="6">
        <v>500</v>
      </c>
      <c r="K1121" s="6">
        <v>1</v>
      </c>
      <c r="L1121" s="10"/>
      <c r="M1121" s="6" t="s">
        <v>42</v>
      </c>
      <c r="N1121" s="6" t="s">
        <v>157</v>
      </c>
      <c r="O1121" s="6"/>
      <c r="P1121" s="17" t="s">
        <v>54</v>
      </c>
      <c r="Q1121" s="17" t="s">
        <v>54</v>
      </c>
      <c r="R1121" s="17" t="s">
        <v>54</v>
      </c>
    </row>
    <row r="1122" spans="1:18" ht="30" customHeight="1" x14ac:dyDescent="0.3">
      <c r="A1122" s="7">
        <v>45730.394198611109</v>
      </c>
      <c r="B1122" s="6" t="s">
        <v>4</v>
      </c>
      <c r="C1122" s="6"/>
      <c r="D1122" s="6" t="str">
        <f>VLOOKUP(B1122,'Veri doğrulama'!$D$6:$E$13,2,0)</f>
        <v>MEHMET YAZICI</v>
      </c>
      <c r="E1122" s="6"/>
      <c r="F1122" s="6" t="s">
        <v>611</v>
      </c>
      <c r="G1122" s="6" t="s">
        <v>27</v>
      </c>
      <c r="H1122" s="6" t="s">
        <v>35</v>
      </c>
      <c r="I1122" s="6">
        <v>819</v>
      </c>
      <c r="J1122" s="6">
        <v>402</v>
      </c>
      <c r="K1122" s="6">
        <v>1</v>
      </c>
      <c r="L1122" s="10">
        <f t="shared" ref="L1122:L1127" si="29">I1121*J1121/1000000*K1123</f>
        <v>0.7</v>
      </c>
      <c r="M1122" s="6" t="s">
        <v>75</v>
      </c>
      <c r="N1122" s="6" t="s">
        <v>613</v>
      </c>
      <c r="O1122" s="6"/>
      <c r="P1122" s="17" t="s">
        <v>54</v>
      </c>
      <c r="Q1122" s="17" t="s">
        <v>54</v>
      </c>
      <c r="R1122" s="17" t="s">
        <v>54</v>
      </c>
    </row>
    <row r="1123" spans="1:18" ht="30" customHeight="1" x14ac:dyDescent="0.3">
      <c r="A1123" s="7">
        <v>45730.356073148148</v>
      </c>
      <c r="B1123" s="6" t="s">
        <v>7</v>
      </c>
      <c r="C1123" s="6"/>
      <c r="D1123" s="6" t="str">
        <f>VLOOKUP(B1123,'Veri doğrulama'!$D$6:$E$13,2,0)</f>
        <v>SIDDIK KAPLAN</v>
      </c>
      <c r="E1123" s="6">
        <v>22072</v>
      </c>
      <c r="F1123" s="6" t="s">
        <v>594</v>
      </c>
      <c r="G1123" s="6" t="s">
        <v>27</v>
      </c>
      <c r="H1123" s="6" t="s">
        <v>34</v>
      </c>
      <c r="I1123" s="6">
        <v>762</v>
      </c>
      <c r="J1123" s="6">
        <v>340</v>
      </c>
      <c r="K1123" s="6">
        <v>1</v>
      </c>
      <c r="L1123" s="10">
        <f t="shared" si="29"/>
        <v>0.32923799999999998</v>
      </c>
      <c r="M1123" s="6" t="s">
        <v>596</v>
      </c>
      <c r="N1123" s="6"/>
      <c r="O1123" s="6"/>
      <c r="P1123" s="17" t="s">
        <v>54</v>
      </c>
      <c r="Q1123" s="17" t="s">
        <v>54</v>
      </c>
      <c r="R1123" s="17" t="s">
        <v>54</v>
      </c>
    </row>
    <row r="1124" spans="1:18" ht="30" customHeight="1" x14ac:dyDescent="0.3">
      <c r="A1124" s="7">
        <v>45729.641740856481</v>
      </c>
      <c r="B1124" s="6" t="s">
        <v>7</v>
      </c>
      <c r="C1124" s="6"/>
      <c r="D1124" s="6" t="str">
        <f>VLOOKUP(B1124,'Veri doğrulama'!$D$6:$E$13,2,0)</f>
        <v>SIDDIK KAPLAN</v>
      </c>
      <c r="E1124" s="6" t="s">
        <v>614</v>
      </c>
      <c r="F1124" s="6" t="s">
        <v>593</v>
      </c>
      <c r="G1124" s="6" t="s">
        <v>27</v>
      </c>
      <c r="H1124" s="6" t="s">
        <v>34</v>
      </c>
      <c r="I1124" s="6">
        <v>800</v>
      </c>
      <c r="J1124" s="6">
        <v>360</v>
      </c>
      <c r="K1124" s="6">
        <v>1</v>
      </c>
      <c r="L1124" s="10">
        <f t="shared" si="29"/>
        <v>0.25907999999999998</v>
      </c>
      <c r="M1124" s="6" t="s">
        <v>42</v>
      </c>
      <c r="N1124" s="6"/>
      <c r="O1124" s="6"/>
      <c r="P1124" s="17" t="s">
        <v>54</v>
      </c>
      <c r="Q1124" s="17" t="s">
        <v>54</v>
      </c>
      <c r="R1124" s="17" t="s">
        <v>54</v>
      </c>
    </row>
    <row r="1125" spans="1:18" ht="30" customHeight="1" x14ac:dyDescent="0.3">
      <c r="A1125" s="7">
        <v>45729.640967129628</v>
      </c>
      <c r="B1125" s="6" t="s">
        <v>4</v>
      </c>
      <c r="C1125" s="6"/>
      <c r="D1125" s="6" t="str">
        <f>VLOOKUP(B1125,'Veri doğrulama'!$D$6:$E$13,2,0)</f>
        <v>MEHMET YAZICI</v>
      </c>
      <c r="E1125" s="6"/>
      <c r="F1125" s="6" t="s">
        <v>597</v>
      </c>
      <c r="G1125" s="6" t="s">
        <v>16</v>
      </c>
      <c r="H1125" s="6" t="s">
        <v>34</v>
      </c>
      <c r="I1125" s="6">
        <v>691</v>
      </c>
      <c r="J1125" s="6">
        <v>355</v>
      </c>
      <c r="K1125" s="6">
        <v>1</v>
      </c>
      <c r="L1125" s="10">
        <f t="shared" si="29"/>
        <v>0.28799999999999998</v>
      </c>
      <c r="M1125" s="6" t="s">
        <v>43</v>
      </c>
      <c r="N1125" s="6" t="s">
        <v>159</v>
      </c>
      <c r="O1125" s="6"/>
      <c r="P1125" s="17" t="s">
        <v>54</v>
      </c>
      <c r="Q1125" s="17" t="s">
        <v>54</v>
      </c>
      <c r="R1125" s="17" t="s">
        <v>54</v>
      </c>
    </row>
    <row r="1126" spans="1:18" ht="30" customHeight="1" x14ac:dyDescent="0.3">
      <c r="A1126" s="7">
        <v>45729.640123379628</v>
      </c>
      <c r="B1126" s="6" t="s">
        <v>5</v>
      </c>
      <c r="C1126" s="6"/>
      <c r="D1126" s="6" t="str">
        <f>VLOOKUP(B1126,'Veri doğrulama'!$D$6:$E$13,2,0)</f>
        <v>MEHMET ÖZEN</v>
      </c>
      <c r="E1126" s="6"/>
      <c r="F1126" s="6" t="s">
        <v>788</v>
      </c>
      <c r="G1126" s="6" t="s">
        <v>23</v>
      </c>
      <c r="H1126" s="6" t="s">
        <v>34</v>
      </c>
      <c r="I1126" s="6">
        <v>1962</v>
      </c>
      <c r="J1126" s="6">
        <v>324</v>
      </c>
      <c r="K1126" s="6">
        <v>1</v>
      </c>
      <c r="L1126" s="10">
        <f t="shared" si="29"/>
        <v>0.245305</v>
      </c>
      <c r="M1126" s="6" t="s">
        <v>43</v>
      </c>
      <c r="N1126" s="6" t="s">
        <v>632</v>
      </c>
      <c r="O1126" s="6"/>
      <c r="P1126" s="17" t="s">
        <v>54</v>
      </c>
      <c r="Q1126" s="17" t="s">
        <v>54</v>
      </c>
      <c r="R1126" s="17" t="s">
        <v>54</v>
      </c>
    </row>
    <row r="1127" spans="1:18" ht="30" customHeight="1" x14ac:dyDescent="0.3">
      <c r="A1127" s="7">
        <v>45729.616312268518</v>
      </c>
      <c r="B1127" s="6" t="s">
        <v>4</v>
      </c>
      <c r="C1127" s="6"/>
      <c r="D1127" s="6" t="str">
        <f>VLOOKUP(B1127,'Veri doğrulama'!$D$6:$E$13,2,0)</f>
        <v>MEHMET YAZICI</v>
      </c>
      <c r="E1127" s="6"/>
      <c r="F1127" s="6" t="s">
        <v>591</v>
      </c>
      <c r="G1127" s="6" t="s">
        <v>16</v>
      </c>
      <c r="H1127" s="6" t="s">
        <v>34</v>
      </c>
      <c r="I1127" s="6">
        <v>762</v>
      </c>
      <c r="J1127" s="6">
        <v>375</v>
      </c>
      <c r="K1127" s="6">
        <v>1</v>
      </c>
      <c r="L1127" s="10">
        <f t="shared" si="29"/>
        <v>0.63568800000000003</v>
      </c>
      <c r="M1127" s="6" t="s">
        <v>596</v>
      </c>
      <c r="N1127" s="6"/>
      <c r="O1127" s="6"/>
      <c r="P1127" s="17" t="s">
        <v>54</v>
      </c>
      <c r="Q1127" s="17" t="s">
        <v>54</v>
      </c>
      <c r="R1127" s="17" t="s">
        <v>54</v>
      </c>
    </row>
    <row r="1128" spans="1:18" ht="30" customHeight="1" x14ac:dyDescent="0.3">
      <c r="A1128" s="7">
        <v>45729.580572685183</v>
      </c>
      <c r="B1128" s="6" t="s">
        <v>4</v>
      </c>
      <c r="C1128" s="6"/>
      <c r="D1128" s="6" t="str">
        <f>VLOOKUP(B1128,'Veri doğrulama'!$D$6:$E$13,2,0)</f>
        <v>MEHMET YAZICI</v>
      </c>
      <c r="E1128" s="6" t="s">
        <v>787</v>
      </c>
      <c r="F1128" s="6" t="s">
        <v>595</v>
      </c>
      <c r="G1128" s="6" t="s">
        <v>13</v>
      </c>
      <c r="H1128" s="6" t="s">
        <v>34</v>
      </c>
      <c r="I1128" s="6">
        <v>1400</v>
      </c>
      <c r="J1128" s="6">
        <v>500</v>
      </c>
      <c r="K1128" s="6">
        <v>1</v>
      </c>
      <c r="L1128" s="10">
        <f>I1126*J1126/1000000*K1128</f>
        <v>0.63568800000000003</v>
      </c>
      <c r="M1128" s="6" t="s">
        <v>75</v>
      </c>
      <c r="N1128" s="6" t="s">
        <v>385</v>
      </c>
      <c r="O1128" s="6"/>
      <c r="P1128" s="17" t="s">
        <v>54</v>
      </c>
      <c r="Q1128" s="17" t="s">
        <v>54</v>
      </c>
      <c r="R1128" s="17" t="s">
        <v>54</v>
      </c>
    </row>
    <row r="1129" spans="1:18" ht="30" customHeight="1" x14ac:dyDescent="0.3">
      <c r="A1129" s="7">
        <v>45729.557395833333</v>
      </c>
      <c r="B1129" s="6" t="s">
        <v>4</v>
      </c>
      <c r="C1129" s="6"/>
      <c r="D1129" s="6" t="str">
        <f>VLOOKUP(B1129,'Veri doğrulama'!$D$6:$E$13,2,0)</f>
        <v>MEHMET YAZICI</v>
      </c>
      <c r="E1129" s="6"/>
      <c r="F1129" s="6" t="s">
        <v>588</v>
      </c>
      <c r="G1129" s="6" t="s">
        <v>16</v>
      </c>
      <c r="H1129" s="6" t="s">
        <v>35</v>
      </c>
      <c r="I1129" s="6">
        <v>1600</v>
      </c>
      <c r="J1129" s="6">
        <v>360</v>
      </c>
      <c r="K1129" s="6">
        <v>2</v>
      </c>
      <c r="L1129" s="10">
        <f t="shared" ref="L1129:L1160" si="30">I1128*J1128/1000000*K1130</f>
        <v>0.7</v>
      </c>
      <c r="M1129" s="6" t="s">
        <v>156</v>
      </c>
      <c r="N1129" s="6"/>
      <c r="O1129" s="6"/>
      <c r="P1129" s="17" t="s">
        <v>54</v>
      </c>
      <c r="Q1129" s="17" t="s">
        <v>54</v>
      </c>
      <c r="R1129" s="17" t="s">
        <v>54</v>
      </c>
    </row>
    <row r="1130" spans="1:18" ht="30" customHeight="1" x14ac:dyDescent="0.3">
      <c r="A1130" s="7">
        <v>45729.47559548611</v>
      </c>
      <c r="B1130" s="6" t="s">
        <v>4</v>
      </c>
      <c r="C1130" s="6"/>
      <c r="D1130" s="6" t="str">
        <f>VLOOKUP(B1130,'Veri doğrulama'!$D$6:$E$13,2,0)</f>
        <v>MEHMET YAZICI</v>
      </c>
      <c r="E1130" s="6" t="s">
        <v>598</v>
      </c>
      <c r="F1130" s="6" t="s">
        <v>589</v>
      </c>
      <c r="G1130" s="6" t="s">
        <v>23</v>
      </c>
      <c r="H1130" s="6" t="s">
        <v>34</v>
      </c>
      <c r="I1130" s="6">
        <v>1600</v>
      </c>
      <c r="J1130" s="6">
        <v>385</v>
      </c>
      <c r="K1130" s="6">
        <v>1</v>
      </c>
      <c r="L1130" s="10">
        <f t="shared" si="30"/>
        <v>0.57599999999999996</v>
      </c>
      <c r="M1130" s="6" t="s">
        <v>42</v>
      </c>
      <c r="N1130" s="6" t="s">
        <v>590</v>
      </c>
      <c r="O1130" s="6"/>
      <c r="P1130" s="17" t="s">
        <v>54</v>
      </c>
      <c r="Q1130" s="17" t="s">
        <v>54</v>
      </c>
      <c r="R1130" s="17" t="s">
        <v>54</v>
      </c>
    </row>
    <row r="1131" spans="1:18" ht="30" customHeight="1" x14ac:dyDescent="0.3">
      <c r="A1131" s="7">
        <v>45729.388332754628</v>
      </c>
      <c r="B1131" s="6" t="s">
        <v>4</v>
      </c>
      <c r="C1131" s="6"/>
      <c r="D1131" s="6" t="str">
        <f>VLOOKUP(B1131,'Veri doğrulama'!$D$6:$E$13,2,0)</f>
        <v>MEHMET YAZICI</v>
      </c>
      <c r="E1131" s="6"/>
      <c r="F1131" s="6" t="s">
        <v>140</v>
      </c>
      <c r="G1131" s="6" t="s">
        <v>23</v>
      </c>
      <c r="H1131" s="6" t="s">
        <v>34</v>
      </c>
      <c r="I1131" s="6">
        <v>1600</v>
      </c>
      <c r="J1131" s="6">
        <v>385</v>
      </c>
      <c r="K1131" s="6">
        <v>1</v>
      </c>
      <c r="L1131" s="10">
        <f t="shared" si="30"/>
        <v>0.61599999999999999</v>
      </c>
      <c r="M1131" s="6" t="s">
        <v>75</v>
      </c>
      <c r="N1131" s="6" t="s">
        <v>385</v>
      </c>
      <c r="O1131" s="6"/>
      <c r="P1131" s="17" t="s">
        <v>54</v>
      </c>
      <c r="Q1131" s="17" t="s">
        <v>54</v>
      </c>
      <c r="R1131" s="17" t="s">
        <v>54</v>
      </c>
    </row>
    <row r="1132" spans="1:18" ht="30" customHeight="1" x14ac:dyDescent="0.3">
      <c r="A1132" s="7">
        <v>45729.341401388891</v>
      </c>
      <c r="B1132" s="6" t="s">
        <v>4</v>
      </c>
      <c r="C1132" s="6"/>
      <c r="D1132" s="6" t="str">
        <f>VLOOKUP(B1132,'Veri doğrulama'!$D$6:$E$13,2,0)</f>
        <v>MEHMET YAZICI</v>
      </c>
      <c r="E1132" s="6"/>
      <c r="F1132" s="6" t="s">
        <v>117</v>
      </c>
      <c r="G1132" s="6" t="s">
        <v>24</v>
      </c>
      <c r="H1132" s="6" t="s">
        <v>34</v>
      </c>
      <c r="I1132" s="6">
        <v>1962</v>
      </c>
      <c r="J1132" s="6">
        <v>324</v>
      </c>
      <c r="K1132" s="6">
        <v>1</v>
      </c>
      <c r="L1132" s="10">
        <f t="shared" si="30"/>
        <v>0.61599999999999999</v>
      </c>
      <c r="M1132" s="6" t="s">
        <v>43</v>
      </c>
      <c r="N1132" s="6" t="s">
        <v>587</v>
      </c>
      <c r="O1132" s="6"/>
      <c r="P1132" s="17" t="s">
        <v>54</v>
      </c>
      <c r="Q1132" s="17" t="s">
        <v>54</v>
      </c>
      <c r="R1132" s="17" t="s">
        <v>54</v>
      </c>
    </row>
    <row r="1133" spans="1:18" ht="30" customHeight="1" x14ac:dyDescent="0.3">
      <c r="A1133" s="7">
        <v>45729.34055439815</v>
      </c>
      <c r="B1133" s="6" t="s">
        <v>7</v>
      </c>
      <c r="C1133" s="6"/>
      <c r="D1133" s="6" t="str">
        <f>VLOOKUP(B1133,'Veri doğrulama'!$D$6:$E$13,2,0)</f>
        <v>SIDDIK KAPLAN</v>
      </c>
      <c r="E1133" s="6" t="s">
        <v>586</v>
      </c>
      <c r="F1133" s="6" t="s">
        <v>592</v>
      </c>
      <c r="G1133" s="6" t="s">
        <v>27</v>
      </c>
      <c r="H1133" s="6" t="s">
        <v>34</v>
      </c>
      <c r="I1133" s="6">
        <v>800</v>
      </c>
      <c r="J1133" s="6">
        <v>385</v>
      </c>
      <c r="K1133" s="6">
        <v>1</v>
      </c>
      <c r="L1133" s="10">
        <f t="shared" si="30"/>
        <v>0.63568800000000003</v>
      </c>
      <c r="M1133" s="6" t="s">
        <v>43</v>
      </c>
      <c r="N1133" s="6"/>
      <c r="O1133" s="6"/>
      <c r="P1133" s="17" t="s">
        <v>54</v>
      </c>
      <c r="Q1133" s="17" t="s">
        <v>54</v>
      </c>
      <c r="R1133" s="17" t="s">
        <v>54</v>
      </c>
    </row>
    <row r="1134" spans="1:18" ht="30" customHeight="1" x14ac:dyDescent="0.3">
      <c r="A1134" s="7">
        <v>45728.644611689815</v>
      </c>
      <c r="B1134" s="6" t="s">
        <v>4</v>
      </c>
      <c r="C1134" s="6"/>
      <c r="D1134" s="6" t="str">
        <f>VLOOKUP(B1134,'Veri doğrulama'!$D$6:$E$13,2,0)</f>
        <v>MEHMET YAZICI</v>
      </c>
      <c r="E1134" s="6"/>
      <c r="F1134" s="6" t="s">
        <v>580</v>
      </c>
      <c r="G1134" s="6" t="s">
        <v>27</v>
      </c>
      <c r="H1134" s="6" t="s">
        <v>34</v>
      </c>
      <c r="I1134" s="6">
        <v>1800</v>
      </c>
      <c r="J1134" s="6">
        <v>850</v>
      </c>
      <c r="K1134" s="6">
        <v>1</v>
      </c>
      <c r="L1134" s="10">
        <f t="shared" si="30"/>
        <v>0.308</v>
      </c>
      <c r="M1134" s="6" t="s">
        <v>102</v>
      </c>
      <c r="N1134" s="6" t="s">
        <v>399</v>
      </c>
      <c r="O1134" s="6"/>
      <c r="P1134" s="17" t="s">
        <v>54</v>
      </c>
      <c r="Q1134" s="17" t="s">
        <v>54</v>
      </c>
      <c r="R1134" s="17" t="s">
        <v>54</v>
      </c>
    </row>
    <row r="1135" spans="1:18" ht="30" customHeight="1" x14ac:dyDescent="0.3">
      <c r="A1135" s="7">
        <v>45728.623051388888</v>
      </c>
      <c r="B1135" s="6" t="s">
        <v>4</v>
      </c>
      <c r="C1135" s="6"/>
      <c r="D1135" s="6" t="str">
        <f>VLOOKUP(B1135,'Veri doğrulama'!$D$6:$E$13,2,0)</f>
        <v>MEHMET YAZICI</v>
      </c>
      <c r="E1135" s="6"/>
      <c r="F1135" s="6" t="s">
        <v>606</v>
      </c>
      <c r="G1135" s="6" t="s">
        <v>27</v>
      </c>
      <c r="H1135" s="6" t="s">
        <v>34</v>
      </c>
      <c r="I1135" s="6">
        <v>820</v>
      </c>
      <c r="J1135" s="6">
        <v>420</v>
      </c>
      <c r="K1135" s="6">
        <v>1</v>
      </c>
      <c r="L1135" s="10">
        <f t="shared" si="30"/>
        <v>3.06</v>
      </c>
      <c r="M1135" s="6" t="s">
        <v>43</v>
      </c>
      <c r="N1135" s="6"/>
      <c r="O1135" s="6"/>
      <c r="P1135" s="17" t="s">
        <v>54</v>
      </c>
      <c r="Q1135" s="17" t="s">
        <v>54</v>
      </c>
      <c r="R1135" s="17" t="s">
        <v>54</v>
      </c>
    </row>
    <row r="1136" spans="1:18" ht="30" customHeight="1" x14ac:dyDescent="0.3">
      <c r="A1136" s="7">
        <v>45728</v>
      </c>
      <c r="B1136" s="6" t="s">
        <v>7</v>
      </c>
      <c r="C1136" s="6"/>
      <c r="D1136" s="6" t="str">
        <f>VLOOKUP(B1136,'Veri doğrulama'!$D$6:$E$13,2,0)</f>
        <v>SIDDIK KAPLAN</v>
      </c>
      <c r="E1136" s="6" t="s">
        <v>583</v>
      </c>
      <c r="F1136" s="6" t="s">
        <v>605</v>
      </c>
      <c r="G1136" s="6" t="s">
        <v>27</v>
      </c>
      <c r="H1136" s="6" t="s">
        <v>34</v>
      </c>
      <c r="I1136" s="6">
        <v>714</v>
      </c>
      <c r="J1136" s="6">
        <v>400</v>
      </c>
      <c r="K1136" s="6">
        <v>2</v>
      </c>
      <c r="L1136" s="10">
        <f t="shared" si="30"/>
        <v>0.34439999999999998</v>
      </c>
      <c r="M1136" s="6" t="s">
        <v>39</v>
      </c>
      <c r="N1136" s="6"/>
      <c r="O1136" s="6"/>
      <c r="P1136" s="17" t="s">
        <v>54</v>
      </c>
      <c r="Q1136" s="17" t="s">
        <v>54</v>
      </c>
      <c r="R1136" s="17" t="s">
        <v>54</v>
      </c>
    </row>
    <row r="1137" spans="1:18" ht="30" customHeight="1" x14ac:dyDescent="0.3">
      <c r="A1137" s="7">
        <v>45728</v>
      </c>
      <c r="B1137" s="6" t="s">
        <v>5</v>
      </c>
      <c r="C1137" s="6"/>
      <c r="D1137" s="6" t="str">
        <f>VLOOKUP(B1137,'Veri doğrulama'!$D$6:$E$13,2,0)</f>
        <v>MEHMET ÖZEN</v>
      </c>
      <c r="E1137" s="6" t="s">
        <v>609</v>
      </c>
      <c r="F1137" s="6" t="s">
        <v>647</v>
      </c>
      <c r="G1137" s="6" t="s">
        <v>15</v>
      </c>
      <c r="H1137" s="6" t="s">
        <v>34</v>
      </c>
      <c r="I1137" s="6">
        <v>1400</v>
      </c>
      <c r="J1137" s="6">
        <v>800</v>
      </c>
      <c r="K1137" s="6">
        <v>1</v>
      </c>
      <c r="L1137" s="10">
        <f t="shared" si="30"/>
        <v>0.28560000000000002</v>
      </c>
      <c r="M1137" s="6" t="s">
        <v>37</v>
      </c>
      <c r="N1137" s="6"/>
      <c r="O1137" s="6"/>
      <c r="P1137" s="17" t="s">
        <v>54</v>
      </c>
      <c r="Q1137" s="17" t="s">
        <v>54</v>
      </c>
      <c r="R1137" s="17" t="s">
        <v>54</v>
      </c>
    </row>
    <row r="1138" spans="1:18" ht="30" customHeight="1" x14ac:dyDescent="0.3">
      <c r="A1138" s="7">
        <v>45727.689085185186</v>
      </c>
      <c r="B1138" s="6" t="s">
        <v>4</v>
      </c>
      <c r="C1138" s="6"/>
      <c r="D1138" s="6" t="str">
        <f>VLOOKUP(B1138,'Veri doğrulama'!$D$6:$E$13,2,0)</f>
        <v>MEHMET YAZICI</v>
      </c>
      <c r="E1138" s="6" t="s">
        <v>607</v>
      </c>
      <c r="F1138" s="6" t="s">
        <v>580</v>
      </c>
      <c r="G1138" s="6" t="s">
        <v>27</v>
      </c>
      <c r="H1138" s="6" t="s">
        <v>34</v>
      </c>
      <c r="I1138" s="6">
        <v>1800</v>
      </c>
      <c r="J1138" s="6">
        <v>850</v>
      </c>
      <c r="K1138" s="6">
        <v>1</v>
      </c>
      <c r="L1138" s="10">
        <f t="shared" si="30"/>
        <v>1.1200000000000001</v>
      </c>
      <c r="M1138" s="6" t="s">
        <v>43</v>
      </c>
      <c r="N1138" s="6" t="s">
        <v>385</v>
      </c>
      <c r="O1138" s="6"/>
      <c r="P1138" s="17" t="s">
        <v>54</v>
      </c>
      <c r="Q1138" s="17" t="s">
        <v>54</v>
      </c>
      <c r="R1138" s="17" t="s">
        <v>54</v>
      </c>
    </row>
    <row r="1139" spans="1:18" ht="30" customHeight="1" x14ac:dyDescent="0.3">
      <c r="A1139" s="7">
        <v>45727.651842939813</v>
      </c>
      <c r="B1139" s="6" t="s">
        <v>5</v>
      </c>
      <c r="C1139" s="6"/>
      <c r="D1139" s="6" t="str">
        <f>VLOOKUP(B1139,'Veri doğrulama'!$D$6:$E$13,2,0)</f>
        <v>MEHMET ÖZEN</v>
      </c>
      <c r="E1139" s="13"/>
      <c r="F1139" s="6" t="s">
        <v>600</v>
      </c>
      <c r="G1139" s="6" t="s">
        <v>14</v>
      </c>
      <c r="H1139" s="6" t="s">
        <v>34</v>
      </c>
      <c r="I1139" s="6">
        <v>1600</v>
      </c>
      <c r="J1139" s="6">
        <v>800</v>
      </c>
      <c r="K1139" s="6">
        <v>1</v>
      </c>
      <c r="L1139" s="10">
        <f t="shared" si="30"/>
        <v>1.53</v>
      </c>
      <c r="M1139" s="6" t="s">
        <v>103</v>
      </c>
      <c r="N1139" s="6"/>
      <c r="O1139" s="6"/>
      <c r="P1139" s="17" t="s">
        <v>54</v>
      </c>
      <c r="Q1139" s="17" t="s">
        <v>54</v>
      </c>
      <c r="R1139" s="17" t="s">
        <v>54</v>
      </c>
    </row>
    <row r="1140" spans="1:18" ht="30" customHeight="1" x14ac:dyDescent="0.3">
      <c r="A1140" s="7">
        <v>45727.651048495369</v>
      </c>
      <c r="B1140" s="6" t="s">
        <v>4</v>
      </c>
      <c r="C1140" s="6"/>
      <c r="D1140" s="6" t="str">
        <f>VLOOKUP(B1140,'Veri doğrulama'!$D$6:$E$13,2,0)</f>
        <v>MEHMET YAZICI</v>
      </c>
      <c r="E1140" s="6" t="s">
        <v>581</v>
      </c>
      <c r="F1140" s="6" t="s">
        <v>149</v>
      </c>
      <c r="G1140" s="6" t="s">
        <v>27</v>
      </c>
      <c r="H1140" s="6" t="s">
        <v>34</v>
      </c>
      <c r="I1140" s="6">
        <v>557</v>
      </c>
      <c r="J1140" s="6">
        <v>247</v>
      </c>
      <c r="K1140" s="6">
        <v>1</v>
      </c>
      <c r="L1140" s="10">
        <f t="shared" si="30"/>
        <v>1.28</v>
      </c>
      <c r="M1140" s="6" t="s">
        <v>39</v>
      </c>
      <c r="N1140" s="6" t="s">
        <v>577</v>
      </c>
      <c r="O1140" s="6"/>
      <c r="P1140" s="17" t="s">
        <v>54</v>
      </c>
      <c r="Q1140" s="17" t="s">
        <v>54</v>
      </c>
      <c r="R1140" s="17" t="s">
        <v>54</v>
      </c>
    </row>
    <row r="1141" spans="1:18" ht="30" customHeight="1" x14ac:dyDescent="0.3">
      <c r="A1141" s="7">
        <v>45727.649397453701</v>
      </c>
      <c r="B1141" s="6" t="s">
        <v>4</v>
      </c>
      <c r="C1141" s="6"/>
      <c r="D1141" s="6" t="str">
        <f>VLOOKUP(B1141,'Veri doğrulama'!$D$6:$E$13,2,0)</f>
        <v>MEHMET YAZICI</v>
      </c>
      <c r="E1141" s="6">
        <v>22085</v>
      </c>
      <c r="F1141" s="6" t="s">
        <v>136</v>
      </c>
      <c r="G1141" s="6" t="s">
        <v>16</v>
      </c>
      <c r="H1141" s="6" t="s">
        <v>34</v>
      </c>
      <c r="I1141" s="6">
        <v>1600</v>
      </c>
      <c r="J1141" s="6">
        <v>360</v>
      </c>
      <c r="K1141" s="6">
        <v>1</v>
      </c>
      <c r="L1141" s="10">
        <f t="shared" si="30"/>
        <v>0.13757900000000001</v>
      </c>
      <c r="M1141" s="6" t="s">
        <v>103</v>
      </c>
      <c r="N1141" s="6" t="s">
        <v>585</v>
      </c>
      <c r="O1141" s="6"/>
      <c r="P1141" s="17" t="s">
        <v>54</v>
      </c>
      <c r="Q1141" s="17" t="s">
        <v>54</v>
      </c>
      <c r="R1141" s="17" t="s">
        <v>54</v>
      </c>
    </row>
    <row r="1142" spans="1:18" ht="30" customHeight="1" x14ac:dyDescent="0.3">
      <c r="A1142" s="7">
        <v>45727.648874768522</v>
      </c>
      <c r="B1142" s="6" t="s">
        <v>4</v>
      </c>
      <c r="C1142" s="6"/>
      <c r="D1142" s="6" t="str">
        <f>VLOOKUP(B1142,'Veri doğrulama'!$D$6:$E$13,2,0)</f>
        <v>MEHMET YAZICI</v>
      </c>
      <c r="E1142" s="6"/>
      <c r="F1142" s="6" t="s">
        <v>592</v>
      </c>
      <c r="G1142" s="6" t="s">
        <v>17</v>
      </c>
      <c r="H1142" s="6" t="s">
        <v>34</v>
      </c>
      <c r="I1142" s="6">
        <v>800</v>
      </c>
      <c r="J1142" s="6">
        <v>385</v>
      </c>
      <c r="K1142" s="6">
        <v>1</v>
      </c>
      <c r="L1142" s="10">
        <f t="shared" si="30"/>
        <v>0.57599999999999996</v>
      </c>
      <c r="M1142" s="6" t="s">
        <v>156</v>
      </c>
      <c r="N1142" s="6" t="s">
        <v>601</v>
      </c>
      <c r="O1142" s="6"/>
      <c r="P1142" s="17" t="s">
        <v>54</v>
      </c>
      <c r="Q1142" s="17" t="s">
        <v>54</v>
      </c>
      <c r="R1142" s="17" t="s">
        <v>54</v>
      </c>
    </row>
    <row r="1143" spans="1:18" ht="30" customHeight="1" x14ac:dyDescent="0.3">
      <c r="A1143" s="7">
        <v>45727.641428125004</v>
      </c>
      <c r="B1143" s="6" t="s">
        <v>4</v>
      </c>
      <c r="C1143" s="6"/>
      <c r="D1143" s="6" t="str">
        <f>VLOOKUP(B1143,'Veri doğrulama'!$D$6:$E$13,2,0)</f>
        <v>MEHMET YAZICI</v>
      </c>
      <c r="E1143" s="6"/>
      <c r="F1143" s="6" t="s">
        <v>149</v>
      </c>
      <c r="G1143" s="6" t="s">
        <v>13</v>
      </c>
      <c r="H1143" s="6" t="s">
        <v>34</v>
      </c>
      <c r="I1143" s="6">
        <v>557</v>
      </c>
      <c r="J1143" s="6">
        <v>247</v>
      </c>
      <c r="K1143" s="6">
        <v>1</v>
      </c>
      <c r="L1143" s="10">
        <f t="shared" si="30"/>
        <v>0.308</v>
      </c>
      <c r="M1143" s="6" t="s">
        <v>75</v>
      </c>
      <c r="N1143" s="6" t="s">
        <v>587</v>
      </c>
      <c r="O1143" s="6"/>
      <c r="P1143" s="17" t="s">
        <v>54</v>
      </c>
      <c r="Q1143" s="17" t="s">
        <v>54</v>
      </c>
      <c r="R1143" s="17" t="s">
        <v>54</v>
      </c>
    </row>
    <row r="1144" spans="1:18" ht="30" customHeight="1" x14ac:dyDescent="0.3">
      <c r="A1144" s="7">
        <v>45727.640536226849</v>
      </c>
      <c r="B1144" s="6" t="s">
        <v>4</v>
      </c>
      <c r="C1144" s="6"/>
      <c r="D1144" s="6" t="str">
        <f>VLOOKUP(B1144,'Veri doğrulama'!$D$6:$E$13,2,0)</f>
        <v>MEHMET YAZICI</v>
      </c>
      <c r="E1144" s="6" t="s">
        <v>603</v>
      </c>
      <c r="F1144" s="6" t="s">
        <v>575</v>
      </c>
      <c r="G1144" s="6" t="s">
        <v>14</v>
      </c>
      <c r="H1144" s="6" t="s">
        <v>34</v>
      </c>
      <c r="I1144" s="6">
        <v>1600</v>
      </c>
      <c r="J1144" s="6">
        <v>800</v>
      </c>
      <c r="K1144" s="6">
        <v>1</v>
      </c>
      <c r="L1144" s="10">
        <f t="shared" si="30"/>
        <v>0.27515800000000001</v>
      </c>
      <c r="M1144" s="6" t="s">
        <v>103</v>
      </c>
      <c r="N1144" s="6" t="s">
        <v>576</v>
      </c>
      <c r="O1144" s="6"/>
      <c r="P1144" s="17" t="s">
        <v>54</v>
      </c>
      <c r="Q1144" s="17" t="s">
        <v>54</v>
      </c>
      <c r="R1144" s="17" t="s">
        <v>54</v>
      </c>
    </row>
    <row r="1145" spans="1:18" ht="30" customHeight="1" x14ac:dyDescent="0.3">
      <c r="A1145" s="7">
        <v>45727.437760879628</v>
      </c>
      <c r="B1145" s="6" t="s">
        <v>4</v>
      </c>
      <c r="C1145" s="6"/>
      <c r="D1145" s="6" t="str">
        <f>VLOOKUP(B1145,'Veri doğrulama'!$D$6:$E$13,2,0)</f>
        <v>MEHMET YAZICI</v>
      </c>
      <c r="E1145" s="6"/>
      <c r="F1145" s="6" t="s">
        <v>570</v>
      </c>
      <c r="G1145" s="6" t="s">
        <v>14</v>
      </c>
      <c r="H1145" s="6" t="s">
        <v>34</v>
      </c>
      <c r="I1145" s="6">
        <v>850</v>
      </c>
      <c r="J1145" s="6">
        <v>710</v>
      </c>
      <c r="K1145" s="6">
        <v>2</v>
      </c>
      <c r="L1145" s="10">
        <f t="shared" si="30"/>
        <v>1.28</v>
      </c>
      <c r="M1145" s="6" t="s">
        <v>75</v>
      </c>
      <c r="N1145" s="6" t="s">
        <v>571</v>
      </c>
      <c r="O1145" s="6"/>
      <c r="P1145" s="17" t="s">
        <v>54</v>
      </c>
      <c r="Q1145" s="17" t="s">
        <v>54</v>
      </c>
      <c r="R1145" s="17" t="s">
        <v>54</v>
      </c>
    </row>
    <row r="1146" spans="1:18" ht="30" customHeight="1" x14ac:dyDescent="0.3">
      <c r="A1146" s="7">
        <v>45727.436745601852</v>
      </c>
      <c r="B1146" s="6" t="s">
        <v>5</v>
      </c>
      <c r="C1146" s="6"/>
      <c r="D1146" s="6" t="str">
        <f>VLOOKUP(B1146,'Veri doğrulama'!$D$6:$E$13,2,0)</f>
        <v>MEHMET ÖZEN</v>
      </c>
      <c r="E1146" s="6" t="s">
        <v>578</v>
      </c>
      <c r="F1146" s="6" t="s">
        <v>573</v>
      </c>
      <c r="G1146" s="6" t="s">
        <v>16</v>
      </c>
      <c r="H1146" s="6" t="s">
        <v>35</v>
      </c>
      <c r="I1146" s="6">
        <v>1600</v>
      </c>
      <c r="J1146" s="6">
        <v>360</v>
      </c>
      <c r="K1146" s="6">
        <v>1</v>
      </c>
      <c r="L1146" s="10">
        <f t="shared" si="30"/>
        <v>0.60350000000000004</v>
      </c>
      <c r="M1146" s="6" t="s">
        <v>102</v>
      </c>
      <c r="N1146" s="6"/>
      <c r="O1146" s="6"/>
      <c r="P1146" s="17" t="s">
        <v>54</v>
      </c>
      <c r="Q1146" s="17" t="s">
        <v>54</v>
      </c>
      <c r="R1146" s="17" t="s">
        <v>54</v>
      </c>
    </row>
    <row r="1147" spans="1:18" ht="30" customHeight="1" x14ac:dyDescent="0.3">
      <c r="A1147" s="7">
        <v>45727.436086226851</v>
      </c>
      <c r="B1147" s="6" t="s">
        <v>4</v>
      </c>
      <c r="C1147" s="6"/>
      <c r="D1147" s="6" t="str">
        <f>VLOOKUP(B1147,'Veri doğrulama'!$D$6:$E$13,2,0)</f>
        <v>MEHMET YAZICI</v>
      </c>
      <c r="E1147" s="6"/>
      <c r="F1147" s="6" t="s">
        <v>574</v>
      </c>
      <c r="G1147" s="6" t="s">
        <v>27</v>
      </c>
      <c r="H1147" s="6" t="s">
        <v>34</v>
      </c>
      <c r="I1147" s="6">
        <v>1887</v>
      </c>
      <c r="J1147" s="6">
        <v>360</v>
      </c>
      <c r="K1147" s="6">
        <v>1</v>
      </c>
      <c r="L1147" s="10">
        <f t="shared" si="30"/>
        <v>1.7279999999999998</v>
      </c>
      <c r="M1147" s="6" t="s">
        <v>103</v>
      </c>
      <c r="N1147" s="6" t="s">
        <v>399</v>
      </c>
      <c r="O1147" s="6"/>
      <c r="P1147" s="17" t="s">
        <v>54</v>
      </c>
      <c r="Q1147" s="17" t="s">
        <v>54</v>
      </c>
      <c r="R1147" s="17" t="s">
        <v>54</v>
      </c>
    </row>
    <row r="1148" spans="1:18" ht="30" customHeight="1" x14ac:dyDescent="0.3">
      <c r="A1148" s="7">
        <v>45727.40514988426</v>
      </c>
      <c r="B1148" s="6" t="s">
        <v>4</v>
      </c>
      <c r="C1148" s="6"/>
      <c r="D1148" s="6" t="str">
        <f>VLOOKUP(B1148,'Veri doğrulama'!$D$6:$E$13,2,0)</f>
        <v>MEHMET YAZICI</v>
      </c>
      <c r="E1148" s="6"/>
      <c r="F1148" s="6" t="s">
        <v>536</v>
      </c>
      <c r="G1148" s="6" t="s">
        <v>27</v>
      </c>
      <c r="H1148" s="6" t="s">
        <v>34</v>
      </c>
      <c r="I1148" s="6">
        <v>1600</v>
      </c>
      <c r="J1148" s="6">
        <v>450</v>
      </c>
      <c r="K1148" s="6">
        <v>3</v>
      </c>
      <c r="L1148" s="10">
        <f t="shared" si="30"/>
        <v>0.67932000000000003</v>
      </c>
      <c r="M1148" s="6" t="s">
        <v>252</v>
      </c>
      <c r="N1148" s="6" t="s">
        <v>159</v>
      </c>
      <c r="O1148" s="6"/>
      <c r="P1148" s="17" t="s">
        <v>54</v>
      </c>
      <c r="Q1148" s="17" t="s">
        <v>54</v>
      </c>
      <c r="R1148" s="17" t="s">
        <v>54</v>
      </c>
    </row>
    <row r="1149" spans="1:18" ht="30" customHeight="1" x14ac:dyDescent="0.3">
      <c r="A1149" s="7">
        <v>45727.353284259261</v>
      </c>
      <c r="B1149" s="6" t="s">
        <v>4</v>
      </c>
      <c r="C1149" s="6"/>
      <c r="D1149" s="6" t="str">
        <f>VLOOKUP(B1149,'Veri doğrulama'!$D$6:$E$13,2,0)</f>
        <v>MEHMET YAZICI</v>
      </c>
      <c r="E1149" s="6"/>
      <c r="F1149" s="6" t="s">
        <v>565</v>
      </c>
      <c r="G1149" s="6" t="s">
        <v>27</v>
      </c>
      <c r="H1149" s="6" t="s">
        <v>34</v>
      </c>
      <c r="I1149" s="6">
        <v>800</v>
      </c>
      <c r="J1149" s="6">
        <v>360</v>
      </c>
      <c r="K1149" s="6">
        <v>1</v>
      </c>
      <c r="L1149" s="10">
        <f t="shared" si="30"/>
        <v>1.44</v>
      </c>
      <c r="M1149" s="6" t="s">
        <v>102</v>
      </c>
      <c r="N1149" s="6" t="s">
        <v>159</v>
      </c>
      <c r="O1149" s="6"/>
      <c r="P1149" s="17" t="s">
        <v>54</v>
      </c>
      <c r="Q1149" s="17" t="s">
        <v>54</v>
      </c>
      <c r="R1149" s="17" t="s">
        <v>54</v>
      </c>
    </row>
    <row r="1150" spans="1:18" ht="30" customHeight="1" x14ac:dyDescent="0.3">
      <c r="A1150" s="7">
        <v>45727.344226620371</v>
      </c>
      <c r="B1150" s="6" t="s">
        <v>4</v>
      </c>
      <c r="C1150" s="6"/>
      <c r="D1150" s="6" t="str">
        <f>VLOOKUP(B1150,'Veri doğrulama'!$D$6:$E$13,2,0)</f>
        <v>MEHMET YAZICI</v>
      </c>
      <c r="E1150" s="6" t="s">
        <v>567</v>
      </c>
      <c r="F1150" s="6" t="s">
        <v>564</v>
      </c>
      <c r="G1150" s="6" t="s">
        <v>27</v>
      </c>
      <c r="H1150" s="6" t="s">
        <v>34</v>
      </c>
      <c r="I1150" s="6">
        <v>432</v>
      </c>
      <c r="J1150" s="6">
        <v>820</v>
      </c>
      <c r="K1150" s="6">
        <v>2</v>
      </c>
      <c r="L1150" s="10">
        <f t="shared" si="30"/>
        <v>0.28799999999999998</v>
      </c>
      <c r="M1150" s="6" t="s">
        <v>43</v>
      </c>
      <c r="N1150" s="6" t="s">
        <v>159</v>
      </c>
      <c r="O1150" s="6"/>
      <c r="P1150" s="17" t="s">
        <v>54</v>
      </c>
      <c r="Q1150" s="17" t="s">
        <v>54</v>
      </c>
      <c r="R1150" s="17" t="s">
        <v>54</v>
      </c>
    </row>
    <row r="1151" spans="1:18" ht="30" customHeight="1" x14ac:dyDescent="0.3">
      <c r="A1151" s="7">
        <v>45727.34354386574</v>
      </c>
      <c r="B1151" s="6" t="s">
        <v>4</v>
      </c>
      <c r="C1151" s="6"/>
      <c r="D1151" s="6" t="str">
        <f>VLOOKUP(B1151,'Veri doğrulama'!$D$6:$E$13,2,0)</f>
        <v>MEHMET YAZICI</v>
      </c>
      <c r="E1151" s="6"/>
      <c r="F1151" s="6" t="s">
        <v>563</v>
      </c>
      <c r="G1151" s="6" t="s">
        <v>27</v>
      </c>
      <c r="H1151" s="6" t="s">
        <v>34</v>
      </c>
      <c r="I1151" s="6">
        <v>806</v>
      </c>
      <c r="J1151" s="6">
        <v>360</v>
      </c>
      <c r="K1151" s="6">
        <v>1</v>
      </c>
      <c r="L1151" s="10">
        <f t="shared" si="30"/>
        <v>0.35424</v>
      </c>
      <c r="M1151" s="6" t="s">
        <v>75</v>
      </c>
      <c r="N1151" s="6" t="s">
        <v>159</v>
      </c>
      <c r="O1151" s="6"/>
      <c r="P1151" s="17" t="s">
        <v>54</v>
      </c>
      <c r="Q1151" s="17" t="s">
        <v>54</v>
      </c>
      <c r="R1151" s="17" t="s">
        <v>54</v>
      </c>
    </row>
    <row r="1152" spans="1:18" ht="30" customHeight="1" x14ac:dyDescent="0.3">
      <c r="A1152" s="7">
        <v>45727.342700231478</v>
      </c>
      <c r="B1152" s="6" t="s">
        <v>4</v>
      </c>
      <c r="C1152" s="6"/>
      <c r="D1152" s="6" t="str">
        <f>VLOOKUP(B1152,'Veri doğrulama'!$D$6:$E$13,2,0)</f>
        <v>MEHMET YAZICI</v>
      </c>
      <c r="E1152" s="6"/>
      <c r="F1152" s="6" t="s">
        <v>166</v>
      </c>
      <c r="G1152" s="6" t="s">
        <v>27</v>
      </c>
      <c r="H1152" s="6" t="s">
        <v>34</v>
      </c>
      <c r="I1152" s="6">
        <v>480</v>
      </c>
      <c r="J1152" s="6">
        <v>432</v>
      </c>
      <c r="K1152" s="6">
        <v>1</v>
      </c>
      <c r="L1152" s="10">
        <f t="shared" si="30"/>
        <v>0.29015999999999997</v>
      </c>
      <c r="M1152" s="6" t="s">
        <v>103</v>
      </c>
      <c r="N1152" s="6" t="s">
        <v>159</v>
      </c>
      <c r="O1152" s="6"/>
      <c r="P1152" s="17" t="s">
        <v>54</v>
      </c>
      <c r="Q1152" s="17" t="s">
        <v>54</v>
      </c>
      <c r="R1152" s="17" t="s">
        <v>54</v>
      </c>
    </row>
    <row r="1153" spans="1:18" ht="30" customHeight="1" x14ac:dyDescent="0.3">
      <c r="A1153" s="7">
        <v>45727.34201064815</v>
      </c>
      <c r="B1153" s="6" t="s">
        <v>5</v>
      </c>
      <c r="C1153" s="6"/>
      <c r="D1153" s="6" t="str">
        <f>VLOOKUP(B1153,'Veri doğrulama'!$D$6:$E$13,2,0)</f>
        <v>MEHMET ÖZEN</v>
      </c>
      <c r="E1153" s="6"/>
      <c r="F1153" s="6" t="s">
        <v>566</v>
      </c>
      <c r="G1153" s="6" t="s">
        <v>16</v>
      </c>
      <c r="H1153" s="6" t="s">
        <v>34</v>
      </c>
      <c r="I1153" s="6">
        <v>2220</v>
      </c>
      <c r="J1153" s="6">
        <v>920</v>
      </c>
      <c r="K1153" s="6">
        <v>1</v>
      </c>
      <c r="L1153" s="10">
        <f t="shared" si="30"/>
        <v>0.20735999999999999</v>
      </c>
      <c r="M1153" s="6" t="s">
        <v>103</v>
      </c>
      <c r="N1153" s="6"/>
      <c r="O1153" s="6"/>
      <c r="P1153" s="17" t="s">
        <v>54</v>
      </c>
      <c r="Q1153" s="17" t="s">
        <v>54</v>
      </c>
      <c r="R1153" s="17" t="s">
        <v>54</v>
      </c>
    </row>
    <row r="1154" spans="1:18" ht="30" customHeight="1" x14ac:dyDescent="0.3">
      <c r="A1154" s="7">
        <v>45727.341194097222</v>
      </c>
      <c r="B1154" s="6" t="s">
        <v>4</v>
      </c>
      <c r="C1154" s="6"/>
      <c r="D1154" s="6" t="str">
        <f>VLOOKUP(B1154,'Veri doğrulama'!$D$6:$E$13,2,0)</f>
        <v>MEHMET YAZICI</v>
      </c>
      <c r="E1154" s="6"/>
      <c r="F1154" s="6" t="s">
        <v>561</v>
      </c>
      <c r="G1154" s="6" t="s">
        <v>27</v>
      </c>
      <c r="H1154" s="6" t="s">
        <v>34</v>
      </c>
      <c r="I1154" s="6">
        <v>1739</v>
      </c>
      <c r="J1154" s="6">
        <v>360</v>
      </c>
      <c r="K1154" s="6">
        <v>1</v>
      </c>
      <c r="L1154" s="10">
        <f t="shared" si="30"/>
        <v>2.0424000000000002</v>
      </c>
      <c r="M1154" s="6" t="s">
        <v>75</v>
      </c>
      <c r="N1154" s="6" t="s">
        <v>159</v>
      </c>
      <c r="O1154" s="6"/>
      <c r="P1154" s="17" t="s">
        <v>54</v>
      </c>
      <c r="Q1154" s="17" t="s">
        <v>54</v>
      </c>
      <c r="R1154" s="17" t="s">
        <v>54</v>
      </c>
    </row>
    <row r="1155" spans="1:18" ht="30" customHeight="1" x14ac:dyDescent="0.3">
      <c r="A1155" s="7">
        <v>45726.697477662034</v>
      </c>
      <c r="B1155" s="6" t="s">
        <v>4</v>
      </c>
      <c r="C1155" s="6"/>
      <c r="D1155" s="6" t="str">
        <f>VLOOKUP(B1155,'Veri doğrulama'!$D$6:$E$13,2,0)</f>
        <v>MEHMET YAZICI</v>
      </c>
      <c r="E1155" s="6"/>
      <c r="F1155" s="6" t="s">
        <v>572</v>
      </c>
      <c r="G1155" s="6" t="s">
        <v>13</v>
      </c>
      <c r="H1155" s="6" t="s">
        <v>34</v>
      </c>
      <c r="I1155" s="6">
        <v>1800</v>
      </c>
      <c r="J1155" s="6">
        <v>410</v>
      </c>
      <c r="K1155" s="6">
        <v>1</v>
      </c>
      <c r="L1155" s="10">
        <f t="shared" si="30"/>
        <v>0.62604000000000004</v>
      </c>
      <c r="M1155" s="6" t="s">
        <v>252</v>
      </c>
      <c r="N1155" s="6" t="s">
        <v>571</v>
      </c>
      <c r="O1155" s="6"/>
      <c r="P1155" s="17" t="s">
        <v>54</v>
      </c>
      <c r="Q1155" s="17" t="s">
        <v>54</v>
      </c>
      <c r="R1155" s="17" t="s">
        <v>54</v>
      </c>
    </row>
    <row r="1156" spans="1:18" ht="30" customHeight="1" x14ac:dyDescent="0.3">
      <c r="A1156" s="7">
        <v>45726.67736400463</v>
      </c>
      <c r="B1156" s="6" t="s">
        <v>4</v>
      </c>
      <c r="C1156" s="6"/>
      <c r="D1156" s="6" t="str">
        <f>VLOOKUP(B1156,'Veri doğrulama'!$D$6:$E$13,2,0)</f>
        <v>MEHMET YAZICI</v>
      </c>
      <c r="E1156" s="6"/>
      <c r="F1156" s="6" t="s">
        <v>608</v>
      </c>
      <c r="G1156" s="6" t="s">
        <v>20</v>
      </c>
      <c r="H1156" s="6" t="s">
        <v>35</v>
      </c>
      <c r="I1156" s="6">
        <v>2000</v>
      </c>
      <c r="J1156" s="6">
        <v>590</v>
      </c>
      <c r="K1156" s="6">
        <v>1</v>
      </c>
      <c r="L1156" s="10">
        <f t="shared" si="30"/>
        <v>0.73799999999999999</v>
      </c>
      <c r="M1156" s="6" t="s">
        <v>103</v>
      </c>
      <c r="N1156" s="6" t="s">
        <v>339</v>
      </c>
      <c r="O1156" s="6"/>
      <c r="P1156" s="17" t="s">
        <v>54</v>
      </c>
      <c r="Q1156" s="17" t="s">
        <v>54</v>
      </c>
      <c r="R1156" s="17" t="s">
        <v>54</v>
      </c>
    </row>
    <row r="1157" spans="1:18" ht="30" customHeight="1" x14ac:dyDescent="0.3">
      <c r="A1157" s="7">
        <v>45726.620402314817</v>
      </c>
      <c r="B1157" s="6" t="s">
        <v>4</v>
      </c>
      <c r="C1157" s="6"/>
      <c r="D1157" s="6" t="str">
        <f>VLOOKUP(B1157,'Veri doğrulama'!$D$6:$E$13,2,0)</f>
        <v>MEHMET YAZICI</v>
      </c>
      <c r="E1157" s="6"/>
      <c r="F1157" s="6" t="s">
        <v>443</v>
      </c>
      <c r="G1157" s="6" t="s">
        <v>13</v>
      </c>
      <c r="H1157" s="6" t="s">
        <v>34</v>
      </c>
      <c r="I1157" s="6">
        <v>710</v>
      </c>
      <c r="J1157" s="6">
        <v>849</v>
      </c>
      <c r="K1157" s="6">
        <v>1</v>
      </c>
      <c r="L1157" s="10">
        <f t="shared" si="30"/>
        <v>1.18</v>
      </c>
      <c r="M1157" s="6" t="s">
        <v>103</v>
      </c>
      <c r="N1157" s="6"/>
      <c r="O1157" s="6"/>
      <c r="P1157" s="17" t="s">
        <v>54</v>
      </c>
      <c r="Q1157" s="17" t="s">
        <v>54</v>
      </c>
      <c r="R1157" s="17" t="s">
        <v>54</v>
      </c>
    </row>
    <row r="1158" spans="1:18" ht="30" customHeight="1" x14ac:dyDescent="0.3">
      <c r="A1158" s="7">
        <v>45726.592557986114</v>
      </c>
      <c r="B1158" s="6" t="s">
        <v>5</v>
      </c>
      <c r="C1158" s="6"/>
      <c r="D1158" s="6" t="str">
        <f>VLOOKUP(B1158,'Veri doğrulama'!$D$6:$E$13,2,0)</f>
        <v>MEHMET ÖZEN</v>
      </c>
      <c r="E1158" s="6"/>
      <c r="F1158" s="6" t="s">
        <v>560</v>
      </c>
      <c r="G1158" s="6" t="s">
        <v>16</v>
      </c>
      <c r="H1158" s="6" t="s">
        <v>35</v>
      </c>
      <c r="I1158" s="6">
        <v>2048</v>
      </c>
      <c r="J1158" s="6">
        <v>721</v>
      </c>
      <c r="K1158" s="6">
        <v>1</v>
      </c>
      <c r="L1158" s="10">
        <f t="shared" si="30"/>
        <v>0.60279000000000005</v>
      </c>
      <c r="M1158" s="6" t="s">
        <v>75</v>
      </c>
      <c r="N1158" s="6"/>
      <c r="O1158" s="6"/>
      <c r="P1158" s="17" t="s">
        <v>54</v>
      </c>
      <c r="Q1158" s="17" t="s">
        <v>54</v>
      </c>
      <c r="R1158" s="17" t="s">
        <v>54</v>
      </c>
    </row>
    <row r="1159" spans="1:18" ht="30" customHeight="1" x14ac:dyDescent="0.3">
      <c r="A1159" s="7">
        <v>45726.504127777778</v>
      </c>
      <c r="B1159" s="6" t="s">
        <v>4</v>
      </c>
      <c r="C1159" s="6"/>
      <c r="D1159" s="6" t="str">
        <f>VLOOKUP(B1159,'Veri doğrulama'!$D$6:$E$13,2,0)</f>
        <v>MEHMET YAZICI</v>
      </c>
      <c r="E1159" s="6"/>
      <c r="F1159" s="6" t="s">
        <v>558</v>
      </c>
      <c r="G1159" s="6" t="s">
        <v>16</v>
      </c>
      <c r="H1159" s="6" t="s">
        <v>33</v>
      </c>
      <c r="I1159" s="6">
        <v>1115</v>
      </c>
      <c r="J1159" s="6">
        <v>397</v>
      </c>
      <c r="K1159" s="6">
        <v>1</v>
      </c>
      <c r="L1159" s="10">
        <f t="shared" si="30"/>
        <v>1.4766079999999999</v>
      </c>
      <c r="M1159" s="6" t="s">
        <v>103</v>
      </c>
      <c r="N1159" s="6" t="s">
        <v>399</v>
      </c>
      <c r="O1159" s="6"/>
      <c r="P1159" s="17" t="s">
        <v>54</v>
      </c>
      <c r="Q1159" s="17" t="s">
        <v>54</v>
      </c>
      <c r="R1159" s="17" t="s">
        <v>54</v>
      </c>
    </row>
    <row r="1160" spans="1:18" ht="30" customHeight="1" x14ac:dyDescent="0.3">
      <c r="A1160" s="7">
        <v>45726.47069884259</v>
      </c>
      <c r="B1160" s="6" t="s">
        <v>4</v>
      </c>
      <c r="C1160" s="6"/>
      <c r="D1160" s="6" t="str">
        <f>VLOOKUP(B1160,'Veri doğrulama'!$D$6:$E$13,2,0)</f>
        <v>MEHMET YAZICI</v>
      </c>
      <c r="E1160" s="6" t="s">
        <v>562</v>
      </c>
      <c r="F1160" s="6" t="s">
        <v>582</v>
      </c>
      <c r="G1160" s="6" t="s">
        <v>24</v>
      </c>
      <c r="H1160" s="6" t="s">
        <v>34</v>
      </c>
      <c r="I1160" s="6">
        <v>735</v>
      </c>
      <c r="J1160" s="6">
        <v>397</v>
      </c>
      <c r="K1160" s="6">
        <v>1</v>
      </c>
      <c r="L1160" s="10">
        <f t="shared" si="30"/>
        <v>0.88531000000000004</v>
      </c>
      <c r="M1160" s="6" t="s">
        <v>75</v>
      </c>
      <c r="N1160" s="6" t="s">
        <v>569</v>
      </c>
      <c r="O1160" s="6"/>
      <c r="P1160" s="17" t="s">
        <v>54</v>
      </c>
      <c r="Q1160" s="17" t="s">
        <v>54</v>
      </c>
      <c r="R1160" s="17" t="s">
        <v>54</v>
      </c>
    </row>
    <row r="1161" spans="1:18" ht="30" customHeight="1" x14ac:dyDescent="0.3">
      <c r="A1161" s="7">
        <v>45726.447245370371</v>
      </c>
      <c r="B1161" s="6" t="s">
        <v>7</v>
      </c>
      <c r="C1161" s="6"/>
      <c r="D1161" s="6" t="str">
        <f>VLOOKUP(B1161,'Veri doğrulama'!$D$6:$E$13,2,0)</f>
        <v>SIDDIK KAPLAN</v>
      </c>
      <c r="E1161" s="6"/>
      <c r="F1161" s="6" t="s">
        <v>665</v>
      </c>
      <c r="G1161" s="6" t="s">
        <v>19</v>
      </c>
      <c r="H1161" s="6" t="s">
        <v>34</v>
      </c>
      <c r="I1161" s="6">
        <v>2385</v>
      </c>
      <c r="J1161" s="6">
        <v>350</v>
      </c>
      <c r="K1161" s="6">
        <v>2</v>
      </c>
      <c r="L1161" s="10">
        <f t="shared" ref="L1161:L1186" si="31">I1160*J1160/1000000*K1162</f>
        <v>0.29179500000000003</v>
      </c>
      <c r="M1161" s="6" t="s">
        <v>103</v>
      </c>
      <c r="N1161" s="6" t="s">
        <v>209</v>
      </c>
      <c r="O1161" s="6"/>
      <c r="P1161" s="17" t="s">
        <v>54</v>
      </c>
      <c r="Q1161" s="17" t="s">
        <v>54</v>
      </c>
      <c r="R1161" s="17" t="s">
        <v>54</v>
      </c>
    </row>
    <row r="1162" spans="1:18" ht="30" customHeight="1" x14ac:dyDescent="0.3">
      <c r="A1162" s="7">
        <v>45726.354238657404</v>
      </c>
      <c r="B1162" s="6" t="s">
        <v>5</v>
      </c>
      <c r="C1162" s="6"/>
      <c r="D1162" s="6" t="str">
        <f>VLOOKUP(B1162,'Veri doğrulama'!$D$6:$E$13,2,0)</f>
        <v>MEHMET ÖZEN</v>
      </c>
      <c r="E1162" s="6" t="s">
        <v>583</v>
      </c>
      <c r="F1162" s="6" t="s">
        <v>538</v>
      </c>
      <c r="G1162" s="6" t="s">
        <v>13</v>
      </c>
      <c r="H1162" s="6" t="s">
        <v>34</v>
      </c>
      <c r="I1162" s="6">
        <v>1200</v>
      </c>
      <c r="J1162" s="6">
        <v>500</v>
      </c>
      <c r="K1162" s="6">
        <v>1</v>
      </c>
      <c r="L1162" s="10">
        <f t="shared" si="31"/>
        <v>0.83474999999999999</v>
      </c>
      <c r="M1162" s="6" t="s">
        <v>102</v>
      </c>
      <c r="N1162" s="6"/>
      <c r="O1162" s="6"/>
      <c r="P1162" s="17" t="s">
        <v>54</v>
      </c>
      <c r="Q1162" s="17" t="s">
        <v>54</v>
      </c>
      <c r="R1162" s="17" t="s">
        <v>54</v>
      </c>
    </row>
    <row r="1163" spans="1:18" ht="30" customHeight="1" x14ac:dyDescent="0.3">
      <c r="A1163" s="7">
        <v>45726</v>
      </c>
      <c r="B1163" s="6" t="s">
        <v>5</v>
      </c>
      <c r="C1163" s="6"/>
      <c r="D1163" s="6" t="str">
        <f>VLOOKUP(B1163,'Veri doğrulama'!$D$6:$E$13,2,0)</f>
        <v>MEHMET ÖZEN</v>
      </c>
      <c r="E1163" s="6"/>
      <c r="F1163" s="6"/>
      <c r="G1163" s="6" t="s">
        <v>13</v>
      </c>
      <c r="H1163" s="6" t="s">
        <v>34</v>
      </c>
      <c r="I1163" s="6">
        <v>530</v>
      </c>
      <c r="J1163" s="6">
        <v>435</v>
      </c>
      <c r="K1163" s="6">
        <v>1</v>
      </c>
      <c r="L1163" s="10">
        <f t="shared" si="31"/>
        <v>1.2</v>
      </c>
      <c r="M1163" s="6" t="s">
        <v>43</v>
      </c>
      <c r="N1163" s="6"/>
      <c r="O1163" s="6"/>
      <c r="P1163" s="17" t="s">
        <v>54</v>
      </c>
      <c r="Q1163" s="17" t="s">
        <v>54</v>
      </c>
      <c r="R1163" s="17" t="s">
        <v>54</v>
      </c>
    </row>
    <row r="1164" spans="1:18" ht="30" customHeight="1" x14ac:dyDescent="0.3">
      <c r="A1164" s="7">
        <v>45726</v>
      </c>
      <c r="B1164" s="6" t="s">
        <v>4</v>
      </c>
      <c r="C1164" s="6"/>
      <c r="D1164" s="6" t="str">
        <f>VLOOKUP(B1164,'Veri doğrulama'!$D$6:$E$13,2,0)</f>
        <v>MEHMET YAZICI</v>
      </c>
      <c r="E1164" s="6"/>
      <c r="F1164" s="6" t="s">
        <v>96</v>
      </c>
      <c r="G1164" s="6" t="s">
        <v>20</v>
      </c>
      <c r="H1164" s="6" t="s">
        <v>34</v>
      </c>
      <c r="I1164" s="6">
        <v>1600</v>
      </c>
      <c r="J1164" s="6">
        <v>800</v>
      </c>
      <c r="K1164" s="6">
        <v>2</v>
      </c>
      <c r="L1164" s="10">
        <f t="shared" si="31"/>
        <v>0.23055</v>
      </c>
      <c r="M1164" s="6" t="s">
        <v>42</v>
      </c>
      <c r="N1164" s="6" t="s">
        <v>399</v>
      </c>
      <c r="O1164" s="6"/>
      <c r="P1164" s="17" t="s">
        <v>54</v>
      </c>
      <c r="Q1164" s="17" t="s">
        <v>54</v>
      </c>
      <c r="R1164" s="17" t="s">
        <v>54</v>
      </c>
    </row>
    <row r="1165" spans="1:18" ht="30" customHeight="1" x14ac:dyDescent="0.3">
      <c r="A1165" s="7">
        <v>45726</v>
      </c>
      <c r="B1165" s="6" t="s">
        <v>5</v>
      </c>
      <c r="C1165" s="6"/>
      <c r="D1165" s="6" t="str">
        <f>VLOOKUP(B1165,'Veri doğrulama'!$D$6:$E$13,2,0)</f>
        <v>MEHMET ÖZEN</v>
      </c>
      <c r="E1165" s="6"/>
      <c r="F1165" s="6"/>
      <c r="G1165" s="6" t="s">
        <v>13</v>
      </c>
      <c r="H1165" s="6" t="s">
        <v>34</v>
      </c>
      <c r="I1165" s="6">
        <v>420</v>
      </c>
      <c r="J1165" s="6">
        <v>458</v>
      </c>
      <c r="K1165" s="6">
        <v>1</v>
      </c>
      <c r="L1165" s="10">
        <f t="shared" si="31"/>
        <v>1.28</v>
      </c>
      <c r="M1165" s="6" t="s">
        <v>37</v>
      </c>
      <c r="N1165" s="6"/>
      <c r="O1165" s="6"/>
      <c r="P1165" s="17" t="s">
        <v>54</v>
      </c>
      <c r="Q1165" s="17" t="s">
        <v>54</v>
      </c>
      <c r="R1165" s="17" t="s">
        <v>54</v>
      </c>
    </row>
    <row r="1166" spans="1:18" ht="30" customHeight="1" x14ac:dyDescent="0.3">
      <c r="A1166" s="7">
        <v>45726</v>
      </c>
      <c r="B1166" s="6" t="s">
        <v>5</v>
      </c>
      <c r="C1166" s="6"/>
      <c r="D1166" s="6" t="str">
        <f>VLOOKUP(B1166,'Veri doğrulama'!$D$6:$E$13,2,0)</f>
        <v>MEHMET ÖZEN</v>
      </c>
      <c r="E1166" s="6"/>
      <c r="F1166" s="6" t="s">
        <v>556</v>
      </c>
      <c r="G1166" s="6" t="s">
        <v>16</v>
      </c>
      <c r="H1166" s="6" t="s">
        <v>34</v>
      </c>
      <c r="I1166" s="6">
        <v>1200</v>
      </c>
      <c r="J1166" s="6">
        <v>1400</v>
      </c>
      <c r="K1166" s="6">
        <v>1</v>
      </c>
      <c r="L1166" s="10">
        <f t="shared" si="31"/>
        <v>0.19236</v>
      </c>
      <c r="M1166" s="6" t="s">
        <v>156</v>
      </c>
      <c r="N1166" s="6" t="s">
        <v>557</v>
      </c>
      <c r="O1166" s="6"/>
      <c r="P1166" s="17" t="s">
        <v>54</v>
      </c>
      <c r="Q1166" s="17" t="s">
        <v>54</v>
      </c>
      <c r="R1166" s="17" t="s">
        <v>54</v>
      </c>
    </row>
    <row r="1167" spans="1:18" ht="30" customHeight="1" x14ac:dyDescent="0.3">
      <c r="A1167" s="7">
        <v>45723.623176967594</v>
      </c>
      <c r="B1167" s="6" t="s">
        <v>4</v>
      </c>
      <c r="C1167" s="6"/>
      <c r="D1167" s="6" t="str">
        <f>VLOOKUP(B1167,'Veri doğrulama'!$D$6:$E$13,2,0)</f>
        <v>MEHMET YAZICI</v>
      </c>
      <c r="E1167" s="6"/>
      <c r="F1167" s="6" t="s">
        <v>124</v>
      </c>
      <c r="G1167" s="6" t="s">
        <v>16</v>
      </c>
      <c r="H1167" s="6" t="s">
        <v>34</v>
      </c>
      <c r="I1167" s="6">
        <v>499</v>
      </c>
      <c r="J1167" s="6">
        <v>264</v>
      </c>
      <c r="K1167" s="6">
        <v>1</v>
      </c>
      <c r="L1167" s="10">
        <f t="shared" si="31"/>
        <v>1.68</v>
      </c>
      <c r="M1167" s="6" t="s">
        <v>37</v>
      </c>
      <c r="N1167" s="6" t="s">
        <v>385</v>
      </c>
      <c r="O1167" s="6"/>
      <c r="P1167" s="17" t="s">
        <v>54</v>
      </c>
      <c r="Q1167" s="17" t="s">
        <v>54</v>
      </c>
      <c r="R1167" s="17"/>
    </row>
    <row r="1168" spans="1:18" ht="30" customHeight="1" x14ac:dyDescent="0.3">
      <c r="A1168" s="7">
        <v>45723.621771759259</v>
      </c>
      <c r="B1168" s="6" t="s">
        <v>4</v>
      </c>
      <c r="C1168" s="6"/>
      <c r="D1168" s="6" t="str">
        <f>VLOOKUP(B1168,'Veri doğrulama'!$D$6:$E$13,2,0)</f>
        <v>MEHMET YAZICI</v>
      </c>
      <c r="E1168" s="6">
        <v>21998</v>
      </c>
      <c r="F1168" s="6"/>
      <c r="G1168" s="6" t="s">
        <v>20</v>
      </c>
      <c r="H1168" s="6" t="s">
        <v>34</v>
      </c>
      <c r="I1168" s="6">
        <v>760</v>
      </c>
      <c r="J1168" s="6">
        <v>320</v>
      </c>
      <c r="K1168" s="6">
        <v>1</v>
      </c>
      <c r="L1168" s="10">
        <f t="shared" si="31"/>
        <v>0.13173599999999999</v>
      </c>
      <c r="M1168" s="6" t="s">
        <v>42</v>
      </c>
      <c r="N1168" s="6"/>
      <c r="O1168" s="6"/>
      <c r="P1168" s="17" t="s">
        <v>54</v>
      </c>
      <c r="Q1168" s="17" t="s">
        <v>54</v>
      </c>
      <c r="R1168" s="17" t="s">
        <v>54</v>
      </c>
    </row>
    <row r="1169" spans="1:18" ht="30" customHeight="1" x14ac:dyDescent="0.3">
      <c r="A1169" s="7">
        <v>45723.506625000002</v>
      </c>
      <c r="B1169" s="6" t="s">
        <v>7</v>
      </c>
      <c r="C1169" s="6"/>
      <c r="D1169" s="6" t="str">
        <f>VLOOKUP(B1169,'Veri doğrulama'!$D$6:$E$13,2,0)</f>
        <v>SIDDIK KAPLAN</v>
      </c>
      <c r="E1169" s="6"/>
      <c r="F1169" s="6" t="s">
        <v>555</v>
      </c>
      <c r="G1169" s="6" t="s">
        <v>24</v>
      </c>
      <c r="H1169" s="6" t="s">
        <v>34</v>
      </c>
      <c r="I1169" s="6">
        <v>1400</v>
      </c>
      <c r="J1169" s="6">
        <v>800</v>
      </c>
      <c r="K1169" s="6">
        <v>1</v>
      </c>
      <c r="L1169" s="10">
        <f t="shared" si="31"/>
        <v>0.2432</v>
      </c>
      <c r="M1169" s="6" t="s">
        <v>156</v>
      </c>
      <c r="N1169" s="6"/>
      <c r="O1169" s="6"/>
      <c r="P1169" s="17" t="s">
        <v>54</v>
      </c>
      <c r="Q1169" s="17" t="s">
        <v>54</v>
      </c>
      <c r="R1169" s="17"/>
    </row>
    <row r="1170" spans="1:18" ht="30" customHeight="1" x14ac:dyDescent="0.3">
      <c r="A1170" s="7">
        <v>45722.705659259256</v>
      </c>
      <c r="B1170" s="6" t="s">
        <v>7</v>
      </c>
      <c r="C1170" s="6"/>
      <c r="D1170" s="6" t="str">
        <f>VLOOKUP(B1170,'Veri doğrulama'!$D$6:$E$13,2,0)</f>
        <v>SIDDIK KAPLAN</v>
      </c>
      <c r="E1170" s="6"/>
      <c r="F1170" s="6" t="s">
        <v>663</v>
      </c>
      <c r="G1170" s="6" t="s">
        <v>26</v>
      </c>
      <c r="H1170" s="6" t="s">
        <v>34</v>
      </c>
      <c r="I1170" s="6">
        <v>2385</v>
      </c>
      <c r="J1170" s="6">
        <v>585</v>
      </c>
      <c r="K1170" s="6">
        <v>1</v>
      </c>
      <c r="L1170" s="10">
        <f t="shared" si="31"/>
        <v>1.1200000000000001</v>
      </c>
      <c r="M1170" s="6" t="s">
        <v>37</v>
      </c>
      <c r="N1170" s="6" t="s">
        <v>664</v>
      </c>
      <c r="O1170" s="6"/>
      <c r="P1170" s="17" t="s">
        <v>54</v>
      </c>
      <c r="Q1170" s="17" t="s">
        <v>54</v>
      </c>
      <c r="R1170" s="17" t="s">
        <v>54</v>
      </c>
    </row>
    <row r="1171" spans="1:18" ht="30" customHeight="1" x14ac:dyDescent="0.3">
      <c r="A1171" s="7">
        <v>45722.632022800928</v>
      </c>
      <c r="B1171" s="6" t="s">
        <v>4</v>
      </c>
      <c r="C1171" s="6"/>
      <c r="D1171" s="6" t="str">
        <f>VLOOKUP(B1171,'Veri doğrulama'!$D$6:$E$13,2,0)</f>
        <v>MEHMET YAZICI</v>
      </c>
      <c r="E1171" s="6">
        <v>21997</v>
      </c>
      <c r="F1171" s="6" t="s">
        <v>559</v>
      </c>
      <c r="G1171" s="6" t="s">
        <v>27</v>
      </c>
      <c r="H1171" s="6" t="s">
        <v>34</v>
      </c>
      <c r="I1171" s="6">
        <v>1800</v>
      </c>
      <c r="J1171" s="6">
        <v>415</v>
      </c>
      <c r="K1171" s="6">
        <v>1</v>
      </c>
      <c r="L1171" s="10">
        <f t="shared" si="31"/>
        <v>1.3952249999999999</v>
      </c>
      <c r="M1171" s="6" t="s">
        <v>43</v>
      </c>
      <c r="N1171" s="6" t="s">
        <v>385</v>
      </c>
      <c r="O1171" s="6"/>
      <c r="P1171" s="17" t="s">
        <v>54</v>
      </c>
      <c r="Q1171" s="17" t="s">
        <v>54</v>
      </c>
      <c r="R1171" s="17" t="s">
        <v>54</v>
      </c>
    </row>
    <row r="1172" spans="1:18" ht="30" customHeight="1" x14ac:dyDescent="0.3">
      <c r="A1172" s="7">
        <v>45722.614796759262</v>
      </c>
      <c r="B1172" s="6" t="s">
        <v>7</v>
      </c>
      <c r="C1172" s="6"/>
      <c r="D1172" s="6" t="str">
        <f>VLOOKUP(B1172,'Veri doğrulama'!$D$6:$E$13,2,0)</f>
        <v>SIDDIK KAPLAN</v>
      </c>
      <c r="E1172" s="6"/>
      <c r="F1172" s="6" t="s">
        <v>550</v>
      </c>
      <c r="G1172" s="6" t="s">
        <v>26</v>
      </c>
      <c r="H1172" s="6" t="s">
        <v>35</v>
      </c>
      <c r="I1172" s="6">
        <v>2020</v>
      </c>
      <c r="J1172" s="6">
        <v>470</v>
      </c>
      <c r="K1172" s="6">
        <v>1</v>
      </c>
      <c r="L1172" s="10">
        <f t="shared" si="31"/>
        <v>0.747</v>
      </c>
      <c r="M1172" s="6" t="s">
        <v>43</v>
      </c>
      <c r="N1172" s="6"/>
      <c r="O1172" s="6"/>
      <c r="P1172" s="17" t="s">
        <v>54</v>
      </c>
      <c r="Q1172" s="17" t="s">
        <v>54</v>
      </c>
      <c r="R1172" s="17" t="s">
        <v>54</v>
      </c>
    </row>
    <row r="1173" spans="1:18" ht="30" customHeight="1" x14ac:dyDescent="0.3">
      <c r="A1173" s="7">
        <v>45722.575145601855</v>
      </c>
      <c r="B1173" s="6" t="s">
        <v>4</v>
      </c>
      <c r="C1173" s="6"/>
      <c r="D1173" s="6" t="str">
        <f>VLOOKUP(B1173,'Veri doğrulama'!$D$6:$E$13,2,0)</f>
        <v>MEHMET YAZICI</v>
      </c>
      <c r="E1173" s="6"/>
      <c r="F1173" s="6" t="s">
        <v>137</v>
      </c>
      <c r="G1173" s="6" t="s">
        <v>16</v>
      </c>
      <c r="H1173" s="6" t="s">
        <v>34</v>
      </c>
      <c r="I1173" s="6">
        <v>720</v>
      </c>
      <c r="J1173" s="6">
        <v>340</v>
      </c>
      <c r="K1173" s="6">
        <v>1</v>
      </c>
      <c r="L1173" s="10">
        <f t="shared" si="31"/>
        <v>0.94940000000000002</v>
      </c>
      <c r="M1173" s="6" t="s">
        <v>43</v>
      </c>
      <c r="N1173" s="6" t="s">
        <v>553</v>
      </c>
      <c r="O1173" s="6"/>
      <c r="P1173" s="17" t="s">
        <v>54</v>
      </c>
      <c r="Q1173" s="17" t="s">
        <v>54</v>
      </c>
      <c r="R1173" s="17" t="s">
        <v>54</v>
      </c>
    </row>
    <row r="1174" spans="1:18" ht="30" customHeight="1" x14ac:dyDescent="0.3">
      <c r="A1174" s="7">
        <v>45722.574539120367</v>
      </c>
      <c r="B1174" s="6" t="s">
        <v>5</v>
      </c>
      <c r="C1174" s="6"/>
      <c r="D1174" s="6" t="str">
        <f>VLOOKUP(B1174,'Veri doğrulama'!$D$6:$E$13,2,0)</f>
        <v>MEHMET ÖZEN</v>
      </c>
      <c r="E1174" s="6"/>
      <c r="F1174" s="6"/>
      <c r="G1174" s="6" t="s">
        <v>19</v>
      </c>
      <c r="H1174" s="6" t="s">
        <v>34</v>
      </c>
      <c r="I1174" s="6">
        <v>700</v>
      </c>
      <c r="J1174" s="6">
        <v>435</v>
      </c>
      <c r="K1174" s="6">
        <v>1</v>
      </c>
      <c r="L1174" s="10">
        <f t="shared" si="31"/>
        <v>0.24479999999999999</v>
      </c>
      <c r="M1174" s="6" t="s">
        <v>43</v>
      </c>
      <c r="N1174" s="6"/>
      <c r="O1174" s="6"/>
      <c r="P1174" s="17" t="s">
        <v>54</v>
      </c>
      <c r="Q1174" s="17" t="s">
        <v>54</v>
      </c>
      <c r="R1174" s="17" t="s">
        <v>54</v>
      </c>
    </row>
    <row r="1175" spans="1:18" ht="30" customHeight="1" x14ac:dyDescent="0.3">
      <c r="A1175" s="7">
        <v>45722.460527662035</v>
      </c>
      <c r="B1175" s="6" t="s">
        <v>4</v>
      </c>
      <c r="C1175" s="6"/>
      <c r="D1175" s="6" t="str">
        <f>VLOOKUP(B1175,'Veri doğrulama'!$D$6:$E$13,2,0)</f>
        <v>MEHMET YAZICI</v>
      </c>
      <c r="E1175" s="6"/>
      <c r="F1175" s="6" t="s">
        <v>545</v>
      </c>
      <c r="G1175" s="6" t="s">
        <v>19</v>
      </c>
      <c r="H1175" s="6" t="s">
        <v>34</v>
      </c>
      <c r="I1175" s="6">
        <v>1800</v>
      </c>
      <c r="J1175" s="6">
        <v>800</v>
      </c>
      <c r="K1175" s="6">
        <v>1</v>
      </c>
      <c r="L1175" s="10">
        <f t="shared" si="31"/>
        <v>0.91349999999999998</v>
      </c>
      <c r="M1175" s="6" t="s">
        <v>39</v>
      </c>
      <c r="N1175" s="6" t="s">
        <v>159</v>
      </c>
      <c r="O1175" s="6"/>
      <c r="P1175" s="17" t="s">
        <v>54</v>
      </c>
      <c r="Q1175" s="17" t="s">
        <v>54</v>
      </c>
      <c r="R1175" s="17" t="s">
        <v>54</v>
      </c>
    </row>
    <row r="1176" spans="1:18" ht="30" customHeight="1" x14ac:dyDescent="0.3">
      <c r="A1176" s="7">
        <v>45722.459704050925</v>
      </c>
      <c r="B1176" s="6" t="s">
        <v>4</v>
      </c>
      <c r="C1176" s="6"/>
      <c r="D1176" s="6" t="str">
        <f>VLOOKUP(B1176,'Veri doğrulama'!$D$6:$E$13,2,0)</f>
        <v>MEHMET YAZICI</v>
      </c>
      <c r="E1176" s="6"/>
      <c r="F1176" s="6" t="s">
        <v>99</v>
      </c>
      <c r="G1176" s="6" t="s">
        <v>18</v>
      </c>
      <c r="H1176" s="6" t="s">
        <v>34</v>
      </c>
      <c r="I1176" s="6">
        <v>1435</v>
      </c>
      <c r="J1176" s="6">
        <v>360</v>
      </c>
      <c r="K1176" s="6">
        <v>3</v>
      </c>
      <c r="L1176" s="10">
        <f t="shared" si="31"/>
        <v>1.44</v>
      </c>
      <c r="M1176" s="6" t="s">
        <v>37</v>
      </c>
      <c r="N1176" s="6" t="s">
        <v>624</v>
      </c>
      <c r="O1176" s="6"/>
      <c r="P1176" s="17" t="s">
        <v>54</v>
      </c>
      <c r="Q1176" s="17" t="s">
        <v>54</v>
      </c>
      <c r="R1176" s="17" t="s">
        <v>54</v>
      </c>
    </row>
    <row r="1177" spans="1:18" ht="30" customHeight="1" x14ac:dyDescent="0.3">
      <c r="A1177" s="7">
        <v>45722.458947800929</v>
      </c>
      <c r="B1177" s="6" t="s">
        <v>4</v>
      </c>
      <c r="C1177" s="6"/>
      <c r="D1177" s="6" t="str">
        <f>VLOOKUP(B1177,'Veri doğrulama'!$D$6:$E$13,2,0)</f>
        <v>MEHMET YAZICI</v>
      </c>
      <c r="E1177" s="6"/>
      <c r="F1177" s="6" t="s">
        <v>100</v>
      </c>
      <c r="G1177" s="6" t="s">
        <v>19</v>
      </c>
      <c r="H1177" s="6" t="s">
        <v>34</v>
      </c>
      <c r="I1177" s="6">
        <v>704</v>
      </c>
      <c r="J1177" s="6">
        <v>397</v>
      </c>
      <c r="K1177" s="6">
        <v>1</v>
      </c>
      <c r="L1177" s="10">
        <f t="shared" si="31"/>
        <v>0.51659999999999995</v>
      </c>
      <c r="M1177" s="6" t="s">
        <v>102</v>
      </c>
      <c r="N1177" s="6" t="s">
        <v>159</v>
      </c>
      <c r="O1177" s="6"/>
      <c r="P1177" s="17" t="s">
        <v>54</v>
      </c>
      <c r="Q1177" s="17" t="s">
        <v>54</v>
      </c>
      <c r="R1177" s="17"/>
    </row>
    <row r="1178" spans="1:18" ht="30" customHeight="1" x14ac:dyDescent="0.3">
      <c r="A1178" s="7">
        <v>45722.410295833331</v>
      </c>
      <c r="B1178" s="6" t="s">
        <v>4</v>
      </c>
      <c r="C1178" s="6"/>
      <c r="D1178" s="6" t="str">
        <f>VLOOKUP(B1178,'Veri doğrulama'!$D$6:$E$13,2,0)</f>
        <v>MEHMET YAZICI</v>
      </c>
      <c r="E1178" s="6" t="s">
        <v>627</v>
      </c>
      <c r="F1178" s="6" t="s">
        <v>474</v>
      </c>
      <c r="G1178" s="6" t="s">
        <v>13</v>
      </c>
      <c r="H1178" s="6" t="s">
        <v>34</v>
      </c>
      <c r="I1178" s="6">
        <v>530</v>
      </c>
      <c r="J1178" s="6">
        <v>436</v>
      </c>
      <c r="K1178" s="6">
        <v>1</v>
      </c>
      <c r="L1178" s="10">
        <f t="shared" si="31"/>
        <v>0.55897600000000003</v>
      </c>
      <c r="M1178" s="6" t="s">
        <v>103</v>
      </c>
      <c r="N1178" s="6"/>
      <c r="O1178" s="6"/>
      <c r="P1178" s="17" t="s">
        <v>54</v>
      </c>
      <c r="Q1178" s="17" t="s">
        <v>54</v>
      </c>
      <c r="R1178" s="17" t="s">
        <v>54</v>
      </c>
    </row>
    <row r="1179" spans="1:18" ht="30" customHeight="1" x14ac:dyDescent="0.3">
      <c r="A1179" s="7">
        <v>45722.405993287037</v>
      </c>
      <c r="B1179" s="6" t="s">
        <v>4</v>
      </c>
      <c r="C1179" s="6"/>
      <c r="D1179" s="6" t="str">
        <f>VLOOKUP(B1179,'Veri doğrulama'!$D$6:$E$13,2,0)</f>
        <v>MEHMET YAZICI</v>
      </c>
      <c r="E1179" s="6" t="s">
        <v>546</v>
      </c>
      <c r="F1179" s="6" t="s">
        <v>547</v>
      </c>
      <c r="G1179" s="6" t="s">
        <v>16</v>
      </c>
      <c r="H1179" s="6" t="s">
        <v>34</v>
      </c>
      <c r="I1179" s="6">
        <v>720</v>
      </c>
      <c r="J1179" s="6">
        <v>360</v>
      </c>
      <c r="K1179" s="6">
        <v>2</v>
      </c>
      <c r="L1179" s="10">
        <f t="shared" si="31"/>
        <v>0.23108000000000001</v>
      </c>
      <c r="M1179" s="6" t="s">
        <v>102</v>
      </c>
      <c r="N1179" s="6" t="s">
        <v>159</v>
      </c>
      <c r="O1179" s="6"/>
      <c r="P1179" s="17" t="s">
        <v>54</v>
      </c>
      <c r="Q1179" s="17" t="s">
        <v>54</v>
      </c>
      <c r="R1179" s="17" t="s">
        <v>54</v>
      </c>
    </row>
    <row r="1180" spans="1:18" ht="30" customHeight="1" x14ac:dyDescent="0.3">
      <c r="A1180" s="7">
        <v>45721.622184027779</v>
      </c>
      <c r="B1180" s="6" t="s">
        <v>4</v>
      </c>
      <c r="C1180" s="6"/>
      <c r="D1180" s="6" t="str">
        <f>VLOOKUP(B1180,'Veri doğrulama'!$D$6:$E$13,2,0)</f>
        <v>MEHMET YAZICI</v>
      </c>
      <c r="E1180" s="6"/>
      <c r="F1180" s="6" t="s">
        <v>158</v>
      </c>
      <c r="G1180" s="6" t="s">
        <v>16</v>
      </c>
      <c r="H1180" s="6" t="s">
        <v>34</v>
      </c>
      <c r="I1180" s="6">
        <v>1815</v>
      </c>
      <c r="J1180" s="6">
        <v>397</v>
      </c>
      <c r="K1180" s="6">
        <v>1</v>
      </c>
      <c r="L1180" s="10">
        <f t="shared" si="31"/>
        <v>0.25919999999999999</v>
      </c>
      <c r="M1180" s="6" t="s">
        <v>156</v>
      </c>
      <c r="N1180" s="6" t="s">
        <v>402</v>
      </c>
      <c r="O1180" s="6"/>
      <c r="P1180" s="17" t="s">
        <v>54</v>
      </c>
      <c r="Q1180" s="17" t="s">
        <v>54</v>
      </c>
      <c r="R1180" s="17"/>
    </row>
    <row r="1181" spans="1:18" ht="30" customHeight="1" x14ac:dyDescent="0.3">
      <c r="A1181" s="7">
        <v>45721.510625925926</v>
      </c>
      <c r="B1181" s="6" t="s">
        <v>4</v>
      </c>
      <c r="C1181" s="6"/>
      <c r="D1181" s="6" t="str">
        <f>VLOOKUP(B1181,'Veri doğrulama'!$D$6:$E$13,2,0)</f>
        <v>MEHMET YAZICI</v>
      </c>
      <c r="E1181" s="6"/>
      <c r="F1181" s="6" t="s">
        <v>536</v>
      </c>
      <c r="G1181" s="6" t="s">
        <v>16</v>
      </c>
      <c r="H1181" s="6" t="s">
        <v>34</v>
      </c>
      <c r="I1181" s="6">
        <v>1600</v>
      </c>
      <c r="J1181" s="6">
        <v>450</v>
      </c>
      <c r="K1181" s="6">
        <v>1</v>
      </c>
      <c r="L1181" s="10">
        <f t="shared" si="31"/>
        <v>0.72055499999999995</v>
      </c>
      <c r="M1181" s="6" t="s">
        <v>103</v>
      </c>
      <c r="N1181" s="6" t="s">
        <v>537</v>
      </c>
      <c r="O1181" s="6"/>
      <c r="P1181" s="17" t="s">
        <v>54</v>
      </c>
      <c r="Q1181" s="17" t="s">
        <v>54</v>
      </c>
      <c r="R1181" s="17" t="s">
        <v>54</v>
      </c>
    </row>
    <row r="1182" spans="1:18" ht="30" customHeight="1" x14ac:dyDescent="0.3">
      <c r="A1182" s="7">
        <v>45721.510013078703</v>
      </c>
      <c r="B1182" s="6" t="s">
        <v>4</v>
      </c>
      <c r="C1182" s="6"/>
      <c r="D1182" s="6" t="str">
        <f>VLOOKUP(B1182,'Veri doğrulama'!$D$6:$E$13,2,0)</f>
        <v>MEHMET YAZICI</v>
      </c>
      <c r="E1182" s="6" t="s">
        <v>539</v>
      </c>
      <c r="F1182" s="6" t="s">
        <v>568</v>
      </c>
      <c r="G1182" s="6" t="s">
        <v>14</v>
      </c>
      <c r="H1182" s="6" t="s">
        <v>35</v>
      </c>
      <c r="I1182" s="6">
        <v>717</v>
      </c>
      <c r="J1182" s="6">
        <v>598</v>
      </c>
      <c r="K1182" s="6">
        <v>1</v>
      </c>
      <c r="L1182" s="10">
        <f t="shared" si="31"/>
        <v>0.72</v>
      </c>
      <c r="M1182" s="6" t="s">
        <v>43</v>
      </c>
      <c r="N1182" s="6" t="s">
        <v>569</v>
      </c>
      <c r="O1182" s="6"/>
      <c r="P1182" s="17" t="s">
        <v>54</v>
      </c>
      <c r="Q1182" s="17" t="s">
        <v>54</v>
      </c>
      <c r="R1182" s="17" t="s">
        <v>54</v>
      </c>
    </row>
    <row r="1183" spans="1:18" ht="30" customHeight="1" x14ac:dyDescent="0.3">
      <c r="A1183" s="7">
        <v>45721.507194212965</v>
      </c>
      <c r="B1183" s="6" t="s">
        <v>4</v>
      </c>
      <c r="C1183" s="6"/>
      <c r="D1183" s="6" t="str">
        <f>VLOOKUP(B1183,'Veri doğrulama'!$D$6:$E$13,2,0)</f>
        <v>MEHMET YAZICI</v>
      </c>
      <c r="E1183" s="6"/>
      <c r="F1183" s="6" t="s">
        <v>534</v>
      </c>
      <c r="G1183" s="6" t="s">
        <v>14</v>
      </c>
      <c r="H1183" s="6" t="s">
        <v>35</v>
      </c>
      <c r="I1183" s="6">
        <v>549</v>
      </c>
      <c r="J1183" s="6">
        <v>544</v>
      </c>
      <c r="K1183" s="6">
        <v>1</v>
      </c>
      <c r="L1183" s="10">
        <f t="shared" si="31"/>
        <v>0.42876599999999998</v>
      </c>
      <c r="M1183" s="6" t="s">
        <v>39</v>
      </c>
      <c r="N1183" s="6" t="s">
        <v>389</v>
      </c>
      <c r="O1183" s="6"/>
      <c r="P1183" s="17" t="s">
        <v>54</v>
      </c>
      <c r="Q1183" s="17" t="s">
        <v>54</v>
      </c>
      <c r="R1183" s="17" t="s">
        <v>54</v>
      </c>
    </row>
    <row r="1184" spans="1:18" ht="30" customHeight="1" x14ac:dyDescent="0.3">
      <c r="A1184" s="7">
        <v>45721.50561226852</v>
      </c>
      <c r="B1184" s="6" t="s">
        <v>5</v>
      </c>
      <c r="C1184" s="6"/>
      <c r="D1184" s="6" t="str">
        <f>VLOOKUP(B1184,'Veri doğrulama'!$D$6:$E$13,2,0)</f>
        <v>MEHMET ÖZEN</v>
      </c>
      <c r="E1184" s="6"/>
      <c r="F1184" s="6" t="s">
        <v>548</v>
      </c>
      <c r="G1184" s="6" t="s">
        <v>26</v>
      </c>
      <c r="H1184" s="6" t="s">
        <v>34</v>
      </c>
      <c r="I1184" s="6">
        <v>1800</v>
      </c>
      <c r="J1184" s="6">
        <v>600</v>
      </c>
      <c r="K1184" s="6">
        <v>1</v>
      </c>
      <c r="L1184" s="10">
        <f t="shared" si="31"/>
        <v>0.29865599999999998</v>
      </c>
      <c r="M1184" s="6" t="s">
        <v>103</v>
      </c>
      <c r="N1184" s="6"/>
      <c r="O1184" s="6"/>
      <c r="P1184" s="17" t="s">
        <v>54</v>
      </c>
      <c r="Q1184" s="17" t="s">
        <v>54</v>
      </c>
      <c r="R1184" s="17" t="s">
        <v>54</v>
      </c>
    </row>
    <row r="1185" spans="1:18" ht="30" customHeight="1" x14ac:dyDescent="0.3">
      <c r="A1185" s="7">
        <v>45721.50484814815</v>
      </c>
      <c r="B1185" s="6" t="s">
        <v>7</v>
      </c>
      <c r="C1185" s="6"/>
      <c r="D1185" s="6" t="str">
        <f>VLOOKUP(B1185,'Veri doğrulama'!$D$6:$E$13,2,0)</f>
        <v>SIDDIK KAPLAN</v>
      </c>
      <c r="E1185" s="6"/>
      <c r="F1185" s="6" t="s">
        <v>672</v>
      </c>
      <c r="G1185" s="6" t="s">
        <v>29</v>
      </c>
      <c r="H1185" s="6" t="s">
        <v>34</v>
      </c>
      <c r="I1185" s="6">
        <v>1300</v>
      </c>
      <c r="J1185" s="6">
        <v>320</v>
      </c>
      <c r="K1185" s="6">
        <v>1</v>
      </c>
      <c r="L1185" s="10">
        <f t="shared" si="31"/>
        <v>1.08</v>
      </c>
      <c r="M1185" s="6" t="s">
        <v>102</v>
      </c>
      <c r="N1185" s="6"/>
      <c r="O1185" s="6"/>
      <c r="P1185" s="17" t="s">
        <v>54</v>
      </c>
      <c r="Q1185" s="17" t="s">
        <v>54</v>
      </c>
      <c r="R1185" s="17" t="s">
        <v>54</v>
      </c>
    </row>
    <row r="1186" spans="1:18" ht="30" customHeight="1" x14ac:dyDescent="0.3">
      <c r="A1186" s="7">
        <v>45721.433683564814</v>
      </c>
      <c r="B1186" s="6" t="s">
        <v>5</v>
      </c>
      <c r="C1186" s="6"/>
      <c r="D1186" s="6" t="str">
        <f>VLOOKUP(B1186,'Veri doğrulama'!$D$6:$E$13,2,0)</f>
        <v>MEHMET ÖZEN</v>
      </c>
      <c r="E1186" s="6"/>
      <c r="F1186" s="6" t="s">
        <v>628</v>
      </c>
      <c r="G1186" s="6" t="s">
        <v>28</v>
      </c>
      <c r="H1186" s="6" t="s">
        <v>34</v>
      </c>
      <c r="I1186" s="6">
        <v>1120</v>
      </c>
      <c r="J1186" s="6">
        <v>1120</v>
      </c>
      <c r="K1186" s="6">
        <v>1</v>
      </c>
      <c r="L1186" s="10">
        <f t="shared" si="31"/>
        <v>0.41599999999999998</v>
      </c>
      <c r="M1186" s="6" t="s">
        <v>37</v>
      </c>
      <c r="N1186" s="6"/>
      <c r="O1186" s="6"/>
      <c r="P1186" s="17" t="s">
        <v>54</v>
      </c>
      <c r="Q1186" s="17" t="s">
        <v>54</v>
      </c>
      <c r="R1186" s="17"/>
    </row>
    <row r="1187" spans="1:18" ht="30" customHeight="1" x14ac:dyDescent="0.3">
      <c r="A1187" s="7">
        <v>45721.433053356479</v>
      </c>
      <c r="B1187" s="6" t="s">
        <v>5</v>
      </c>
      <c r="C1187" s="6"/>
      <c r="D1187" s="6" t="str">
        <f>VLOOKUP(B1187,'Veri doğrulama'!$D$6:$E$13,2,0)</f>
        <v>MEHMET ÖZEN</v>
      </c>
      <c r="E1187" s="6"/>
      <c r="F1187" s="6" t="s">
        <v>535</v>
      </c>
      <c r="G1187" s="6" t="s">
        <v>16</v>
      </c>
      <c r="H1187" s="6" t="s">
        <v>34</v>
      </c>
      <c r="I1187" s="6">
        <v>638</v>
      </c>
      <c r="J1187" s="6">
        <v>502</v>
      </c>
      <c r="K1187" s="6">
        <v>1</v>
      </c>
      <c r="L1187" s="10">
        <f>I1185*J1185/1000000*K1187</f>
        <v>0.41599999999999998</v>
      </c>
      <c r="M1187" s="6" t="s">
        <v>43</v>
      </c>
      <c r="N1187" s="6" t="s">
        <v>339</v>
      </c>
      <c r="O1187" s="6"/>
      <c r="P1187" s="17" t="s">
        <v>54</v>
      </c>
      <c r="Q1187" s="17" t="s">
        <v>54</v>
      </c>
      <c r="R1187" s="17" t="s">
        <v>54</v>
      </c>
    </row>
    <row r="1188" spans="1:18" ht="30" customHeight="1" x14ac:dyDescent="0.3">
      <c r="A1188" s="7">
        <v>45721.432306712966</v>
      </c>
      <c r="B1188" s="6" t="s">
        <v>4</v>
      </c>
      <c r="C1188" s="6"/>
      <c r="D1188" s="6" t="str">
        <f>VLOOKUP(B1188,'Veri doğrulama'!$D$6:$E$13,2,0)</f>
        <v>MEHMET YAZICI</v>
      </c>
      <c r="E1188" s="6"/>
      <c r="F1188" s="6" t="s">
        <v>527</v>
      </c>
      <c r="G1188" s="6" t="s">
        <v>16</v>
      </c>
      <c r="H1188" s="6" t="s">
        <v>34</v>
      </c>
      <c r="I1188" s="6">
        <v>555</v>
      </c>
      <c r="J1188" s="6">
        <v>448</v>
      </c>
      <c r="K1188" s="6">
        <v>1</v>
      </c>
      <c r="L1188" s="10">
        <f t="shared" ref="L1188:L1219" si="32">I1187*J1187/1000000*K1189</f>
        <v>0.32027600000000001</v>
      </c>
      <c r="M1188" s="6" t="s">
        <v>42</v>
      </c>
      <c r="N1188" s="6" t="s">
        <v>528</v>
      </c>
      <c r="O1188" s="6"/>
      <c r="P1188" s="17" t="s">
        <v>54</v>
      </c>
      <c r="Q1188" s="17" t="s">
        <v>54</v>
      </c>
      <c r="R1188" s="17" t="s">
        <v>54</v>
      </c>
    </row>
    <row r="1189" spans="1:18" ht="30" customHeight="1" x14ac:dyDescent="0.3">
      <c r="A1189" s="7">
        <v>45721.431732523146</v>
      </c>
      <c r="B1189" s="6" t="s">
        <v>4</v>
      </c>
      <c r="C1189" s="6"/>
      <c r="D1189" s="6" t="str">
        <f>VLOOKUP(B1189,'Veri doğrulama'!$D$6:$E$13,2,0)</f>
        <v>MEHMET YAZICI</v>
      </c>
      <c r="E1189" s="6"/>
      <c r="F1189" s="6" t="s">
        <v>91</v>
      </c>
      <c r="G1189" s="6" t="s">
        <v>16</v>
      </c>
      <c r="H1189" s="6" t="s">
        <v>34</v>
      </c>
      <c r="I1189" s="6">
        <v>1600</v>
      </c>
      <c r="J1189" s="6">
        <v>450</v>
      </c>
      <c r="K1189" s="6">
        <v>1</v>
      </c>
      <c r="L1189" s="10">
        <f t="shared" si="32"/>
        <v>0.24864</v>
      </c>
      <c r="M1189" s="6" t="s">
        <v>39</v>
      </c>
      <c r="N1189" s="6" t="s">
        <v>399</v>
      </c>
      <c r="O1189" s="6"/>
      <c r="P1189" s="17" t="s">
        <v>54</v>
      </c>
      <c r="Q1189" s="17" t="s">
        <v>54</v>
      </c>
      <c r="R1189" s="17" t="s">
        <v>54</v>
      </c>
    </row>
    <row r="1190" spans="1:18" ht="30" customHeight="1" x14ac:dyDescent="0.3">
      <c r="A1190" s="7">
        <v>45721.43087916667</v>
      </c>
      <c r="B1190" s="6" t="s">
        <v>4</v>
      </c>
      <c r="C1190" s="6"/>
      <c r="D1190" s="6" t="str">
        <f>VLOOKUP(B1190,'Veri doğrulama'!$D$6:$E$13,2,0)</f>
        <v>MEHMET YAZICI</v>
      </c>
      <c r="E1190" s="6"/>
      <c r="F1190" s="6" t="s">
        <v>525</v>
      </c>
      <c r="G1190" s="6" t="s">
        <v>16</v>
      </c>
      <c r="H1190" s="6" t="s">
        <v>34</v>
      </c>
      <c r="I1190" s="6">
        <v>1400</v>
      </c>
      <c r="J1190" s="6">
        <v>1400</v>
      </c>
      <c r="K1190" s="6">
        <v>1</v>
      </c>
      <c r="L1190" s="10">
        <f t="shared" si="32"/>
        <v>1.44</v>
      </c>
      <c r="M1190" s="6" t="s">
        <v>103</v>
      </c>
      <c r="N1190" s="6" t="s">
        <v>526</v>
      </c>
      <c r="O1190" s="6"/>
      <c r="P1190" s="17" t="s">
        <v>54</v>
      </c>
      <c r="Q1190" s="17" t="s">
        <v>54</v>
      </c>
      <c r="R1190" s="17" t="s">
        <v>54</v>
      </c>
    </row>
    <row r="1191" spans="1:18" ht="30" customHeight="1" x14ac:dyDescent="0.3">
      <c r="A1191" s="7">
        <v>45721.375350462964</v>
      </c>
      <c r="B1191" s="6" t="s">
        <v>5</v>
      </c>
      <c r="C1191" s="6"/>
      <c r="D1191" s="6" t="str">
        <f>VLOOKUP(B1191,'Veri doğrulama'!$D$6:$E$13,2,0)</f>
        <v>MEHMET ÖZEN</v>
      </c>
      <c r="E1191" s="6"/>
      <c r="F1191" s="6" t="s">
        <v>523</v>
      </c>
      <c r="G1191" s="6" t="s">
        <v>16</v>
      </c>
      <c r="H1191" s="6" t="s">
        <v>34</v>
      </c>
      <c r="I1191" s="6">
        <v>2600</v>
      </c>
      <c r="J1191" s="6">
        <v>900</v>
      </c>
      <c r="K1191" s="6">
        <v>2</v>
      </c>
      <c r="L1191" s="10">
        <f t="shared" si="32"/>
        <v>1.96</v>
      </c>
      <c r="M1191" s="6" t="s">
        <v>103</v>
      </c>
      <c r="N1191" s="6" t="s">
        <v>524</v>
      </c>
      <c r="O1191" s="6"/>
      <c r="P1191" s="17" t="s">
        <v>54</v>
      </c>
      <c r="Q1191" s="17" t="s">
        <v>54</v>
      </c>
      <c r="R1191" s="17" t="s">
        <v>54</v>
      </c>
    </row>
    <row r="1192" spans="1:18" ht="30" customHeight="1" x14ac:dyDescent="0.3">
      <c r="A1192" s="7">
        <v>45720.655846643516</v>
      </c>
      <c r="B1192" s="6" t="s">
        <v>4</v>
      </c>
      <c r="C1192" s="6"/>
      <c r="D1192" s="6" t="str">
        <f>VLOOKUP(B1192,'Veri doğrulama'!$D$6:$E$13,2,0)</f>
        <v>MEHMET YAZICI</v>
      </c>
      <c r="E1192" s="6"/>
      <c r="F1192" s="6" t="s">
        <v>542</v>
      </c>
      <c r="G1192" s="6" t="s">
        <v>18</v>
      </c>
      <c r="H1192" s="6" t="s">
        <v>34</v>
      </c>
      <c r="I1192" s="6">
        <v>620</v>
      </c>
      <c r="J1192" s="6">
        <v>372</v>
      </c>
      <c r="K1192" s="6">
        <v>1</v>
      </c>
      <c r="L1192" s="10">
        <f t="shared" si="32"/>
        <v>2.34</v>
      </c>
      <c r="M1192" s="6" t="s">
        <v>103</v>
      </c>
      <c r="N1192" s="6" t="s">
        <v>385</v>
      </c>
      <c r="O1192" s="6"/>
      <c r="P1192" s="17" t="s">
        <v>54</v>
      </c>
      <c r="Q1192" s="17" t="s">
        <v>54</v>
      </c>
      <c r="R1192" s="17" t="s">
        <v>54</v>
      </c>
    </row>
    <row r="1193" spans="1:18" ht="30" customHeight="1" x14ac:dyDescent="0.3">
      <c r="A1193" s="7">
        <v>45720.636869097223</v>
      </c>
      <c r="B1193" s="6" t="s">
        <v>5</v>
      </c>
      <c r="C1193" s="6"/>
      <c r="D1193" s="6" t="str">
        <f>VLOOKUP(B1193,'Veri doğrulama'!$D$6:$E$13,2,0)</f>
        <v>MEHMET ÖZEN</v>
      </c>
      <c r="E1193" s="6"/>
      <c r="F1193" s="6" t="s">
        <v>522</v>
      </c>
      <c r="G1193" s="6" t="s">
        <v>16</v>
      </c>
      <c r="H1193" s="6" t="s">
        <v>34</v>
      </c>
      <c r="I1193" s="6">
        <v>2210</v>
      </c>
      <c r="J1193" s="6">
        <v>1210</v>
      </c>
      <c r="K1193" s="6">
        <v>1</v>
      </c>
      <c r="L1193" s="10">
        <f t="shared" si="32"/>
        <v>0.23064000000000001</v>
      </c>
      <c r="M1193" s="6" t="s">
        <v>103</v>
      </c>
      <c r="N1193" s="6" t="s">
        <v>411</v>
      </c>
      <c r="O1193" s="6"/>
      <c r="P1193" s="17" t="s">
        <v>54</v>
      </c>
      <c r="Q1193" s="17" t="s">
        <v>54</v>
      </c>
      <c r="R1193" s="17" t="s">
        <v>54</v>
      </c>
    </row>
    <row r="1194" spans="1:18" ht="30" customHeight="1" x14ac:dyDescent="0.3">
      <c r="A1194" s="7">
        <v>45720.594556365744</v>
      </c>
      <c r="B1194" s="6" t="s">
        <v>7</v>
      </c>
      <c r="C1194" s="6"/>
      <c r="D1194" s="6" t="str">
        <f>VLOOKUP(B1194,'Veri doğrulama'!$D$6:$E$13,2,0)</f>
        <v>SIDDIK KAPLAN</v>
      </c>
      <c r="E1194" s="6" t="s">
        <v>544</v>
      </c>
      <c r="F1194" s="6" t="s">
        <v>148</v>
      </c>
      <c r="G1194" s="6" t="s">
        <v>17</v>
      </c>
      <c r="H1194" s="6" t="s">
        <v>34</v>
      </c>
      <c r="I1194" s="6">
        <v>2386</v>
      </c>
      <c r="J1194" s="6">
        <v>586</v>
      </c>
      <c r="K1194" s="6">
        <v>1</v>
      </c>
      <c r="L1194" s="10">
        <f t="shared" si="32"/>
        <v>2.6741000000000001</v>
      </c>
      <c r="M1194" s="6" t="s">
        <v>75</v>
      </c>
      <c r="N1194" s="6"/>
      <c r="O1194" s="6"/>
      <c r="P1194" s="17" t="s">
        <v>54</v>
      </c>
      <c r="Q1194" s="17" t="s">
        <v>54</v>
      </c>
      <c r="R1194" s="17" t="s">
        <v>54</v>
      </c>
    </row>
    <row r="1195" spans="1:18" ht="30" customHeight="1" x14ac:dyDescent="0.3">
      <c r="A1195" s="7">
        <v>45720.592861342593</v>
      </c>
      <c r="B1195" s="6" t="s">
        <v>4</v>
      </c>
      <c r="C1195" s="6"/>
      <c r="D1195" s="6" t="str">
        <f>VLOOKUP(B1195,'Veri doğrulama'!$D$6:$E$13,2,0)</f>
        <v>MEHMET YAZICI</v>
      </c>
      <c r="E1195" s="6"/>
      <c r="F1195" s="6" t="s">
        <v>131</v>
      </c>
      <c r="G1195" s="6" t="s">
        <v>18</v>
      </c>
      <c r="H1195" s="6" t="s">
        <v>34</v>
      </c>
      <c r="I1195" s="6">
        <v>544</v>
      </c>
      <c r="J1195" s="6">
        <v>544</v>
      </c>
      <c r="K1195" s="6">
        <v>1</v>
      </c>
      <c r="L1195" s="10">
        <f t="shared" si="32"/>
        <v>1.398196</v>
      </c>
      <c r="M1195" s="6" t="s">
        <v>43</v>
      </c>
      <c r="N1195" s="6" t="s">
        <v>520</v>
      </c>
      <c r="O1195" s="6"/>
      <c r="P1195" s="17" t="s">
        <v>54</v>
      </c>
      <c r="Q1195" s="17" t="s">
        <v>54</v>
      </c>
      <c r="R1195" s="17"/>
    </row>
    <row r="1196" spans="1:18" ht="30" customHeight="1" x14ac:dyDescent="0.3">
      <c r="A1196" s="7">
        <v>45720.592106828706</v>
      </c>
      <c r="B1196" s="6" t="s">
        <v>4</v>
      </c>
      <c r="C1196" s="6"/>
      <c r="D1196" s="6" t="str">
        <f>VLOOKUP(B1196,'Veri doğrulama'!$D$6:$E$13,2,0)</f>
        <v>MEHMET YAZICI</v>
      </c>
      <c r="E1196" s="6"/>
      <c r="F1196" s="6" t="s">
        <v>538</v>
      </c>
      <c r="G1196" s="6" t="s">
        <v>13</v>
      </c>
      <c r="H1196" s="6" t="s">
        <v>34</v>
      </c>
      <c r="I1196" s="6">
        <v>2200</v>
      </c>
      <c r="J1196" s="6">
        <v>410</v>
      </c>
      <c r="K1196" s="6">
        <v>1</v>
      </c>
      <c r="L1196" s="10">
        <f t="shared" si="32"/>
        <v>0.29593599999999998</v>
      </c>
      <c r="M1196" s="6" t="s">
        <v>43</v>
      </c>
      <c r="N1196" s="6" t="s">
        <v>389</v>
      </c>
      <c r="O1196" s="6"/>
      <c r="P1196" s="17" t="s">
        <v>54</v>
      </c>
      <c r="Q1196" s="17" t="s">
        <v>54</v>
      </c>
      <c r="R1196" s="17" t="s">
        <v>54</v>
      </c>
    </row>
    <row r="1197" spans="1:18" ht="30" customHeight="1" x14ac:dyDescent="0.3">
      <c r="A1197" s="7">
        <v>45720.427736574071</v>
      </c>
      <c r="B1197" s="6" t="s">
        <v>4</v>
      </c>
      <c r="C1197" s="6"/>
      <c r="D1197" s="6" t="str">
        <f>VLOOKUP(B1197,'Veri doğrulama'!$D$6:$E$13,2,0)</f>
        <v>MEHMET YAZICI</v>
      </c>
      <c r="E1197" s="6"/>
      <c r="F1197" s="6" t="s">
        <v>531</v>
      </c>
      <c r="G1197" s="6" t="s">
        <v>26</v>
      </c>
      <c r="H1197" s="6" t="s">
        <v>34</v>
      </c>
      <c r="I1197" s="6">
        <v>442</v>
      </c>
      <c r="J1197" s="6">
        <v>330</v>
      </c>
      <c r="K1197" s="6">
        <v>1</v>
      </c>
      <c r="L1197" s="10">
        <f t="shared" si="32"/>
        <v>0.90200000000000002</v>
      </c>
      <c r="M1197" s="6" t="s">
        <v>156</v>
      </c>
      <c r="N1197" s="6" t="s">
        <v>179</v>
      </c>
      <c r="O1197" s="6"/>
      <c r="P1197" s="17" t="s">
        <v>54</v>
      </c>
      <c r="Q1197" s="17" t="s">
        <v>54</v>
      </c>
      <c r="R1197" s="17" t="s">
        <v>54</v>
      </c>
    </row>
    <row r="1198" spans="1:18" ht="30" customHeight="1" x14ac:dyDescent="0.3">
      <c r="A1198" s="7">
        <v>45720.342608564817</v>
      </c>
      <c r="B1198" s="6" t="s">
        <v>4</v>
      </c>
      <c r="C1198" s="6"/>
      <c r="D1198" s="6" t="str">
        <f>VLOOKUP(B1198,'Veri doğrulama'!$D$6:$E$13,2,0)</f>
        <v>MEHMET YAZICI</v>
      </c>
      <c r="E1198" s="6" t="s">
        <v>541</v>
      </c>
      <c r="F1198" s="6" t="s">
        <v>99</v>
      </c>
      <c r="G1198" s="6" t="s">
        <v>20</v>
      </c>
      <c r="H1198" s="6" t="s">
        <v>34</v>
      </c>
      <c r="I1198" s="6">
        <v>1800</v>
      </c>
      <c r="J1198" s="6">
        <v>360</v>
      </c>
      <c r="K1198" s="6">
        <v>1</v>
      </c>
      <c r="L1198" s="10">
        <f t="shared" si="32"/>
        <v>0.14585999999999999</v>
      </c>
      <c r="M1198" s="6" t="s">
        <v>103</v>
      </c>
      <c r="N1198" s="6" t="s">
        <v>389</v>
      </c>
      <c r="O1198" s="6"/>
      <c r="P1198" s="17" t="s">
        <v>54</v>
      </c>
      <c r="Q1198" s="17" t="s">
        <v>54</v>
      </c>
      <c r="R1198" s="17" t="s">
        <v>54</v>
      </c>
    </row>
    <row r="1199" spans="1:18" ht="30" customHeight="1" x14ac:dyDescent="0.3">
      <c r="A1199" s="7">
        <v>45720.339882175926</v>
      </c>
      <c r="B1199" s="6" t="s">
        <v>5</v>
      </c>
      <c r="C1199" s="6"/>
      <c r="D1199" s="6" t="str">
        <f>VLOOKUP(B1199,'Veri doğrulama'!$D$6:$E$13,2,0)</f>
        <v>MEHMET ÖZEN</v>
      </c>
      <c r="E1199" s="6"/>
      <c r="F1199" s="6" t="s">
        <v>552</v>
      </c>
      <c r="G1199" s="6" t="s">
        <v>24</v>
      </c>
      <c r="H1199" s="6" t="s">
        <v>34</v>
      </c>
      <c r="I1199" s="6">
        <v>2210</v>
      </c>
      <c r="J1199" s="6">
        <v>1210</v>
      </c>
      <c r="K1199" s="6">
        <v>1</v>
      </c>
      <c r="L1199" s="10">
        <f t="shared" si="32"/>
        <v>0.64800000000000002</v>
      </c>
      <c r="M1199" s="6" t="s">
        <v>75</v>
      </c>
      <c r="N1199" s="6" t="s">
        <v>411</v>
      </c>
      <c r="O1199" s="6"/>
      <c r="P1199" s="17" t="s">
        <v>54</v>
      </c>
      <c r="Q1199" s="17" t="s">
        <v>54</v>
      </c>
      <c r="R1199" s="17"/>
    </row>
    <row r="1200" spans="1:18" ht="30" customHeight="1" x14ac:dyDescent="0.3">
      <c r="A1200" s="7">
        <v>45720.337637615739</v>
      </c>
      <c r="B1200" s="6" t="s">
        <v>4</v>
      </c>
      <c r="C1200" s="6"/>
      <c r="D1200" s="6" t="str">
        <f>VLOOKUP(B1200,'Veri doğrulama'!$D$6:$E$13,2,0)</f>
        <v>MEHMET YAZICI</v>
      </c>
      <c r="E1200" s="6" t="s">
        <v>554</v>
      </c>
      <c r="F1200" s="6" t="s">
        <v>513</v>
      </c>
      <c r="G1200" s="6" t="s">
        <v>13</v>
      </c>
      <c r="H1200" s="6" t="s">
        <v>34</v>
      </c>
      <c r="I1200" s="6">
        <v>650</v>
      </c>
      <c r="J1200" s="6">
        <v>500</v>
      </c>
      <c r="K1200" s="6">
        <v>1</v>
      </c>
      <c r="L1200" s="10">
        <f t="shared" si="32"/>
        <v>2.6741000000000001</v>
      </c>
      <c r="M1200" s="6" t="s">
        <v>39</v>
      </c>
      <c r="N1200" s="6" t="s">
        <v>385</v>
      </c>
      <c r="O1200" s="6"/>
      <c r="P1200" s="17" t="s">
        <v>54</v>
      </c>
      <c r="Q1200" s="17" t="s">
        <v>54</v>
      </c>
      <c r="R1200" s="17" t="s">
        <v>54</v>
      </c>
    </row>
    <row r="1201" spans="1:18" ht="30" customHeight="1" x14ac:dyDescent="0.3">
      <c r="A1201" s="7">
        <v>45720.33648622685</v>
      </c>
      <c r="B1201" s="6" t="s">
        <v>4</v>
      </c>
      <c r="C1201" s="6"/>
      <c r="D1201" s="6" t="str">
        <f>VLOOKUP(B1201,'Veri doğrulama'!$D$6:$E$13,2,0)</f>
        <v>MEHMET YAZICI</v>
      </c>
      <c r="E1201" s="6"/>
      <c r="F1201" s="6" t="s">
        <v>507</v>
      </c>
      <c r="G1201" s="6" t="s">
        <v>13</v>
      </c>
      <c r="H1201" s="6" t="s">
        <v>34</v>
      </c>
      <c r="I1201" s="6">
        <v>785</v>
      </c>
      <c r="J1201" s="6">
        <v>415</v>
      </c>
      <c r="K1201" s="6">
        <v>1</v>
      </c>
      <c r="L1201" s="10">
        <f t="shared" si="32"/>
        <v>0.32500000000000001</v>
      </c>
      <c r="M1201" s="6" t="s">
        <v>41</v>
      </c>
      <c r="N1201" s="6" t="s">
        <v>508</v>
      </c>
      <c r="O1201" s="6"/>
      <c r="P1201" s="17" t="s">
        <v>54</v>
      </c>
      <c r="Q1201" s="17" t="s">
        <v>54</v>
      </c>
      <c r="R1201" s="17"/>
    </row>
    <row r="1202" spans="1:18" ht="30" customHeight="1" x14ac:dyDescent="0.3">
      <c r="A1202" s="7">
        <v>45719.690017129629</v>
      </c>
      <c r="B1202" s="6" t="s">
        <v>4</v>
      </c>
      <c r="C1202" s="6"/>
      <c r="D1202" s="6" t="str">
        <f>VLOOKUP(B1202,'Veri doğrulama'!$D$6:$E$13,2,0)</f>
        <v>MEHMET YAZICI</v>
      </c>
      <c r="E1202" s="6" t="s">
        <v>516</v>
      </c>
      <c r="F1202" s="6" t="s">
        <v>172</v>
      </c>
      <c r="G1202" s="6" t="s">
        <v>24</v>
      </c>
      <c r="H1202" s="6" t="s">
        <v>34</v>
      </c>
      <c r="I1202" s="6">
        <v>1790</v>
      </c>
      <c r="J1202" s="6">
        <v>840</v>
      </c>
      <c r="K1202" s="6">
        <v>1</v>
      </c>
      <c r="L1202" s="10">
        <f t="shared" si="32"/>
        <v>0.32577499999999998</v>
      </c>
      <c r="M1202" s="6" t="s">
        <v>103</v>
      </c>
      <c r="N1202" s="6" t="s">
        <v>399</v>
      </c>
      <c r="O1202" s="6"/>
      <c r="P1202" s="17" t="s">
        <v>54</v>
      </c>
      <c r="Q1202" s="17" t="s">
        <v>54</v>
      </c>
      <c r="R1202" s="17" t="s">
        <v>54</v>
      </c>
    </row>
    <row r="1203" spans="1:18" ht="30" customHeight="1" x14ac:dyDescent="0.3">
      <c r="A1203" s="7">
        <v>45719.68946898148</v>
      </c>
      <c r="B1203" s="6" t="s">
        <v>4</v>
      </c>
      <c r="C1203" s="6"/>
      <c r="D1203" s="6" t="str">
        <f>VLOOKUP(B1203,'Veri doğrulama'!$D$6:$E$13,2,0)</f>
        <v>MEHMET YAZICI</v>
      </c>
      <c r="E1203" s="6"/>
      <c r="F1203" s="6" t="s">
        <v>518</v>
      </c>
      <c r="G1203" s="6" t="s">
        <v>16</v>
      </c>
      <c r="H1203" s="6" t="s">
        <v>34</v>
      </c>
      <c r="I1203" s="6">
        <v>700</v>
      </c>
      <c r="J1203" s="6">
        <v>397</v>
      </c>
      <c r="K1203" s="6">
        <v>1</v>
      </c>
      <c r="L1203" s="10">
        <f t="shared" si="32"/>
        <v>1.5036</v>
      </c>
      <c r="M1203" s="6" t="s">
        <v>103</v>
      </c>
      <c r="N1203" s="6" t="s">
        <v>339</v>
      </c>
      <c r="O1203" s="6"/>
      <c r="P1203" s="17" t="s">
        <v>54</v>
      </c>
      <c r="Q1203" s="17" t="s">
        <v>54</v>
      </c>
      <c r="R1203" s="17" t="s">
        <v>54</v>
      </c>
    </row>
    <row r="1204" spans="1:18" ht="30" customHeight="1" x14ac:dyDescent="0.3">
      <c r="A1204" s="7">
        <v>45716.613649074076</v>
      </c>
      <c r="B1204" s="6" t="s">
        <v>4</v>
      </c>
      <c r="C1204" s="6"/>
      <c r="D1204" s="6" t="str">
        <f>VLOOKUP(B1204,'Veri doğrulama'!$D$6:$E$13,2,0)</f>
        <v>MEHMET YAZICI</v>
      </c>
      <c r="E1204" s="6"/>
      <c r="F1204" s="6" t="s">
        <v>579</v>
      </c>
      <c r="G1204" s="6" t="s">
        <v>15</v>
      </c>
      <c r="H1204" s="6" t="s">
        <v>34</v>
      </c>
      <c r="I1204" s="6">
        <v>550</v>
      </c>
      <c r="J1204" s="6">
        <v>150</v>
      </c>
      <c r="K1204" s="6">
        <v>1</v>
      </c>
      <c r="L1204" s="10">
        <f t="shared" si="32"/>
        <v>0.55579999999999996</v>
      </c>
      <c r="M1204" s="6" t="s">
        <v>43</v>
      </c>
      <c r="N1204" s="6" t="s">
        <v>399</v>
      </c>
      <c r="O1204" s="6"/>
      <c r="P1204" s="17" t="s">
        <v>54</v>
      </c>
      <c r="Q1204" s="17" t="s">
        <v>54</v>
      </c>
      <c r="R1204" s="17"/>
    </row>
    <row r="1205" spans="1:18" ht="30" customHeight="1" x14ac:dyDescent="0.3">
      <c r="A1205" s="7">
        <v>45716.487751967594</v>
      </c>
      <c r="B1205" s="6" t="s">
        <v>5</v>
      </c>
      <c r="C1205" s="6"/>
      <c r="D1205" s="6" t="str">
        <f>VLOOKUP(B1205,'Veri doğrulama'!$D$6:$E$13,2,0)</f>
        <v>MEHMET ÖZEN</v>
      </c>
      <c r="E1205" s="6" t="s">
        <v>521</v>
      </c>
      <c r="F1205" s="6" t="s">
        <v>502</v>
      </c>
      <c r="G1205" s="6" t="s">
        <v>16</v>
      </c>
      <c r="H1205" s="6" t="s">
        <v>35</v>
      </c>
      <c r="I1205" s="6">
        <v>1570</v>
      </c>
      <c r="J1205" s="6">
        <v>460</v>
      </c>
      <c r="K1205" s="6">
        <v>2</v>
      </c>
      <c r="L1205" s="10">
        <f t="shared" si="32"/>
        <v>8.2500000000000004E-2</v>
      </c>
      <c r="M1205" s="6" t="s">
        <v>102</v>
      </c>
      <c r="N1205" s="6" t="s">
        <v>503</v>
      </c>
      <c r="O1205" s="6"/>
      <c r="P1205" s="17" t="s">
        <v>54</v>
      </c>
      <c r="Q1205" s="17" t="s">
        <v>54</v>
      </c>
      <c r="R1205" s="17"/>
    </row>
    <row r="1206" spans="1:18" ht="30" customHeight="1" x14ac:dyDescent="0.3">
      <c r="A1206" s="7">
        <v>45716.468261805552</v>
      </c>
      <c r="B1206" s="6" t="s">
        <v>5</v>
      </c>
      <c r="C1206" s="6"/>
      <c r="D1206" s="6" t="str">
        <f>VLOOKUP(B1206,'Veri doğrulama'!$D$6:$E$13,2,0)</f>
        <v>MEHMET ÖZEN</v>
      </c>
      <c r="E1206" s="6"/>
      <c r="F1206" s="6" t="s">
        <v>515</v>
      </c>
      <c r="G1206" s="6" t="s">
        <v>18</v>
      </c>
      <c r="H1206" s="6" t="s">
        <v>34</v>
      </c>
      <c r="I1206" s="6">
        <v>2020</v>
      </c>
      <c r="J1206" s="6">
        <v>1420</v>
      </c>
      <c r="K1206" s="6">
        <v>1</v>
      </c>
      <c r="L1206" s="10">
        <f t="shared" si="32"/>
        <v>0.72219999999999995</v>
      </c>
      <c r="M1206" s="6" t="s">
        <v>102</v>
      </c>
      <c r="N1206" s="6" t="s">
        <v>468</v>
      </c>
      <c r="O1206" s="6"/>
      <c r="P1206" s="17" t="s">
        <v>54</v>
      </c>
      <c r="Q1206" s="17" t="s">
        <v>54</v>
      </c>
      <c r="R1206" s="17" t="s">
        <v>54</v>
      </c>
    </row>
    <row r="1207" spans="1:18" ht="30" customHeight="1" x14ac:dyDescent="0.3">
      <c r="A1207" s="7">
        <v>45716.435008912034</v>
      </c>
      <c r="B1207" s="6" t="s">
        <v>5</v>
      </c>
      <c r="C1207" s="6"/>
      <c r="D1207" s="6" t="str">
        <f>VLOOKUP(B1207,'Veri doğrulama'!$D$6:$E$13,2,0)</f>
        <v>MEHMET ÖZEN</v>
      </c>
      <c r="E1207" s="6"/>
      <c r="F1207" s="6" t="s">
        <v>549</v>
      </c>
      <c r="G1207" s="6" t="s">
        <v>27</v>
      </c>
      <c r="H1207" s="6" t="s">
        <v>34</v>
      </c>
      <c r="I1207" s="6">
        <v>900</v>
      </c>
      <c r="J1207" s="6">
        <v>600</v>
      </c>
      <c r="K1207" s="6">
        <v>1</v>
      </c>
      <c r="L1207" s="10">
        <f t="shared" si="32"/>
        <v>2.8683999999999998</v>
      </c>
      <c r="M1207" s="6" t="s">
        <v>38</v>
      </c>
      <c r="N1207" s="6"/>
      <c r="O1207" s="6"/>
      <c r="P1207" s="17" t="s">
        <v>54</v>
      </c>
      <c r="Q1207" s="17" t="s">
        <v>54</v>
      </c>
      <c r="R1207" s="17" t="s">
        <v>54</v>
      </c>
    </row>
    <row r="1208" spans="1:18" ht="30" customHeight="1" x14ac:dyDescent="0.3">
      <c r="A1208" s="7">
        <v>45715.714066319444</v>
      </c>
      <c r="B1208" s="6" t="s">
        <v>7</v>
      </c>
      <c r="C1208" s="6"/>
      <c r="D1208" s="6" t="str">
        <f>VLOOKUP(B1208,'Veri doğrulama'!$D$6:$E$13,2,0)</f>
        <v>SIDDIK KAPLAN</v>
      </c>
      <c r="E1208" s="6" t="s">
        <v>517</v>
      </c>
      <c r="F1208" s="6" t="s">
        <v>498</v>
      </c>
      <c r="G1208" s="6" t="s">
        <v>18</v>
      </c>
      <c r="H1208" s="6" t="s">
        <v>35</v>
      </c>
      <c r="I1208" s="6">
        <v>1200</v>
      </c>
      <c r="J1208" s="6">
        <v>700</v>
      </c>
      <c r="K1208" s="6">
        <v>1</v>
      </c>
      <c r="L1208" s="10">
        <f t="shared" si="32"/>
        <v>0.54</v>
      </c>
      <c r="M1208" s="6" t="s">
        <v>43</v>
      </c>
      <c r="N1208" s="6" t="s">
        <v>209</v>
      </c>
      <c r="O1208" s="6"/>
      <c r="P1208" s="17" t="s">
        <v>54</v>
      </c>
      <c r="Q1208" s="17" t="s">
        <v>54</v>
      </c>
      <c r="R1208" s="17" t="s">
        <v>54</v>
      </c>
    </row>
    <row r="1209" spans="1:18" ht="30" customHeight="1" x14ac:dyDescent="0.3">
      <c r="A1209" s="7">
        <v>45715.711108449075</v>
      </c>
      <c r="B1209" s="6" t="s">
        <v>4</v>
      </c>
      <c r="C1209" s="6"/>
      <c r="D1209" s="6" t="str">
        <f>VLOOKUP(B1209,'Veri doğrulama'!$D$6:$E$13,2,0)</f>
        <v>MEHMET YAZICI</v>
      </c>
      <c r="E1209" s="6" t="s">
        <v>551</v>
      </c>
      <c r="F1209" s="6" t="s">
        <v>533</v>
      </c>
      <c r="G1209" s="6" t="s">
        <v>14</v>
      </c>
      <c r="H1209" s="6" t="s">
        <v>34</v>
      </c>
      <c r="I1209" s="6">
        <v>355</v>
      </c>
      <c r="J1209" s="6">
        <v>379</v>
      </c>
      <c r="K1209" s="6">
        <v>1</v>
      </c>
      <c r="L1209" s="10">
        <f t="shared" si="32"/>
        <v>0.84</v>
      </c>
      <c r="M1209" s="6" t="s">
        <v>37</v>
      </c>
      <c r="N1209" s="6" t="s">
        <v>389</v>
      </c>
      <c r="O1209" s="6"/>
      <c r="P1209" s="17" t="s">
        <v>54</v>
      </c>
      <c r="Q1209" s="17" t="s">
        <v>54</v>
      </c>
      <c r="R1209" s="17" t="s">
        <v>54</v>
      </c>
    </row>
    <row r="1210" spans="1:18" ht="30" customHeight="1" x14ac:dyDescent="0.3">
      <c r="A1210" s="7">
        <v>45715.677843750003</v>
      </c>
      <c r="B1210" s="6" t="s">
        <v>5</v>
      </c>
      <c r="C1210" s="6"/>
      <c r="D1210" s="6" t="str">
        <f>VLOOKUP(B1210,'Veri doğrulama'!$D$6:$E$13,2,0)</f>
        <v>MEHMET ÖZEN</v>
      </c>
      <c r="E1210" s="6"/>
      <c r="F1210" s="6" t="s">
        <v>499</v>
      </c>
      <c r="G1210" s="6" t="s">
        <v>16</v>
      </c>
      <c r="H1210" s="6" t="s">
        <v>34</v>
      </c>
      <c r="I1210" s="6">
        <v>2163</v>
      </c>
      <c r="J1210" s="6">
        <v>699</v>
      </c>
      <c r="K1210" s="6">
        <v>1</v>
      </c>
      <c r="L1210" s="10">
        <f t="shared" si="32"/>
        <v>0.26909</v>
      </c>
      <c r="M1210" s="6" t="s">
        <v>43</v>
      </c>
      <c r="N1210" s="6"/>
      <c r="O1210" s="6"/>
      <c r="P1210" s="17" t="s">
        <v>54</v>
      </c>
      <c r="Q1210" s="17" t="s">
        <v>54</v>
      </c>
      <c r="R1210" s="17"/>
    </row>
    <row r="1211" spans="1:18" ht="30" customHeight="1" x14ac:dyDescent="0.3">
      <c r="A1211" s="7">
        <v>45715.605452083335</v>
      </c>
      <c r="B1211" s="6" t="s">
        <v>4</v>
      </c>
      <c r="C1211" s="6"/>
      <c r="D1211" s="6" t="str">
        <f>VLOOKUP(B1211,'Veri doğrulama'!$D$6:$E$13,2,0)</f>
        <v>MEHMET YAZICI</v>
      </c>
      <c r="E1211" s="6"/>
      <c r="F1211" s="6" t="s">
        <v>511</v>
      </c>
      <c r="G1211" s="6" t="s">
        <v>26</v>
      </c>
      <c r="H1211" s="6" t="s">
        <v>35</v>
      </c>
      <c r="I1211" s="6">
        <v>630</v>
      </c>
      <c r="J1211" s="6">
        <v>404</v>
      </c>
      <c r="K1211" s="6">
        <v>2</v>
      </c>
      <c r="L1211" s="10">
        <f t="shared" si="32"/>
        <v>1.5119370000000001</v>
      </c>
      <c r="M1211" s="6" t="s">
        <v>102</v>
      </c>
      <c r="N1211" s="6" t="s">
        <v>159</v>
      </c>
      <c r="O1211" s="6"/>
      <c r="P1211" s="17" t="s">
        <v>54</v>
      </c>
      <c r="Q1211" s="17" t="s">
        <v>54</v>
      </c>
      <c r="R1211" s="17" t="s">
        <v>54</v>
      </c>
    </row>
    <row r="1212" spans="1:18" ht="30" customHeight="1" x14ac:dyDescent="0.3">
      <c r="A1212" s="7">
        <v>45715.604971875</v>
      </c>
      <c r="B1212" s="6" t="s">
        <v>7</v>
      </c>
      <c r="C1212" s="6"/>
      <c r="D1212" s="6" t="str">
        <f>VLOOKUP(B1212,'Veri doğrulama'!$D$6:$E$13,2,0)</f>
        <v>SIDDIK KAPLAN</v>
      </c>
      <c r="E1212" s="6" t="s">
        <v>501</v>
      </c>
      <c r="F1212" s="6" t="s">
        <v>500</v>
      </c>
      <c r="G1212" s="6" t="s">
        <v>15</v>
      </c>
      <c r="H1212" s="6" t="s">
        <v>34</v>
      </c>
      <c r="I1212" s="6">
        <v>1620</v>
      </c>
      <c r="J1212" s="6">
        <v>1520</v>
      </c>
      <c r="K1212" s="6">
        <v>1</v>
      </c>
      <c r="L1212" s="10">
        <f t="shared" si="32"/>
        <v>0.50904000000000005</v>
      </c>
      <c r="M1212" s="6" t="s">
        <v>75</v>
      </c>
      <c r="N1212" s="6"/>
      <c r="O1212" s="6"/>
      <c r="P1212" s="17" t="s">
        <v>54</v>
      </c>
      <c r="Q1212" s="17" t="s">
        <v>54</v>
      </c>
      <c r="R1212" s="17"/>
    </row>
    <row r="1213" spans="1:18" ht="30" customHeight="1" x14ac:dyDescent="0.3">
      <c r="A1213" s="7">
        <v>45715.559750115739</v>
      </c>
      <c r="B1213" s="6" t="s">
        <v>7</v>
      </c>
      <c r="C1213" s="6"/>
      <c r="D1213" s="6" t="str">
        <f>VLOOKUP(B1213,'Veri doğrulama'!$D$6:$E$13,2,0)</f>
        <v>SIDDIK KAPLAN</v>
      </c>
      <c r="E1213" s="6" t="s">
        <v>514</v>
      </c>
      <c r="F1213" s="6" t="s">
        <v>489</v>
      </c>
      <c r="G1213" s="6" t="s">
        <v>15</v>
      </c>
      <c r="H1213" s="6" t="s">
        <v>34</v>
      </c>
      <c r="I1213" s="6">
        <v>1800</v>
      </c>
      <c r="J1213" s="6">
        <v>450</v>
      </c>
      <c r="K1213" s="6">
        <v>2</v>
      </c>
      <c r="L1213" s="10">
        <f t="shared" si="32"/>
        <v>4.9248000000000003</v>
      </c>
      <c r="M1213" s="6" t="s">
        <v>75</v>
      </c>
      <c r="N1213" s="6" t="s">
        <v>209</v>
      </c>
      <c r="O1213" s="6"/>
      <c r="P1213" s="17" t="s">
        <v>54</v>
      </c>
      <c r="Q1213" s="17" t="s">
        <v>54</v>
      </c>
      <c r="R1213" s="17" t="s">
        <v>54</v>
      </c>
    </row>
    <row r="1214" spans="1:18" ht="30" customHeight="1" x14ac:dyDescent="0.3">
      <c r="A1214" s="7">
        <v>45715.457381250002</v>
      </c>
      <c r="B1214" s="6" t="s">
        <v>4</v>
      </c>
      <c r="C1214" s="6"/>
      <c r="D1214" s="6" t="str">
        <f>VLOOKUP(B1214,'Veri doğrulama'!$D$6:$E$13,2,0)</f>
        <v>MEHMET YAZICI</v>
      </c>
      <c r="E1214" s="6"/>
      <c r="F1214" s="6" t="s">
        <v>584</v>
      </c>
      <c r="G1214" s="6" t="s">
        <v>23</v>
      </c>
      <c r="H1214" s="6" t="s">
        <v>34</v>
      </c>
      <c r="I1214" s="6">
        <v>720</v>
      </c>
      <c r="J1214" s="6">
        <v>340</v>
      </c>
      <c r="K1214" s="6">
        <v>2</v>
      </c>
      <c r="L1214" s="10">
        <f t="shared" si="32"/>
        <v>0.81</v>
      </c>
      <c r="M1214" s="6" t="s">
        <v>102</v>
      </c>
      <c r="N1214" s="6" t="s">
        <v>385</v>
      </c>
      <c r="O1214" s="6"/>
      <c r="P1214" s="17" t="s">
        <v>54</v>
      </c>
      <c r="Q1214" s="17" t="s">
        <v>54</v>
      </c>
      <c r="R1214" s="17" t="s">
        <v>54</v>
      </c>
    </row>
    <row r="1215" spans="1:18" ht="30" customHeight="1" x14ac:dyDescent="0.3">
      <c r="A1215" s="7">
        <v>45715.378590740744</v>
      </c>
      <c r="B1215" s="6" t="s">
        <v>4</v>
      </c>
      <c r="C1215" s="6"/>
      <c r="D1215" s="6" t="str">
        <f>VLOOKUP(B1215,'Veri doğrulama'!$D$6:$E$13,2,0)</f>
        <v>MEHMET YAZICI</v>
      </c>
      <c r="E1215" s="6"/>
      <c r="F1215" s="6" t="s">
        <v>262</v>
      </c>
      <c r="G1215" s="6" t="s">
        <v>17</v>
      </c>
      <c r="H1215" s="6" t="s">
        <v>34</v>
      </c>
      <c r="I1215" s="6">
        <v>518</v>
      </c>
      <c r="J1215" s="6">
        <v>397</v>
      </c>
      <c r="K1215" s="6">
        <v>1</v>
      </c>
      <c r="L1215" s="10">
        <f t="shared" si="32"/>
        <v>0.24479999999999999</v>
      </c>
      <c r="M1215" s="6" t="s">
        <v>43</v>
      </c>
      <c r="N1215" s="6" t="s">
        <v>389</v>
      </c>
      <c r="O1215" s="6"/>
      <c r="P1215" s="17" t="s">
        <v>54</v>
      </c>
      <c r="Q1215" s="17" t="s">
        <v>54</v>
      </c>
      <c r="R1215" s="17"/>
    </row>
    <row r="1216" spans="1:18" ht="30" customHeight="1" x14ac:dyDescent="0.3">
      <c r="A1216" s="7">
        <v>45714.730216203701</v>
      </c>
      <c r="B1216" s="6" t="s">
        <v>7</v>
      </c>
      <c r="C1216" s="6"/>
      <c r="D1216" s="6" t="str">
        <f>VLOOKUP(B1216,'Veri doğrulama'!$D$6:$E$13,2,0)</f>
        <v>SIDDIK KAPLAN</v>
      </c>
      <c r="E1216" s="6"/>
      <c r="F1216" s="6" t="s">
        <v>490</v>
      </c>
      <c r="G1216" s="6" t="s">
        <v>26</v>
      </c>
      <c r="H1216" s="6" t="s">
        <v>34</v>
      </c>
      <c r="I1216" s="6">
        <v>650</v>
      </c>
      <c r="J1216" s="6">
        <v>500</v>
      </c>
      <c r="K1216" s="6">
        <v>1</v>
      </c>
      <c r="L1216" s="10">
        <f t="shared" si="32"/>
        <v>0.205646</v>
      </c>
      <c r="M1216" s="6" t="s">
        <v>75</v>
      </c>
      <c r="N1216" s="6" t="s">
        <v>505</v>
      </c>
      <c r="O1216" s="6"/>
      <c r="P1216" s="17" t="s">
        <v>54</v>
      </c>
      <c r="Q1216" s="17" t="s">
        <v>54</v>
      </c>
    </row>
    <row r="1217" spans="1:18" ht="30" customHeight="1" x14ac:dyDescent="0.3">
      <c r="A1217" s="7">
        <v>45714.571422222223</v>
      </c>
      <c r="B1217" s="6" t="s">
        <v>4</v>
      </c>
      <c r="C1217" s="6"/>
      <c r="D1217" s="6" t="str">
        <f>VLOOKUP(B1217,'Veri doğrulama'!$D$6:$E$13,2,0)</f>
        <v>MEHMET YAZICI</v>
      </c>
      <c r="E1217" s="6" t="s">
        <v>519</v>
      </c>
      <c r="F1217" s="6" t="s">
        <v>493</v>
      </c>
      <c r="G1217" s="6" t="s">
        <v>18</v>
      </c>
      <c r="H1217" s="6" t="s">
        <v>34</v>
      </c>
      <c r="I1217" s="6">
        <v>1100</v>
      </c>
      <c r="J1217" s="6">
        <v>360</v>
      </c>
      <c r="K1217" s="6">
        <v>1</v>
      </c>
      <c r="L1217" s="10">
        <f t="shared" si="32"/>
        <v>0.32500000000000001</v>
      </c>
      <c r="M1217" s="6" t="s">
        <v>156</v>
      </c>
      <c r="N1217" s="6" t="s">
        <v>494</v>
      </c>
      <c r="O1217" s="6"/>
      <c r="P1217" s="17" t="s">
        <v>54</v>
      </c>
      <c r="Q1217" s="17" t="s">
        <v>54</v>
      </c>
      <c r="R1217" s="17" t="s">
        <v>54</v>
      </c>
    </row>
    <row r="1218" spans="1:18" ht="30" customHeight="1" x14ac:dyDescent="0.3">
      <c r="A1218" s="7">
        <v>45714.406902314811</v>
      </c>
      <c r="B1218" s="6" t="s">
        <v>5</v>
      </c>
      <c r="C1218" s="6"/>
      <c r="D1218" s="6" t="str">
        <f>VLOOKUP(B1218,'Veri doğrulama'!$D$6:$E$13,2,0)</f>
        <v>MEHMET ÖZEN</v>
      </c>
      <c r="E1218" s="6"/>
      <c r="F1218" s="6" t="s">
        <v>491</v>
      </c>
      <c r="G1218" s="6" t="s">
        <v>16</v>
      </c>
      <c r="H1218" s="6" t="s">
        <v>34</v>
      </c>
      <c r="I1218" s="6">
        <v>1990</v>
      </c>
      <c r="J1218" s="6">
        <v>840</v>
      </c>
      <c r="K1218" s="6">
        <v>1</v>
      </c>
      <c r="L1218" s="10">
        <f t="shared" si="32"/>
        <v>0.79200000000000004</v>
      </c>
      <c r="M1218" s="6" t="s">
        <v>43</v>
      </c>
      <c r="N1218" s="6"/>
      <c r="O1218" s="6"/>
      <c r="P1218" s="17" t="s">
        <v>54</v>
      </c>
      <c r="Q1218" s="17" t="s">
        <v>54</v>
      </c>
      <c r="R1218" s="17" t="s">
        <v>54</v>
      </c>
    </row>
    <row r="1219" spans="1:18" ht="30" customHeight="1" x14ac:dyDescent="0.3">
      <c r="A1219" s="7">
        <v>45714.384835069446</v>
      </c>
      <c r="B1219" s="6" t="s">
        <v>81</v>
      </c>
      <c r="C1219" s="6"/>
      <c r="D1219" s="6" t="str">
        <f>VLOOKUP(B1219,'Veri doğrulama'!$D$6:$E$13,2,0)</f>
        <v>İBRAHİM ÇELİK</v>
      </c>
      <c r="E1219" s="6"/>
      <c r="F1219" s="6" t="s">
        <v>55</v>
      </c>
      <c r="G1219" s="6" t="s">
        <v>16</v>
      </c>
      <c r="H1219" s="6" t="s">
        <v>34</v>
      </c>
      <c r="I1219" s="6">
        <v>870</v>
      </c>
      <c r="J1219" s="6">
        <v>1770</v>
      </c>
      <c r="K1219" s="6">
        <v>2</v>
      </c>
      <c r="L1219" s="10">
        <f t="shared" si="32"/>
        <v>1.6716</v>
      </c>
      <c r="M1219" s="6" t="s">
        <v>43</v>
      </c>
      <c r="N1219" s="6" t="s">
        <v>481</v>
      </c>
      <c r="O1219" s="6"/>
      <c r="P1219" s="17" t="s">
        <v>54</v>
      </c>
      <c r="Q1219" s="17" t="s">
        <v>54</v>
      </c>
      <c r="R1219" s="17"/>
    </row>
    <row r="1220" spans="1:18" ht="30" customHeight="1" x14ac:dyDescent="0.3">
      <c r="A1220" s="7">
        <v>45714.353488194443</v>
      </c>
      <c r="B1220" s="6" t="s">
        <v>5</v>
      </c>
      <c r="C1220" s="6"/>
      <c r="D1220" s="6" t="str">
        <f>VLOOKUP(B1220,'Veri doğrulama'!$D$6:$E$13,2,0)</f>
        <v>MEHMET ÖZEN</v>
      </c>
      <c r="E1220" s="6">
        <v>21429</v>
      </c>
      <c r="F1220" s="6" t="s">
        <v>486</v>
      </c>
      <c r="G1220" s="6" t="s">
        <v>23</v>
      </c>
      <c r="H1220" s="6" t="s">
        <v>34</v>
      </c>
      <c r="I1220" s="6">
        <v>539</v>
      </c>
      <c r="J1220" s="6">
        <v>250</v>
      </c>
      <c r="K1220" s="6">
        <v>1</v>
      </c>
      <c r="L1220" s="10">
        <f t="shared" ref="L1220:L1251" si="33">I1219*J1219/1000000*K1221</f>
        <v>1.5399</v>
      </c>
      <c r="M1220" s="6" t="s">
        <v>43</v>
      </c>
      <c r="N1220" s="6"/>
      <c r="O1220" s="6"/>
      <c r="P1220" s="17" t="s">
        <v>54</v>
      </c>
      <c r="Q1220" s="17" t="s">
        <v>54</v>
      </c>
      <c r="R1220" s="17"/>
    </row>
    <row r="1221" spans="1:18" ht="30" customHeight="1" x14ac:dyDescent="0.3">
      <c r="A1221" s="7">
        <v>45714.348981828705</v>
      </c>
      <c r="B1221" s="6" t="s">
        <v>81</v>
      </c>
      <c r="C1221" s="6"/>
      <c r="D1221" s="6" t="str">
        <f>VLOOKUP(B1221,'Veri doğrulama'!$D$6:$E$13,2,0)</f>
        <v>İBRAHİM ÇELİK</v>
      </c>
      <c r="E1221" s="6"/>
      <c r="F1221" s="6" t="s">
        <v>480</v>
      </c>
      <c r="G1221" s="6" t="s">
        <v>16</v>
      </c>
      <c r="H1221" s="6" t="s">
        <v>34</v>
      </c>
      <c r="I1221" s="6">
        <v>1070</v>
      </c>
      <c r="J1221" s="6">
        <v>320</v>
      </c>
      <c r="K1221" s="6">
        <v>1</v>
      </c>
      <c r="L1221" s="10">
        <f t="shared" si="33"/>
        <v>0.26950000000000002</v>
      </c>
      <c r="M1221" s="6" t="s">
        <v>43</v>
      </c>
      <c r="N1221" s="6" t="s">
        <v>481</v>
      </c>
      <c r="O1221" s="6"/>
      <c r="P1221" s="17" t="s">
        <v>54</v>
      </c>
      <c r="Q1221" s="17" t="s">
        <v>54</v>
      </c>
      <c r="R1221" s="17"/>
    </row>
    <row r="1222" spans="1:18" ht="30" customHeight="1" x14ac:dyDescent="0.3">
      <c r="A1222" s="7">
        <v>45713.757180671295</v>
      </c>
      <c r="B1222" s="6" t="s">
        <v>4</v>
      </c>
      <c r="C1222" s="6"/>
      <c r="D1222" s="6" t="str">
        <f>VLOOKUP(B1222,'Veri doğrulama'!$D$6:$E$13,2,0)</f>
        <v>MEHMET YAZICI</v>
      </c>
      <c r="E1222" s="6"/>
      <c r="F1222" s="6" t="s">
        <v>124</v>
      </c>
      <c r="G1222" s="6" t="s">
        <v>16</v>
      </c>
      <c r="H1222" s="6" t="s">
        <v>34</v>
      </c>
      <c r="I1222" s="6">
        <v>499</v>
      </c>
      <c r="J1222" s="6">
        <v>264</v>
      </c>
      <c r="K1222" s="6">
        <v>2</v>
      </c>
      <c r="L1222" s="10">
        <f t="shared" si="33"/>
        <v>0.68479999999999996</v>
      </c>
      <c r="M1222" s="6" t="s">
        <v>103</v>
      </c>
      <c r="N1222" s="6" t="s">
        <v>385</v>
      </c>
      <c r="O1222" s="6"/>
      <c r="P1222" s="17" t="s">
        <v>54</v>
      </c>
      <c r="Q1222" s="17" t="s">
        <v>54</v>
      </c>
      <c r="R1222" s="17" t="s">
        <v>54</v>
      </c>
    </row>
    <row r="1223" spans="1:18" ht="30" customHeight="1" x14ac:dyDescent="0.3">
      <c r="A1223" s="7">
        <v>45713.355842245372</v>
      </c>
      <c r="B1223" s="6" t="s">
        <v>7</v>
      </c>
      <c r="C1223" s="6"/>
      <c r="D1223" s="6" t="str">
        <f>VLOOKUP(B1223,'Veri doğrulama'!$D$6:$E$13,2,0)</f>
        <v>SIDDIK KAPLAN</v>
      </c>
      <c r="E1223" s="6">
        <v>21429</v>
      </c>
      <c r="F1223" s="6" t="s">
        <v>492</v>
      </c>
      <c r="G1223" s="6" t="s">
        <v>14</v>
      </c>
      <c r="H1223" s="6" t="s">
        <v>34</v>
      </c>
      <c r="I1223" s="6">
        <v>1200</v>
      </c>
      <c r="J1223" s="6">
        <v>800</v>
      </c>
      <c r="K1223" s="6">
        <v>2</v>
      </c>
      <c r="L1223" s="10">
        <f t="shared" si="33"/>
        <v>0.52694399999999997</v>
      </c>
      <c r="M1223" s="6" t="s">
        <v>43</v>
      </c>
      <c r="N1223" s="6"/>
      <c r="O1223" s="6"/>
      <c r="P1223" s="17" t="s">
        <v>54</v>
      </c>
      <c r="Q1223" s="17" t="s">
        <v>54</v>
      </c>
      <c r="R1223" s="17"/>
    </row>
    <row r="1224" spans="1:18" ht="30" customHeight="1" x14ac:dyDescent="0.3">
      <c r="A1224" s="7">
        <v>45712.692974074074</v>
      </c>
      <c r="B1224" s="6" t="s">
        <v>7</v>
      </c>
      <c r="C1224" s="6"/>
      <c r="D1224" s="6" t="str">
        <f>VLOOKUP(B1224,'Veri doğrulama'!$D$6:$E$13,2,0)</f>
        <v>SIDDIK KAPLAN</v>
      </c>
      <c r="E1224" s="6"/>
      <c r="F1224" s="6" t="s">
        <v>504</v>
      </c>
      <c r="G1224" s="6" t="s">
        <v>24</v>
      </c>
      <c r="H1224" s="6" t="s">
        <v>34</v>
      </c>
      <c r="I1224" s="6">
        <v>2000</v>
      </c>
      <c r="J1224" s="6">
        <v>840</v>
      </c>
      <c r="K1224" s="6">
        <v>4</v>
      </c>
      <c r="L1224" s="10">
        <f t="shared" si="33"/>
        <v>0.96</v>
      </c>
      <c r="M1224" s="6" t="s">
        <v>75</v>
      </c>
      <c r="N1224" s="6" t="s">
        <v>209</v>
      </c>
      <c r="O1224" s="6"/>
      <c r="P1224" s="17" t="s">
        <v>54</v>
      </c>
      <c r="Q1224" s="17" t="s">
        <v>54</v>
      </c>
      <c r="R1224" s="17"/>
    </row>
    <row r="1225" spans="1:18" ht="30" customHeight="1" x14ac:dyDescent="0.3">
      <c r="A1225" s="7">
        <v>45712.577259606478</v>
      </c>
      <c r="B1225" s="6" t="s">
        <v>5</v>
      </c>
      <c r="C1225" s="6"/>
      <c r="D1225" s="6" t="str">
        <f>VLOOKUP(B1225,'Veri doğrulama'!$D$6:$E$13,2,0)</f>
        <v>MEHMET ÖZEN</v>
      </c>
      <c r="E1225" s="6" t="s">
        <v>495</v>
      </c>
      <c r="F1225" s="6" t="s">
        <v>487</v>
      </c>
      <c r="G1225" s="6" t="s">
        <v>15</v>
      </c>
      <c r="H1225" s="6" t="s">
        <v>34</v>
      </c>
      <c r="I1225" s="6">
        <v>1500</v>
      </c>
      <c r="J1225" s="6">
        <v>500</v>
      </c>
      <c r="K1225" s="6">
        <v>1</v>
      </c>
      <c r="L1225" s="10">
        <f t="shared" si="33"/>
        <v>1.68</v>
      </c>
      <c r="M1225" s="6" t="s">
        <v>43</v>
      </c>
      <c r="N1225" s="6" t="s">
        <v>488</v>
      </c>
      <c r="O1225" s="6"/>
      <c r="P1225" s="17" t="s">
        <v>54</v>
      </c>
      <c r="Q1225" s="17" t="s">
        <v>54</v>
      </c>
      <c r="R1225" s="17" t="s">
        <v>54</v>
      </c>
    </row>
    <row r="1226" spans="1:18" ht="30" customHeight="1" x14ac:dyDescent="0.3">
      <c r="A1226" s="7">
        <v>45712.57622210648</v>
      </c>
      <c r="B1226" s="6" t="s">
        <v>4</v>
      </c>
      <c r="C1226" s="6"/>
      <c r="D1226" s="6" t="str">
        <f>VLOOKUP(B1226,'Veri doğrulama'!$D$6:$E$13,2,0)</f>
        <v>MEHMET YAZICI</v>
      </c>
      <c r="E1226" s="6"/>
      <c r="F1226" s="6" t="s">
        <v>100</v>
      </c>
      <c r="G1226" s="6" t="s">
        <v>14</v>
      </c>
      <c r="H1226" s="6" t="s">
        <v>34</v>
      </c>
      <c r="I1226" s="6">
        <v>735</v>
      </c>
      <c r="J1226" s="6">
        <v>397</v>
      </c>
      <c r="K1226" s="6">
        <v>1</v>
      </c>
      <c r="L1226" s="10">
        <f t="shared" si="33"/>
        <v>0.75</v>
      </c>
      <c r="M1226" s="6" t="s">
        <v>43</v>
      </c>
      <c r="N1226" s="6" t="s">
        <v>385</v>
      </c>
      <c r="O1226" s="6"/>
      <c r="P1226" s="17" t="s">
        <v>54</v>
      </c>
      <c r="Q1226" s="17" t="s">
        <v>54</v>
      </c>
      <c r="R1226" s="17" t="s">
        <v>54</v>
      </c>
    </row>
    <row r="1227" spans="1:18" ht="30" customHeight="1" x14ac:dyDescent="0.3">
      <c r="A1227" s="7">
        <v>45712.488504398149</v>
      </c>
      <c r="B1227" s="6" t="s">
        <v>4</v>
      </c>
      <c r="C1227" s="6"/>
      <c r="D1227" s="6" t="str">
        <f>VLOOKUP(B1227,'Veri doğrulama'!$D$6:$E$13,2,0)</f>
        <v>MEHMET YAZICI</v>
      </c>
      <c r="E1227" s="6"/>
      <c r="F1227" s="6" t="s">
        <v>477</v>
      </c>
      <c r="G1227" s="6" t="s">
        <v>16</v>
      </c>
      <c r="H1227" s="6" t="s">
        <v>34</v>
      </c>
      <c r="I1227" s="6">
        <v>2600</v>
      </c>
      <c r="J1227" s="6">
        <v>900</v>
      </c>
      <c r="K1227" s="6">
        <v>1</v>
      </c>
      <c r="L1227" s="10">
        <f t="shared" si="33"/>
        <v>0.29179500000000003</v>
      </c>
      <c r="M1227" s="6" t="s">
        <v>41</v>
      </c>
      <c r="N1227" s="6" t="s">
        <v>159</v>
      </c>
      <c r="O1227" s="6"/>
      <c r="P1227" s="17" t="s">
        <v>54</v>
      </c>
      <c r="Q1227" s="17" t="s">
        <v>54</v>
      </c>
      <c r="R1227" s="17"/>
    </row>
    <row r="1228" spans="1:18" ht="30" customHeight="1" x14ac:dyDescent="0.3">
      <c r="A1228" s="7">
        <v>45712.401949884261</v>
      </c>
      <c r="B1228" s="6" t="s">
        <v>5</v>
      </c>
      <c r="C1228" s="6"/>
      <c r="D1228" s="6" t="str">
        <f>VLOOKUP(B1228,'Veri doğrulama'!$D$6:$E$13,2,0)</f>
        <v>MEHMET ÖZEN</v>
      </c>
      <c r="E1228" s="6" t="s">
        <v>478</v>
      </c>
      <c r="F1228" s="6" t="s">
        <v>484</v>
      </c>
      <c r="G1228" s="6" t="s">
        <v>26</v>
      </c>
      <c r="H1228" s="6" t="s">
        <v>34</v>
      </c>
      <c r="I1228" s="6">
        <v>1566</v>
      </c>
      <c r="J1228" s="6">
        <v>520</v>
      </c>
      <c r="K1228" s="6">
        <v>1</v>
      </c>
      <c r="L1228" s="10">
        <f t="shared" si="33"/>
        <v>2.34</v>
      </c>
      <c r="M1228" s="6" t="s">
        <v>75</v>
      </c>
      <c r="N1228" s="6"/>
      <c r="O1228" s="6"/>
      <c r="P1228" s="17" t="s">
        <v>54</v>
      </c>
      <c r="Q1228" s="17" t="s">
        <v>54</v>
      </c>
      <c r="R1228" s="17"/>
    </row>
    <row r="1229" spans="1:18" ht="30" customHeight="1" x14ac:dyDescent="0.3">
      <c r="A1229" s="7">
        <v>45712.377897685183</v>
      </c>
      <c r="B1229" s="6" t="s">
        <v>4</v>
      </c>
      <c r="C1229" s="6"/>
      <c r="D1229" s="6" t="str">
        <f>VLOOKUP(B1229,'Veri doğrulama'!$D$6:$E$13,2,0)</f>
        <v>MEHMET YAZICI</v>
      </c>
      <c r="E1229" s="6"/>
      <c r="F1229" s="6" t="s">
        <v>471</v>
      </c>
      <c r="G1229" s="6" t="s">
        <v>26</v>
      </c>
      <c r="H1229" s="6" t="s">
        <v>34</v>
      </c>
      <c r="I1229" s="6">
        <v>1500</v>
      </c>
      <c r="J1229" s="6">
        <v>520</v>
      </c>
      <c r="K1229" s="6">
        <v>1</v>
      </c>
      <c r="L1229" s="10">
        <f t="shared" si="33"/>
        <v>0.81432000000000004</v>
      </c>
      <c r="M1229" s="6" t="s">
        <v>75</v>
      </c>
      <c r="N1229" s="6" t="s">
        <v>385</v>
      </c>
      <c r="O1229" s="6"/>
      <c r="P1229" s="17" t="s">
        <v>54</v>
      </c>
      <c r="Q1229" s="17" t="s">
        <v>54</v>
      </c>
      <c r="R1229" s="17" t="s">
        <v>54</v>
      </c>
    </row>
    <row r="1230" spans="1:18" ht="30" customHeight="1" x14ac:dyDescent="0.3">
      <c r="A1230" s="7">
        <v>45712.37736053241</v>
      </c>
      <c r="B1230" s="6" t="s">
        <v>4</v>
      </c>
      <c r="C1230" s="6"/>
      <c r="D1230" s="6" t="str">
        <f>VLOOKUP(B1230,'Veri doğrulama'!$D$6:$E$13,2,0)</f>
        <v>MEHMET YAZICI</v>
      </c>
      <c r="E1230" s="6"/>
      <c r="F1230" s="6" t="s">
        <v>482</v>
      </c>
      <c r="G1230" s="6" t="s">
        <v>18</v>
      </c>
      <c r="H1230" s="6" t="s">
        <v>34</v>
      </c>
      <c r="I1230" s="6">
        <v>2163</v>
      </c>
      <c r="J1230" s="6">
        <v>720</v>
      </c>
      <c r="K1230" s="6">
        <v>1</v>
      </c>
      <c r="L1230" s="10">
        <f t="shared" si="33"/>
        <v>0.78</v>
      </c>
      <c r="M1230" s="6" t="s">
        <v>252</v>
      </c>
      <c r="N1230" s="6" t="s">
        <v>483</v>
      </c>
      <c r="O1230" s="6"/>
      <c r="P1230" s="17" t="s">
        <v>54</v>
      </c>
      <c r="Q1230" s="17" t="s">
        <v>54</v>
      </c>
      <c r="R1230" s="17"/>
    </row>
    <row r="1231" spans="1:18" ht="30" customHeight="1" x14ac:dyDescent="0.3">
      <c r="A1231" s="7">
        <v>45712.376747222224</v>
      </c>
      <c r="B1231" s="6" t="s">
        <v>5</v>
      </c>
      <c r="C1231" s="6"/>
      <c r="D1231" s="6" t="str">
        <f>VLOOKUP(B1231,'Veri doğrulama'!$D$6:$E$13,2,0)</f>
        <v>MEHMET ÖZEN</v>
      </c>
      <c r="E1231" s="6" t="s">
        <v>448</v>
      </c>
      <c r="F1231" s="6" t="s">
        <v>540</v>
      </c>
      <c r="G1231" s="6" t="s">
        <v>19</v>
      </c>
      <c r="H1231" s="6" t="s">
        <v>34</v>
      </c>
      <c r="I1231" s="6">
        <v>489</v>
      </c>
      <c r="J1231" s="6">
        <v>440</v>
      </c>
      <c r="K1231" s="6">
        <v>1</v>
      </c>
      <c r="L1231" s="10">
        <f t="shared" si="33"/>
        <v>1.5573600000000001</v>
      </c>
      <c r="M1231" s="6" t="s">
        <v>103</v>
      </c>
      <c r="N1231" s="6" t="s">
        <v>385</v>
      </c>
      <c r="O1231" s="6"/>
      <c r="P1231" s="17" t="s">
        <v>54</v>
      </c>
      <c r="Q1231" s="17" t="s">
        <v>54</v>
      </c>
      <c r="R1231" s="17"/>
    </row>
    <row r="1232" spans="1:18" ht="30" customHeight="1" x14ac:dyDescent="0.3">
      <c r="A1232" s="7">
        <v>45709.489852662038</v>
      </c>
      <c r="B1232" s="6" t="s">
        <v>4</v>
      </c>
      <c r="C1232" s="6"/>
      <c r="D1232" s="6" t="str">
        <f>VLOOKUP(B1232,'Veri doğrulama'!$D$6:$E$13,2,0)</f>
        <v>MEHMET YAZICI</v>
      </c>
      <c r="E1232" s="6"/>
      <c r="F1232" s="6" t="s">
        <v>101</v>
      </c>
      <c r="G1232" s="6" t="s">
        <v>16</v>
      </c>
      <c r="H1232" s="6" t="s">
        <v>34</v>
      </c>
      <c r="I1232" s="6">
        <v>800</v>
      </c>
      <c r="J1232" s="6">
        <v>385</v>
      </c>
      <c r="K1232" s="6">
        <v>1</v>
      </c>
      <c r="L1232" s="10">
        <f t="shared" si="33"/>
        <v>0.21515999999999999</v>
      </c>
      <c r="M1232" s="6" t="s">
        <v>39</v>
      </c>
      <c r="N1232" s="6" t="s">
        <v>399</v>
      </c>
      <c r="O1232" s="6"/>
      <c r="P1232" s="17" t="s">
        <v>54</v>
      </c>
      <c r="Q1232" s="17" t="s">
        <v>54</v>
      </c>
      <c r="R1232" s="17" t="s">
        <v>54</v>
      </c>
    </row>
    <row r="1233" spans="1:18" ht="30" customHeight="1" x14ac:dyDescent="0.3">
      <c r="A1233" s="7">
        <v>45709.488927893515</v>
      </c>
      <c r="B1233" s="6" t="s">
        <v>5</v>
      </c>
      <c r="C1233" s="6"/>
      <c r="D1233" s="6" t="str">
        <f>VLOOKUP(B1233,'Veri doğrulama'!$D$6:$E$13,2,0)</f>
        <v>MEHMET ÖZEN</v>
      </c>
      <c r="E1233" s="6" t="s">
        <v>543</v>
      </c>
      <c r="F1233" s="6" t="s">
        <v>265</v>
      </c>
      <c r="G1233" s="11" t="s">
        <v>18</v>
      </c>
      <c r="H1233" s="6" t="s">
        <v>35</v>
      </c>
      <c r="I1233" s="6">
        <v>960</v>
      </c>
      <c r="J1233" s="6">
        <v>770</v>
      </c>
      <c r="K1233" s="6">
        <v>1</v>
      </c>
      <c r="L1233" s="10">
        <f t="shared" si="33"/>
        <v>0.61599999999999999</v>
      </c>
      <c r="M1233" s="6" t="s">
        <v>103</v>
      </c>
      <c r="N1233" s="6" t="s">
        <v>468</v>
      </c>
      <c r="O1233" s="6"/>
      <c r="P1233" s="17" t="s">
        <v>54</v>
      </c>
      <c r="Q1233" s="17" t="s">
        <v>54</v>
      </c>
      <c r="R1233" s="17" t="s">
        <v>54</v>
      </c>
    </row>
    <row r="1234" spans="1:18" ht="30" customHeight="1" x14ac:dyDescent="0.3">
      <c r="A1234" s="7">
        <v>45709.488071064814</v>
      </c>
      <c r="B1234" s="6" t="s">
        <v>4</v>
      </c>
      <c r="C1234" s="6"/>
      <c r="D1234" s="6" t="str">
        <f>VLOOKUP(B1234,'Veri doğrulama'!$D$6:$E$13,2,0)</f>
        <v>MEHMET YAZICI</v>
      </c>
      <c r="E1234" s="6" t="s">
        <v>473</v>
      </c>
      <c r="F1234" s="6" t="s">
        <v>529</v>
      </c>
      <c r="G1234" s="6" t="s">
        <v>28</v>
      </c>
      <c r="H1234" s="6" t="s">
        <v>34</v>
      </c>
      <c r="I1234" s="6">
        <v>1800</v>
      </c>
      <c r="J1234" s="6">
        <v>686</v>
      </c>
      <c r="K1234" s="6">
        <v>2</v>
      </c>
      <c r="L1234" s="10">
        <f t="shared" si="33"/>
        <v>0.73919999999999997</v>
      </c>
      <c r="M1234" s="6" t="s">
        <v>103</v>
      </c>
      <c r="N1234" s="6" t="s">
        <v>179</v>
      </c>
      <c r="O1234" s="6"/>
      <c r="P1234" s="17" t="s">
        <v>54</v>
      </c>
      <c r="Q1234" s="17" t="s">
        <v>54</v>
      </c>
      <c r="R1234" s="17" t="s">
        <v>54</v>
      </c>
    </row>
    <row r="1235" spans="1:18" ht="30" customHeight="1" x14ac:dyDescent="0.3">
      <c r="A1235" s="7">
        <v>45709.486535069445</v>
      </c>
      <c r="B1235" s="6" t="s">
        <v>5</v>
      </c>
      <c r="C1235" s="6"/>
      <c r="D1235" s="6" t="str">
        <f>VLOOKUP(B1235,'Veri doğrulama'!$D$6:$E$13,2,0)</f>
        <v>MEHMET ÖZEN</v>
      </c>
      <c r="E1235" s="6"/>
      <c r="F1235" s="6" t="s">
        <v>479</v>
      </c>
      <c r="G1235" s="6" t="s">
        <v>23</v>
      </c>
      <c r="H1235" s="6" t="s">
        <v>35</v>
      </c>
      <c r="I1235" s="6">
        <v>1148</v>
      </c>
      <c r="J1235" s="6">
        <v>557</v>
      </c>
      <c r="K1235" s="6">
        <v>1</v>
      </c>
      <c r="L1235" s="10">
        <f t="shared" si="33"/>
        <v>1.2347999999999999</v>
      </c>
      <c r="M1235" s="6" t="s">
        <v>42</v>
      </c>
      <c r="N1235" s="6" t="s">
        <v>53</v>
      </c>
      <c r="O1235" s="6"/>
      <c r="P1235" s="17" t="s">
        <v>54</v>
      </c>
      <c r="Q1235" s="17" t="s">
        <v>54</v>
      </c>
      <c r="R1235" s="17" t="s">
        <v>54</v>
      </c>
    </row>
    <row r="1236" spans="1:18" ht="30" customHeight="1" x14ac:dyDescent="0.3">
      <c r="A1236" s="7">
        <v>45709.406002199074</v>
      </c>
      <c r="B1236" s="6" t="s">
        <v>4</v>
      </c>
      <c r="C1236" s="6"/>
      <c r="D1236" s="6" t="str">
        <f>VLOOKUP(B1236,'Veri doğrulama'!$D$6:$E$13,2,0)</f>
        <v>MEHMET YAZICI</v>
      </c>
      <c r="E1236" s="6"/>
      <c r="F1236" s="6" t="s">
        <v>602</v>
      </c>
      <c r="G1236" s="6" t="s">
        <v>21</v>
      </c>
      <c r="H1236" s="6" t="s">
        <v>34</v>
      </c>
      <c r="I1236" s="6">
        <v>600</v>
      </c>
      <c r="J1236" s="6">
        <v>326</v>
      </c>
      <c r="K1236" s="6">
        <v>1</v>
      </c>
      <c r="L1236" s="10">
        <f t="shared" si="33"/>
        <v>0.639436</v>
      </c>
      <c r="M1236" s="6" t="s">
        <v>75</v>
      </c>
      <c r="N1236" s="6"/>
      <c r="O1236" s="6"/>
      <c r="P1236" s="17" t="s">
        <v>54</v>
      </c>
      <c r="Q1236" s="17" t="s">
        <v>54</v>
      </c>
      <c r="R1236" s="17" t="s">
        <v>54</v>
      </c>
    </row>
    <row r="1237" spans="1:18" ht="30" customHeight="1" x14ac:dyDescent="0.3">
      <c r="A1237" s="7">
        <v>45709.402803703706</v>
      </c>
      <c r="B1237" s="6" t="s">
        <v>5</v>
      </c>
      <c r="C1237" s="6"/>
      <c r="D1237" s="6" t="str">
        <f>VLOOKUP(B1237,'Veri doğrulama'!$D$6:$E$13,2,0)</f>
        <v>MEHMET ÖZEN</v>
      </c>
      <c r="E1237" s="6"/>
      <c r="F1237" s="6" t="s">
        <v>467</v>
      </c>
      <c r="G1237" s="6" t="s">
        <v>16</v>
      </c>
      <c r="H1237" s="6" t="s">
        <v>34</v>
      </c>
      <c r="I1237" s="6">
        <v>1895</v>
      </c>
      <c r="J1237" s="6">
        <v>870</v>
      </c>
      <c r="K1237" s="6">
        <v>1</v>
      </c>
      <c r="L1237" s="10">
        <f t="shared" si="33"/>
        <v>0.39119999999999999</v>
      </c>
      <c r="M1237" s="6" t="s">
        <v>38</v>
      </c>
      <c r="N1237" s="6" t="s">
        <v>468</v>
      </c>
      <c r="O1237" s="6"/>
      <c r="P1237" s="17" t="s">
        <v>54</v>
      </c>
      <c r="Q1237" s="17" t="s">
        <v>54</v>
      </c>
      <c r="R1237" s="17"/>
    </row>
    <row r="1238" spans="1:18" ht="30" customHeight="1" x14ac:dyDescent="0.3">
      <c r="A1238" s="7">
        <v>45709.401793055556</v>
      </c>
      <c r="B1238" s="6" t="s">
        <v>6</v>
      </c>
      <c r="C1238" s="6"/>
      <c r="D1238" s="6" t="str">
        <f>VLOOKUP(B1238,'Veri doğrulama'!$D$6:$E$13,2,0)</f>
        <v>SERVET KAPLAN</v>
      </c>
      <c r="E1238" s="6"/>
      <c r="F1238" s="6" t="s">
        <v>485</v>
      </c>
      <c r="G1238" s="6" t="s">
        <v>17</v>
      </c>
      <c r="H1238" s="6" t="s">
        <v>34</v>
      </c>
      <c r="I1238" s="6">
        <v>1770</v>
      </c>
      <c r="J1238" s="6">
        <v>870</v>
      </c>
      <c r="K1238" s="6">
        <v>2</v>
      </c>
      <c r="L1238" s="10">
        <f t="shared" si="33"/>
        <v>1.6486499999999999</v>
      </c>
      <c r="M1238" s="6" t="s">
        <v>103</v>
      </c>
      <c r="N1238" s="6"/>
      <c r="O1238" s="6"/>
      <c r="P1238" s="17" t="s">
        <v>54</v>
      </c>
      <c r="Q1238" s="17" t="s">
        <v>54</v>
      </c>
      <c r="R1238" s="17" t="s">
        <v>54</v>
      </c>
    </row>
    <row r="1239" spans="1:18" ht="30" customHeight="1" x14ac:dyDescent="0.3">
      <c r="A1239" s="7">
        <v>45709.355894444445</v>
      </c>
      <c r="B1239" s="6" t="s">
        <v>5</v>
      </c>
      <c r="C1239" s="6"/>
      <c r="D1239" s="6" t="str">
        <f>VLOOKUP(B1239,'Veri doğrulama'!$D$6:$E$13,2,0)</f>
        <v>MEHMET ÖZEN</v>
      </c>
      <c r="E1239" s="6"/>
      <c r="F1239" s="6" t="s">
        <v>469</v>
      </c>
      <c r="G1239" s="6" t="s">
        <v>19</v>
      </c>
      <c r="H1239" s="6" t="s">
        <v>34</v>
      </c>
      <c r="I1239" s="6">
        <v>1370</v>
      </c>
      <c r="J1239" s="6">
        <v>1370</v>
      </c>
      <c r="K1239" s="6">
        <v>1</v>
      </c>
      <c r="L1239" s="10">
        <f t="shared" si="33"/>
        <v>1.5399</v>
      </c>
      <c r="M1239" s="6" t="s">
        <v>42</v>
      </c>
      <c r="N1239" s="6" t="s">
        <v>468</v>
      </c>
      <c r="O1239" s="6"/>
      <c r="P1239" s="17" t="s">
        <v>54</v>
      </c>
      <c r="Q1239" s="17" t="s">
        <v>54</v>
      </c>
      <c r="R1239" s="17" t="s">
        <v>54</v>
      </c>
    </row>
    <row r="1240" spans="1:18" ht="30" customHeight="1" x14ac:dyDescent="0.3">
      <c r="A1240" s="7">
        <v>45708.658907407407</v>
      </c>
      <c r="B1240" s="6" t="s">
        <v>5</v>
      </c>
      <c r="C1240" s="6"/>
      <c r="D1240" s="6" t="str">
        <f>VLOOKUP(B1240,'Veri doğrulama'!$D$6:$E$13,2,0)</f>
        <v>MEHMET ÖZEN</v>
      </c>
      <c r="E1240" s="6"/>
      <c r="F1240" s="6" t="s">
        <v>460</v>
      </c>
      <c r="G1240" s="6" t="s">
        <v>16</v>
      </c>
      <c r="H1240" s="6" t="s">
        <v>34</v>
      </c>
      <c r="I1240" s="6">
        <v>1320</v>
      </c>
      <c r="J1240" s="6">
        <v>1320</v>
      </c>
      <c r="K1240" s="6">
        <v>1</v>
      </c>
      <c r="L1240" s="10">
        <f t="shared" si="33"/>
        <v>1.8769</v>
      </c>
      <c r="M1240" s="6" t="s">
        <v>43</v>
      </c>
      <c r="N1240" s="6"/>
      <c r="O1240" s="6"/>
      <c r="P1240" s="17" t="s">
        <v>54</v>
      </c>
      <c r="Q1240" s="17" t="s">
        <v>54</v>
      </c>
      <c r="R1240" s="17" t="s">
        <v>54</v>
      </c>
    </row>
    <row r="1241" spans="1:18" ht="30" customHeight="1" x14ac:dyDescent="0.3">
      <c r="A1241" s="7">
        <v>45708.650886805553</v>
      </c>
      <c r="B1241" s="6" t="s">
        <v>4</v>
      </c>
      <c r="C1241" s="6"/>
      <c r="D1241" s="6" t="str">
        <f>VLOOKUP(B1241,'Veri doğrulama'!$D$6:$E$13,2,0)</f>
        <v>MEHMET YAZICI</v>
      </c>
      <c r="E1241" s="6"/>
      <c r="F1241" s="6" t="s">
        <v>506</v>
      </c>
      <c r="G1241" s="6" t="s">
        <v>13</v>
      </c>
      <c r="H1241" s="6" t="s">
        <v>35</v>
      </c>
      <c r="I1241" s="6">
        <v>397</v>
      </c>
      <c r="J1241" s="6">
        <v>397</v>
      </c>
      <c r="K1241" s="6">
        <v>1</v>
      </c>
      <c r="L1241" s="10">
        <f t="shared" si="33"/>
        <v>1.7423999999999999</v>
      </c>
      <c r="M1241" s="6" t="s">
        <v>41</v>
      </c>
      <c r="N1241" s="6" t="s">
        <v>399</v>
      </c>
      <c r="O1241" s="6"/>
      <c r="P1241" s="17" t="s">
        <v>54</v>
      </c>
      <c r="Q1241" s="17" t="s">
        <v>54</v>
      </c>
      <c r="R1241" s="17"/>
    </row>
    <row r="1242" spans="1:18" ht="30" customHeight="1" x14ac:dyDescent="0.3">
      <c r="A1242" s="7">
        <v>45708.649999652778</v>
      </c>
      <c r="B1242" s="6" t="s">
        <v>5</v>
      </c>
      <c r="C1242" s="6"/>
      <c r="D1242" s="6" t="str">
        <f>VLOOKUP(B1242,'Veri doğrulama'!$D$6:$E$13,2,0)</f>
        <v>MEHMET ÖZEN</v>
      </c>
      <c r="E1242" s="6"/>
      <c r="F1242" s="6" t="s">
        <v>455</v>
      </c>
      <c r="G1242" s="6" t="s">
        <v>13</v>
      </c>
      <c r="H1242" s="6" t="s">
        <v>34</v>
      </c>
      <c r="I1242" s="6">
        <v>860</v>
      </c>
      <c r="J1242" s="6">
        <v>340</v>
      </c>
      <c r="K1242" s="6">
        <v>1</v>
      </c>
      <c r="L1242" s="10">
        <f t="shared" si="33"/>
        <v>0.157609</v>
      </c>
      <c r="M1242" s="6" t="s">
        <v>37</v>
      </c>
      <c r="N1242" s="6"/>
      <c r="O1242" s="6"/>
      <c r="P1242" s="17" t="s">
        <v>54</v>
      </c>
      <c r="Q1242" s="17" t="s">
        <v>54</v>
      </c>
      <c r="R1242" s="17"/>
    </row>
    <row r="1243" spans="1:18" ht="30" customHeight="1" x14ac:dyDescent="0.3">
      <c r="A1243" s="7">
        <v>45708.414918402777</v>
      </c>
      <c r="B1243" s="6" t="s">
        <v>4</v>
      </c>
      <c r="C1243" s="6"/>
      <c r="D1243" s="6" t="str">
        <f>VLOOKUP(B1243,'Veri doğrulama'!$D$6:$E$13,2,0)</f>
        <v>MEHMET YAZICI</v>
      </c>
      <c r="E1243" s="6" t="s">
        <v>509</v>
      </c>
      <c r="F1243" s="6" t="s">
        <v>474</v>
      </c>
      <c r="G1243" s="6" t="s">
        <v>15</v>
      </c>
      <c r="H1243" s="6" t="s">
        <v>34</v>
      </c>
      <c r="I1243" s="6">
        <v>530</v>
      </c>
      <c r="J1243" s="6">
        <v>436</v>
      </c>
      <c r="K1243" s="6">
        <v>1</v>
      </c>
      <c r="L1243" s="10">
        <f t="shared" si="33"/>
        <v>0.58479999999999999</v>
      </c>
      <c r="M1243" s="6" t="s">
        <v>103</v>
      </c>
      <c r="N1243" s="6" t="s">
        <v>399</v>
      </c>
      <c r="O1243" s="6"/>
      <c r="P1243" s="17" t="s">
        <v>54</v>
      </c>
      <c r="Q1243" s="17" t="s">
        <v>54</v>
      </c>
      <c r="R1243" s="17" t="s">
        <v>54</v>
      </c>
    </row>
    <row r="1244" spans="1:18" ht="30" customHeight="1" x14ac:dyDescent="0.3">
      <c r="A1244" s="7">
        <v>45708.414431249999</v>
      </c>
      <c r="B1244" s="6" t="s">
        <v>4</v>
      </c>
      <c r="C1244" s="6"/>
      <c r="D1244" s="6" t="str">
        <f>VLOOKUP(B1244,'Veri doğrulama'!$D$6:$E$13,2,0)</f>
        <v>MEHMET YAZICI</v>
      </c>
      <c r="E1244" s="6" t="s">
        <v>451</v>
      </c>
      <c r="F1244" s="6" t="s">
        <v>142</v>
      </c>
      <c r="G1244" s="6" t="s">
        <v>19</v>
      </c>
      <c r="H1244" s="6" t="s">
        <v>34</v>
      </c>
      <c r="I1244" s="6">
        <v>785</v>
      </c>
      <c r="J1244" s="6">
        <v>415</v>
      </c>
      <c r="K1244" s="6">
        <v>2</v>
      </c>
      <c r="L1244" s="10">
        <f t="shared" si="33"/>
        <v>0.23108000000000001</v>
      </c>
      <c r="M1244" s="6" t="s">
        <v>37</v>
      </c>
      <c r="N1244" s="6" t="s">
        <v>385</v>
      </c>
      <c r="O1244" s="6"/>
      <c r="P1244" s="17" t="s">
        <v>54</v>
      </c>
      <c r="Q1244" s="17" t="s">
        <v>54</v>
      </c>
      <c r="R1244" s="17" t="s">
        <v>54</v>
      </c>
    </row>
    <row r="1245" spans="1:18" ht="30" customHeight="1" x14ac:dyDescent="0.3">
      <c r="A1245" s="7">
        <v>45707.663111689813</v>
      </c>
      <c r="B1245" s="6" t="s">
        <v>4</v>
      </c>
      <c r="C1245" s="6"/>
      <c r="D1245" s="6" t="str">
        <f>VLOOKUP(B1245,'Veri doğrulama'!$D$6:$E$13,2,0)</f>
        <v>MEHMET YAZICI</v>
      </c>
      <c r="E1245" s="6" t="s">
        <v>475</v>
      </c>
      <c r="F1245" s="6" t="s">
        <v>453</v>
      </c>
      <c r="G1245" s="6" t="s">
        <v>19</v>
      </c>
      <c r="H1245" s="6" t="s">
        <v>34</v>
      </c>
      <c r="I1245" s="6">
        <v>300</v>
      </c>
      <c r="J1245" s="6">
        <v>1930</v>
      </c>
      <c r="K1245" s="6">
        <v>1</v>
      </c>
      <c r="L1245" s="10">
        <f t="shared" si="33"/>
        <v>0.65154999999999996</v>
      </c>
      <c r="M1245" s="6" t="s">
        <v>103</v>
      </c>
      <c r="N1245" s="6" t="s">
        <v>159</v>
      </c>
      <c r="O1245" s="6"/>
      <c r="P1245" s="17" t="s">
        <v>54</v>
      </c>
      <c r="Q1245" s="17" t="s">
        <v>54</v>
      </c>
      <c r="R1245" s="17"/>
    </row>
    <row r="1246" spans="1:18" ht="30" customHeight="1" x14ac:dyDescent="0.3">
      <c r="A1246" s="7">
        <v>45707.556781018517</v>
      </c>
      <c r="B1246" s="6" t="s">
        <v>4</v>
      </c>
      <c r="C1246" s="6"/>
      <c r="D1246" s="6" t="str">
        <f>VLOOKUP(B1246,'Veri doğrulama'!$D$6:$E$13,2,0)</f>
        <v>MEHMET YAZICI</v>
      </c>
      <c r="E1246" s="6"/>
      <c r="F1246" s="6" t="s">
        <v>434</v>
      </c>
      <c r="G1246" s="6" t="s">
        <v>15</v>
      </c>
      <c r="H1246" s="6" t="s">
        <v>34</v>
      </c>
      <c r="I1246" s="6">
        <v>1763</v>
      </c>
      <c r="J1246" s="6">
        <v>699</v>
      </c>
      <c r="K1246" s="6">
        <v>2</v>
      </c>
      <c r="L1246" s="10">
        <f t="shared" si="33"/>
        <v>0.57899999999999996</v>
      </c>
      <c r="M1246" s="6" t="s">
        <v>102</v>
      </c>
      <c r="N1246" s="6" t="s">
        <v>385</v>
      </c>
      <c r="O1246" s="6"/>
      <c r="P1246" s="17" t="s">
        <v>54</v>
      </c>
      <c r="Q1246" s="17" t="s">
        <v>54</v>
      </c>
      <c r="R1246" s="17"/>
    </row>
    <row r="1247" spans="1:18" ht="30" customHeight="1" x14ac:dyDescent="0.3">
      <c r="A1247" s="7">
        <v>45707.556198726852</v>
      </c>
      <c r="B1247" s="6" t="s">
        <v>4</v>
      </c>
      <c r="C1247" s="6"/>
      <c r="D1247" s="6" t="str">
        <f>VLOOKUP(B1247,'Veri doğrulama'!$D$6:$E$13,2,0)</f>
        <v>MEHMET YAZICI</v>
      </c>
      <c r="E1247" s="6"/>
      <c r="F1247" s="6" t="s">
        <v>458</v>
      </c>
      <c r="G1247" s="6" t="s">
        <v>17</v>
      </c>
      <c r="H1247" s="6" t="s">
        <v>35</v>
      </c>
      <c r="I1247" s="6">
        <v>2163</v>
      </c>
      <c r="J1247" s="6">
        <v>150</v>
      </c>
      <c r="K1247" s="6">
        <v>1</v>
      </c>
      <c r="L1247" s="10">
        <f t="shared" si="33"/>
        <v>1.232337</v>
      </c>
      <c r="M1247" s="6" t="s">
        <v>75</v>
      </c>
      <c r="N1247" s="6" t="s">
        <v>385</v>
      </c>
      <c r="O1247" s="6"/>
      <c r="P1247" s="17" t="s">
        <v>54</v>
      </c>
      <c r="Q1247" s="17" t="s">
        <v>54</v>
      </c>
      <c r="R1247" s="17" t="s">
        <v>54</v>
      </c>
    </row>
    <row r="1248" spans="1:18" ht="30" customHeight="1" x14ac:dyDescent="0.3">
      <c r="A1248" s="7">
        <v>45707.408537384261</v>
      </c>
      <c r="B1248" s="6" t="s">
        <v>4</v>
      </c>
      <c r="C1248" s="6"/>
      <c r="D1248" s="6" t="str">
        <f>VLOOKUP(B1248,'Veri doğrulama'!$D$6:$E$13,2,0)</f>
        <v>MEHMET YAZICI</v>
      </c>
      <c r="E1248" s="6"/>
      <c r="F1248" s="6" t="s">
        <v>472</v>
      </c>
      <c r="G1248" s="6" t="s">
        <v>14</v>
      </c>
      <c r="H1248" s="6" t="s">
        <v>34</v>
      </c>
      <c r="I1248" s="6">
        <v>1500</v>
      </c>
      <c r="J1248" s="6">
        <v>1010</v>
      </c>
      <c r="K1248" s="6">
        <v>1</v>
      </c>
      <c r="L1248" s="10">
        <f t="shared" si="33"/>
        <v>0.32445000000000002</v>
      </c>
      <c r="M1248" s="6" t="s">
        <v>102</v>
      </c>
      <c r="N1248" s="6" t="s">
        <v>402</v>
      </c>
      <c r="O1248" s="6"/>
      <c r="P1248" s="17" t="s">
        <v>54</v>
      </c>
      <c r="Q1248" s="17" t="s">
        <v>54</v>
      </c>
      <c r="R1248" s="17" t="s">
        <v>54</v>
      </c>
    </row>
    <row r="1249" spans="1:18" ht="30" customHeight="1" x14ac:dyDescent="0.3">
      <c r="A1249" s="7">
        <v>45707.363220833337</v>
      </c>
      <c r="B1249" s="6" t="s">
        <v>4</v>
      </c>
      <c r="C1249" s="6"/>
      <c r="D1249" s="6" t="str">
        <f>VLOOKUP(B1249,'Veri doğrulama'!$D$6:$E$13,2,0)</f>
        <v>MEHMET YAZICI</v>
      </c>
      <c r="E1249" s="6" t="s">
        <v>461</v>
      </c>
      <c r="F1249" s="6" t="s">
        <v>459</v>
      </c>
      <c r="G1249" s="6" t="s">
        <v>16</v>
      </c>
      <c r="H1249" s="6" t="s">
        <v>34</v>
      </c>
      <c r="I1249" s="6">
        <v>1100</v>
      </c>
      <c r="J1249" s="6">
        <v>320</v>
      </c>
      <c r="K1249" s="6">
        <v>1</v>
      </c>
      <c r="L1249" s="10">
        <f t="shared" si="33"/>
        <v>1.5149999999999999</v>
      </c>
      <c r="M1249" s="6" t="s">
        <v>75</v>
      </c>
      <c r="N1249" s="6" t="s">
        <v>399</v>
      </c>
      <c r="O1249" s="6"/>
      <c r="P1249" s="17" t="s">
        <v>54</v>
      </c>
      <c r="Q1249" s="17" t="s">
        <v>54</v>
      </c>
      <c r="R1249" s="17"/>
    </row>
    <row r="1250" spans="1:18" ht="30" customHeight="1" x14ac:dyDescent="0.3">
      <c r="A1250" s="7">
        <v>45707.339649305555</v>
      </c>
      <c r="B1250" s="6" t="s">
        <v>4</v>
      </c>
      <c r="C1250" s="6"/>
      <c r="D1250" s="6" t="str">
        <f>VLOOKUP(B1250,'Veri doğrulama'!$D$6:$E$13,2,0)</f>
        <v>MEHMET YAZICI</v>
      </c>
      <c r="E1250" s="6"/>
      <c r="F1250" s="6" t="s">
        <v>510</v>
      </c>
      <c r="G1250" s="6" t="s">
        <v>20</v>
      </c>
      <c r="H1250" s="6" t="s">
        <v>34</v>
      </c>
      <c r="I1250" s="6">
        <v>800</v>
      </c>
      <c r="J1250" s="6">
        <v>550</v>
      </c>
      <c r="K1250" s="6">
        <v>1</v>
      </c>
      <c r="L1250" s="10">
        <f t="shared" si="33"/>
        <v>0.70399999999999996</v>
      </c>
      <c r="M1250" s="6" t="s">
        <v>102</v>
      </c>
      <c r="N1250" s="6" t="s">
        <v>159</v>
      </c>
      <c r="O1250" s="6"/>
      <c r="P1250" s="17" t="s">
        <v>54</v>
      </c>
      <c r="Q1250" s="17" t="s">
        <v>54</v>
      </c>
      <c r="R1250" s="17" t="s">
        <v>54</v>
      </c>
    </row>
    <row r="1251" spans="1:18" ht="30" customHeight="1" x14ac:dyDescent="0.3">
      <c r="A1251" s="7">
        <v>45706.661558564818</v>
      </c>
      <c r="B1251" s="6" t="s">
        <v>4</v>
      </c>
      <c r="C1251" s="6"/>
      <c r="D1251" s="6" t="str">
        <f>VLOOKUP(B1251,'Veri doğrulama'!$D$6:$E$13,2,0)</f>
        <v>MEHMET YAZICI</v>
      </c>
      <c r="E1251" s="6" t="s">
        <v>457</v>
      </c>
      <c r="F1251" s="6" t="s">
        <v>466</v>
      </c>
      <c r="G1251" s="6" t="s">
        <v>18</v>
      </c>
      <c r="H1251" s="6" t="s">
        <v>35</v>
      </c>
      <c r="I1251" s="6">
        <v>2200</v>
      </c>
      <c r="J1251" s="6">
        <v>150</v>
      </c>
      <c r="K1251" s="6">
        <v>2</v>
      </c>
      <c r="L1251" s="10">
        <f t="shared" si="33"/>
        <v>0.44</v>
      </c>
      <c r="M1251" s="6" t="s">
        <v>103</v>
      </c>
      <c r="N1251" s="6" t="s">
        <v>385</v>
      </c>
      <c r="O1251" s="6"/>
      <c r="P1251" s="17" t="s">
        <v>54</v>
      </c>
      <c r="Q1251" s="17" t="s">
        <v>54</v>
      </c>
      <c r="R1251" s="17"/>
    </row>
    <row r="1252" spans="1:18" ht="30" customHeight="1" x14ac:dyDescent="0.3">
      <c r="A1252" s="7">
        <v>45706.660429976851</v>
      </c>
      <c r="B1252" s="6" t="s">
        <v>5</v>
      </c>
      <c r="C1252" s="6"/>
      <c r="D1252" s="6" t="str">
        <f>VLOOKUP(B1252,'Veri doğrulama'!$D$6:$E$13,2,0)</f>
        <v>MEHMET ÖZEN</v>
      </c>
      <c r="E1252" s="6" t="s">
        <v>512</v>
      </c>
      <c r="F1252" s="6" t="s">
        <v>454</v>
      </c>
      <c r="G1252" s="6" t="s">
        <v>13</v>
      </c>
      <c r="H1252" s="6" t="s">
        <v>35</v>
      </c>
      <c r="I1252" s="6">
        <v>540</v>
      </c>
      <c r="J1252" s="6">
        <v>344</v>
      </c>
      <c r="K1252" s="6">
        <v>1</v>
      </c>
      <c r="L1252" s="10">
        <f t="shared" ref="L1252:L1283" si="34">I1251*J1251/1000000*K1253</f>
        <v>0.33</v>
      </c>
      <c r="M1252" s="6" t="s">
        <v>75</v>
      </c>
      <c r="N1252" s="6"/>
      <c r="O1252" s="6"/>
      <c r="P1252" s="17" t="s">
        <v>54</v>
      </c>
      <c r="Q1252" s="17" t="s">
        <v>54</v>
      </c>
      <c r="R1252" s="17" t="s">
        <v>54</v>
      </c>
    </row>
    <row r="1253" spans="1:18" ht="30" customHeight="1" x14ac:dyDescent="0.3">
      <c r="A1253" s="7">
        <v>45706.501526041669</v>
      </c>
      <c r="B1253" s="6" t="s">
        <v>4</v>
      </c>
      <c r="C1253" s="6"/>
      <c r="D1253" s="6" t="str">
        <f>VLOOKUP(B1253,'Veri doğrulama'!$D$6:$E$13,2,0)</f>
        <v>MEHMET YAZICI</v>
      </c>
      <c r="E1253" s="6"/>
      <c r="F1253" s="6" t="s">
        <v>99</v>
      </c>
      <c r="G1253" s="6" t="s">
        <v>17</v>
      </c>
      <c r="H1253" s="6" t="s">
        <v>34</v>
      </c>
      <c r="I1253" s="6">
        <v>1435</v>
      </c>
      <c r="J1253" s="6">
        <v>360</v>
      </c>
      <c r="K1253" s="6">
        <v>1</v>
      </c>
      <c r="L1253" s="10">
        <f t="shared" si="34"/>
        <v>0.18576000000000001</v>
      </c>
      <c r="M1253" s="6" t="s">
        <v>75</v>
      </c>
      <c r="N1253" s="6" t="s">
        <v>385</v>
      </c>
      <c r="O1253" s="6"/>
      <c r="P1253" s="17" t="s">
        <v>54</v>
      </c>
      <c r="Q1253" s="17" t="s">
        <v>54</v>
      </c>
      <c r="R1253" s="17"/>
    </row>
    <row r="1254" spans="1:18" ht="30" customHeight="1" x14ac:dyDescent="0.3">
      <c r="A1254" s="7">
        <v>45706.439099421295</v>
      </c>
      <c r="B1254" s="6" t="s">
        <v>4</v>
      </c>
      <c r="C1254" s="6"/>
      <c r="D1254" s="6" t="str">
        <f>VLOOKUP(B1254,'Veri doğrulama'!$D$6:$E$13,2,0)</f>
        <v>MEHMET YAZICI</v>
      </c>
      <c r="E1254" s="6" t="s">
        <v>456</v>
      </c>
      <c r="F1254" s="6" t="s">
        <v>446</v>
      </c>
      <c r="G1254" s="6" t="s">
        <v>16</v>
      </c>
      <c r="H1254" s="6" t="s">
        <v>34</v>
      </c>
      <c r="I1254" s="6">
        <v>1800</v>
      </c>
      <c r="J1254" s="6">
        <v>400</v>
      </c>
      <c r="K1254" s="6">
        <v>1</v>
      </c>
      <c r="L1254" s="10">
        <f t="shared" si="34"/>
        <v>0.51659999999999995</v>
      </c>
      <c r="M1254" s="6" t="s">
        <v>37</v>
      </c>
      <c r="N1254" s="6" t="s">
        <v>447</v>
      </c>
      <c r="O1254" s="6"/>
      <c r="P1254" s="17" t="s">
        <v>54</v>
      </c>
      <c r="Q1254" s="17" t="s">
        <v>54</v>
      </c>
      <c r="R1254" s="17"/>
    </row>
    <row r="1255" spans="1:18" ht="30" customHeight="1" x14ac:dyDescent="0.3">
      <c r="A1255" s="7">
        <v>45706.417589699071</v>
      </c>
      <c r="B1255" s="6" t="s">
        <v>4</v>
      </c>
      <c r="C1255" s="6"/>
      <c r="D1255" s="6" t="str">
        <f>VLOOKUP(B1255,'Veri doğrulama'!$D$6:$E$13,2,0)</f>
        <v>MEHMET YAZICI</v>
      </c>
      <c r="E1255" s="6" t="s">
        <v>451</v>
      </c>
      <c r="F1255" s="6" t="s">
        <v>100</v>
      </c>
      <c r="G1255" s="6" t="s">
        <v>17</v>
      </c>
      <c r="H1255" s="6" t="s">
        <v>35</v>
      </c>
      <c r="I1255" s="6">
        <v>1450</v>
      </c>
      <c r="J1255" s="6">
        <v>397</v>
      </c>
      <c r="K1255" s="6">
        <v>1</v>
      </c>
      <c r="L1255" s="10">
        <f t="shared" si="34"/>
        <v>0.72</v>
      </c>
      <c r="M1255" s="6" t="s">
        <v>103</v>
      </c>
      <c r="N1255" s="6" t="s">
        <v>399</v>
      </c>
      <c r="O1255" s="6"/>
      <c r="P1255" s="17" t="s">
        <v>54</v>
      </c>
      <c r="Q1255" s="17" t="s">
        <v>54</v>
      </c>
      <c r="R1255" s="17" t="s">
        <v>54</v>
      </c>
    </row>
    <row r="1256" spans="1:18" ht="30" customHeight="1" x14ac:dyDescent="0.3">
      <c r="A1256" s="7">
        <v>45706.363985532407</v>
      </c>
      <c r="B1256" s="6" t="s">
        <v>4</v>
      </c>
      <c r="C1256" s="6"/>
      <c r="D1256" s="6" t="str">
        <f>VLOOKUP(B1256,'Veri doğrulama'!$D$6:$E$13,2,0)</f>
        <v>MEHMET YAZICI</v>
      </c>
      <c r="E1256" s="6"/>
      <c r="F1256" s="6" t="s">
        <v>80</v>
      </c>
      <c r="G1256" s="6" t="s">
        <v>24</v>
      </c>
      <c r="H1256" s="6" t="s">
        <v>34</v>
      </c>
      <c r="I1256" s="6">
        <v>1400</v>
      </c>
      <c r="J1256" s="6">
        <v>800</v>
      </c>
      <c r="K1256" s="6">
        <v>1</v>
      </c>
      <c r="L1256" s="10">
        <f t="shared" si="34"/>
        <v>0.57565</v>
      </c>
      <c r="M1256" s="6" t="s">
        <v>39</v>
      </c>
      <c r="N1256" s="6" t="s">
        <v>399</v>
      </c>
      <c r="O1256" s="6"/>
      <c r="P1256" s="17" t="s">
        <v>54</v>
      </c>
      <c r="Q1256" s="17" t="s">
        <v>54</v>
      </c>
      <c r="R1256" s="17" t="s">
        <v>54</v>
      </c>
    </row>
    <row r="1257" spans="1:18" ht="30" customHeight="1" x14ac:dyDescent="0.3">
      <c r="A1257" s="7">
        <v>45706.363444675924</v>
      </c>
      <c r="B1257" s="6" t="s">
        <v>5</v>
      </c>
      <c r="C1257" s="6"/>
      <c r="D1257" s="6" t="str">
        <f>VLOOKUP(B1257,'Veri doğrulama'!$D$6:$E$13,2,0)</f>
        <v>MEHMET ÖZEN</v>
      </c>
      <c r="E1257" s="6"/>
      <c r="F1257" s="6" t="s">
        <v>450</v>
      </c>
      <c r="G1257" s="6" t="s">
        <v>15</v>
      </c>
      <c r="H1257" s="6" t="s">
        <v>34</v>
      </c>
      <c r="I1257" s="6">
        <v>1620</v>
      </c>
      <c r="J1257" s="6">
        <v>1420</v>
      </c>
      <c r="K1257" s="6">
        <v>1</v>
      </c>
      <c r="L1257" s="10">
        <f t="shared" si="34"/>
        <v>2.2400000000000002</v>
      </c>
      <c r="M1257" s="6" t="s">
        <v>103</v>
      </c>
      <c r="N1257" s="6" t="s">
        <v>411</v>
      </c>
      <c r="O1257" s="6"/>
      <c r="P1257" s="17" t="s">
        <v>54</v>
      </c>
      <c r="Q1257" s="17" t="s">
        <v>54</v>
      </c>
      <c r="R1257" s="17" t="s">
        <v>54</v>
      </c>
    </row>
    <row r="1258" spans="1:18" ht="30" customHeight="1" x14ac:dyDescent="0.3">
      <c r="A1258" s="7">
        <v>45705.716419791665</v>
      </c>
      <c r="B1258" s="6" t="s">
        <v>4</v>
      </c>
      <c r="C1258" s="6"/>
      <c r="D1258" s="6" t="str">
        <f>VLOOKUP(B1258,'Veri doğrulama'!$D$6:$E$13,2,0)</f>
        <v>MEHMET YAZICI</v>
      </c>
      <c r="E1258" s="6" t="s">
        <v>476</v>
      </c>
      <c r="F1258" s="6" t="s">
        <v>463</v>
      </c>
      <c r="G1258" s="6" t="s">
        <v>23</v>
      </c>
      <c r="H1258" s="6" t="s">
        <v>34</v>
      </c>
      <c r="I1258" s="6">
        <v>539</v>
      </c>
      <c r="J1258" s="6">
        <v>250</v>
      </c>
      <c r="K1258" s="6">
        <v>2</v>
      </c>
      <c r="L1258" s="10">
        <f t="shared" si="34"/>
        <v>2.3003999999999998</v>
      </c>
      <c r="M1258" s="6" t="s">
        <v>156</v>
      </c>
      <c r="N1258" s="6" t="s">
        <v>385</v>
      </c>
      <c r="O1258" s="6"/>
      <c r="P1258" s="17" t="s">
        <v>54</v>
      </c>
      <c r="Q1258" s="17" t="s">
        <v>54</v>
      </c>
      <c r="R1258" s="17"/>
    </row>
    <row r="1259" spans="1:18" ht="30" customHeight="1" x14ac:dyDescent="0.3">
      <c r="A1259" s="7">
        <v>45705.714853240737</v>
      </c>
      <c r="B1259" s="6" t="s">
        <v>4</v>
      </c>
      <c r="C1259" s="6"/>
      <c r="D1259" s="6" t="str">
        <f>VLOOKUP(B1259,'Veri doğrulama'!$D$6:$E$13,2,0)</f>
        <v>MEHMET YAZICI</v>
      </c>
      <c r="E1259" s="6" t="s">
        <v>452</v>
      </c>
      <c r="F1259" s="6" t="s">
        <v>470</v>
      </c>
      <c r="G1259" s="6" t="s">
        <v>26</v>
      </c>
      <c r="H1259" s="6" t="s">
        <v>34</v>
      </c>
      <c r="I1259" s="6">
        <v>1566</v>
      </c>
      <c r="J1259" s="6">
        <v>520</v>
      </c>
      <c r="K1259" s="6">
        <v>1</v>
      </c>
      <c r="L1259" s="10">
        <f t="shared" si="34"/>
        <v>0.26950000000000002</v>
      </c>
      <c r="M1259" s="6" t="s">
        <v>42</v>
      </c>
      <c r="N1259" s="6" t="s">
        <v>385</v>
      </c>
      <c r="O1259" s="6"/>
      <c r="P1259" s="17" t="s">
        <v>54</v>
      </c>
      <c r="Q1259" s="17" t="s">
        <v>54</v>
      </c>
      <c r="R1259" s="17" t="s">
        <v>54</v>
      </c>
    </row>
    <row r="1260" spans="1:18" ht="30" customHeight="1" x14ac:dyDescent="0.3">
      <c r="A1260" s="7">
        <v>45705.713950810183</v>
      </c>
      <c r="B1260" s="6" t="s">
        <v>7</v>
      </c>
      <c r="C1260" s="6"/>
      <c r="D1260" s="6" t="str">
        <f>VLOOKUP(B1260,'Veri doğrulama'!$D$6:$E$13,2,0)</f>
        <v>SIDDIK KAPLAN</v>
      </c>
      <c r="E1260" s="6" t="s">
        <v>465</v>
      </c>
      <c r="F1260" s="6" t="s">
        <v>432</v>
      </c>
      <c r="G1260" s="6" t="s">
        <v>26</v>
      </c>
      <c r="H1260" s="6" t="s">
        <v>34</v>
      </c>
      <c r="I1260" s="6">
        <v>470</v>
      </c>
      <c r="J1260" s="6">
        <v>447</v>
      </c>
      <c r="K1260" s="6">
        <v>2</v>
      </c>
      <c r="L1260" s="10">
        <f t="shared" si="34"/>
        <v>0.81432000000000004</v>
      </c>
      <c r="M1260" s="6" t="s">
        <v>75</v>
      </c>
      <c r="N1260" s="6" t="s">
        <v>431</v>
      </c>
      <c r="O1260" s="6"/>
      <c r="P1260" s="17" t="s">
        <v>54</v>
      </c>
      <c r="Q1260" s="17" t="s">
        <v>54</v>
      </c>
      <c r="R1260" s="17"/>
    </row>
    <row r="1261" spans="1:18" ht="30" customHeight="1" x14ac:dyDescent="0.3">
      <c r="A1261" s="7">
        <v>45705.377432638888</v>
      </c>
      <c r="B1261" s="6" t="s">
        <v>7</v>
      </c>
      <c r="C1261" s="6"/>
      <c r="D1261" s="6" t="str">
        <f>VLOOKUP(B1261,'Veri doğrulama'!$D$6:$E$13,2,0)</f>
        <v>SIDDIK KAPLAN</v>
      </c>
      <c r="E1261" s="6"/>
      <c r="F1261" s="6" t="s">
        <v>430</v>
      </c>
      <c r="G1261" s="6" t="s">
        <v>26</v>
      </c>
      <c r="H1261" s="6" t="s">
        <v>34</v>
      </c>
      <c r="I1261" s="6">
        <v>1598</v>
      </c>
      <c r="J1261" s="6">
        <v>557</v>
      </c>
      <c r="K1261" s="6">
        <v>1</v>
      </c>
      <c r="L1261" s="10">
        <f t="shared" si="34"/>
        <v>0.21009</v>
      </c>
      <c r="M1261" s="6" t="s">
        <v>103</v>
      </c>
      <c r="N1261" s="6" t="s">
        <v>431</v>
      </c>
      <c r="O1261" s="6"/>
      <c r="P1261" s="17" t="s">
        <v>54</v>
      </c>
      <c r="Q1261" s="17" t="s">
        <v>54</v>
      </c>
      <c r="R1261" s="17" t="s">
        <v>54</v>
      </c>
    </row>
    <row r="1262" spans="1:18" ht="30" customHeight="1" x14ac:dyDescent="0.3">
      <c r="A1262" s="7">
        <v>45705.375980092591</v>
      </c>
      <c r="B1262" s="6" t="s">
        <v>5</v>
      </c>
      <c r="C1262" s="6"/>
      <c r="D1262" s="6" t="str">
        <f>VLOOKUP(B1262,'Veri doğrulama'!$D$6:$E$13,2,0)</f>
        <v>MEHMET ÖZEN</v>
      </c>
      <c r="E1262" s="6" t="s">
        <v>433</v>
      </c>
      <c r="F1262" s="6" t="s">
        <v>444</v>
      </c>
      <c r="G1262" s="6" t="s">
        <v>18</v>
      </c>
      <c r="H1262" s="6" t="s">
        <v>34</v>
      </c>
      <c r="I1262" s="6">
        <v>1600</v>
      </c>
      <c r="J1262" s="6">
        <v>800</v>
      </c>
      <c r="K1262" s="6">
        <v>1</v>
      </c>
      <c r="L1262" s="10">
        <f t="shared" si="34"/>
        <v>0.89008600000000004</v>
      </c>
      <c r="M1262" s="6" t="s">
        <v>43</v>
      </c>
      <c r="N1262" s="6"/>
      <c r="O1262" s="6"/>
      <c r="P1262" s="17" t="s">
        <v>54</v>
      </c>
      <c r="Q1262" s="17" t="s">
        <v>54</v>
      </c>
      <c r="R1262" s="17" t="s">
        <v>54</v>
      </c>
    </row>
    <row r="1263" spans="1:18" ht="30" customHeight="1" x14ac:dyDescent="0.3">
      <c r="A1263" s="7">
        <v>45702.621437731483</v>
      </c>
      <c r="B1263" s="6" t="s">
        <v>4</v>
      </c>
      <c r="C1263" s="6"/>
      <c r="D1263" s="6" t="str">
        <f>VLOOKUP(B1263,'Veri doğrulama'!$D$6:$E$13,2,0)</f>
        <v>MEHMET YAZICI</v>
      </c>
      <c r="E1263" s="6"/>
      <c r="F1263" s="6" t="s">
        <v>436</v>
      </c>
      <c r="G1263" s="6" t="s">
        <v>24</v>
      </c>
      <c r="H1263" s="6" t="s">
        <v>34</v>
      </c>
      <c r="I1263" s="6">
        <v>2386</v>
      </c>
      <c r="J1263" s="6">
        <v>586</v>
      </c>
      <c r="K1263" s="6">
        <v>1</v>
      </c>
      <c r="L1263" s="10">
        <f t="shared" si="34"/>
        <v>2.56</v>
      </c>
      <c r="M1263" s="6" t="s">
        <v>43</v>
      </c>
      <c r="N1263" s="6" t="s">
        <v>385</v>
      </c>
      <c r="O1263" s="6"/>
      <c r="P1263" s="17" t="s">
        <v>54</v>
      </c>
      <c r="Q1263" s="17" t="s">
        <v>54</v>
      </c>
      <c r="R1263" s="17"/>
    </row>
    <row r="1264" spans="1:18" ht="30" customHeight="1" x14ac:dyDescent="0.3">
      <c r="A1264" s="7">
        <v>45702.490216550927</v>
      </c>
      <c r="B1264" s="6" t="s">
        <v>5</v>
      </c>
      <c r="C1264" s="6"/>
      <c r="D1264" s="6" t="str">
        <f>VLOOKUP(B1264,'Veri doğrulama'!$D$6:$E$13,2,0)</f>
        <v>MEHMET ÖZEN</v>
      </c>
      <c r="E1264" s="6"/>
      <c r="F1264" s="6" t="s">
        <v>429</v>
      </c>
      <c r="G1264" s="6" t="s">
        <v>18</v>
      </c>
      <c r="H1264" s="6" t="s">
        <v>34</v>
      </c>
      <c r="I1264" s="6">
        <v>1500</v>
      </c>
      <c r="J1264" s="6">
        <v>520</v>
      </c>
      <c r="K1264" s="6">
        <v>2</v>
      </c>
      <c r="L1264" s="10">
        <f t="shared" si="34"/>
        <v>1.398196</v>
      </c>
      <c r="M1264" s="6" t="s">
        <v>43</v>
      </c>
      <c r="N1264" s="6"/>
      <c r="O1264" s="6"/>
      <c r="P1264" s="17" t="s">
        <v>54</v>
      </c>
      <c r="Q1264" s="17" t="s">
        <v>54</v>
      </c>
      <c r="R1264" s="17" t="s">
        <v>54</v>
      </c>
    </row>
    <row r="1265" spans="1:18" ht="30" customHeight="1" x14ac:dyDescent="0.3">
      <c r="A1265" s="7">
        <v>45702.341036689817</v>
      </c>
      <c r="B1265" s="6" t="s">
        <v>4</v>
      </c>
      <c r="C1265" s="6"/>
      <c r="D1265" s="6" t="str">
        <f>VLOOKUP(B1265,'Veri doğrulama'!$D$6:$E$13,2,0)</f>
        <v>MEHMET YAZICI</v>
      </c>
      <c r="E1265" s="6"/>
      <c r="F1265" s="6" t="s">
        <v>92</v>
      </c>
      <c r="G1265" s="6" t="s">
        <v>26</v>
      </c>
      <c r="H1265" s="6" t="s">
        <v>34</v>
      </c>
      <c r="I1265" s="6">
        <v>2200</v>
      </c>
      <c r="J1265" s="6">
        <v>445</v>
      </c>
      <c r="K1265" s="6">
        <v>1</v>
      </c>
      <c r="L1265" s="10">
        <f t="shared" si="34"/>
        <v>0.78</v>
      </c>
      <c r="M1265" s="6" t="s">
        <v>156</v>
      </c>
      <c r="N1265" s="6" t="s">
        <v>389</v>
      </c>
      <c r="O1265" s="6"/>
      <c r="P1265" s="17" t="s">
        <v>54</v>
      </c>
      <c r="Q1265" s="17" t="s">
        <v>54</v>
      </c>
      <c r="R1265" s="17" t="s">
        <v>54</v>
      </c>
    </row>
    <row r="1266" spans="1:18" ht="30" customHeight="1" x14ac:dyDescent="0.3">
      <c r="A1266" s="7">
        <v>45701.750847453703</v>
      </c>
      <c r="B1266" s="6" t="s">
        <v>4</v>
      </c>
      <c r="C1266" s="6"/>
      <c r="D1266" s="6" t="str">
        <f>VLOOKUP(B1266,'Veri doğrulama'!$D$6:$E$13,2,0)</f>
        <v>MEHMET YAZICI</v>
      </c>
      <c r="E1266" s="6"/>
      <c r="F1266" s="6" t="s">
        <v>427</v>
      </c>
      <c r="G1266" s="6" t="s">
        <v>26</v>
      </c>
      <c r="H1266" s="6" t="s">
        <v>35</v>
      </c>
      <c r="I1266" s="6">
        <v>470</v>
      </c>
      <c r="J1266" s="6">
        <v>447</v>
      </c>
      <c r="K1266" s="6">
        <v>1</v>
      </c>
      <c r="L1266" s="10">
        <f t="shared" si="34"/>
        <v>0.97899999999999998</v>
      </c>
      <c r="M1266" s="6" t="s">
        <v>43</v>
      </c>
      <c r="N1266" s="6" t="s">
        <v>385</v>
      </c>
      <c r="O1266" s="6"/>
      <c r="P1266" s="17" t="s">
        <v>54</v>
      </c>
      <c r="Q1266" s="17" t="s">
        <v>54</v>
      </c>
      <c r="R1266" s="17"/>
    </row>
    <row r="1267" spans="1:18" ht="30" customHeight="1" x14ac:dyDescent="0.3">
      <c r="A1267" s="7">
        <v>45701.750328587965</v>
      </c>
      <c r="B1267" s="6" t="s">
        <v>4</v>
      </c>
      <c r="C1267" s="6"/>
      <c r="D1267" s="6" t="str">
        <f>VLOOKUP(B1267,'Veri doğrulama'!$D$6:$E$13,2,0)</f>
        <v>MEHMET YAZICI</v>
      </c>
      <c r="E1267" s="6"/>
      <c r="F1267" s="6" t="s">
        <v>434</v>
      </c>
      <c r="G1267" s="6" t="s">
        <v>15</v>
      </c>
      <c r="H1267" s="6" t="s">
        <v>34</v>
      </c>
      <c r="I1267" s="6">
        <v>1763</v>
      </c>
      <c r="J1267" s="6">
        <v>699</v>
      </c>
      <c r="K1267" s="6">
        <v>1</v>
      </c>
      <c r="L1267" s="10">
        <f t="shared" si="34"/>
        <v>0.42018</v>
      </c>
      <c r="M1267" s="6" t="s">
        <v>43</v>
      </c>
      <c r="N1267" s="6" t="s">
        <v>385</v>
      </c>
      <c r="O1267" s="6"/>
      <c r="P1267" s="17" t="s">
        <v>54</v>
      </c>
      <c r="Q1267" s="17" t="s">
        <v>54</v>
      </c>
      <c r="R1267" s="17"/>
    </row>
    <row r="1268" spans="1:18" ht="30" customHeight="1" x14ac:dyDescent="0.3">
      <c r="A1268" s="7">
        <v>45701.749372569444</v>
      </c>
      <c r="B1268" s="6" t="s">
        <v>5</v>
      </c>
      <c r="C1268" s="6"/>
      <c r="D1268" s="6" t="str">
        <f>VLOOKUP(B1268,'Veri doğrulama'!$D$6:$E$13,2,0)</f>
        <v>MEHMET ÖZEN</v>
      </c>
      <c r="E1268" s="6" t="s">
        <v>428</v>
      </c>
      <c r="F1268" s="6" t="s">
        <v>145</v>
      </c>
      <c r="G1268" s="6" t="s">
        <v>146</v>
      </c>
      <c r="H1268" s="6" t="s">
        <v>35</v>
      </c>
      <c r="I1268" s="6">
        <v>2600</v>
      </c>
      <c r="J1268" s="6">
        <v>300</v>
      </c>
      <c r="K1268" s="6">
        <v>2</v>
      </c>
      <c r="L1268" s="10">
        <f t="shared" si="34"/>
        <v>1.232337</v>
      </c>
      <c r="M1268" s="6" t="s">
        <v>156</v>
      </c>
      <c r="N1268" s="6"/>
      <c r="O1268" s="6"/>
      <c r="P1268" s="17" t="s">
        <v>54</v>
      </c>
      <c r="Q1268" s="17" t="s">
        <v>54</v>
      </c>
      <c r="R1268" s="17" t="s">
        <v>54</v>
      </c>
    </row>
    <row r="1269" spans="1:18" ht="30" customHeight="1" x14ac:dyDescent="0.3">
      <c r="A1269" s="7">
        <v>45701.701309143522</v>
      </c>
      <c r="B1269" s="6" t="s">
        <v>7</v>
      </c>
      <c r="C1269" s="6"/>
      <c r="D1269" s="6" t="str">
        <f>VLOOKUP(B1269,'Veri doğrulama'!$D$6:$E$13,2,0)</f>
        <v>SIDDIK KAPLAN</v>
      </c>
      <c r="E1269" s="6"/>
      <c r="F1269" s="6" t="s">
        <v>437</v>
      </c>
      <c r="G1269" s="6" t="s">
        <v>17</v>
      </c>
      <c r="H1269" s="6" t="s">
        <v>34</v>
      </c>
      <c r="I1269" s="6">
        <v>732</v>
      </c>
      <c r="J1269" s="6">
        <v>679</v>
      </c>
      <c r="K1269" s="6">
        <v>1</v>
      </c>
      <c r="L1269" s="10">
        <f t="shared" si="34"/>
        <v>0.78</v>
      </c>
      <c r="M1269" s="6" t="s">
        <v>103</v>
      </c>
      <c r="N1269" s="6" t="s">
        <v>438</v>
      </c>
      <c r="O1269" s="6"/>
      <c r="P1269" s="17" t="s">
        <v>54</v>
      </c>
      <c r="Q1269" s="17" t="s">
        <v>54</v>
      </c>
      <c r="R1269" s="17"/>
    </row>
    <row r="1270" spans="1:18" ht="30" customHeight="1" x14ac:dyDescent="0.3">
      <c r="A1270" s="7">
        <v>45701.677833333335</v>
      </c>
      <c r="B1270" s="6" t="s">
        <v>4</v>
      </c>
      <c r="C1270" s="6"/>
      <c r="D1270" s="6" t="str">
        <f>VLOOKUP(B1270,'Veri doğrulama'!$D$6:$E$13,2,0)</f>
        <v>MEHMET YAZICI</v>
      </c>
      <c r="E1270" s="6" t="s">
        <v>147</v>
      </c>
      <c r="F1270" s="6" t="s">
        <v>427</v>
      </c>
      <c r="G1270" s="6" t="s">
        <v>18</v>
      </c>
      <c r="H1270" s="6" t="s">
        <v>34</v>
      </c>
      <c r="I1270" s="6">
        <v>470</v>
      </c>
      <c r="J1270" s="6">
        <v>447</v>
      </c>
      <c r="K1270" s="6">
        <v>1</v>
      </c>
      <c r="L1270" s="10">
        <f t="shared" si="34"/>
        <v>0.49702800000000003</v>
      </c>
      <c r="M1270" s="6" t="s">
        <v>37</v>
      </c>
      <c r="N1270" s="6" t="s">
        <v>385</v>
      </c>
      <c r="O1270" s="6"/>
      <c r="P1270" s="17" t="s">
        <v>54</v>
      </c>
      <c r="Q1270" s="17" t="s">
        <v>54</v>
      </c>
      <c r="R1270" s="17"/>
    </row>
    <row r="1271" spans="1:18" ht="30" customHeight="1" x14ac:dyDescent="0.3">
      <c r="A1271" s="7">
        <v>45701.509720717593</v>
      </c>
      <c r="B1271" s="6" t="s">
        <v>4</v>
      </c>
      <c r="C1271" s="6"/>
      <c r="D1271" s="6" t="str">
        <f>VLOOKUP(B1271,'Veri doğrulama'!$D$6:$E$13,2,0)</f>
        <v>MEHMET YAZICI</v>
      </c>
      <c r="E1271" s="6" t="s">
        <v>441</v>
      </c>
      <c r="F1271" s="6" t="s">
        <v>421</v>
      </c>
      <c r="G1271" s="6" t="s">
        <v>18</v>
      </c>
      <c r="H1271" s="6" t="s">
        <v>34</v>
      </c>
      <c r="I1271" s="6">
        <v>352</v>
      </c>
      <c r="J1271" s="6">
        <v>448</v>
      </c>
      <c r="K1271" s="6">
        <v>1</v>
      </c>
      <c r="L1271" s="10">
        <f t="shared" si="34"/>
        <v>0.21009</v>
      </c>
      <c r="M1271" s="6" t="s">
        <v>43</v>
      </c>
      <c r="N1271" s="6" t="s">
        <v>389</v>
      </c>
      <c r="O1271" s="6"/>
      <c r="P1271" s="17" t="s">
        <v>54</v>
      </c>
      <c r="Q1271" s="17" t="s">
        <v>54</v>
      </c>
      <c r="R1271" s="17" t="s">
        <v>54</v>
      </c>
    </row>
    <row r="1272" spans="1:18" ht="30" customHeight="1" x14ac:dyDescent="0.3">
      <c r="A1272" s="7">
        <v>45701.375991782406</v>
      </c>
      <c r="B1272" s="6" t="s">
        <v>4</v>
      </c>
      <c r="C1272" s="6"/>
      <c r="D1272" s="6" t="str">
        <f>VLOOKUP(B1272,'Veri doğrulama'!$D$6:$E$13,2,0)</f>
        <v>MEHMET YAZICI</v>
      </c>
      <c r="E1272" s="6"/>
      <c r="F1272" s="6" t="s">
        <v>80</v>
      </c>
      <c r="G1272" s="6" t="s">
        <v>20</v>
      </c>
      <c r="H1272" s="6" t="s">
        <v>34</v>
      </c>
      <c r="I1272" s="6">
        <v>1600</v>
      </c>
      <c r="J1272" s="6">
        <v>800</v>
      </c>
      <c r="K1272" s="6">
        <v>1</v>
      </c>
      <c r="L1272" s="10">
        <f t="shared" si="34"/>
        <v>0.157696</v>
      </c>
      <c r="M1272" s="6" t="s">
        <v>103</v>
      </c>
      <c r="N1272" s="6" t="s">
        <v>445</v>
      </c>
      <c r="O1272" s="6"/>
      <c r="P1272" s="17" t="s">
        <v>54</v>
      </c>
      <c r="Q1272" s="17" t="s">
        <v>54</v>
      </c>
      <c r="R1272" s="17"/>
    </row>
    <row r="1273" spans="1:18" ht="30" customHeight="1" x14ac:dyDescent="0.3">
      <c r="A1273" s="7">
        <v>45701.336681712964</v>
      </c>
      <c r="B1273" s="6" t="s">
        <v>6</v>
      </c>
      <c r="C1273" s="6"/>
      <c r="D1273" s="6" t="str">
        <f>VLOOKUP(B1273,'Veri doğrulama'!$D$6:$E$13,2,0)</f>
        <v>SERVET KAPLAN</v>
      </c>
      <c r="E1273" s="6" t="s">
        <v>423</v>
      </c>
      <c r="F1273" s="6" t="s">
        <v>420</v>
      </c>
      <c r="G1273" s="6" t="s">
        <v>18</v>
      </c>
      <c r="H1273" s="6" t="s">
        <v>34</v>
      </c>
      <c r="I1273" s="6">
        <v>1500</v>
      </c>
      <c r="J1273" s="6">
        <v>500</v>
      </c>
      <c r="K1273" s="6">
        <v>1</v>
      </c>
      <c r="L1273" s="10">
        <f t="shared" si="34"/>
        <v>1.28</v>
      </c>
      <c r="M1273" s="6" t="s">
        <v>102</v>
      </c>
      <c r="N1273" s="6"/>
      <c r="O1273" s="6"/>
      <c r="P1273" s="17" t="s">
        <v>54</v>
      </c>
      <c r="Q1273" s="17" t="s">
        <v>54</v>
      </c>
      <c r="R1273" s="17" t="s">
        <v>54</v>
      </c>
    </row>
    <row r="1274" spans="1:18" ht="30" customHeight="1" x14ac:dyDescent="0.3">
      <c r="A1274" s="7">
        <v>45700.732650231483</v>
      </c>
      <c r="B1274" s="6" t="s">
        <v>5</v>
      </c>
      <c r="C1274" s="6"/>
      <c r="D1274" s="6" t="str">
        <f>VLOOKUP(B1274,'Veri doğrulama'!$D$6:$E$13,2,0)</f>
        <v>MEHMET ÖZEN</v>
      </c>
      <c r="E1274" s="6" t="s">
        <v>448</v>
      </c>
      <c r="F1274" s="6" t="s">
        <v>254</v>
      </c>
      <c r="G1274" s="6" t="s">
        <v>15</v>
      </c>
      <c r="H1274" s="6" t="s">
        <v>34</v>
      </c>
      <c r="I1274" s="6">
        <v>1800</v>
      </c>
      <c r="J1274" s="6">
        <v>800</v>
      </c>
      <c r="K1274" s="6">
        <v>1</v>
      </c>
      <c r="L1274" s="10">
        <f t="shared" si="34"/>
        <v>0.75</v>
      </c>
      <c r="M1274" s="6" t="s">
        <v>103</v>
      </c>
      <c r="N1274" s="6"/>
      <c r="O1274" s="6"/>
      <c r="P1274" s="17" t="s">
        <v>54</v>
      </c>
      <c r="Q1274" s="17" t="s">
        <v>54</v>
      </c>
      <c r="R1274" s="17" t="s">
        <v>54</v>
      </c>
    </row>
    <row r="1275" spans="1:18" ht="30" customHeight="1" x14ac:dyDescent="0.3">
      <c r="A1275" s="7">
        <v>45700.685016087962</v>
      </c>
      <c r="B1275" s="6" t="s">
        <v>4</v>
      </c>
      <c r="C1275" s="6"/>
      <c r="D1275" s="6" t="str">
        <f>VLOOKUP(B1275,'Veri doğrulama'!$D$6:$E$13,2,0)</f>
        <v>MEHMET YAZICI</v>
      </c>
      <c r="E1275" s="6"/>
      <c r="F1275" s="6" t="s">
        <v>422</v>
      </c>
      <c r="G1275" s="6" t="s">
        <v>17</v>
      </c>
      <c r="H1275" s="6" t="s">
        <v>34</v>
      </c>
      <c r="I1275" s="6">
        <v>1600</v>
      </c>
      <c r="J1275" s="6">
        <v>800</v>
      </c>
      <c r="K1275" s="6">
        <v>1</v>
      </c>
      <c r="L1275" s="10">
        <f t="shared" si="34"/>
        <v>1.44</v>
      </c>
      <c r="M1275" s="6" t="s">
        <v>43</v>
      </c>
      <c r="N1275" s="6" t="s">
        <v>399</v>
      </c>
      <c r="O1275" s="6"/>
      <c r="P1275" s="17" t="s">
        <v>54</v>
      </c>
      <c r="Q1275" s="17" t="s">
        <v>54</v>
      </c>
      <c r="R1275" s="17" t="s">
        <v>54</v>
      </c>
    </row>
    <row r="1276" spans="1:18" ht="30" customHeight="1" x14ac:dyDescent="0.3">
      <c r="A1276" s="7">
        <v>45700.680667708337</v>
      </c>
      <c r="B1276" s="6" t="s">
        <v>4</v>
      </c>
      <c r="C1276" s="6"/>
      <c r="D1276" s="6" t="str">
        <f>VLOOKUP(B1276,'Veri doğrulama'!$D$6:$E$13,2,0)</f>
        <v>MEHMET YAZICI</v>
      </c>
      <c r="E1276" s="6" t="s">
        <v>425</v>
      </c>
      <c r="F1276" s="6" t="s">
        <v>142</v>
      </c>
      <c r="G1276" s="6" t="s">
        <v>19</v>
      </c>
      <c r="H1276" s="6" t="s">
        <v>34</v>
      </c>
      <c r="I1276" s="6">
        <v>785</v>
      </c>
      <c r="J1276" s="6">
        <v>415</v>
      </c>
      <c r="K1276" s="6">
        <v>1</v>
      </c>
      <c r="L1276" s="10">
        <f t="shared" si="34"/>
        <v>1.28</v>
      </c>
      <c r="M1276" s="6" t="s">
        <v>37</v>
      </c>
      <c r="N1276" s="6" t="s">
        <v>159</v>
      </c>
      <c r="O1276" s="6"/>
      <c r="P1276" s="17" t="s">
        <v>54</v>
      </c>
      <c r="Q1276" s="17" t="s">
        <v>54</v>
      </c>
      <c r="R1276" s="17" t="s">
        <v>54</v>
      </c>
    </row>
    <row r="1277" spans="1:18" ht="30" customHeight="1" x14ac:dyDescent="0.3">
      <c r="A1277" s="7">
        <v>45700.56794050926</v>
      </c>
      <c r="B1277" s="6" t="s">
        <v>4</v>
      </c>
      <c r="C1277" s="6"/>
      <c r="D1277" s="6" t="str">
        <f>VLOOKUP(B1277,'Veri doğrulama'!$D$6:$E$13,2,0)</f>
        <v>MEHMET YAZICI</v>
      </c>
      <c r="E1277" s="6"/>
      <c r="F1277" s="6" t="s">
        <v>80</v>
      </c>
      <c r="G1277" s="6" t="s">
        <v>24</v>
      </c>
      <c r="H1277" s="6" t="s">
        <v>34</v>
      </c>
      <c r="I1277" s="6">
        <v>1600</v>
      </c>
      <c r="J1277" s="6">
        <v>800</v>
      </c>
      <c r="K1277" s="6">
        <v>1</v>
      </c>
      <c r="L1277" s="10">
        <f t="shared" si="34"/>
        <v>0.32577499999999998</v>
      </c>
      <c r="M1277" s="6" t="s">
        <v>102</v>
      </c>
      <c r="N1277" s="6" t="s">
        <v>385</v>
      </c>
      <c r="O1277" s="6"/>
      <c r="P1277" s="17" t="s">
        <v>54</v>
      </c>
      <c r="Q1277" s="17" t="s">
        <v>54</v>
      </c>
      <c r="R1277" s="17"/>
    </row>
    <row r="1278" spans="1:18" ht="30" customHeight="1" x14ac:dyDescent="0.3">
      <c r="A1278" s="7">
        <v>45700.567158449077</v>
      </c>
      <c r="B1278" s="6" t="s">
        <v>4</v>
      </c>
      <c r="C1278" s="6"/>
      <c r="D1278" s="6" t="str">
        <f>VLOOKUP(B1278,'Veri doğrulama'!$D$6:$E$13,2,0)</f>
        <v>MEHMET YAZICI</v>
      </c>
      <c r="E1278" s="6"/>
      <c r="F1278" s="6" t="s">
        <v>417</v>
      </c>
      <c r="G1278" s="6" t="s">
        <v>17</v>
      </c>
      <c r="H1278" s="6" t="s">
        <v>34</v>
      </c>
      <c r="I1278" s="6">
        <v>535</v>
      </c>
      <c r="J1278" s="6">
        <v>392</v>
      </c>
      <c r="K1278" s="6">
        <v>1</v>
      </c>
      <c r="L1278" s="10">
        <f t="shared" si="34"/>
        <v>1.28</v>
      </c>
      <c r="M1278" s="6" t="s">
        <v>75</v>
      </c>
      <c r="N1278" s="6" t="s">
        <v>385</v>
      </c>
      <c r="O1278" s="6"/>
      <c r="P1278" s="17" t="s">
        <v>54</v>
      </c>
      <c r="Q1278" s="17" t="s">
        <v>54</v>
      </c>
      <c r="R1278" s="17" t="s">
        <v>54</v>
      </c>
    </row>
    <row r="1279" spans="1:18" ht="30" customHeight="1" x14ac:dyDescent="0.3">
      <c r="A1279" s="7">
        <v>45700.566283912034</v>
      </c>
      <c r="B1279" s="6" t="s">
        <v>7</v>
      </c>
      <c r="C1279" s="6"/>
      <c r="D1279" s="6" t="str">
        <f>VLOOKUP(B1279,'Veri doğrulama'!$D$6:$E$13,2,0)</f>
        <v>SIDDIK KAPLAN</v>
      </c>
      <c r="E1279" s="6"/>
      <c r="F1279" s="6" t="s">
        <v>439</v>
      </c>
      <c r="G1279" s="6" t="s">
        <v>16</v>
      </c>
      <c r="H1279" s="6" t="s">
        <v>34</v>
      </c>
      <c r="I1279" s="6">
        <v>940</v>
      </c>
      <c r="J1279" s="6">
        <v>680</v>
      </c>
      <c r="K1279" s="6">
        <v>1</v>
      </c>
      <c r="L1279" s="10">
        <f t="shared" si="34"/>
        <v>0.41943999999999998</v>
      </c>
      <c r="M1279" s="6" t="s">
        <v>75</v>
      </c>
      <c r="N1279" s="6" t="s">
        <v>440</v>
      </c>
      <c r="O1279" s="6"/>
      <c r="P1279" s="17" t="s">
        <v>54</v>
      </c>
      <c r="Q1279" s="17" t="s">
        <v>54</v>
      </c>
      <c r="R1279" s="17" t="s">
        <v>54</v>
      </c>
    </row>
    <row r="1280" spans="1:18" ht="30" customHeight="1" x14ac:dyDescent="0.3">
      <c r="A1280" s="7">
        <v>45700.565106944443</v>
      </c>
      <c r="B1280" s="6" t="s">
        <v>4</v>
      </c>
      <c r="C1280" s="6"/>
      <c r="D1280" s="6" t="str">
        <f>VLOOKUP(B1280,'Veri doğrulama'!$D$6:$E$13,2,0)</f>
        <v>MEHMET YAZICI</v>
      </c>
      <c r="E1280" s="6"/>
      <c r="F1280" s="6" t="s">
        <v>424</v>
      </c>
      <c r="G1280" s="6" t="s">
        <v>22</v>
      </c>
      <c r="H1280" s="6" t="s">
        <v>34</v>
      </c>
      <c r="I1280" s="6">
        <v>2000</v>
      </c>
      <c r="J1280" s="6">
        <v>1100</v>
      </c>
      <c r="K1280" s="6">
        <v>2</v>
      </c>
      <c r="L1280" s="10">
        <f t="shared" si="34"/>
        <v>0.63919999999999999</v>
      </c>
      <c r="M1280" s="6" t="s">
        <v>102</v>
      </c>
      <c r="N1280" s="6" t="s">
        <v>389</v>
      </c>
      <c r="O1280" s="6"/>
      <c r="P1280" s="17" t="s">
        <v>54</v>
      </c>
      <c r="Q1280" s="17" t="s">
        <v>54</v>
      </c>
      <c r="R1280" s="17" t="s">
        <v>54</v>
      </c>
    </row>
    <row r="1281" spans="1:18" ht="30" customHeight="1" x14ac:dyDescent="0.3">
      <c r="A1281" s="7">
        <v>45700.397055439818</v>
      </c>
      <c r="B1281" s="6" t="s">
        <v>4</v>
      </c>
      <c r="C1281" s="6"/>
      <c r="D1281" s="6" t="str">
        <f>VLOOKUP(B1281,'Veri doğrulama'!$D$6:$E$13,2,0)</f>
        <v>MEHMET YAZICI</v>
      </c>
      <c r="E1281" s="6" t="s">
        <v>442</v>
      </c>
      <c r="F1281" s="6" t="s">
        <v>418</v>
      </c>
      <c r="G1281" s="6" t="s">
        <v>15</v>
      </c>
      <c r="H1281" s="6" t="s">
        <v>34</v>
      </c>
      <c r="I1281" s="6">
        <v>800</v>
      </c>
      <c r="J1281" s="6">
        <v>500</v>
      </c>
      <c r="K1281" s="6">
        <v>1</v>
      </c>
      <c r="L1281" s="10">
        <f t="shared" si="34"/>
        <v>2.2000000000000002</v>
      </c>
      <c r="M1281" s="6" t="s">
        <v>43</v>
      </c>
      <c r="N1281" s="6" t="s">
        <v>399</v>
      </c>
      <c r="O1281" s="6"/>
      <c r="P1281" s="17" t="s">
        <v>54</v>
      </c>
      <c r="Q1281" s="17" t="s">
        <v>54</v>
      </c>
      <c r="R1281" s="17" t="s">
        <v>54</v>
      </c>
    </row>
    <row r="1282" spans="1:18" ht="30" customHeight="1" x14ac:dyDescent="0.3">
      <c r="A1282" s="7">
        <v>45699.745364467592</v>
      </c>
      <c r="B1282" s="6" t="s">
        <v>5</v>
      </c>
      <c r="C1282" s="6"/>
      <c r="D1282" s="6" t="str">
        <f>VLOOKUP(B1282,'Veri doğrulama'!$D$6:$E$13,2,0)</f>
        <v>MEHMET ÖZEN</v>
      </c>
      <c r="E1282" s="6" t="s">
        <v>425</v>
      </c>
      <c r="F1282" s="6" t="s">
        <v>496</v>
      </c>
      <c r="G1282" s="6" t="s">
        <v>27</v>
      </c>
      <c r="H1282" s="6" t="s">
        <v>34</v>
      </c>
      <c r="I1282" s="6">
        <v>910</v>
      </c>
      <c r="J1282" s="6">
        <v>910</v>
      </c>
      <c r="K1282" s="6">
        <v>1</v>
      </c>
      <c r="L1282" s="10">
        <f t="shared" si="34"/>
        <v>0.4</v>
      </c>
      <c r="M1282" s="6" t="s">
        <v>39</v>
      </c>
      <c r="N1282" s="6" t="s">
        <v>497</v>
      </c>
      <c r="O1282" s="6"/>
      <c r="P1282" s="17" t="s">
        <v>54</v>
      </c>
      <c r="Q1282" s="17" t="s">
        <v>54</v>
      </c>
      <c r="R1282" s="17"/>
    </row>
    <row r="1283" spans="1:18" ht="30" customHeight="1" x14ac:dyDescent="0.3">
      <c r="A1283" s="7">
        <v>45699.743953819445</v>
      </c>
      <c r="B1283" s="6" t="s">
        <v>5</v>
      </c>
      <c r="C1283" s="6"/>
      <c r="D1283" s="6" t="str">
        <f>VLOOKUP(B1283,'Veri doğrulama'!$D$6:$E$13,2,0)</f>
        <v>MEHMET ÖZEN</v>
      </c>
      <c r="E1283" s="6"/>
      <c r="F1283" s="6" t="s">
        <v>410</v>
      </c>
      <c r="G1283" s="6" t="s">
        <v>16</v>
      </c>
      <c r="H1283" s="6" t="s">
        <v>34</v>
      </c>
      <c r="I1283" s="6">
        <v>1795</v>
      </c>
      <c r="J1283" s="6">
        <v>870</v>
      </c>
      <c r="K1283" s="6">
        <v>1</v>
      </c>
      <c r="L1283" s="10">
        <f t="shared" si="34"/>
        <v>0.82809999999999995</v>
      </c>
      <c r="M1283" s="6" t="s">
        <v>75</v>
      </c>
      <c r="N1283" s="6" t="s">
        <v>411</v>
      </c>
      <c r="O1283" s="6"/>
      <c r="P1283" s="17" t="s">
        <v>54</v>
      </c>
      <c r="Q1283" s="17" t="s">
        <v>54</v>
      </c>
      <c r="R1283" s="17"/>
    </row>
    <row r="1284" spans="1:18" ht="30" customHeight="1" x14ac:dyDescent="0.3">
      <c r="A1284" s="7">
        <v>45699.411954976851</v>
      </c>
      <c r="B1284" s="6" t="s">
        <v>4</v>
      </c>
      <c r="C1284" s="6"/>
      <c r="D1284" s="6" t="str">
        <f>VLOOKUP(B1284,'Veri doğrulama'!$D$6:$E$13,2,0)</f>
        <v>MEHMET YAZICI</v>
      </c>
      <c r="E1284" s="6"/>
      <c r="F1284" s="6" t="s">
        <v>412</v>
      </c>
      <c r="G1284" s="6" t="s">
        <v>17</v>
      </c>
      <c r="H1284" s="6" t="s">
        <v>34</v>
      </c>
      <c r="I1284" s="6">
        <v>680</v>
      </c>
      <c r="J1284" s="6">
        <v>940</v>
      </c>
      <c r="K1284" s="6">
        <v>1</v>
      </c>
      <c r="L1284" s="10">
        <f t="shared" ref="L1284:L1315" si="35">I1283*J1283/1000000*K1285</f>
        <v>1.56165</v>
      </c>
      <c r="M1284" s="6" t="s">
        <v>42</v>
      </c>
      <c r="N1284" s="6" t="s">
        <v>399</v>
      </c>
      <c r="O1284" s="6"/>
      <c r="P1284" s="17" t="s">
        <v>54</v>
      </c>
      <c r="Q1284" s="17" t="s">
        <v>54</v>
      </c>
      <c r="R1284" s="17" t="s">
        <v>54</v>
      </c>
    </row>
    <row r="1285" spans="1:18" ht="30" customHeight="1" x14ac:dyDescent="0.3">
      <c r="A1285" s="7">
        <v>45699.348765509261</v>
      </c>
      <c r="B1285" s="6" t="s">
        <v>4</v>
      </c>
      <c r="C1285" s="6"/>
      <c r="D1285" s="6" t="str">
        <f>VLOOKUP(B1285,'Veri doğrulama'!$D$6:$E$13,2,0)</f>
        <v>MEHMET YAZICI</v>
      </c>
      <c r="E1285" s="6" t="s">
        <v>413</v>
      </c>
      <c r="F1285" s="6" t="s">
        <v>403</v>
      </c>
      <c r="G1285" s="6" t="s">
        <v>17</v>
      </c>
      <c r="H1285" s="6" t="s">
        <v>34</v>
      </c>
      <c r="I1285" s="6">
        <v>558</v>
      </c>
      <c r="J1285" s="6">
        <v>1148</v>
      </c>
      <c r="K1285" s="6">
        <v>1</v>
      </c>
      <c r="L1285" s="10">
        <f t="shared" si="35"/>
        <v>0.63919999999999999</v>
      </c>
      <c r="M1285" s="6" t="s">
        <v>42</v>
      </c>
      <c r="N1285" s="6" t="s">
        <v>399</v>
      </c>
      <c r="O1285" s="6"/>
      <c r="P1285" s="17" t="s">
        <v>54</v>
      </c>
      <c r="Q1285" s="17" t="s">
        <v>54</v>
      </c>
      <c r="R1285" s="17"/>
    </row>
    <row r="1286" spans="1:18" ht="30" customHeight="1" x14ac:dyDescent="0.3">
      <c r="A1286" s="7">
        <v>45699.348232407407</v>
      </c>
      <c r="B1286" s="6" t="s">
        <v>4</v>
      </c>
      <c r="C1286" s="6"/>
      <c r="D1286" s="6" t="str">
        <f>VLOOKUP(B1286,'Veri doğrulama'!$D$6:$E$13,2,0)</f>
        <v>MEHMET YAZICI</v>
      </c>
      <c r="E1286" s="6" t="s">
        <v>415</v>
      </c>
      <c r="F1286" s="6" t="s">
        <v>449</v>
      </c>
      <c r="G1286" s="6" t="s">
        <v>14</v>
      </c>
      <c r="H1286" s="6" t="s">
        <v>34</v>
      </c>
      <c r="I1286" s="6">
        <v>1750</v>
      </c>
      <c r="J1286" s="6">
        <v>344</v>
      </c>
      <c r="K1286" s="6">
        <v>1</v>
      </c>
      <c r="L1286" s="10">
        <f t="shared" si="35"/>
        <v>0.64058400000000004</v>
      </c>
      <c r="M1286" s="6" t="s">
        <v>102</v>
      </c>
      <c r="N1286" s="6" t="s">
        <v>399</v>
      </c>
      <c r="O1286" s="6"/>
      <c r="P1286" s="17" t="s">
        <v>54</v>
      </c>
      <c r="Q1286" s="17" t="s">
        <v>54</v>
      </c>
      <c r="R1286" s="17" t="s">
        <v>54</v>
      </c>
    </row>
    <row r="1287" spans="1:18" ht="30" customHeight="1" x14ac:dyDescent="0.3">
      <c r="A1287" s="7">
        <v>45699.347576388885</v>
      </c>
      <c r="B1287" s="6" t="s">
        <v>4</v>
      </c>
      <c r="C1287" s="6"/>
      <c r="D1287" s="6" t="str">
        <f>VLOOKUP(B1287,'Veri doğrulama'!$D$6:$E$13,2,0)</f>
        <v>MEHMET YAZICI</v>
      </c>
      <c r="E1287" s="6"/>
      <c r="F1287" s="6" t="s">
        <v>404</v>
      </c>
      <c r="G1287" s="6" t="s">
        <v>16</v>
      </c>
      <c r="H1287" s="6" t="s">
        <v>34</v>
      </c>
      <c r="I1287" s="6">
        <v>940</v>
      </c>
      <c r="J1287" s="6">
        <v>2200</v>
      </c>
      <c r="K1287" s="6">
        <v>1</v>
      </c>
      <c r="L1287" s="10">
        <f t="shared" si="35"/>
        <v>0.60199999999999998</v>
      </c>
      <c r="M1287" s="6" t="s">
        <v>102</v>
      </c>
      <c r="N1287" s="6" t="s">
        <v>399</v>
      </c>
      <c r="O1287" s="6"/>
      <c r="P1287" s="17" t="s">
        <v>54</v>
      </c>
      <c r="Q1287" s="17" t="s">
        <v>54</v>
      </c>
      <c r="R1287" s="17" t="s">
        <v>54</v>
      </c>
    </row>
    <row r="1288" spans="1:18" ht="30" customHeight="1" x14ac:dyDescent="0.3">
      <c r="A1288" s="7">
        <v>45698.720543981479</v>
      </c>
      <c r="B1288" s="6" t="s">
        <v>4</v>
      </c>
      <c r="C1288" s="6"/>
      <c r="D1288" s="6" t="str">
        <f>VLOOKUP(B1288,'Veri doğrulama'!$D$6:$E$13,2,0)</f>
        <v>MEHMET YAZICI</v>
      </c>
      <c r="E1288" s="6"/>
      <c r="F1288" s="6" t="s">
        <v>141</v>
      </c>
      <c r="G1288" s="6" t="s">
        <v>18</v>
      </c>
      <c r="H1288" s="6" t="s">
        <v>34</v>
      </c>
      <c r="I1288" s="6">
        <v>1100</v>
      </c>
      <c r="J1288" s="6">
        <v>360</v>
      </c>
      <c r="K1288" s="6">
        <v>1</v>
      </c>
      <c r="L1288" s="10">
        <f t="shared" si="35"/>
        <v>2.0680000000000001</v>
      </c>
      <c r="M1288" s="6" t="s">
        <v>39</v>
      </c>
      <c r="N1288" s="6" t="s">
        <v>399</v>
      </c>
      <c r="O1288" s="6"/>
      <c r="P1288" s="17" t="s">
        <v>54</v>
      </c>
      <c r="Q1288" s="17" t="s">
        <v>54</v>
      </c>
      <c r="R1288" s="17" t="s">
        <v>54</v>
      </c>
    </row>
    <row r="1289" spans="1:18" ht="30" customHeight="1" x14ac:dyDescent="0.3">
      <c r="A1289" s="7">
        <v>45698.694952777776</v>
      </c>
      <c r="B1289" s="6" t="s">
        <v>4</v>
      </c>
      <c r="C1289" s="6"/>
      <c r="D1289" s="6" t="str">
        <f>VLOOKUP(B1289,'Veri doğrulama'!$D$6:$E$13,2,0)</f>
        <v>MEHMET YAZICI</v>
      </c>
      <c r="E1289" s="6" t="s">
        <v>405</v>
      </c>
      <c r="F1289" s="6" t="s">
        <v>396</v>
      </c>
      <c r="G1289" s="6" t="s">
        <v>18</v>
      </c>
      <c r="H1289" s="6" t="s">
        <v>34</v>
      </c>
      <c r="I1289" s="6">
        <v>1450</v>
      </c>
      <c r="J1289" s="6">
        <v>397</v>
      </c>
      <c r="K1289" s="6">
        <v>1</v>
      </c>
      <c r="L1289" s="10">
        <f t="shared" si="35"/>
        <v>0.39600000000000002</v>
      </c>
      <c r="M1289" s="6" t="s">
        <v>156</v>
      </c>
      <c r="N1289" s="6" t="s">
        <v>385</v>
      </c>
      <c r="O1289" s="6"/>
      <c r="P1289" s="17" t="s">
        <v>54</v>
      </c>
      <c r="Q1289" s="17" t="s">
        <v>54</v>
      </c>
      <c r="R1289" s="17"/>
    </row>
    <row r="1290" spans="1:18" ht="30" customHeight="1" x14ac:dyDescent="0.3">
      <c r="A1290" s="7">
        <v>45698.694041319446</v>
      </c>
      <c r="B1290" s="6" t="s">
        <v>4</v>
      </c>
      <c r="C1290" s="6"/>
      <c r="D1290" s="6" t="str">
        <f>VLOOKUP(B1290,'Veri doğrulama'!$D$6:$E$13,2,0)</f>
        <v>MEHMET YAZICI</v>
      </c>
      <c r="E1290" s="6"/>
      <c r="F1290" s="6" t="s">
        <v>406</v>
      </c>
      <c r="G1290" s="6" t="s">
        <v>15</v>
      </c>
      <c r="H1290" s="6" t="s">
        <v>34</v>
      </c>
      <c r="I1290" s="6">
        <v>800</v>
      </c>
      <c r="J1290" s="6">
        <v>500</v>
      </c>
      <c r="K1290" s="6">
        <v>1</v>
      </c>
      <c r="L1290" s="10">
        <f t="shared" si="35"/>
        <v>0.57565</v>
      </c>
      <c r="M1290" s="6" t="s">
        <v>103</v>
      </c>
      <c r="N1290" s="6" t="s">
        <v>407</v>
      </c>
      <c r="O1290" s="6"/>
      <c r="P1290" s="17" t="s">
        <v>54</v>
      </c>
      <c r="Q1290" s="17" t="s">
        <v>54</v>
      </c>
      <c r="R1290" s="17"/>
    </row>
    <row r="1291" spans="1:18" ht="30" customHeight="1" x14ac:dyDescent="0.3">
      <c r="A1291" s="7">
        <v>45698.609026851853</v>
      </c>
      <c r="B1291" s="6" t="s">
        <v>5</v>
      </c>
      <c r="C1291" s="6"/>
      <c r="D1291" s="6" t="str">
        <f>VLOOKUP(B1291,'Veri doğrulama'!$D$6:$E$13,2,0)</f>
        <v>MEHMET ÖZEN</v>
      </c>
      <c r="E1291" s="6" t="s">
        <v>400</v>
      </c>
      <c r="F1291" s="6" t="s">
        <v>395</v>
      </c>
      <c r="G1291" s="6" t="s">
        <v>15</v>
      </c>
      <c r="H1291" s="6" t="s">
        <v>34</v>
      </c>
      <c r="I1291" s="6">
        <v>1100</v>
      </c>
      <c r="J1291" s="6">
        <v>360</v>
      </c>
      <c r="K1291" s="6">
        <v>1</v>
      </c>
      <c r="L1291" s="10">
        <f t="shared" si="35"/>
        <v>0.4</v>
      </c>
      <c r="M1291" s="6" t="s">
        <v>103</v>
      </c>
      <c r="N1291" s="6" t="s">
        <v>394</v>
      </c>
      <c r="O1291" s="6"/>
      <c r="P1291" s="17" t="s">
        <v>54</v>
      </c>
      <c r="Q1291" s="17" t="s">
        <v>54</v>
      </c>
      <c r="R1291" s="17" t="s">
        <v>54</v>
      </c>
    </row>
    <row r="1292" spans="1:18" ht="30" customHeight="1" x14ac:dyDescent="0.3">
      <c r="A1292" s="7">
        <v>45698.559214699075</v>
      </c>
      <c r="B1292" s="6" t="s">
        <v>5</v>
      </c>
      <c r="C1292" s="6"/>
      <c r="D1292" s="6" t="str">
        <f>VLOOKUP(B1292,'Veri doğrulama'!$D$6:$E$13,2,0)</f>
        <v>MEHMET ÖZEN</v>
      </c>
      <c r="E1292" s="6" t="s">
        <v>409</v>
      </c>
      <c r="F1292" s="6" t="s">
        <v>96</v>
      </c>
      <c r="G1292" s="6" t="s">
        <v>15</v>
      </c>
      <c r="H1292" s="6" t="s">
        <v>34</v>
      </c>
      <c r="I1292" s="6">
        <v>1600</v>
      </c>
      <c r="J1292" s="6">
        <v>800</v>
      </c>
      <c r="K1292" s="6">
        <v>1</v>
      </c>
      <c r="L1292" s="10">
        <f t="shared" si="35"/>
        <v>0.39600000000000002</v>
      </c>
      <c r="M1292" s="6" t="s">
        <v>156</v>
      </c>
      <c r="N1292" s="6" t="s">
        <v>394</v>
      </c>
      <c r="O1292" s="6"/>
      <c r="P1292" s="17" t="s">
        <v>54</v>
      </c>
      <c r="Q1292" s="17" t="s">
        <v>54</v>
      </c>
      <c r="R1292" s="17" t="s">
        <v>54</v>
      </c>
    </row>
    <row r="1293" spans="1:18" ht="30" customHeight="1" x14ac:dyDescent="0.3">
      <c r="A1293" s="7">
        <v>45698.558449305558</v>
      </c>
      <c r="B1293" s="6" t="s">
        <v>4</v>
      </c>
      <c r="C1293" s="6"/>
      <c r="D1293" s="6" t="str">
        <f>VLOOKUP(B1293,'Veri doğrulama'!$D$6:$E$13,2,0)</f>
        <v>MEHMET YAZICI</v>
      </c>
      <c r="E1293" s="6" t="s">
        <v>382</v>
      </c>
      <c r="F1293" s="6" t="s">
        <v>398</v>
      </c>
      <c r="G1293" s="6" t="s">
        <v>16</v>
      </c>
      <c r="H1293" s="6" t="s">
        <v>34</v>
      </c>
      <c r="I1293" s="6">
        <v>1400</v>
      </c>
      <c r="J1293" s="6">
        <v>940</v>
      </c>
      <c r="K1293" s="6">
        <v>1</v>
      </c>
      <c r="L1293" s="10">
        <f t="shared" si="35"/>
        <v>2.56</v>
      </c>
      <c r="M1293" s="6" t="s">
        <v>103</v>
      </c>
      <c r="N1293" s="6" t="s">
        <v>399</v>
      </c>
      <c r="O1293" s="6"/>
      <c r="P1293" s="17" t="s">
        <v>54</v>
      </c>
      <c r="Q1293" s="17" t="s">
        <v>54</v>
      </c>
      <c r="R1293" s="17" t="s">
        <v>54</v>
      </c>
    </row>
    <row r="1294" spans="1:18" ht="30" customHeight="1" x14ac:dyDescent="0.3">
      <c r="A1294" s="7">
        <v>45698.557268750003</v>
      </c>
      <c r="B1294" s="6" t="s">
        <v>4</v>
      </c>
      <c r="C1294" s="6"/>
      <c r="D1294" s="6" t="str">
        <f>VLOOKUP(B1294,'Veri doğrulama'!$D$6:$E$13,2,0)</f>
        <v>MEHMET YAZICI</v>
      </c>
      <c r="E1294" s="6"/>
      <c r="F1294" s="6" t="s">
        <v>141</v>
      </c>
      <c r="G1294" s="6" t="s">
        <v>18</v>
      </c>
      <c r="H1294" s="6" t="s">
        <v>34</v>
      </c>
      <c r="I1294" s="6">
        <v>1435</v>
      </c>
      <c r="J1294" s="6">
        <v>360</v>
      </c>
      <c r="K1294" s="6">
        <v>2</v>
      </c>
      <c r="L1294" s="10">
        <f t="shared" si="35"/>
        <v>1.3160000000000001</v>
      </c>
      <c r="M1294" s="6" t="s">
        <v>103</v>
      </c>
      <c r="N1294" s="6" t="s">
        <v>385</v>
      </c>
      <c r="O1294" s="6"/>
      <c r="P1294" s="17" t="s">
        <v>54</v>
      </c>
      <c r="Q1294" s="17" t="s">
        <v>54</v>
      </c>
      <c r="R1294" s="17"/>
    </row>
    <row r="1295" spans="1:18" ht="30" customHeight="1" x14ac:dyDescent="0.3">
      <c r="A1295" s="7">
        <v>45698.556601273151</v>
      </c>
      <c r="B1295" s="6" t="s">
        <v>5</v>
      </c>
      <c r="C1295" s="6"/>
      <c r="D1295" s="6" t="str">
        <f>VLOOKUP(B1295,'Veri doğrulama'!$D$6:$E$13,2,0)</f>
        <v>MEHMET ÖZEN</v>
      </c>
      <c r="E1295" s="6"/>
      <c r="F1295" s="6" t="s">
        <v>172</v>
      </c>
      <c r="G1295" s="6" t="s">
        <v>16</v>
      </c>
      <c r="H1295" s="6" t="s">
        <v>34</v>
      </c>
      <c r="I1295" s="6">
        <v>1990</v>
      </c>
      <c r="J1295" s="6">
        <v>840</v>
      </c>
      <c r="K1295" s="6">
        <v>1</v>
      </c>
      <c r="L1295" s="10">
        <f t="shared" si="35"/>
        <v>1.5497999999999998</v>
      </c>
      <c r="M1295" s="6" t="s">
        <v>42</v>
      </c>
      <c r="N1295" s="6" t="s">
        <v>392</v>
      </c>
      <c r="O1295" s="6"/>
      <c r="P1295" s="17" t="s">
        <v>54</v>
      </c>
      <c r="Q1295" s="17" t="s">
        <v>54</v>
      </c>
      <c r="R1295" s="17" t="s">
        <v>54</v>
      </c>
    </row>
    <row r="1296" spans="1:18" ht="30" customHeight="1" x14ac:dyDescent="0.3">
      <c r="A1296" s="7">
        <v>45698.481910648145</v>
      </c>
      <c r="B1296" s="6" t="s">
        <v>4</v>
      </c>
      <c r="C1296" s="6"/>
      <c r="D1296" s="6" t="str">
        <f>VLOOKUP(B1296,'Veri doğrulama'!$D$6:$E$13,2,0)</f>
        <v>MEHMET YAZICI</v>
      </c>
      <c r="E1296" s="6" t="s">
        <v>397</v>
      </c>
      <c r="F1296" s="6" t="s">
        <v>391</v>
      </c>
      <c r="G1296" s="6" t="s">
        <v>18</v>
      </c>
      <c r="H1296" s="6" t="s">
        <v>34</v>
      </c>
      <c r="I1296" s="6">
        <v>1465</v>
      </c>
      <c r="J1296" s="6">
        <v>520</v>
      </c>
      <c r="K1296" s="6">
        <v>3</v>
      </c>
      <c r="L1296" s="10">
        <f t="shared" si="35"/>
        <v>1.6716</v>
      </c>
      <c r="M1296" s="6" t="s">
        <v>42</v>
      </c>
      <c r="N1296" s="6" t="s">
        <v>385</v>
      </c>
      <c r="O1296" s="6"/>
      <c r="P1296" s="17" t="s">
        <v>54</v>
      </c>
      <c r="Q1296" s="17" t="s">
        <v>54</v>
      </c>
      <c r="R1296" s="17" t="s">
        <v>54</v>
      </c>
    </row>
    <row r="1297" spans="1:18" ht="30" customHeight="1" x14ac:dyDescent="0.3">
      <c r="A1297" s="7">
        <v>45698.407231944446</v>
      </c>
      <c r="B1297" s="6" t="s">
        <v>4</v>
      </c>
      <c r="C1297" s="6"/>
      <c r="D1297" s="6" t="str">
        <f>VLOOKUP(B1297,'Veri doğrulama'!$D$6:$E$13,2,0)</f>
        <v>MEHMET YAZICI</v>
      </c>
      <c r="E1297" s="6"/>
      <c r="F1297" s="6" t="s">
        <v>388</v>
      </c>
      <c r="G1297" s="6" t="s">
        <v>18</v>
      </c>
      <c r="H1297" s="6" t="s">
        <v>34</v>
      </c>
      <c r="I1297" s="6">
        <v>1763</v>
      </c>
      <c r="J1297" s="6">
        <v>150</v>
      </c>
      <c r="K1297" s="6">
        <v>1</v>
      </c>
      <c r="L1297" s="10">
        <f t="shared" si="35"/>
        <v>0.76180000000000003</v>
      </c>
      <c r="M1297" s="6" t="s">
        <v>103</v>
      </c>
      <c r="N1297" s="6" t="s">
        <v>389</v>
      </c>
      <c r="O1297" s="6"/>
      <c r="P1297" s="17" t="s">
        <v>54</v>
      </c>
      <c r="Q1297" s="17" t="s">
        <v>54</v>
      </c>
      <c r="R1297" s="17" t="s">
        <v>54</v>
      </c>
    </row>
    <row r="1298" spans="1:18" ht="30" customHeight="1" x14ac:dyDescent="0.3">
      <c r="A1298" s="7">
        <v>45698.405017824072</v>
      </c>
      <c r="B1298" s="6" t="s">
        <v>4</v>
      </c>
      <c r="C1298" s="6"/>
      <c r="D1298" s="6" t="str">
        <f>VLOOKUP(B1298,'Veri doğrulama'!$D$6:$E$13,2,0)</f>
        <v>MEHMET YAZICI</v>
      </c>
      <c r="E1298" s="6"/>
      <c r="F1298" s="6" t="s">
        <v>386</v>
      </c>
      <c r="G1298" s="6" t="s">
        <v>18</v>
      </c>
      <c r="H1298" s="6" t="s">
        <v>34</v>
      </c>
      <c r="I1298" s="6">
        <v>762</v>
      </c>
      <c r="J1298" s="6">
        <v>320</v>
      </c>
      <c r="K1298" s="6">
        <v>1</v>
      </c>
      <c r="L1298" s="10">
        <f t="shared" si="35"/>
        <v>0.26445000000000002</v>
      </c>
      <c r="M1298" s="6" t="s">
        <v>103</v>
      </c>
      <c r="N1298" s="6" t="s">
        <v>385</v>
      </c>
      <c r="O1298" s="6"/>
      <c r="P1298" s="17" t="s">
        <v>54</v>
      </c>
      <c r="Q1298" s="17" t="s">
        <v>54</v>
      </c>
      <c r="R1298" s="17" t="s">
        <v>54</v>
      </c>
    </row>
    <row r="1299" spans="1:18" ht="30" customHeight="1" x14ac:dyDescent="0.3">
      <c r="A1299" s="7">
        <v>45698.343588888885</v>
      </c>
      <c r="B1299" s="6" t="s">
        <v>4</v>
      </c>
      <c r="C1299" s="6"/>
      <c r="D1299" s="6" t="str">
        <f>VLOOKUP(B1299,'Veri doğrulama'!$D$6:$E$13,2,0)</f>
        <v>MEHMET YAZICI</v>
      </c>
      <c r="E1299" s="6"/>
      <c r="F1299" s="6" t="s">
        <v>384</v>
      </c>
      <c r="G1299" s="6" t="s">
        <v>18</v>
      </c>
      <c r="H1299" s="6" t="s">
        <v>34</v>
      </c>
      <c r="I1299" s="6">
        <v>360</v>
      </c>
      <c r="J1299" s="6">
        <v>800</v>
      </c>
      <c r="K1299" s="6">
        <v>1</v>
      </c>
      <c r="L1299" s="10">
        <f t="shared" si="35"/>
        <v>3.4137599999999999</v>
      </c>
      <c r="M1299" s="6" t="s">
        <v>103</v>
      </c>
      <c r="N1299" s="6" t="s">
        <v>385</v>
      </c>
      <c r="O1299" s="6"/>
      <c r="P1299" s="17" t="s">
        <v>54</v>
      </c>
      <c r="Q1299" s="17" t="s">
        <v>54</v>
      </c>
      <c r="R1299" s="17" t="s">
        <v>54</v>
      </c>
    </row>
    <row r="1300" spans="1:18" ht="30" customHeight="1" x14ac:dyDescent="0.3">
      <c r="A1300" s="7">
        <v>45695.76050196759</v>
      </c>
      <c r="B1300" s="6" t="s">
        <v>4</v>
      </c>
      <c r="C1300" s="6"/>
      <c r="D1300" s="6" t="str">
        <f>VLOOKUP(B1300,'Veri doğrulama'!$D$6:$E$13,2,0)</f>
        <v>MEHMET YAZICI</v>
      </c>
      <c r="E1300" s="6"/>
      <c r="F1300" s="6" t="s">
        <v>100</v>
      </c>
      <c r="G1300" s="6" t="s">
        <v>18</v>
      </c>
      <c r="H1300" s="6" t="s">
        <v>34</v>
      </c>
      <c r="I1300" s="6">
        <v>1450</v>
      </c>
      <c r="J1300" s="6">
        <v>397</v>
      </c>
      <c r="K1300" s="6">
        <v>14</v>
      </c>
      <c r="L1300" s="10">
        <f t="shared" si="35"/>
        <v>0.28799999999999998</v>
      </c>
      <c r="M1300" s="6" t="s">
        <v>43</v>
      </c>
      <c r="N1300" s="6" t="s">
        <v>383</v>
      </c>
      <c r="O1300" s="6"/>
      <c r="P1300" s="17" t="s">
        <v>54</v>
      </c>
      <c r="Q1300" s="17" t="s">
        <v>54</v>
      </c>
      <c r="R1300" s="17" t="s">
        <v>54</v>
      </c>
    </row>
    <row r="1301" spans="1:18" ht="30" customHeight="1" x14ac:dyDescent="0.3">
      <c r="A1301" s="7">
        <v>45695.759877893521</v>
      </c>
      <c r="B1301" s="6" t="s">
        <v>4</v>
      </c>
      <c r="C1301" s="6"/>
      <c r="D1301" s="6" t="str">
        <f>VLOOKUP(B1301,'Veri doğrulama'!$D$6:$E$13,2,0)</f>
        <v>MEHMET YAZICI</v>
      </c>
      <c r="E1301" s="6" t="s">
        <v>387</v>
      </c>
      <c r="F1301" s="6" t="s">
        <v>127</v>
      </c>
      <c r="G1301" s="6" t="s">
        <v>14</v>
      </c>
      <c r="H1301" s="6" t="s">
        <v>34</v>
      </c>
      <c r="I1301" s="6">
        <v>447</v>
      </c>
      <c r="J1301" s="6">
        <v>578</v>
      </c>
      <c r="K1301" s="6">
        <v>1</v>
      </c>
      <c r="L1301" s="10">
        <f t="shared" si="35"/>
        <v>0.57565</v>
      </c>
      <c r="M1301" s="6" t="s">
        <v>103</v>
      </c>
      <c r="N1301" s="6" t="s">
        <v>385</v>
      </c>
      <c r="O1301" s="6"/>
      <c r="P1301" s="17" t="s">
        <v>54</v>
      </c>
      <c r="Q1301" s="17" t="s">
        <v>54</v>
      </c>
      <c r="R1301" s="17" t="s">
        <v>54</v>
      </c>
    </row>
    <row r="1302" spans="1:18" ht="30" customHeight="1" x14ac:dyDescent="0.3">
      <c r="A1302" s="7">
        <v>45695.591511458333</v>
      </c>
      <c r="B1302" s="6" t="s">
        <v>4</v>
      </c>
      <c r="C1302" s="6"/>
      <c r="D1302" s="6" t="str">
        <f>VLOOKUP(B1302,'Veri doğrulama'!$D$6:$E$13,2,0)</f>
        <v>MEHMET YAZICI</v>
      </c>
      <c r="E1302" s="6"/>
      <c r="F1302" s="6" t="s">
        <v>380</v>
      </c>
      <c r="G1302" s="6" t="s">
        <v>14</v>
      </c>
      <c r="H1302" s="6" t="s">
        <v>34</v>
      </c>
      <c r="I1302" s="6">
        <v>2200</v>
      </c>
      <c r="J1302" s="6">
        <v>450</v>
      </c>
      <c r="K1302" s="6">
        <v>1</v>
      </c>
      <c r="L1302" s="10">
        <f t="shared" si="35"/>
        <v>0.25836599999999998</v>
      </c>
      <c r="M1302" s="6" t="s">
        <v>103</v>
      </c>
      <c r="N1302" s="6" t="s">
        <v>179</v>
      </c>
      <c r="O1302" s="6"/>
      <c r="P1302" s="17" t="s">
        <v>54</v>
      </c>
      <c r="Q1302" s="17" t="s">
        <v>54</v>
      </c>
      <c r="R1302" s="17" t="s">
        <v>54</v>
      </c>
    </row>
    <row r="1303" spans="1:18" ht="30" customHeight="1" x14ac:dyDescent="0.3">
      <c r="A1303" s="7">
        <v>45695.34069571759</v>
      </c>
      <c r="B1303" s="6" t="s">
        <v>7</v>
      </c>
      <c r="C1303" s="6"/>
      <c r="D1303" s="6" t="str">
        <f>VLOOKUP(B1303,'Veri doğrulama'!$D$6:$E$13,2,0)</f>
        <v>SIDDIK KAPLAN</v>
      </c>
      <c r="E1303" s="6"/>
      <c r="F1303" s="6" t="s">
        <v>381</v>
      </c>
      <c r="G1303" s="6" t="s">
        <v>18</v>
      </c>
      <c r="H1303" s="6" t="s">
        <v>34</v>
      </c>
      <c r="I1303" s="6">
        <v>1400</v>
      </c>
      <c r="J1303" s="6">
        <v>1200</v>
      </c>
      <c r="K1303" s="6">
        <v>1</v>
      </c>
      <c r="L1303" s="10">
        <f t="shared" si="35"/>
        <v>0.99</v>
      </c>
      <c r="M1303" s="6" t="s">
        <v>156</v>
      </c>
      <c r="N1303" s="6" t="s">
        <v>209</v>
      </c>
      <c r="O1303" s="6"/>
      <c r="P1303" s="17" t="s">
        <v>54</v>
      </c>
      <c r="Q1303" s="17" t="s">
        <v>54</v>
      </c>
      <c r="R1303" s="17" t="s">
        <v>54</v>
      </c>
    </row>
    <row r="1304" spans="1:18" ht="30" customHeight="1" x14ac:dyDescent="0.3">
      <c r="A1304" s="7">
        <v>45694.598207291667</v>
      </c>
      <c r="B1304" s="6" t="s">
        <v>4</v>
      </c>
      <c r="C1304" s="6"/>
      <c r="D1304" s="6" t="str">
        <f>VLOOKUP(B1304,'Veri doğrulama'!$D$6:$E$13,2,0)</f>
        <v>MEHMET YAZICI</v>
      </c>
      <c r="E1304" s="6" t="s">
        <v>382</v>
      </c>
      <c r="F1304" s="6" t="s">
        <v>416</v>
      </c>
      <c r="G1304" s="6" t="s">
        <v>19</v>
      </c>
      <c r="H1304" s="6" t="s">
        <v>34</v>
      </c>
      <c r="I1304" s="6">
        <v>470</v>
      </c>
      <c r="J1304" s="6">
        <v>447</v>
      </c>
      <c r="K1304" s="6">
        <v>1</v>
      </c>
      <c r="L1304" s="10">
        <f t="shared" si="35"/>
        <v>1.68</v>
      </c>
      <c r="M1304" s="6" t="s">
        <v>102</v>
      </c>
      <c r="N1304" s="6" t="s">
        <v>385</v>
      </c>
      <c r="O1304" s="6"/>
      <c r="P1304" s="17" t="s">
        <v>54</v>
      </c>
      <c r="Q1304" s="17" t="s">
        <v>54</v>
      </c>
      <c r="R1304" s="17" t="s">
        <v>54</v>
      </c>
    </row>
    <row r="1305" spans="1:18" ht="30" customHeight="1" x14ac:dyDescent="0.3">
      <c r="A1305" s="7">
        <v>45694.474668055555</v>
      </c>
      <c r="B1305" s="6" t="s">
        <v>4</v>
      </c>
      <c r="C1305" s="6"/>
      <c r="D1305" s="6" t="str">
        <f>VLOOKUP(B1305,'Veri doğrulama'!$D$6:$E$13,2,0)</f>
        <v>MEHMET YAZICI</v>
      </c>
      <c r="E1305" s="6"/>
      <c r="F1305" s="6" t="s">
        <v>414</v>
      </c>
      <c r="G1305" s="6" t="s">
        <v>24</v>
      </c>
      <c r="H1305" s="6" t="s">
        <v>34</v>
      </c>
      <c r="I1305" s="6">
        <v>682</v>
      </c>
      <c r="J1305" s="6">
        <v>412</v>
      </c>
      <c r="K1305" s="6">
        <v>1</v>
      </c>
      <c r="L1305" s="10">
        <f t="shared" si="35"/>
        <v>0.21009</v>
      </c>
      <c r="M1305" s="6" t="s">
        <v>43</v>
      </c>
      <c r="N1305" s="6" t="s">
        <v>399</v>
      </c>
      <c r="O1305" s="6"/>
      <c r="P1305" s="17" t="s">
        <v>54</v>
      </c>
      <c r="Q1305" s="17" t="s">
        <v>54</v>
      </c>
      <c r="R1305" s="17" t="s">
        <v>54</v>
      </c>
    </row>
    <row r="1306" spans="1:18" ht="30" customHeight="1" x14ac:dyDescent="0.3">
      <c r="A1306" s="7">
        <v>45694.456095601854</v>
      </c>
      <c r="B1306" s="6" t="s">
        <v>5</v>
      </c>
      <c r="C1306" s="6"/>
      <c r="D1306" s="6" t="str">
        <f>VLOOKUP(B1306,'Veri doğrulama'!$D$6:$E$13,2,0)</f>
        <v>MEHMET ÖZEN</v>
      </c>
      <c r="E1306" s="6" t="s">
        <v>405</v>
      </c>
      <c r="F1306" s="6" t="s">
        <v>376</v>
      </c>
      <c r="G1306" s="6" t="s">
        <v>18</v>
      </c>
      <c r="H1306" s="6" t="s">
        <v>34</v>
      </c>
      <c r="I1306" s="6">
        <v>1400</v>
      </c>
      <c r="J1306" s="6">
        <v>1200</v>
      </c>
      <c r="K1306" s="6">
        <v>1</v>
      </c>
      <c r="L1306" s="10">
        <f t="shared" si="35"/>
        <v>0.56196800000000002</v>
      </c>
      <c r="M1306" s="6" t="s">
        <v>156</v>
      </c>
      <c r="N1306" s="6" t="s">
        <v>195</v>
      </c>
      <c r="O1306" s="6"/>
      <c r="P1306" s="17" t="s">
        <v>54</v>
      </c>
      <c r="Q1306" s="17" t="s">
        <v>54</v>
      </c>
      <c r="R1306" s="17" t="s">
        <v>54</v>
      </c>
    </row>
    <row r="1307" spans="1:18" ht="30" customHeight="1" x14ac:dyDescent="0.3">
      <c r="A1307" s="7">
        <v>45694.455469675922</v>
      </c>
      <c r="B1307" s="6" t="s">
        <v>4</v>
      </c>
      <c r="C1307" s="6"/>
      <c r="D1307" s="6" t="str">
        <f>VLOOKUP(B1307,'Veri doğrulama'!$D$6:$E$13,2,0)</f>
        <v>MEHMET YAZICI</v>
      </c>
      <c r="E1307" s="6"/>
      <c r="F1307" s="6" t="s">
        <v>401</v>
      </c>
      <c r="G1307" s="6" t="s">
        <v>17</v>
      </c>
      <c r="H1307" s="6" t="s">
        <v>34</v>
      </c>
      <c r="I1307" s="6">
        <v>2200</v>
      </c>
      <c r="J1307" s="6">
        <v>940</v>
      </c>
      <c r="K1307" s="6">
        <v>2</v>
      </c>
      <c r="L1307" s="10">
        <f t="shared" si="35"/>
        <v>1.68</v>
      </c>
      <c r="M1307" s="6" t="s">
        <v>103</v>
      </c>
      <c r="N1307" s="6" t="s">
        <v>402</v>
      </c>
      <c r="O1307" s="6"/>
      <c r="P1307" s="17" t="s">
        <v>54</v>
      </c>
      <c r="Q1307" s="17" t="s">
        <v>54</v>
      </c>
      <c r="R1307" s="17" t="s">
        <v>54</v>
      </c>
    </row>
    <row r="1308" spans="1:18" ht="30" customHeight="1" x14ac:dyDescent="0.3">
      <c r="A1308" s="7">
        <v>45694.359768402777</v>
      </c>
      <c r="B1308" s="6" t="s">
        <v>4</v>
      </c>
      <c r="C1308" s="6"/>
      <c r="D1308" s="6" t="str">
        <f>VLOOKUP(B1308,'Veri doğrulama'!$D$6:$E$13,2,0)</f>
        <v>MEHMET YAZICI</v>
      </c>
      <c r="E1308" s="6" t="s">
        <v>379</v>
      </c>
      <c r="F1308" s="6" t="s">
        <v>372</v>
      </c>
      <c r="G1308" s="6" t="s">
        <v>17</v>
      </c>
      <c r="H1308" s="6" t="s">
        <v>34</v>
      </c>
      <c r="I1308" s="6">
        <v>698</v>
      </c>
      <c r="J1308" s="6">
        <v>430</v>
      </c>
      <c r="K1308" s="6">
        <v>1</v>
      </c>
      <c r="L1308" s="10">
        <f t="shared" si="35"/>
        <v>2.0680000000000001</v>
      </c>
      <c r="M1308" s="6" t="s">
        <v>38</v>
      </c>
      <c r="N1308" s="6">
        <v>1</v>
      </c>
      <c r="O1308" s="6"/>
      <c r="P1308" s="17" t="s">
        <v>54</v>
      </c>
      <c r="Q1308" s="17" t="s">
        <v>54</v>
      </c>
      <c r="R1308" s="17"/>
    </row>
    <row r="1309" spans="1:18" ht="30" customHeight="1" x14ac:dyDescent="0.3">
      <c r="A1309" s="7">
        <v>45693.59700833333</v>
      </c>
      <c r="B1309" s="6" t="s">
        <v>5</v>
      </c>
      <c r="C1309" s="6"/>
      <c r="D1309" s="6" t="str">
        <f>VLOOKUP(B1309,'Veri doğrulama'!$D$6:$E$13,2,0)</f>
        <v>MEHMET ÖZEN</v>
      </c>
      <c r="E1309" s="6"/>
      <c r="F1309" s="6" t="s">
        <v>94</v>
      </c>
      <c r="G1309" s="6" t="s">
        <v>19</v>
      </c>
      <c r="H1309" s="6" t="s">
        <v>34</v>
      </c>
      <c r="I1309" s="6">
        <v>2200</v>
      </c>
      <c r="J1309" s="6">
        <v>900</v>
      </c>
      <c r="K1309" s="6">
        <v>1</v>
      </c>
      <c r="L1309" s="10">
        <f t="shared" si="35"/>
        <v>0.30014000000000002</v>
      </c>
      <c r="M1309" s="6" t="s">
        <v>102</v>
      </c>
      <c r="N1309" s="6"/>
      <c r="O1309" s="6"/>
      <c r="P1309" s="17" t="s">
        <v>54</v>
      </c>
      <c r="Q1309" s="17" t="s">
        <v>54</v>
      </c>
      <c r="R1309" s="17" t="s">
        <v>54</v>
      </c>
    </row>
    <row r="1310" spans="1:18" ht="30" customHeight="1" x14ac:dyDescent="0.3">
      <c r="A1310" s="7">
        <v>45693.590124768518</v>
      </c>
      <c r="B1310" s="6" t="s">
        <v>4</v>
      </c>
      <c r="C1310" s="6"/>
      <c r="D1310" s="6" t="str">
        <f>VLOOKUP(B1310,'Veri doğrulama'!$D$6:$E$13,2,0)</f>
        <v>MEHMET YAZICI</v>
      </c>
      <c r="E1310" s="6"/>
      <c r="F1310" s="6" t="s">
        <v>390</v>
      </c>
      <c r="G1310" s="6" t="s">
        <v>16</v>
      </c>
      <c r="H1310" s="6" t="s">
        <v>34</v>
      </c>
      <c r="I1310" s="6">
        <v>630</v>
      </c>
      <c r="J1310" s="6">
        <v>405</v>
      </c>
      <c r="K1310" s="6">
        <v>1</v>
      </c>
      <c r="L1310" s="10">
        <f t="shared" si="35"/>
        <v>1.98</v>
      </c>
      <c r="M1310" s="6" t="s">
        <v>102</v>
      </c>
      <c r="N1310" s="6" t="s">
        <v>385</v>
      </c>
      <c r="O1310" s="6"/>
      <c r="P1310" s="17" t="s">
        <v>54</v>
      </c>
      <c r="Q1310" s="17" t="s">
        <v>54</v>
      </c>
      <c r="R1310" s="17" t="s">
        <v>54</v>
      </c>
    </row>
    <row r="1311" spans="1:18" ht="30" customHeight="1" x14ac:dyDescent="0.3">
      <c r="A1311" s="7">
        <v>45693.583019097219</v>
      </c>
      <c r="B1311" s="6" t="s">
        <v>4</v>
      </c>
      <c r="C1311" s="6"/>
      <c r="D1311" s="6" t="str">
        <f>VLOOKUP(B1311,'Veri doğrulama'!$D$6:$E$13,2,0)</f>
        <v>MEHMET YAZICI</v>
      </c>
      <c r="E1311" s="6" t="s">
        <v>377</v>
      </c>
      <c r="F1311" s="6" t="s">
        <v>443</v>
      </c>
      <c r="G1311" s="6" t="s">
        <v>13</v>
      </c>
      <c r="H1311" s="6" t="s">
        <v>34</v>
      </c>
      <c r="I1311" s="6">
        <v>710</v>
      </c>
      <c r="J1311" s="6">
        <v>849</v>
      </c>
      <c r="K1311" s="6">
        <v>1</v>
      </c>
      <c r="L1311" s="10">
        <f t="shared" si="35"/>
        <v>0.25514999999999999</v>
      </c>
      <c r="M1311" s="6" t="s">
        <v>37</v>
      </c>
      <c r="N1311" s="6" t="s">
        <v>385</v>
      </c>
      <c r="O1311" s="6"/>
      <c r="P1311" s="17" t="s">
        <v>54</v>
      </c>
      <c r="Q1311" s="17" t="s">
        <v>54</v>
      </c>
      <c r="R1311" s="17" t="s">
        <v>54</v>
      </c>
    </row>
    <row r="1312" spans="1:18" ht="30" customHeight="1" x14ac:dyDescent="0.3">
      <c r="A1312" s="7">
        <v>45693.442996180558</v>
      </c>
      <c r="B1312" s="6" t="s">
        <v>4</v>
      </c>
      <c r="C1312" s="6"/>
      <c r="D1312" s="6" t="str">
        <f>VLOOKUP(B1312,'Veri doğrulama'!$D$6:$E$13,2,0)</f>
        <v>MEHMET YAZICI</v>
      </c>
      <c r="E1312" s="6"/>
      <c r="F1312" s="6" t="s">
        <v>371</v>
      </c>
      <c r="G1312" s="6" t="s">
        <v>17</v>
      </c>
      <c r="H1312" s="6" t="s">
        <v>35</v>
      </c>
      <c r="I1312" s="6">
        <v>840</v>
      </c>
      <c r="J1312" s="6">
        <v>1990</v>
      </c>
      <c r="K1312" s="6">
        <v>1</v>
      </c>
      <c r="L1312" s="10">
        <f t="shared" si="35"/>
        <v>0.60279000000000005</v>
      </c>
      <c r="M1312" s="6" t="s">
        <v>39</v>
      </c>
      <c r="N1312" s="6" t="s">
        <v>157</v>
      </c>
      <c r="O1312" s="6"/>
      <c r="P1312" s="17" t="s">
        <v>54</v>
      </c>
      <c r="Q1312" s="17" t="s">
        <v>54</v>
      </c>
      <c r="R1312" s="17"/>
    </row>
    <row r="1313" spans="1:18" ht="30" customHeight="1" x14ac:dyDescent="0.3">
      <c r="A1313" s="7">
        <v>45692.697427314815</v>
      </c>
      <c r="B1313" s="6" t="s">
        <v>4</v>
      </c>
      <c r="C1313" s="6"/>
      <c r="D1313" s="6" t="str">
        <f>VLOOKUP(B1313,'Veri doğrulama'!$D$6:$E$13,2,0)</f>
        <v>MEHMET YAZICI</v>
      </c>
      <c r="E1313" s="6"/>
      <c r="F1313" s="6" t="s">
        <v>367</v>
      </c>
      <c r="G1313" s="6" t="s">
        <v>16</v>
      </c>
      <c r="H1313" s="6" t="s">
        <v>34</v>
      </c>
      <c r="I1313" s="6">
        <v>575</v>
      </c>
      <c r="J1313" s="6">
        <v>410</v>
      </c>
      <c r="K1313" s="6">
        <v>1</v>
      </c>
      <c r="L1313" s="10">
        <f t="shared" si="35"/>
        <v>1.6716</v>
      </c>
      <c r="M1313" s="6" t="s">
        <v>103</v>
      </c>
      <c r="N1313" s="6" t="s">
        <v>157</v>
      </c>
      <c r="O1313" s="6"/>
      <c r="P1313" s="17" t="s">
        <v>54</v>
      </c>
      <c r="Q1313" s="17" t="s">
        <v>54</v>
      </c>
      <c r="R1313" s="17"/>
    </row>
    <row r="1314" spans="1:18" ht="30" customHeight="1" x14ac:dyDescent="0.3">
      <c r="A1314" s="7">
        <v>45692.651513888886</v>
      </c>
      <c r="B1314" s="6" t="s">
        <v>5</v>
      </c>
      <c r="C1314" s="6"/>
      <c r="D1314" s="6" t="str">
        <f>VLOOKUP(B1314,'Veri doğrulama'!$D$6:$E$13,2,0)</f>
        <v>MEHMET ÖZEN</v>
      </c>
      <c r="E1314" s="6" t="s">
        <v>373</v>
      </c>
      <c r="F1314" s="6" t="s">
        <v>375</v>
      </c>
      <c r="G1314" s="6" t="s">
        <v>24</v>
      </c>
      <c r="H1314" s="6" t="s">
        <v>34</v>
      </c>
      <c r="I1314" s="6">
        <v>1990</v>
      </c>
      <c r="J1314" s="6">
        <v>840</v>
      </c>
      <c r="K1314" s="6">
        <v>1</v>
      </c>
      <c r="L1314" s="10">
        <f t="shared" si="35"/>
        <v>0.47149999999999997</v>
      </c>
      <c r="M1314" s="6" t="s">
        <v>103</v>
      </c>
      <c r="N1314" s="6">
        <v>1</v>
      </c>
      <c r="O1314" s="6"/>
      <c r="P1314" s="17" t="s">
        <v>54</v>
      </c>
      <c r="Q1314" s="17" t="s">
        <v>54</v>
      </c>
      <c r="R1314" s="17" t="s">
        <v>54</v>
      </c>
    </row>
    <row r="1315" spans="1:18" ht="30" customHeight="1" x14ac:dyDescent="0.3">
      <c r="A1315" s="7">
        <v>45692.65102002315</v>
      </c>
      <c r="B1315" s="6" t="s">
        <v>4</v>
      </c>
      <c r="C1315" s="6"/>
      <c r="D1315" s="6" t="str">
        <f>VLOOKUP(B1315,'Veri doğrulama'!$D$6:$E$13,2,0)</f>
        <v>MEHMET YAZICI</v>
      </c>
      <c r="E1315" s="6" t="s">
        <v>370</v>
      </c>
      <c r="F1315" s="6" t="s">
        <v>378</v>
      </c>
      <c r="G1315" s="6" t="s">
        <v>14</v>
      </c>
      <c r="H1315" s="6" t="s">
        <v>34</v>
      </c>
      <c r="I1315" s="6">
        <v>544</v>
      </c>
      <c r="J1315" s="6">
        <v>549</v>
      </c>
      <c r="K1315" s="6">
        <v>2</v>
      </c>
      <c r="L1315" s="10">
        <f t="shared" si="35"/>
        <v>1.6716</v>
      </c>
      <c r="M1315" s="6" t="s">
        <v>103</v>
      </c>
      <c r="N1315" s="6" t="s">
        <v>159</v>
      </c>
      <c r="O1315" s="6"/>
      <c r="P1315" s="17" t="s">
        <v>54</v>
      </c>
      <c r="Q1315" s="17" t="s">
        <v>54</v>
      </c>
      <c r="R1315" s="17" t="s">
        <v>54</v>
      </c>
    </row>
    <row r="1316" spans="1:18" ht="30" customHeight="1" x14ac:dyDescent="0.3">
      <c r="A1316" s="7">
        <v>45692.623866435184</v>
      </c>
      <c r="B1316" s="6" t="s">
        <v>4</v>
      </c>
      <c r="C1316" s="6"/>
      <c r="D1316" s="6" t="str">
        <f>VLOOKUP(B1316,'Veri doğrulama'!$D$6:$E$13,2,0)</f>
        <v>MEHMET YAZICI</v>
      </c>
      <c r="E1316" s="6"/>
      <c r="F1316" s="6" t="s">
        <v>462</v>
      </c>
      <c r="G1316" s="6" t="s">
        <v>21</v>
      </c>
      <c r="H1316" s="6" t="s">
        <v>34</v>
      </c>
      <c r="I1316" s="6">
        <v>600</v>
      </c>
      <c r="J1316" s="6">
        <v>326</v>
      </c>
      <c r="K1316" s="6">
        <v>1</v>
      </c>
      <c r="L1316" s="10">
        <f t="shared" ref="L1316:L1336" si="36">I1315*J1315/1000000*K1317</f>
        <v>0.29865599999999998</v>
      </c>
      <c r="M1316" s="6" t="s">
        <v>103</v>
      </c>
      <c r="N1316" s="6" t="s">
        <v>385</v>
      </c>
      <c r="O1316" s="6"/>
      <c r="P1316" s="17" t="s">
        <v>54</v>
      </c>
      <c r="Q1316" s="17" t="s">
        <v>54</v>
      </c>
      <c r="R1316" s="17" t="s">
        <v>54</v>
      </c>
    </row>
    <row r="1317" spans="1:18" ht="30" customHeight="1" x14ac:dyDescent="0.3">
      <c r="A1317" s="7">
        <v>45692.56413796296</v>
      </c>
      <c r="B1317" s="6" t="s">
        <v>4</v>
      </c>
      <c r="C1317" s="6"/>
      <c r="D1317" s="6" t="str">
        <f>VLOOKUP(B1317,'Veri doğrulama'!$D$6:$E$13,2,0)</f>
        <v>MEHMET YAZICI</v>
      </c>
      <c r="E1317" s="6"/>
      <c r="F1317" s="6" t="s">
        <v>365</v>
      </c>
      <c r="G1317" s="6" t="s">
        <v>17</v>
      </c>
      <c r="H1317" s="6" t="s">
        <v>34</v>
      </c>
      <c r="I1317" s="6">
        <v>320</v>
      </c>
      <c r="J1317" s="6">
        <v>1300</v>
      </c>
      <c r="K1317" s="6">
        <v>1</v>
      </c>
      <c r="L1317" s="10">
        <f t="shared" si="36"/>
        <v>0.1956</v>
      </c>
      <c r="M1317" s="6" t="s">
        <v>43</v>
      </c>
      <c r="N1317" s="6" t="s">
        <v>157</v>
      </c>
      <c r="O1317" s="6"/>
      <c r="P1317" s="17" t="s">
        <v>54</v>
      </c>
      <c r="Q1317" s="17" t="s">
        <v>54</v>
      </c>
      <c r="R1317" s="17" t="s">
        <v>54</v>
      </c>
    </row>
    <row r="1318" spans="1:18" ht="30" customHeight="1" x14ac:dyDescent="0.3">
      <c r="A1318" s="7">
        <v>45692.466904976849</v>
      </c>
      <c r="B1318" s="6" t="s">
        <v>5</v>
      </c>
      <c r="C1318" s="6"/>
      <c r="D1318" s="6" t="str">
        <f>VLOOKUP(B1318,'Veri doğrulama'!$D$6:$E$13,2,0)</f>
        <v>MEHMET ÖZEN</v>
      </c>
      <c r="E1318" s="6" t="s">
        <v>464</v>
      </c>
      <c r="F1318" s="6" t="s">
        <v>363</v>
      </c>
      <c r="G1318" s="6" t="s">
        <v>16</v>
      </c>
      <c r="H1318" s="6" t="s">
        <v>34</v>
      </c>
      <c r="I1318" s="6">
        <v>397</v>
      </c>
      <c r="J1318" s="6">
        <v>701</v>
      </c>
      <c r="K1318" s="6">
        <v>1</v>
      </c>
      <c r="L1318" s="10">
        <f t="shared" si="36"/>
        <v>0.41599999999999998</v>
      </c>
      <c r="M1318" s="6" t="s">
        <v>156</v>
      </c>
      <c r="N1318" s="6" t="s">
        <v>157</v>
      </c>
      <c r="O1318" s="6"/>
      <c r="P1318" s="17" t="s">
        <v>54</v>
      </c>
      <c r="Q1318" s="17" t="s">
        <v>54</v>
      </c>
      <c r="R1318" s="17" t="s">
        <v>54</v>
      </c>
    </row>
    <row r="1319" spans="1:18" ht="30" customHeight="1" x14ac:dyDescent="0.3">
      <c r="A1319" s="7">
        <v>45692.465843865742</v>
      </c>
      <c r="B1319" s="6" t="s">
        <v>5</v>
      </c>
      <c r="C1319" s="6"/>
      <c r="D1319" s="6" t="str">
        <f>VLOOKUP(B1319,'Veri doğrulama'!$D$6:$E$13,2,0)</f>
        <v>MEHMET ÖZEN</v>
      </c>
      <c r="E1319" s="6"/>
      <c r="F1319" s="6" t="s">
        <v>357</v>
      </c>
      <c r="G1319" s="6" t="s">
        <v>16</v>
      </c>
      <c r="H1319" s="6" t="s">
        <v>34</v>
      </c>
      <c r="I1319" s="6">
        <v>2163</v>
      </c>
      <c r="J1319" s="6">
        <v>699</v>
      </c>
      <c r="K1319" s="6">
        <v>1</v>
      </c>
      <c r="L1319" s="10">
        <f t="shared" si="36"/>
        <v>0.27829700000000002</v>
      </c>
      <c r="M1319" s="6" t="s">
        <v>75</v>
      </c>
      <c r="N1319" s="6" t="s">
        <v>195</v>
      </c>
      <c r="O1319" s="6"/>
      <c r="P1319" s="17" t="s">
        <v>54</v>
      </c>
      <c r="Q1319" s="17" t="s">
        <v>54</v>
      </c>
      <c r="R1319" s="17" t="s">
        <v>54</v>
      </c>
    </row>
    <row r="1320" spans="1:18" ht="30" customHeight="1" x14ac:dyDescent="0.3">
      <c r="A1320" s="7">
        <v>45692.394878009261</v>
      </c>
      <c r="B1320" s="6" t="s">
        <v>4</v>
      </c>
      <c r="C1320" s="6"/>
      <c r="D1320" s="6" t="str">
        <f>VLOOKUP(B1320,'Veri doğrulama'!$D$6:$E$13,2,0)</f>
        <v>MEHMET YAZICI</v>
      </c>
      <c r="E1320" s="6" t="s">
        <v>366</v>
      </c>
      <c r="F1320" s="6" t="s">
        <v>368</v>
      </c>
      <c r="G1320" s="6" t="s">
        <v>19</v>
      </c>
      <c r="H1320" s="6" t="s">
        <v>35</v>
      </c>
      <c r="I1320" s="6">
        <v>1600</v>
      </c>
      <c r="J1320" s="6">
        <v>800</v>
      </c>
      <c r="K1320" s="6">
        <v>1</v>
      </c>
      <c r="L1320" s="10">
        <f t="shared" si="36"/>
        <v>1.5119370000000001</v>
      </c>
      <c r="M1320" s="6" t="s">
        <v>75</v>
      </c>
      <c r="N1320" s="6" t="s">
        <v>369</v>
      </c>
      <c r="O1320" s="6"/>
      <c r="P1320" s="17" t="s">
        <v>54</v>
      </c>
      <c r="Q1320" s="17" t="s">
        <v>54</v>
      </c>
      <c r="R1320" s="17" t="s">
        <v>54</v>
      </c>
    </row>
    <row r="1321" spans="1:18" ht="30" customHeight="1" x14ac:dyDescent="0.3">
      <c r="A1321" s="7">
        <v>45692.347936689817</v>
      </c>
      <c r="B1321" s="6" t="s">
        <v>4</v>
      </c>
      <c r="C1321" s="6"/>
      <c r="D1321" s="6" t="str">
        <f>VLOOKUP(B1321,'Veri doğrulama'!$D$6:$E$13,2,0)</f>
        <v>MEHMET YAZICI</v>
      </c>
      <c r="E1321" s="6" t="s">
        <v>359</v>
      </c>
      <c r="F1321" s="6" t="s">
        <v>358</v>
      </c>
      <c r="G1321" s="6" t="s">
        <v>21</v>
      </c>
      <c r="H1321" s="6" t="s">
        <v>34</v>
      </c>
      <c r="I1321" s="6">
        <v>1800</v>
      </c>
      <c r="J1321" s="6">
        <v>220</v>
      </c>
      <c r="K1321" s="6">
        <v>1</v>
      </c>
      <c r="L1321" s="10">
        <f t="shared" si="36"/>
        <v>1.28</v>
      </c>
      <c r="M1321" s="6" t="s">
        <v>102</v>
      </c>
      <c r="N1321" s="6" t="s">
        <v>179</v>
      </c>
      <c r="O1321" s="6"/>
      <c r="P1321" s="17" t="s">
        <v>54</v>
      </c>
      <c r="Q1321" s="17" t="s">
        <v>54</v>
      </c>
      <c r="R1321" s="17" t="s">
        <v>54</v>
      </c>
    </row>
    <row r="1322" spans="1:18" ht="30" customHeight="1" x14ac:dyDescent="0.3">
      <c r="A1322" s="7">
        <v>45692.347539467592</v>
      </c>
      <c r="B1322" s="6" t="s">
        <v>5</v>
      </c>
      <c r="C1322" s="6"/>
      <c r="D1322" s="6" t="str">
        <f>VLOOKUP(B1322,'Veri doğrulama'!$D$6:$E$13,2,0)</f>
        <v>MEHMET ÖZEN</v>
      </c>
      <c r="E1322" s="6"/>
      <c r="F1322" s="6" t="s">
        <v>96</v>
      </c>
      <c r="G1322" s="6" t="s">
        <v>15</v>
      </c>
      <c r="H1322" s="6" t="s">
        <v>34</v>
      </c>
      <c r="I1322" s="6">
        <v>1800</v>
      </c>
      <c r="J1322" s="6">
        <v>800</v>
      </c>
      <c r="K1322" s="6">
        <v>1</v>
      </c>
      <c r="L1322" s="10">
        <f t="shared" si="36"/>
        <v>0.39600000000000002</v>
      </c>
      <c r="M1322" s="6" t="s">
        <v>43</v>
      </c>
      <c r="N1322" s="6" t="s">
        <v>393</v>
      </c>
      <c r="O1322" s="6"/>
      <c r="P1322" s="17" t="s">
        <v>54</v>
      </c>
      <c r="Q1322" s="17" t="s">
        <v>54</v>
      </c>
      <c r="R1322" s="17"/>
    </row>
    <row r="1323" spans="1:18" ht="30" customHeight="1" x14ac:dyDescent="0.3">
      <c r="A1323" s="7">
        <v>45691.759190856479</v>
      </c>
      <c r="B1323" s="6" t="s">
        <v>5</v>
      </c>
      <c r="C1323" s="6"/>
      <c r="D1323" s="6" t="str">
        <f>VLOOKUP(B1323,'Veri doğrulama'!$D$6:$E$13,2,0)</f>
        <v>MEHMET ÖZEN</v>
      </c>
      <c r="E1323" s="6" t="s">
        <v>361</v>
      </c>
      <c r="F1323" s="6" t="s">
        <v>118</v>
      </c>
      <c r="G1323" s="6" t="s">
        <v>13</v>
      </c>
      <c r="H1323" s="6" t="s">
        <v>34</v>
      </c>
      <c r="I1323" s="6">
        <v>650</v>
      </c>
      <c r="J1323" s="6">
        <v>500</v>
      </c>
      <c r="K1323" s="6">
        <v>1</v>
      </c>
      <c r="L1323" s="10">
        <f t="shared" si="36"/>
        <v>1.44</v>
      </c>
      <c r="M1323" s="6" t="s">
        <v>75</v>
      </c>
      <c r="N1323" s="6" t="s">
        <v>179</v>
      </c>
      <c r="O1323" s="6"/>
      <c r="P1323" s="17" t="s">
        <v>54</v>
      </c>
      <c r="Q1323" s="17" t="s">
        <v>54</v>
      </c>
      <c r="R1323" s="17" t="s">
        <v>54</v>
      </c>
    </row>
    <row r="1324" spans="1:18" ht="30" customHeight="1" x14ac:dyDescent="0.3">
      <c r="A1324" s="7">
        <v>45691.711344212963</v>
      </c>
      <c r="B1324" s="6" t="s">
        <v>7</v>
      </c>
      <c r="C1324" s="6"/>
      <c r="D1324" s="6" t="str">
        <f>VLOOKUP(B1324,'Veri doğrulama'!$D$6:$E$13,2,0)</f>
        <v>SIDDIK KAPLAN</v>
      </c>
      <c r="E1324" s="6"/>
      <c r="F1324" s="6" t="s">
        <v>354</v>
      </c>
      <c r="G1324" s="6" t="s">
        <v>15</v>
      </c>
      <c r="H1324" s="6" t="s">
        <v>35</v>
      </c>
      <c r="I1324" s="6">
        <v>394</v>
      </c>
      <c r="J1324" s="6">
        <v>490</v>
      </c>
      <c r="K1324" s="6">
        <v>1</v>
      </c>
      <c r="L1324" s="10">
        <f t="shared" si="36"/>
        <v>0.32500000000000001</v>
      </c>
      <c r="M1324" s="6" t="s">
        <v>103</v>
      </c>
      <c r="N1324" s="6"/>
      <c r="O1324" s="6"/>
      <c r="P1324" s="17" t="s">
        <v>54</v>
      </c>
      <c r="Q1324" s="17" t="s">
        <v>54</v>
      </c>
      <c r="R1324" s="17"/>
    </row>
    <row r="1325" spans="1:18" ht="30" customHeight="1" x14ac:dyDescent="0.3">
      <c r="A1325" s="7">
        <v>45691.621017708334</v>
      </c>
      <c r="B1325" s="6" t="s">
        <v>4</v>
      </c>
      <c r="C1325" s="6"/>
      <c r="D1325" s="6" t="str">
        <f>VLOOKUP(B1325,'Veri doğrulama'!$D$6:$E$13,2,0)</f>
        <v>MEHMET YAZICI</v>
      </c>
      <c r="E1325" s="6"/>
      <c r="F1325" s="6" t="s">
        <v>165</v>
      </c>
      <c r="G1325" s="6" t="s">
        <v>19</v>
      </c>
      <c r="H1325" s="6" t="s">
        <v>34</v>
      </c>
      <c r="I1325" s="6">
        <v>1600</v>
      </c>
      <c r="J1325" s="6">
        <v>800</v>
      </c>
      <c r="K1325" s="6">
        <v>1</v>
      </c>
      <c r="L1325" s="10">
        <f t="shared" si="36"/>
        <v>0.19306000000000001</v>
      </c>
      <c r="M1325" s="6" t="s">
        <v>156</v>
      </c>
      <c r="N1325" s="6" t="s">
        <v>179</v>
      </c>
      <c r="O1325" s="6"/>
      <c r="P1325" s="17" t="s">
        <v>54</v>
      </c>
      <c r="Q1325" s="17" t="s">
        <v>54</v>
      </c>
      <c r="R1325" s="17" t="s">
        <v>54</v>
      </c>
    </row>
    <row r="1326" spans="1:18" ht="30" customHeight="1" x14ac:dyDescent="0.3">
      <c r="A1326" s="7">
        <v>45691.606239814813</v>
      </c>
      <c r="B1326" s="6" t="s">
        <v>4</v>
      </c>
      <c r="C1326" s="6"/>
      <c r="D1326" s="6" t="str">
        <f>VLOOKUP(B1326,'Veri doğrulama'!$D$6:$E$13,2,0)</f>
        <v>MEHMET YAZICI</v>
      </c>
      <c r="E1326" s="6"/>
      <c r="F1326" s="6" t="s">
        <v>374</v>
      </c>
      <c r="G1326" s="6" t="s">
        <v>18</v>
      </c>
      <c r="H1326" s="6" t="s">
        <v>34</v>
      </c>
      <c r="I1326" s="6">
        <v>684</v>
      </c>
      <c r="J1326" s="6">
        <v>330</v>
      </c>
      <c r="K1326" s="6">
        <v>1</v>
      </c>
      <c r="L1326" s="10">
        <f t="shared" si="36"/>
        <v>1.28</v>
      </c>
      <c r="M1326" s="6" t="s">
        <v>43</v>
      </c>
      <c r="N1326" s="6" t="s">
        <v>157</v>
      </c>
      <c r="O1326" s="6"/>
      <c r="P1326" s="17" t="s">
        <v>54</v>
      </c>
      <c r="Q1326" s="17" t="s">
        <v>54</v>
      </c>
      <c r="R1326" s="17"/>
    </row>
    <row r="1327" spans="1:18" ht="30" customHeight="1" x14ac:dyDescent="0.3">
      <c r="A1327" s="7">
        <v>45691.604501620372</v>
      </c>
      <c r="B1327" s="6" t="s">
        <v>4</v>
      </c>
      <c r="C1327" s="6"/>
      <c r="D1327" s="6" t="str">
        <f>VLOOKUP(B1327,'Veri doğrulama'!$D$6:$E$13,2,0)</f>
        <v>MEHMET YAZICI</v>
      </c>
      <c r="E1327" s="6"/>
      <c r="F1327" s="6" t="s">
        <v>426</v>
      </c>
      <c r="G1327" s="6" t="s">
        <v>26</v>
      </c>
      <c r="H1327" s="6" t="s">
        <v>34</v>
      </c>
      <c r="I1327" s="6">
        <v>415</v>
      </c>
      <c r="J1327" s="6">
        <v>490</v>
      </c>
      <c r="K1327" s="6">
        <v>1</v>
      </c>
      <c r="L1327" s="10">
        <f t="shared" si="36"/>
        <v>0.22572</v>
      </c>
      <c r="M1327" s="6" t="s">
        <v>103</v>
      </c>
      <c r="N1327" s="6" t="s">
        <v>389</v>
      </c>
      <c r="O1327" s="6"/>
      <c r="P1327" s="17" t="s">
        <v>54</v>
      </c>
      <c r="Q1327" s="17" t="s">
        <v>54</v>
      </c>
      <c r="R1327" s="17" t="s">
        <v>54</v>
      </c>
    </row>
    <row r="1328" spans="1:18" ht="30" customHeight="1" x14ac:dyDescent="0.3">
      <c r="A1328" s="7">
        <v>45691.571822685182</v>
      </c>
      <c r="B1328" s="6" t="s">
        <v>4</v>
      </c>
      <c r="C1328" s="6"/>
      <c r="D1328" s="6" t="str">
        <f>VLOOKUP(B1328,'Veri doğrulama'!$D$6:$E$13,2,0)</f>
        <v>MEHMET YAZICI</v>
      </c>
      <c r="E1328" s="6"/>
      <c r="F1328" s="6" t="s">
        <v>350</v>
      </c>
      <c r="G1328" s="6" t="s">
        <v>17</v>
      </c>
      <c r="H1328" s="6" t="s">
        <v>34</v>
      </c>
      <c r="I1328" s="6">
        <v>2200</v>
      </c>
      <c r="J1328" s="6">
        <v>317</v>
      </c>
      <c r="K1328" s="6">
        <v>1</v>
      </c>
      <c r="L1328" s="10">
        <f t="shared" si="36"/>
        <v>0.20335</v>
      </c>
      <c r="M1328" s="6" t="s">
        <v>42</v>
      </c>
      <c r="N1328" s="6" t="s">
        <v>339</v>
      </c>
      <c r="O1328" s="6"/>
      <c r="P1328" s="17" t="s">
        <v>54</v>
      </c>
      <c r="Q1328" s="17" t="s">
        <v>54</v>
      </c>
      <c r="R1328" s="17"/>
    </row>
    <row r="1329" spans="1:18" ht="30" customHeight="1" x14ac:dyDescent="0.3">
      <c r="A1329" s="7">
        <v>45691.570942939812</v>
      </c>
      <c r="B1329" s="6" t="s">
        <v>4</v>
      </c>
      <c r="C1329" s="6"/>
      <c r="D1329" s="6" t="str">
        <f>VLOOKUP(B1329,'Veri doğrulama'!$D$6:$E$13,2,0)</f>
        <v>MEHMET YAZICI</v>
      </c>
      <c r="E1329" s="6"/>
      <c r="F1329" s="6" t="s">
        <v>117</v>
      </c>
      <c r="G1329" s="6" t="s">
        <v>26</v>
      </c>
      <c r="H1329" s="6" t="s">
        <v>34</v>
      </c>
      <c r="I1329" s="6">
        <v>1962</v>
      </c>
      <c r="J1329" s="6">
        <v>324</v>
      </c>
      <c r="K1329" s="6">
        <v>1</v>
      </c>
      <c r="L1329" s="10">
        <f t="shared" si="36"/>
        <v>0.69740000000000002</v>
      </c>
      <c r="M1329" s="6" t="s">
        <v>39</v>
      </c>
      <c r="N1329" s="6" t="s">
        <v>157</v>
      </c>
      <c r="O1329" s="6"/>
      <c r="P1329" s="17" t="s">
        <v>54</v>
      </c>
      <c r="Q1329" s="17" t="s">
        <v>54</v>
      </c>
      <c r="R1329" s="17" t="s">
        <v>54</v>
      </c>
    </row>
    <row r="1330" spans="1:18" ht="30" customHeight="1" x14ac:dyDescent="0.3">
      <c r="A1330" s="7">
        <v>45691.570205555552</v>
      </c>
      <c r="B1330" s="6" t="s">
        <v>5</v>
      </c>
      <c r="C1330" s="6"/>
      <c r="D1330" s="6" t="str">
        <f>VLOOKUP(B1330,'Veri doğrulama'!$D$6:$E$13,2,0)</f>
        <v>MEHMET ÖZEN</v>
      </c>
      <c r="E1330" s="6"/>
      <c r="F1330" s="6" t="s">
        <v>161</v>
      </c>
      <c r="G1330" s="6" t="s">
        <v>15</v>
      </c>
      <c r="H1330" s="6" t="s">
        <v>34</v>
      </c>
      <c r="I1330" s="6">
        <v>1200</v>
      </c>
      <c r="J1330" s="6">
        <v>700</v>
      </c>
      <c r="K1330" s="6">
        <v>1</v>
      </c>
      <c r="L1330" s="10">
        <f t="shared" si="36"/>
        <v>0.63568800000000003</v>
      </c>
      <c r="M1330" s="6" t="s">
        <v>75</v>
      </c>
      <c r="N1330" s="6"/>
      <c r="O1330" s="6"/>
      <c r="P1330" s="17" t="s">
        <v>54</v>
      </c>
      <c r="Q1330" s="17" t="s">
        <v>54</v>
      </c>
      <c r="R1330" s="17" t="s">
        <v>54</v>
      </c>
    </row>
    <row r="1331" spans="1:18" ht="30" customHeight="1" x14ac:dyDescent="0.3">
      <c r="A1331" s="7">
        <v>45691.569352199076</v>
      </c>
      <c r="B1331" s="6" t="s">
        <v>4</v>
      </c>
      <c r="C1331" s="6"/>
      <c r="D1331" s="6" t="str">
        <f>VLOOKUP(B1331,'Veri doğrulama'!$D$6:$E$13,2,0)</f>
        <v>MEHMET YAZICI</v>
      </c>
      <c r="E1331" s="6" t="s">
        <v>352</v>
      </c>
      <c r="F1331" s="6" t="s">
        <v>150</v>
      </c>
      <c r="G1331" s="6" t="s">
        <v>16</v>
      </c>
      <c r="H1331" s="6" t="s">
        <v>34</v>
      </c>
      <c r="I1331" s="6">
        <v>1400</v>
      </c>
      <c r="J1331" s="6">
        <v>800</v>
      </c>
      <c r="K1331" s="6">
        <v>1</v>
      </c>
      <c r="L1331" s="10">
        <f t="shared" si="36"/>
        <v>0.84</v>
      </c>
      <c r="M1331" s="6" t="s">
        <v>43</v>
      </c>
      <c r="N1331" s="6" t="s">
        <v>179</v>
      </c>
      <c r="O1331" s="6"/>
      <c r="P1331" s="17" t="s">
        <v>54</v>
      </c>
      <c r="Q1331" s="17" t="s">
        <v>54</v>
      </c>
      <c r="R1331" s="17" t="s">
        <v>54</v>
      </c>
    </row>
    <row r="1332" spans="1:18" ht="30" customHeight="1" x14ac:dyDescent="0.3">
      <c r="A1332" s="7">
        <v>45691.503371874998</v>
      </c>
      <c r="B1332" s="6" t="s">
        <v>4</v>
      </c>
      <c r="C1332" s="6"/>
      <c r="D1332" s="6" t="str">
        <f>VLOOKUP(B1332,'Veri doğrulama'!$D$6:$E$13,2,0)</f>
        <v>MEHMET YAZICI</v>
      </c>
      <c r="E1332" s="6"/>
      <c r="F1332" s="6" t="s">
        <v>100</v>
      </c>
      <c r="G1332" s="6" t="s">
        <v>15</v>
      </c>
      <c r="H1332" s="6" t="s">
        <v>34</v>
      </c>
      <c r="I1332" s="6">
        <v>1450</v>
      </c>
      <c r="J1332" s="6">
        <v>397</v>
      </c>
      <c r="K1332" s="6">
        <v>1</v>
      </c>
      <c r="L1332" s="10">
        <f t="shared" si="36"/>
        <v>1.1200000000000001</v>
      </c>
      <c r="M1332" s="6" t="s">
        <v>43</v>
      </c>
      <c r="N1332" s="6" t="s">
        <v>369</v>
      </c>
      <c r="O1332" s="6"/>
      <c r="P1332" s="17" t="s">
        <v>54</v>
      </c>
      <c r="Q1332" s="17" t="s">
        <v>54</v>
      </c>
      <c r="R1332" s="17"/>
    </row>
    <row r="1333" spans="1:18" ht="30" customHeight="1" x14ac:dyDescent="0.3">
      <c r="A1333" s="7">
        <v>45691.404536921298</v>
      </c>
      <c r="B1333" s="6" t="s">
        <v>4</v>
      </c>
      <c r="C1333" s="6"/>
      <c r="D1333" s="6" t="str">
        <f>VLOOKUP(B1333,'Veri doğrulama'!$D$6:$E$13,2,0)</f>
        <v>MEHMET YAZICI</v>
      </c>
      <c r="E1333" s="6"/>
      <c r="F1333" s="6" t="s">
        <v>353</v>
      </c>
      <c r="G1333" s="6" t="s">
        <v>13</v>
      </c>
      <c r="H1333" s="6" t="s">
        <v>34</v>
      </c>
      <c r="I1333" s="6">
        <v>2000</v>
      </c>
      <c r="J1333" s="6">
        <v>900</v>
      </c>
      <c r="K1333" s="6">
        <v>1</v>
      </c>
      <c r="L1333" s="10">
        <f t="shared" si="36"/>
        <v>0.57565</v>
      </c>
      <c r="M1333" s="6" t="s">
        <v>103</v>
      </c>
      <c r="N1333" s="6" t="s">
        <v>179</v>
      </c>
      <c r="O1333" s="6"/>
      <c r="P1333" s="17" t="s">
        <v>54</v>
      </c>
      <c r="Q1333" s="17" t="s">
        <v>54</v>
      </c>
      <c r="R1333" s="17"/>
    </row>
    <row r="1334" spans="1:18" ht="30" customHeight="1" x14ac:dyDescent="0.3">
      <c r="A1334" s="7">
        <v>45691.345734606482</v>
      </c>
      <c r="B1334" s="6" t="s">
        <v>5</v>
      </c>
      <c r="C1334" s="6"/>
      <c r="D1334" s="6" t="str">
        <f>VLOOKUP(B1334,'Veri doğrulama'!$D$6:$E$13,2,0)</f>
        <v>MEHMET ÖZEN</v>
      </c>
      <c r="E1334" s="6">
        <v>21002</v>
      </c>
      <c r="F1334" s="6" t="s">
        <v>172</v>
      </c>
      <c r="G1334" s="6" t="s">
        <v>27</v>
      </c>
      <c r="H1334" s="6" t="s">
        <v>34</v>
      </c>
      <c r="I1334" s="6">
        <v>1990</v>
      </c>
      <c r="J1334" s="6">
        <v>840</v>
      </c>
      <c r="K1334" s="6">
        <v>1</v>
      </c>
      <c r="L1334" s="10">
        <f t="shared" si="36"/>
        <v>1.8</v>
      </c>
      <c r="M1334" s="6" t="s">
        <v>43</v>
      </c>
      <c r="N1334" s="6" t="s">
        <v>392</v>
      </c>
      <c r="O1334" s="6"/>
      <c r="P1334" s="17" t="s">
        <v>54</v>
      </c>
      <c r="Q1334" s="17" t="s">
        <v>54</v>
      </c>
      <c r="R1334" s="17"/>
    </row>
    <row r="1335" spans="1:18" ht="30" customHeight="1" x14ac:dyDescent="0.3">
      <c r="A1335" s="7">
        <v>45691.34440717593</v>
      </c>
      <c r="B1335" s="6" t="s">
        <v>4</v>
      </c>
      <c r="C1335" s="6"/>
      <c r="D1335" s="6" t="str">
        <f>VLOOKUP(B1335,'Veri doğrulama'!$D$6:$E$13,2,0)</f>
        <v>MEHMET YAZICI</v>
      </c>
      <c r="E1335" s="6" t="s">
        <v>355</v>
      </c>
      <c r="F1335" s="6" t="s">
        <v>99</v>
      </c>
      <c r="G1335" s="6" t="s">
        <v>13</v>
      </c>
      <c r="H1335" s="6" t="s">
        <v>34</v>
      </c>
      <c r="I1335" s="6">
        <v>1800</v>
      </c>
      <c r="J1335" s="6">
        <v>360</v>
      </c>
      <c r="K1335" s="6">
        <v>1</v>
      </c>
      <c r="L1335" s="10">
        <f t="shared" si="36"/>
        <v>1.6716</v>
      </c>
      <c r="M1335" s="6" t="s">
        <v>43</v>
      </c>
      <c r="N1335" s="6" t="s">
        <v>157</v>
      </c>
      <c r="O1335" s="6"/>
      <c r="P1335" s="17" t="s">
        <v>54</v>
      </c>
      <c r="Q1335" s="17" t="s">
        <v>54</v>
      </c>
      <c r="R1335" s="17" t="s">
        <v>54</v>
      </c>
    </row>
    <row r="1336" spans="1:18" ht="30" customHeight="1" x14ac:dyDescent="0.3">
      <c r="A1336" s="7">
        <v>45688.767050000002</v>
      </c>
      <c r="B1336" s="6" t="s">
        <v>4</v>
      </c>
      <c r="C1336" s="6"/>
      <c r="D1336" s="6" t="str">
        <f>VLOOKUP(B1336,'Veri doğrulama'!$D$6:$E$13,2,0)</f>
        <v>MEHMET YAZICI</v>
      </c>
      <c r="E1336" s="6" t="s">
        <v>408</v>
      </c>
      <c r="F1336" s="6" t="s">
        <v>321</v>
      </c>
      <c r="G1336" s="6" t="s">
        <v>19</v>
      </c>
      <c r="H1336" s="6" t="s">
        <v>34</v>
      </c>
      <c r="I1336" s="6">
        <v>1600</v>
      </c>
      <c r="J1336" s="6">
        <v>800</v>
      </c>
      <c r="K1336" s="6">
        <v>1</v>
      </c>
      <c r="L1336" s="10">
        <f t="shared" si="36"/>
        <v>0.64800000000000002</v>
      </c>
      <c r="M1336" s="6" t="s">
        <v>103</v>
      </c>
      <c r="N1336" s="6"/>
      <c r="O1336" s="6"/>
      <c r="P1336" s="17" t="s">
        <v>54</v>
      </c>
      <c r="Q1336" s="17" t="s">
        <v>54</v>
      </c>
      <c r="R1336" s="17" t="s">
        <v>54</v>
      </c>
    </row>
    <row r="1337" spans="1:18" ht="30" customHeight="1" x14ac:dyDescent="0.3">
      <c r="A1337" s="7">
        <v>45688.687212037039</v>
      </c>
      <c r="B1337" s="6" t="s">
        <v>5</v>
      </c>
      <c r="C1337" s="6"/>
      <c r="D1337" s="6" t="str">
        <f>VLOOKUP(B1337,'Veri doğrulama'!$D$6:$E$13,2,0)</f>
        <v>MEHMET ÖZEN</v>
      </c>
      <c r="E1337" s="6"/>
      <c r="F1337" s="6" t="s">
        <v>348</v>
      </c>
      <c r="G1337" s="6" t="s">
        <v>16</v>
      </c>
      <c r="H1337" s="6" t="s">
        <v>34</v>
      </c>
      <c r="I1337" s="6">
        <v>1100</v>
      </c>
      <c r="J1337" s="6">
        <v>360</v>
      </c>
      <c r="K1337" s="6">
        <v>1</v>
      </c>
      <c r="L1337" s="10">
        <f t="shared" ref="L1337:L1368" si="37">J1336*I1336/1000000*K1338</f>
        <v>1.28</v>
      </c>
      <c r="M1337" s="6" t="s">
        <v>103</v>
      </c>
      <c r="N1337" s="6" t="s">
        <v>285</v>
      </c>
      <c r="O1337" s="6"/>
      <c r="P1337" s="17" t="s">
        <v>54</v>
      </c>
      <c r="Q1337" s="17" t="s">
        <v>54</v>
      </c>
      <c r="R1337" s="17" t="s">
        <v>54</v>
      </c>
    </row>
    <row r="1338" spans="1:18" ht="30" customHeight="1" x14ac:dyDescent="0.3">
      <c r="A1338" s="7">
        <v>45688.377193287037</v>
      </c>
      <c r="B1338" s="6" t="s">
        <v>4</v>
      </c>
      <c r="C1338" s="6"/>
      <c r="D1338" s="6" t="str">
        <f>VLOOKUP(B1338,'Veri doğrulama'!$D$6:$E$13,2,0)</f>
        <v>MEHMET YAZICI</v>
      </c>
      <c r="E1338" s="6"/>
      <c r="F1338" s="6" t="s">
        <v>362</v>
      </c>
      <c r="G1338" s="6" t="s">
        <v>24</v>
      </c>
      <c r="H1338" s="6" t="s">
        <v>34</v>
      </c>
      <c r="I1338" s="6">
        <v>2600</v>
      </c>
      <c r="J1338" s="6">
        <v>600</v>
      </c>
      <c r="K1338" s="6">
        <v>1</v>
      </c>
      <c r="L1338" s="10">
        <f t="shared" si="37"/>
        <v>1.5840000000000001</v>
      </c>
      <c r="M1338" s="6" t="s">
        <v>102</v>
      </c>
      <c r="N1338" s="6" t="s">
        <v>179</v>
      </c>
      <c r="O1338" s="6"/>
      <c r="P1338" s="17" t="s">
        <v>54</v>
      </c>
      <c r="Q1338" s="17" t="s">
        <v>54</v>
      </c>
      <c r="R1338" s="17" t="s">
        <v>54</v>
      </c>
    </row>
    <row r="1339" spans="1:18" ht="30" customHeight="1" x14ac:dyDescent="0.3">
      <c r="A1339" s="7">
        <v>45688.376072222221</v>
      </c>
      <c r="B1339" s="6" t="s">
        <v>4</v>
      </c>
      <c r="C1339" s="6"/>
      <c r="D1339" s="6" t="str">
        <f>VLOOKUP(B1339,'Veri doğrulama'!$D$6:$E$13,2,0)</f>
        <v>MEHMET YAZICI</v>
      </c>
      <c r="E1339" s="6" t="s">
        <v>335</v>
      </c>
      <c r="F1339" s="6" t="s">
        <v>350</v>
      </c>
      <c r="G1339" s="6" t="s">
        <v>17</v>
      </c>
      <c r="H1339" s="6" t="s">
        <v>34</v>
      </c>
      <c r="I1339" s="6">
        <v>317</v>
      </c>
      <c r="J1339" s="6">
        <v>2200</v>
      </c>
      <c r="K1339" s="6">
        <v>4</v>
      </c>
      <c r="L1339" s="10">
        <f t="shared" si="37"/>
        <v>1.56</v>
      </c>
      <c r="M1339" s="6" t="s">
        <v>43</v>
      </c>
      <c r="N1339" s="6" t="s">
        <v>157</v>
      </c>
      <c r="O1339" s="6"/>
      <c r="P1339" s="17" t="s">
        <v>54</v>
      </c>
      <c r="Q1339" s="17" t="s">
        <v>54</v>
      </c>
      <c r="R1339" s="17" t="s">
        <v>54</v>
      </c>
    </row>
    <row r="1340" spans="1:18" ht="30" customHeight="1" x14ac:dyDescent="0.3">
      <c r="A1340" s="7">
        <v>45688.375178703704</v>
      </c>
      <c r="B1340" s="6" t="s">
        <v>4</v>
      </c>
      <c r="C1340" s="6"/>
      <c r="D1340" s="6" t="str">
        <f>VLOOKUP(B1340,'Veri doğrulama'!$D$6:$E$13,2,0)</f>
        <v>MEHMET YAZICI</v>
      </c>
      <c r="E1340" s="6" t="s">
        <v>364</v>
      </c>
      <c r="F1340" s="6" t="s">
        <v>351</v>
      </c>
      <c r="G1340" s="6" t="s">
        <v>18</v>
      </c>
      <c r="H1340" s="6" t="s">
        <v>34</v>
      </c>
      <c r="I1340" s="6">
        <v>320</v>
      </c>
      <c r="J1340" s="6">
        <v>339</v>
      </c>
      <c r="K1340" s="6">
        <v>1</v>
      </c>
      <c r="L1340" s="10">
        <f t="shared" si="37"/>
        <v>0.69740000000000002</v>
      </c>
      <c r="M1340" s="6" t="s">
        <v>103</v>
      </c>
      <c r="N1340" s="6" t="s">
        <v>157</v>
      </c>
      <c r="O1340" s="6"/>
      <c r="P1340" s="17" t="s">
        <v>54</v>
      </c>
      <c r="Q1340" s="17" t="s">
        <v>54</v>
      </c>
      <c r="R1340" s="17"/>
    </row>
    <row r="1341" spans="1:18" ht="30" customHeight="1" x14ac:dyDescent="0.3">
      <c r="A1341" s="7">
        <v>45688.350979050927</v>
      </c>
      <c r="B1341" s="6" t="s">
        <v>4</v>
      </c>
      <c r="C1341" s="6"/>
      <c r="D1341" s="6" t="str">
        <f>VLOOKUP(B1341,'Veri doğrulama'!$D$6:$E$13,2,0)</f>
        <v>MEHMET YAZICI</v>
      </c>
      <c r="E1341" s="6" t="s">
        <v>335</v>
      </c>
      <c r="F1341" s="6" t="s">
        <v>349</v>
      </c>
      <c r="G1341" s="6" t="s">
        <v>26</v>
      </c>
      <c r="H1341" s="6" t="s">
        <v>34</v>
      </c>
      <c r="I1341" s="6">
        <v>2000</v>
      </c>
      <c r="J1341" s="6">
        <v>600</v>
      </c>
      <c r="K1341" s="6">
        <v>1</v>
      </c>
      <c r="L1341" s="10">
        <f t="shared" si="37"/>
        <v>0.10847999999999999</v>
      </c>
      <c r="M1341" s="6" t="s">
        <v>39</v>
      </c>
      <c r="N1341" s="6" t="s">
        <v>157</v>
      </c>
      <c r="O1341" s="6"/>
      <c r="P1341" s="17" t="s">
        <v>54</v>
      </c>
      <c r="Q1341" s="17" t="s">
        <v>54</v>
      </c>
      <c r="R1341" s="17" t="s">
        <v>54</v>
      </c>
    </row>
    <row r="1342" spans="1:18" ht="30" customHeight="1" x14ac:dyDescent="0.3">
      <c r="A1342" s="7">
        <v>45687.70030462963</v>
      </c>
      <c r="B1342" s="6" t="s">
        <v>4</v>
      </c>
      <c r="C1342" s="6"/>
      <c r="D1342" s="6" t="str">
        <f>VLOOKUP(B1342,'Veri doğrulama'!$D$6:$E$13,2,0)</f>
        <v>MEHMET YAZICI</v>
      </c>
      <c r="E1342" s="6"/>
      <c r="F1342" s="6" t="s">
        <v>342</v>
      </c>
      <c r="G1342" s="6" t="s">
        <v>16</v>
      </c>
      <c r="H1342" s="6" t="s">
        <v>34</v>
      </c>
      <c r="I1342" s="6">
        <v>2400</v>
      </c>
      <c r="J1342" s="6">
        <v>1100</v>
      </c>
      <c r="K1342" s="6">
        <v>1</v>
      </c>
      <c r="L1342" s="10">
        <f t="shared" si="37"/>
        <v>2.4</v>
      </c>
      <c r="M1342" s="6" t="s">
        <v>103</v>
      </c>
      <c r="N1342" s="6" t="s">
        <v>179</v>
      </c>
      <c r="O1342" s="6"/>
      <c r="P1342" s="17" t="s">
        <v>54</v>
      </c>
      <c r="Q1342" s="17" t="s">
        <v>54</v>
      </c>
      <c r="R1342" s="17" t="s">
        <v>54</v>
      </c>
    </row>
    <row r="1343" spans="1:18" ht="30" customHeight="1" x14ac:dyDescent="0.3">
      <c r="A1343" s="7">
        <v>45687.655999768518</v>
      </c>
      <c r="B1343" s="6" t="s">
        <v>4</v>
      </c>
      <c r="C1343" s="6"/>
      <c r="D1343" s="6" t="str">
        <f>VLOOKUP(B1343,'Veri doğrulama'!$D$6:$E$13,2,0)</f>
        <v>MEHMET YAZICI</v>
      </c>
      <c r="E1343" s="6" t="s">
        <v>335</v>
      </c>
      <c r="F1343" s="6" t="s">
        <v>345</v>
      </c>
      <c r="G1343" s="6" t="s">
        <v>13</v>
      </c>
      <c r="H1343" s="6" t="s">
        <v>34</v>
      </c>
      <c r="I1343" s="6">
        <v>1600</v>
      </c>
      <c r="J1343" s="6">
        <v>1600</v>
      </c>
      <c r="K1343" s="6">
        <v>2</v>
      </c>
      <c r="L1343" s="10">
        <f t="shared" si="37"/>
        <v>2.64</v>
      </c>
      <c r="M1343" s="6" t="s">
        <v>39</v>
      </c>
      <c r="N1343" s="6" t="s">
        <v>339</v>
      </c>
      <c r="O1343" s="6"/>
      <c r="P1343" s="17" t="s">
        <v>54</v>
      </c>
      <c r="Q1343" s="17" t="s">
        <v>54</v>
      </c>
      <c r="R1343" s="17" t="s">
        <v>54</v>
      </c>
    </row>
    <row r="1344" spans="1:18" ht="30" customHeight="1" x14ac:dyDescent="0.3">
      <c r="A1344" s="7">
        <v>45687.488814930555</v>
      </c>
      <c r="B1344" s="6" t="s">
        <v>4</v>
      </c>
      <c r="C1344" s="6"/>
      <c r="D1344" s="6" t="str">
        <f>VLOOKUP(B1344,'Veri doğrulama'!$D$6:$E$13,2,0)</f>
        <v>MEHMET YAZICI</v>
      </c>
      <c r="E1344" s="6" t="s">
        <v>344</v>
      </c>
      <c r="F1344" s="6" t="s">
        <v>158</v>
      </c>
      <c r="G1344" s="6" t="s">
        <v>28</v>
      </c>
      <c r="H1344" s="6" t="s">
        <v>34</v>
      </c>
      <c r="I1344" s="6">
        <v>1815</v>
      </c>
      <c r="J1344" s="6">
        <v>397</v>
      </c>
      <c r="K1344" s="6">
        <v>1</v>
      </c>
      <c r="L1344" s="10">
        <f t="shared" si="37"/>
        <v>2.56</v>
      </c>
      <c r="M1344" s="6" t="s">
        <v>43</v>
      </c>
      <c r="N1344" s="6" t="s">
        <v>159</v>
      </c>
      <c r="O1344" s="6"/>
      <c r="P1344" s="17" t="s">
        <v>54</v>
      </c>
      <c r="Q1344" s="17" t="s">
        <v>54</v>
      </c>
      <c r="R1344" s="17"/>
    </row>
    <row r="1345" spans="1:18" ht="30" customHeight="1" x14ac:dyDescent="0.3">
      <c r="A1345" s="7">
        <v>45687.483348611109</v>
      </c>
      <c r="B1345" s="6" t="s">
        <v>4</v>
      </c>
      <c r="C1345" s="6"/>
      <c r="D1345" s="6" t="str">
        <f>VLOOKUP(B1345,'Veri doğrulama'!$D$6:$E$13,2,0)</f>
        <v>MEHMET YAZICI</v>
      </c>
      <c r="E1345" s="6"/>
      <c r="F1345" s="6" t="s">
        <v>165</v>
      </c>
      <c r="G1345" s="6" t="s">
        <v>19</v>
      </c>
      <c r="H1345" s="6" t="s">
        <v>34</v>
      </c>
      <c r="I1345" s="6">
        <v>1400</v>
      </c>
      <c r="J1345" s="6">
        <v>800</v>
      </c>
      <c r="K1345" s="6">
        <v>1</v>
      </c>
      <c r="L1345" s="10">
        <f t="shared" si="37"/>
        <v>0.72055499999999995</v>
      </c>
      <c r="M1345" s="6" t="s">
        <v>42</v>
      </c>
      <c r="N1345" s="6" t="s">
        <v>179</v>
      </c>
      <c r="O1345" s="6"/>
      <c r="P1345" s="17" t="s">
        <v>54</v>
      </c>
      <c r="Q1345" s="17" t="s">
        <v>54</v>
      </c>
      <c r="R1345" s="17" t="s">
        <v>54</v>
      </c>
    </row>
    <row r="1346" spans="1:18" ht="30" customHeight="1" x14ac:dyDescent="0.3">
      <c r="A1346" s="7">
        <v>45687.482693287035</v>
      </c>
      <c r="B1346" s="6" t="s">
        <v>4</v>
      </c>
      <c r="C1346" s="6"/>
      <c r="D1346" s="6" t="str">
        <f>VLOOKUP(B1346,'Veri doğrulama'!$D$6:$E$13,2,0)</f>
        <v>MEHMET YAZICI</v>
      </c>
      <c r="E1346" s="6"/>
      <c r="F1346" s="6" t="s">
        <v>160</v>
      </c>
      <c r="G1346" s="6" t="s">
        <v>16</v>
      </c>
      <c r="H1346" s="6" t="s">
        <v>34</v>
      </c>
      <c r="I1346" s="6">
        <v>1400</v>
      </c>
      <c r="J1346" s="6">
        <v>1600</v>
      </c>
      <c r="K1346" s="6">
        <v>1</v>
      </c>
      <c r="L1346" s="10">
        <f t="shared" si="37"/>
        <v>1.1200000000000001</v>
      </c>
      <c r="M1346" s="6" t="s">
        <v>75</v>
      </c>
      <c r="N1346" s="6" t="s">
        <v>157</v>
      </c>
      <c r="O1346" s="6"/>
      <c r="P1346" s="17" t="s">
        <v>54</v>
      </c>
      <c r="Q1346" s="17" t="s">
        <v>54</v>
      </c>
      <c r="R1346" s="17" t="s">
        <v>54</v>
      </c>
    </row>
    <row r="1347" spans="1:18" ht="30" customHeight="1" x14ac:dyDescent="0.3">
      <c r="A1347" s="7">
        <v>45687</v>
      </c>
      <c r="B1347" s="6" t="s">
        <v>5</v>
      </c>
      <c r="C1347" s="6"/>
      <c r="D1347" s="6" t="str">
        <f>VLOOKUP(B1347,'Veri doğrulama'!$D$6:$E$13,2,0)</f>
        <v>MEHMET ÖZEN</v>
      </c>
      <c r="E1347" s="6" t="s">
        <v>346</v>
      </c>
      <c r="F1347" s="6" t="s">
        <v>271</v>
      </c>
      <c r="G1347" s="6" t="s">
        <v>16</v>
      </c>
      <c r="H1347" s="6" t="s">
        <v>34</v>
      </c>
      <c r="I1347" s="6">
        <v>900</v>
      </c>
      <c r="J1347" s="6">
        <v>600</v>
      </c>
      <c r="K1347" s="6">
        <v>1</v>
      </c>
      <c r="L1347" s="10">
        <f t="shared" si="37"/>
        <v>6.7200000000000006</v>
      </c>
      <c r="M1347" s="6" t="s">
        <v>102</v>
      </c>
      <c r="N1347" s="6" t="s">
        <v>179</v>
      </c>
      <c r="O1347" s="6"/>
      <c r="P1347" s="17" t="s">
        <v>54</v>
      </c>
      <c r="Q1347" s="17" t="s">
        <v>54</v>
      </c>
      <c r="R1347" s="17" t="s">
        <v>54</v>
      </c>
    </row>
    <row r="1348" spans="1:18" ht="30" customHeight="1" x14ac:dyDescent="0.3">
      <c r="A1348" s="7">
        <v>45687</v>
      </c>
      <c r="B1348" s="6" t="s">
        <v>4</v>
      </c>
      <c r="C1348" s="6"/>
      <c r="D1348" s="6" t="str">
        <f>VLOOKUP(B1348,'Veri doğrulama'!$D$6:$E$13,2,0)</f>
        <v>MEHMET YAZICI</v>
      </c>
      <c r="E1348" s="6" t="s">
        <v>337</v>
      </c>
      <c r="F1348" s="6" t="s">
        <v>109</v>
      </c>
      <c r="G1348" s="6" t="s">
        <v>16</v>
      </c>
      <c r="H1348" s="6" t="s">
        <v>34</v>
      </c>
      <c r="I1348" s="6">
        <v>2000</v>
      </c>
      <c r="J1348" s="6">
        <v>600</v>
      </c>
      <c r="K1348" s="6">
        <v>3</v>
      </c>
      <c r="L1348" s="10">
        <f t="shared" si="37"/>
        <v>0.54</v>
      </c>
      <c r="M1348" s="6" t="s">
        <v>75</v>
      </c>
      <c r="N1348" s="6" t="s">
        <v>179</v>
      </c>
      <c r="O1348" s="6"/>
      <c r="P1348" s="17" t="s">
        <v>54</v>
      </c>
      <c r="Q1348" s="17" t="s">
        <v>54</v>
      </c>
      <c r="R1348" s="17" t="s">
        <v>54</v>
      </c>
    </row>
    <row r="1349" spans="1:18" ht="30" customHeight="1" x14ac:dyDescent="0.3">
      <c r="A1349" s="7">
        <v>45687</v>
      </c>
      <c r="B1349" s="6" t="s">
        <v>4</v>
      </c>
      <c r="C1349" s="6"/>
      <c r="D1349" s="6" t="str">
        <f>VLOOKUP(B1349,'Veri doğrulama'!$D$6:$E$13,2,0)</f>
        <v>MEHMET YAZICI</v>
      </c>
      <c r="E1349" s="6"/>
      <c r="F1349" s="6" t="s">
        <v>329</v>
      </c>
      <c r="G1349" s="6" t="s">
        <v>16</v>
      </c>
      <c r="H1349" s="6" t="s">
        <v>34</v>
      </c>
      <c r="I1349" s="6">
        <v>800</v>
      </c>
      <c r="J1349" s="6">
        <v>500</v>
      </c>
      <c r="K1349" s="6">
        <v>1</v>
      </c>
      <c r="L1349" s="10">
        <f t="shared" si="37"/>
        <v>1.2</v>
      </c>
      <c r="M1349" s="6" t="s">
        <v>39</v>
      </c>
      <c r="N1349" s="6" t="s">
        <v>157</v>
      </c>
      <c r="O1349" s="6"/>
      <c r="P1349" s="17" t="s">
        <v>54</v>
      </c>
      <c r="Q1349" s="17" t="s">
        <v>54</v>
      </c>
      <c r="R1349" s="17" t="s">
        <v>54</v>
      </c>
    </row>
    <row r="1350" spans="1:18" ht="30" customHeight="1" x14ac:dyDescent="0.3">
      <c r="A1350" s="7">
        <v>45686</v>
      </c>
      <c r="B1350" s="6" t="s">
        <v>5</v>
      </c>
      <c r="C1350" s="6"/>
      <c r="D1350" s="6" t="str">
        <f>VLOOKUP(B1350,'Veri doğrulama'!$D$6:$E$13,2,0)</f>
        <v>MEHMET ÖZEN</v>
      </c>
      <c r="E1350" s="6"/>
      <c r="F1350" s="6" t="s">
        <v>207</v>
      </c>
      <c r="G1350" s="6" t="s">
        <v>208</v>
      </c>
      <c r="H1350" s="6" t="s">
        <v>34</v>
      </c>
      <c r="I1350" s="6">
        <v>2000</v>
      </c>
      <c r="J1350" s="6">
        <v>900</v>
      </c>
      <c r="K1350" s="6">
        <v>1</v>
      </c>
      <c r="L1350" s="10">
        <f t="shared" si="37"/>
        <v>0.4</v>
      </c>
      <c r="M1350" s="6" t="s">
        <v>103</v>
      </c>
      <c r="N1350" s="6" t="s">
        <v>209</v>
      </c>
      <c r="O1350" s="6"/>
      <c r="P1350" s="17" t="s">
        <v>54</v>
      </c>
      <c r="Q1350" s="17" t="s">
        <v>54</v>
      </c>
      <c r="R1350" s="17"/>
    </row>
    <row r="1351" spans="1:18" ht="30" customHeight="1" x14ac:dyDescent="0.3">
      <c r="A1351" s="7">
        <v>45686</v>
      </c>
      <c r="B1351" s="6" t="s">
        <v>4</v>
      </c>
      <c r="C1351" s="6"/>
      <c r="D1351" s="6" t="str">
        <f>VLOOKUP(B1351,'Veri doğrulama'!$D$6:$E$13,2,0)</f>
        <v>MEHMET YAZICI</v>
      </c>
      <c r="E1351" s="6"/>
      <c r="F1351" s="6" t="s">
        <v>94</v>
      </c>
      <c r="G1351" s="6" t="s">
        <v>22</v>
      </c>
      <c r="H1351" s="6" t="s">
        <v>34</v>
      </c>
      <c r="I1351" s="6">
        <v>2200</v>
      </c>
      <c r="J1351" s="6">
        <v>450</v>
      </c>
      <c r="K1351" s="6">
        <v>1</v>
      </c>
      <c r="L1351" s="10">
        <f t="shared" si="37"/>
        <v>1.8</v>
      </c>
      <c r="M1351" s="6" t="s">
        <v>156</v>
      </c>
      <c r="N1351" s="6" t="s">
        <v>389</v>
      </c>
      <c r="O1351" s="6"/>
      <c r="P1351" s="17" t="s">
        <v>54</v>
      </c>
      <c r="Q1351" s="17" t="s">
        <v>54</v>
      </c>
      <c r="R1351" s="17" t="s">
        <v>54</v>
      </c>
    </row>
    <row r="1352" spans="1:18" ht="30" customHeight="1" x14ac:dyDescent="0.3">
      <c r="A1352" s="7">
        <v>45686</v>
      </c>
      <c r="B1352" s="6" t="s">
        <v>4</v>
      </c>
      <c r="C1352" s="6"/>
      <c r="D1352" s="6" t="str">
        <f>VLOOKUP(B1352,'Veri doğrulama'!$D$6:$E$13,2,0)</f>
        <v>MEHMET YAZICI</v>
      </c>
      <c r="E1352" s="6"/>
      <c r="F1352" s="6" t="s">
        <v>356</v>
      </c>
      <c r="G1352" s="6" t="s">
        <v>21</v>
      </c>
      <c r="H1352" s="6" t="s">
        <v>34</v>
      </c>
      <c r="I1352" s="6">
        <v>600</v>
      </c>
      <c r="J1352" s="6">
        <v>354</v>
      </c>
      <c r="K1352" s="6">
        <v>1</v>
      </c>
      <c r="L1352" s="10">
        <f t="shared" si="37"/>
        <v>0.99</v>
      </c>
      <c r="M1352" s="6" t="s">
        <v>43</v>
      </c>
      <c r="N1352" s="6" t="s">
        <v>157</v>
      </c>
      <c r="O1352" s="6"/>
      <c r="P1352" s="17" t="s">
        <v>54</v>
      </c>
      <c r="Q1352" s="17" t="s">
        <v>54</v>
      </c>
      <c r="R1352" s="17"/>
    </row>
    <row r="1353" spans="1:18" ht="30" customHeight="1" x14ac:dyDescent="0.3">
      <c r="A1353" s="7">
        <v>45686</v>
      </c>
      <c r="B1353" s="6" t="s">
        <v>4</v>
      </c>
      <c r="C1353" s="6"/>
      <c r="D1353" s="6" t="str">
        <f>VLOOKUP(B1353,'Veri doğrulama'!$D$6:$E$13,2,0)</f>
        <v>MEHMET YAZICI</v>
      </c>
      <c r="E1353" s="6"/>
      <c r="F1353" s="6" t="s">
        <v>86</v>
      </c>
      <c r="G1353" s="6" t="s">
        <v>21</v>
      </c>
      <c r="H1353" s="6" t="s">
        <v>34</v>
      </c>
      <c r="I1353" s="6">
        <v>393</v>
      </c>
      <c r="J1353" s="6">
        <v>535</v>
      </c>
      <c r="K1353" s="6">
        <v>1</v>
      </c>
      <c r="L1353" s="10">
        <f t="shared" si="37"/>
        <v>0.21240000000000001</v>
      </c>
      <c r="M1353" s="6" t="s">
        <v>39</v>
      </c>
      <c r="N1353" s="6" t="s">
        <v>179</v>
      </c>
      <c r="O1353" s="6"/>
      <c r="P1353" s="17" t="s">
        <v>54</v>
      </c>
      <c r="Q1353" s="17" t="s">
        <v>54</v>
      </c>
      <c r="R1353" s="17" t="s">
        <v>54</v>
      </c>
    </row>
    <row r="1354" spans="1:18" ht="30" customHeight="1" x14ac:dyDescent="0.3">
      <c r="A1354" s="7">
        <v>45686</v>
      </c>
      <c r="B1354" s="6" t="s">
        <v>7</v>
      </c>
      <c r="C1354" s="6"/>
      <c r="D1354" s="6" t="str">
        <f>VLOOKUP(B1354,'Veri doğrulama'!$D$6:$E$13,2,0)</f>
        <v>SIDDIK KAPLAN</v>
      </c>
      <c r="E1354" s="6"/>
      <c r="F1354" s="6" t="s">
        <v>100</v>
      </c>
      <c r="G1354" s="6" t="s">
        <v>15</v>
      </c>
      <c r="H1354" s="6" t="s">
        <v>34</v>
      </c>
      <c r="I1354" s="6">
        <v>1450</v>
      </c>
      <c r="J1354" s="6">
        <v>396</v>
      </c>
      <c r="K1354" s="6">
        <v>1</v>
      </c>
      <c r="L1354" s="10">
        <f t="shared" si="37"/>
        <v>0.210255</v>
      </c>
      <c r="M1354" s="6" t="s">
        <v>103</v>
      </c>
      <c r="N1354" s="6" t="s">
        <v>266</v>
      </c>
      <c r="O1354" s="6"/>
      <c r="P1354" s="17" t="s">
        <v>54</v>
      </c>
      <c r="Q1354" s="17" t="s">
        <v>54</v>
      </c>
      <c r="R1354" s="17" t="s">
        <v>54</v>
      </c>
    </row>
    <row r="1355" spans="1:18" ht="30" customHeight="1" x14ac:dyDescent="0.3">
      <c r="A1355" s="7">
        <v>45686</v>
      </c>
      <c r="B1355" s="6" t="s">
        <v>4</v>
      </c>
      <c r="C1355" s="6"/>
      <c r="D1355" s="6" t="str">
        <f>VLOOKUP(B1355,'Veri doğrulama'!$D$6:$E$13,2,0)</f>
        <v>MEHMET YAZICI</v>
      </c>
      <c r="E1355" s="6" t="s">
        <v>330</v>
      </c>
      <c r="F1355" s="6" t="s">
        <v>100</v>
      </c>
      <c r="G1355" s="6" t="s">
        <v>15</v>
      </c>
      <c r="H1355" s="6" t="s">
        <v>34</v>
      </c>
      <c r="I1355" s="6">
        <v>1450</v>
      </c>
      <c r="J1355" s="6">
        <v>397</v>
      </c>
      <c r="K1355" s="6">
        <v>1</v>
      </c>
      <c r="L1355" s="10">
        <f t="shared" si="37"/>
        <v>0.57420000000000004</v>
      </c>
      <c r="M1355" s="6" t="s">
        <v>75</v>
      </c>
      <c r="N1355" s="6" t="s">
        <v>157</v>
      </c>
      <c r="O1355" s="6"/>
      <c r="P1355" s="17" t="s">
        <v>54</v>
      </c>
      <c r="Q1355" s="17" t="s">
        <v>54</v>
      </c>
      <c r="R1355" s="17" t="s">
        <v>54</v>
      </c>
    </row>
    <row r="1356" spans="1:18" ht="30" customHeight="1" x14ac:dyDescent="0.3">
      <c r="A1356" s="7">
        <v>45686</v>
      </c>
      <c r="B1356" s="6" t="s">
        <v>5</v>
      </c>
      <c r="C1356" s="6"/>
      <c r="D1356" s="6" t="str">
        <f>VLOOKUP(B1356,'Veri doğrulama'!$D$6:$E$13,2,0)</f>
        <v>MEHMET ÖZEN</v>
      </c>
      <c r="E1356" s="6"/>
      <c r="F1356" s="6" t="s">
        <v>327</v>
      </c>
      <c r="G1356" s="6" t="s">
        <v>15</v>
      </c>
      <c r="H1356" s="6" t="s">
        <v>34</v>
      </c>
      <c r="I1356" s="6">
        <v>1435</v>
      </c>
      <c r="J1356" s="6">
        <v>360</v>
      </c>
      <c r="K1356" s="6">
        <v>1</v>
      </c>
      <c r="L1356" s="10">
        <f t="shared" si="37"/>
        <v>1.72695</v>
      </c>
      <c r="M1356" s="6" t="s">
        <v>43</v>
      </c>
      <c r="N1356" s="6"/>
      <c r="O1356" s="6"/>
      <c r="P1356" s="17" t="s">
        <v>54</v>
      </c>
      <c r="Q1356" s="17" t="s">
        <v>54</v>
      </c>
      <c r="R1356" s="17" t="s">
        <v>54</v>
      </c>
    </row>
    <row r="1357" spans="1:18" ht="30" customHeight="1" x14ac:dyDescent="0.3">
      <c r="A1357" s="7">
        <v>45686</v>
      </c>
      <c r="B1357" s="6" t="s">
        <v>4</v>
      </c>
      <c r="C1357" s="6"/>
      <c r="D1357" s="6" t="str">
        <f>VLOOKUP(B1357,'Veri doğrulama'!$D$6:$E$13,2,0)</f>
        <v>MEHMET YAZICI</v>
      </c>
      <c r="E1357" s="6"/>
      <c r="F1357" s="6" t="s">
        <v>336</v>
      </c>
      <c r="G1357" s="6" t="s">
        <v>26</v>
      </c>
      <c r="H1357" s="6" t="s">
        <v>34</v>
      </c>
      <c r="I1357" s="6">
        <v>2000</v>
      </c>
      <c r="J1357" s="6">
        <v>600</v>
      </c>
      <c r="K1357" s="6">
        <v>3</v>
      </c>
      <c r="L1357" s="10">
        <f t="shared" si="37"/>
        <v>0.51659999999999995</v>
      </c>
      <c r="M1357" s="6" t="s">
        <v>103</v>
      </c>
      <c r="N1357" s="6" t="s">
        <v>157</v>
      </c>
      <c r="O1357" s="6"/>
      <c r="P1357" s="17" t="s">
        <v>54</v>
      </c>
      <c r="Q1357" s="17" t="s">
        <v>54</v>
      </c>
      <c r="R1357" s="17"/>
    </row>
    <row r="1358" spans="1:18" ht="30" customHeight="1" x14ac:dyDescent="0.3">
      <c r="A1358" s="7">
        <v>45686</v>
      </c>
      <c r="B1358" s="6" t="s">
        <v>4</v>
      </c>
      <c r="C1358" s="6"/>
      <c r="D1358" s="6" t="str">
        <f>VLOOKUP(B1358,'Veri doğrulama'!$D$6:$E$13,2,0)</f>
        <v>MEHMET YAZICI</v>
      </c>
      <c r="E1358" s="6" t="s">
        <v>328</v>
      </c>
      <c r="F1358" s="6" t="s">
        <v>116</v>
      </c>
      <c r="G1358" s="6" t="s">
        <v>19</v>
      </c>
      <c r="H1358" s="6" t="s">
        <v>34</v>
      </c>
      <c r="I1358" s="6">
        <v>2600</v>
      </c>
      <c r="J1358" s="6">
        <v>300</v>
      </c>
      <c r="K1358" s="6">
        <v>1</v>
      </c>
      <c r="L1358" s="10">
        <f t="shared" si="37"/>
        <v>1.2</v>
      </c>
      <c r="M1358" s="6" t="s">
        <v>43</v>
      </c>
      <c r="N1358" s="6" t="s">
        <v>179</v>
      </c>
      <c r="O1358" s="6"/>
      <c r="P1358" s="17" t="s">
        <v>54</v>
      </c>
      <c r="Q1358" s="17" t="s">
        <v>54</v>
      </c>
      <c r="R1358" s="17" t="s">
        <v>54</v>
      </c>
    </row>
    <row r="1359" spans="1:18" ht="30" customHeight="1" x14ac:dyDescent="0.3">
      <c r="A1359" s="7">
        <v>45686</v>
      </c>
      <c r="B1359" s="6" t="s">
        <v>4</v>
      </c>
      <c r="C1359" s="6"/>
      <c r="D1359" s="6" t="str">
        <f>VLOOKUP(B1359,'Veri doğrulama'!$D$6:$E$13,2,0)</f>
        <v>MEHMET YAZICI</v>
      </c>
      <c r="E1359" s="6"/>
      <c r="F1359" s="6" t="s">
        <v>307</v>
      </c>
      <c r="G1359" s="6" t="s">
        <v>19</v>
      </c>
      <c r="H1359" s="6" t="s">
        <v>34</v>
      </c>
      <c r="I1359" s="6">
        <v>2600</v>
      </c>
      <c r="J1359" s="6">
        <v>300</v>
      </c>
      <c r="K1359" s="6">
        <v>1</v>
      </c>
      <c r="L1359" s="10">
        <f t="shared" si="37"/>
        <v>0.78</v>
      </c>
      <c r="M1359" s="6" t="s">
        <v>75</v>
      </c>
      <c r="N1359" s="6" t="s">
        <v>179</v>
      </c>
      <c r="O1359" s="6"/>
      <c r="P1359" s="17" t="s">
        <v>54</v>
      </c>
      <c r="Q1359" s="17" t="s">
        <v>54</v>
      </c>
      <c r="R1359" s="17" t="s">
        <v>54</v>
      </c>
    </row>
    <row r="1360" spans="1:18" ht="30" customHeight="1" x14ac:dyDescent="0.3">
      <c r="A1360" s="7">
        <v>45685</v>
      </c>
      <c r="B1360" s="6" t="s">
        <v>4</v>
      </c>
      <c r="C1360" s="6"/>
      <c r="D1360" s="6" t="str">
        <f>VLOOKUP(B1360,'Veri doğrulama'!$D$6:$E$13,2,0)</f>
        <v>MEHMET YAZICI</v>
      </c>
      <c r="E1360" s="6"/>
      <c r="F1360" s="6" t="s">
        <v>133</v>
      </c>
      <c r="G1360" s="6" t="s">
        <v>16</v>
      </c>
      <c r="H1360" s="6" t="s">
        <v>34</v>
      </c>
      <c r="I1360" s="6">
        <v>435</v>
      </c>
      <c r="J1360" s="6">
        <v>449</v>
      </c>
      <c r="K1360" s="6">
        <v>1</v>
      </c>
      <c r="L1360" s="10">
        <f t="shared" si="37"/>
        <v>0.78</v>
      </c>
      <c r="M1360" s="6" t="s">
        <v>103</v>
      </c>
      <c r="N1360" s="6" t="s">
        <v>179</v>
      </c>
      <c r="O1360" s="6"/>
      <c r="P1360" s="17" t="s">
        <v>54</v>
      </c>
      <c r="Q1360" s="17" t="s">
        <v>54</v>
      </c>
      <c r="R1360" s="17" t="s">
        <v>54</v>
      </c>
    </row>
    <row r="1361" spans="1:18" ht="30" customHeight="1" x14ac:dyDescent="0.3">
      <c r="A1361" s="7">
        <v>45685</v>
      </c>
      <c r="B1361" s="6" t="s">
        <v>4</v>
      </c>
      <c r="C1361" s="6"/>
      <c r="D1361" s="6" t="str">
        <f>VLOOKUP(B1361,'Veri doğrulama'!$D$6:$E$13,2,0)</f>
        <v>MEHMET YAZICI</v>
      </c>
      <c r="E1361" s="6">
        <v>21364</v>
      </c>
      <c r="F1361" s="6" t="s">
        <v>530</v>
      </c>
      <c r="G1361" s="6" t="s">
        <v>29</v>
      </c>
      <c r="H1361" s="6" t="s">
        <v>34</v>
      </c>
      <c r="I1361" s="6">
        <v>410</v>
      </c>
      <c r="J1361" s="6">
        <v>499</v>
      </c>
      <c r="K1361" s="6">
        <v>1</v>
      </c>
      <c r="L1361" s="10">
        <f t="shared" si="37"/>
        <v>0.19531499999999999</v>
      </c>
      <c r="M1361" s="6" t="s">
        <v>39</v>
      </c>
      <c r="N1361" s="6" t="s">
        <v>179</v>
      </c>
      <c r="O1361" s="6"/>
      <c r="P1361" s="17" t="s">
        <v>54</v>
      </c>
      <c r="Q1361" s="17" t="s">
        <v>54</v>
      </c>
      <c r="R1361" s="17" t="s">
        <v>54</v>
      </c>
    </row>
    <row r="1362" spans="1:18" ht="30" customHeight="1" x14ac:dyDescent="0.3">
      <c r="A1362" s="7">
        <v>45685</v>
      </c>
      <c r="B1362" s="6" t="s">
        <v>4</v>
      </c>
      <c r="C1362" s="6"/>
      <c r="D1362" s="6" t="str">
        <f>VLOOKUP(B1362,'Veri doğrulama'!$D$6:$E$13,2,0)</f>
        <v>MEHMET YAZICI</v>
      </c>
      <c r="E1362" s="6"/>
      <c r="F1362" s="6" t="s">
        <v>338</v>
      </c>
      <c r="G1362" s="6" t="s">
        <v>18</v>
      </c>
      <c r="H1362" s="6" t="s">
        <v>35</v>
      </c>
      <c r="I1362" s="6">
        <v>2200</v>
      </c>
      <c r="J1362" s="6">
        <v>150</v>
      </c>
      <c r="K1362" s="6">
        <v>1</v>
      </c>
      <c r="L1362" s="10">
        <f t="shared" si="37"/>
        <v>0.20458999999999999</v>
      </c>
      <c r="M1362" s="6" t="s">
        <v>39</v>
      </c>
      <c r="N1362" s="6" t="s">
        <v>339</v>
      </c>
      <c r="O1362" s="6"/>
      <c r="P1362" s="17" t="s">
        <v>54</v>
      </c>
      <c r="Q1362" s="17" t="s">
        <v>54</v>
      </c>
      <c r="R1362" s="17" t="s">
        <v>54</v>
      </c>
    </row>
    <row r="1363" spans="1:18" ht="30" customHeight="1" x14ac:dyDescent="0.3">
      <c r="A1363" s="7">
        <v>45685</v>
      </c>
      <c r="B1363" s="6" t="s">
        <v>4</v>
      </c>
      <c r="C1363" s="6"/>
      <c r="D1363" s="6" t="str">
        <f>VLOOKUP(B1363,'Veri doğrulama'!$D$6:$E$13,2,0)</f>
        <v>MEHMET YAZICI</v>
      </c>
      <c r="E1363" s="6" t="s">
        <v>532</v>
      </c>
      <c r="F1363" s="6" t="s">
        <v>321</v>
      </c>
      <c r="G1363" s="6" t="s">
        <v>18</v>
      </c>
      <c r="H1363" s="6" t="s">
        <v>35</v>
      </c>
      <c r="I1363" s="6">
        <v>1100</v>
      </c>
      <c r="J1363" s="6">
        <v>700</v>
      </c>
      <c r="K1363" s="6">
        <v>1</v>
      </c>
      <c r="L1363" s="10">
        <f t="shared" si="37"/>
        <v>0.33</v>
      </c>
      <c r="M1363" s="6" t="s">
        <v>75</v>
      </c>
      <c r="N1363" s="6" t="s">
        <v>157</v>
      </c>
      <c r="O1363" s="6"/>
      <c r="P1363" s="17" t="s">
        <v>54</v>
      </c>
      <c r="Q1363" s="17" t="s">
        <v>54</v>
      </c>
      <c r="R1363" s="17" t="s">
        <v>54</v>
      </c>
    </row>
    <row r="1364" spans="1:18" ht="30" customHeight="1" x14ac:dyDescent="0.3">
      <c r="A1364" s="7">
        <v>45685</v>
      </c>
      <c r="B1364" s="6" t="s">
        <v>7</v>
      </c>
      <c r="C1364" s="6"/>
      <c r="D1364" s="6" t="str">
        <f>VLOOKUP(B1364,'Veri doğrulama'!$D$6:$E$13,2,0)</f>
        <v>SIDDIK KAPLAN</v>
      </c>
      <c r="E1364" s="6"/>
      <c r="F1364" s="6"/>
      <c r="G1364" s="6" t="s">
        <v>13</v>
      </c>
      <c r="H1364" s="6" t="s">
        <v>34</v>
      </c>
      <c r="I1364" s="6">
        <v>2200</v>
      </c>
      <c r="J1364" s="6">
        <v>450</v>
      </c>
      <c r="K1364" s="6">
        <v>1</v>
      </c>
      <c r="L1364" s="10">
        <f t="shared" si="37"/>
        <v>0.77</v>
      </c>
      <c r="M1364" s="6" t="s">
        <v>75</v>
      </c>
      <c r="N1364" s="6" t="s">
        <v>11</v>
      </c>
      <c r="O1364" s="6"/>
      <c r="P1364" s="17" t="s">
        <v>54</v>
      </c>
      <c r="Q1364" s="17" t="s">
        <v>54</v>
      </c>
      <c r="R1364" s="17" t="s">
        <v>54</v>
      </c>
    </row>
    <row r="1365" spans="1:18" ht="30" customHeight="1" x14ac:dyDescent="0.3">
      <c r="A1365" s="7">
        <v>45685</v>
      </c>
      <c r="B1365" s="6" t="s">
        <v>5</v>
      </c>
      <c r="C1365" s="6"/>
      <c r="D1365" s="6" t="str">
        <f>VLOOKUP(B1365,'Veri doğrulama'!$D$6:$E$13,2,0)</f>
        <v>MEHMET ÖZEN</v>
      </c>
      <c r="E1365" s="6" t="s">
        <v>325</v>
      </c>
      <c r="F1365" s="6" t="s">
        <v>419</v>
      </c>
      <c r="G1365" s="6" t="s">
        <v>20</v>
      </c>
      <c r="H1365" s="6" t="s">
        <v>34</v>
      </c>
      <c r="I1365" s="6">
        <v>1400</v>
      </c>
      <c r="J1365" s="6">
        <v>1600</v>
      </c>
      <c r="K1365" s="6">
        <v>1</v>
      </c>
      <c r="L1365" s="10">
        <f t="shared" si="37"/>
        <v>0.99</v>
      </c>
      <c r="M1365" s="6" t="s">
        <v>75</v>
      </c>
      <c r="N1365" s="6" t="s">
        <v>195</v>
      </c>
      <c r="O1365" s="6"/>
      <c r="P1365" s="17" t="s">
        <v>54</v>
      </c>
      <c r="Q1365" s="17" t="s">
        <v>54</v>
      </c>
      <c r="R1365" s="17" t="s">
        <v>54</v>
      </c>
    </row>
    <row r="1366" spans="1:18" ht="30" customHeight="1" x14ac:dyDescent="0.3">
      <c r="A1366" s="7">
        <v>45685</v>
      </c>
      <c r="B1366" s="6" t="s">
        <v>7</v>
      </c>
      <c r="C1366" s="6"/>
      <c r="D1366" s="6" t="str">
        <f>VLOOKUP(B1366,'Veri doğrulama'!$D$6:$E$13,2,0)</f>
        <v>SIDDIK KAPLAN</v>
      </c>
      <c r="E1366" s="6" t="s">
        <v>335</v>
      </c>
      <c r="F1366" s="6" t="s">
        <v>319</v>
      </c>
      <c r="G1366" s="6" t="s">
        <v>20</v>
      </c>
      <c r="H1366" s="6" t="s">
        <v>34</v>
      </c>
      <c r="I1366" s="6">
        <v>1800</v>
      </c>
      <c r="J1366" s="6">
        <v>800</v>
      </c>
      <c r="K1366" s="6">
        <v>1</v>
      </c>
      <c r="L1366" s="10">
        <f t="shared" si="37"/>
        <v>2.2400000000000002</v>
      </c>
      <c r="M1366" s="6" t="s">
        <v>42</v>
      </c>
      <c r="N1366" s="6"/>
      <c r="O1366" s="6"/>
      <c r="P1366" s="17" t="s">
        <v>54</v>
      </c>
      <c r="Q1366" s="17" t="s">
        <v>54</v>
      </c>
      <c r="R1366" s="17" t="s">
        <v>54</v>
      </c>
    </row>
    <row r="1367" spans="1:18" ht="30" customHeight="1" x14ac:dyDescent="0.3">
      <c r="A1367" s="7">
        <v>45685</v>
      </c>
      <c r="B1367" s="6" t="s">
        <v>5</v>
      </c>
      <c r="C1367" s="6"/>
      <c r="D1367" s="6" t="str">
        <f>VLOOKUP(B1367,'Veri doğrulama'!$D$6:$E$13,2,0)</f>
        <v>MEHMET ÖZEN</v>
      </c>
      <c r="E1367" s="6"/>
      <c r="F1367" s="6" t="s">
        <v>340</v>
      </c>
      <c r="G1367" s="6" t="s">
        <v>17</v>
      </c>
      <c r="H1367" s="6" t="s">
        <v>34</v>
      </c>
      <c r="I1367" s="6">
        <v>698</v>
      </c>
      <c r="J1367" s="6">
        <v>430</v>
      </c>
      <c r="K1367" s="6">
        <v>1</v>
      </c>
      <c r="L1367" s="10">
        <f t="shared" si="37"/>
        <v>1.44</v>
      </c>
      <c r="M1367" s="6" t="s">
        <v>38</v>
      </c>
      <c r="N1367" s="6"/>
      <c r="O1367" s="6"/>
      <c r="P1367" s="17" t="s">
        <v>54</v>
      </c>
      <c r="Q1367" s="17" t="s">
        <v>54</v>
      </c>
      <c r="R1367" s="17" t="s">
        <v>54</v>
      </c>
    </row>
    <row r="1368" spans="1:18" ht="30" customHeight="1" x14ac:dyDescent="0.3">
      <c r="A1368" s="7">
        <v>45685</v>
      </c>
      <c r="B1368" s="6" t="s">
        <v>4</v>
      </c>
      <c r="C1368" s="6"/>
      <c r="D1368" s="6" t="str">
        <f>VLOOKUP(B1368,'Veri doğrulama'!$D$6:$E$13,2,0)</f>
        <v>MEHMET YAZICI</v>
      </c>
      <c r="E1368" s="6" t="s">
        <v>322</v>
      </c>
      <c r="F1368" s="6" t="s">
        <v>316</v>
      </c>
      <c r="G1368" s="6" t="s">
        <v>17</v>
      </c>
      <c r="H1368" s="6" t="s">
        <v>34</v>
      </c>
      <c r="I1368" s="6">
        <v>580</v>
      </c>
      <c r="J1368" s="6">
        <v>324</v>
      </c>
      <c r="K1368" s="6">
        <v>1</v>
      </c>
      <c r="L1368" s="10">
        <f t="shared" si="37"/>
        <v>1.5007000000000001</v>
      </c>
      <c r="M1368" s="6" t="s">
        <v>43</v>
      </c>
      <c r="N1368" s="6" t="s">
        <v>157</v>
      </c>
      <c r="O1368" s="6"/>
      <c r="P1368" s="17" t="s">
        <v>54</v>
      </c>
      <c r="Q1368" s="17" t="s">
        <v>54</v>
      </c>
      <c r="R1368" s="17"/>
    </row>
    <row r="1369" spans="1:18" ht="30" customHeight="1" x14ac:dyDescent="0.3">
      <c r="A1369" s="7">
        <v>45685</v>
      </c>
      <c r="B1369" s="6" t="s">
        <v>5</v>
      </c>
      <c r="C1369" s="6"/>
      <c r="D1369" s="6" t="str">
        <f>VLOOKUP(B1369,'Veri doğrulama'!$D$6:$E$13,2,0)</f>
        <v>MEHMET ÖZEN</v>
      </c>
      <c r="E1369" s="6"/>
      <c r="F1369" s="6" t="s">
        <v>309</v>
      </c>
      <c r="G1369" s="6" t="s">
        <v>16</v>
      </c>
      <c r="H1369" s="6" t="s">
        <v>34</v>
      </c>
      <c r="I1369" s="6">
        <v>2260</v>
      </c>
      <c r="J1369" s="6">
        <v>440</v>
      </c>
      <c r="K1369" s="6">
        <v>5</v>
      </c>
      <c r="L1369" s="10">
        <f t="shared" ref="L1369:L1400" si="38">J1368*I1368/1000000*K1370</f>
        <v>0.18792</v>
      </c>
      <c r="M1369" s="6" t="s">
        <v>42</v>
      </c>
      <c r="N1369" s="6" t="s">
        <v>310</v>
      </c>
      <c r="O1369" s="6"/>
      <c r="P1369" s="17" t="s">
        <v>54</v>
      </c>
      <c r="Q1369" s="17" t="s">
        <v>54</v>
      </c>
      <c r="R1369" s="17" t="s">
        <v>54</v>
      </c>
    </row>
    <row r="1370" spans="1:18" ht="30" customHeight="1" x14ac:dyDescent="0.3">
      <c r="A1370" s="7">
        <v>45685</v>
      </c>
      <c r="B1370" s="6" t="s">
        <v>4</v>
      </c>
      <c r="C1370" s="6"/>
      <c r="D1370" s="6" t="str">
        <f>VLOOKUP(B1370,'Veri doğrulama'!$D$6:$E$13,2,0)</f>
        <v>MEHMET YAZICI</v>
      </c>
      <c r="E1370" s="6"/>
      <c r="F1370" s="6" t="s">
        <v>299</v>
      </c>
      <c r="G1370" s="6" t="s">
        <v>16</v>
      </c>
      <c r="H1370" s="6" t="s">
        <v>34</v>
      </c>
      <c r="I1370" s="6">
        <v>1148</v>
      </c>
      <c r="J1370" s="6">
        <v>557</v>
      </c>
      <c r="K1370" s="6">
        <v>1</v>
      </c>
      <c r="L1370" s="10">
        <f t="shared" si="38"/>
        <v>0.99439999999999995</v>
      </c>
      <c r="M1370" s="6" t="s">
        <v>75</v>
      </c>
      <c r="N1370" s="6" t="s">
        <v>179</v>
      </c>
      <c r="O1370" s="6"/>
      <c r="P1370" s="17" t="s">
        <v>54</v>
      </c>
      <c r="Q1370" s="17" t="s">
        <v>54</v>
      </c>
      <c r="R1370" s="17"/>
    </row>
    <row r="1371" spans="1:18" ht="30" customHeight="1" x14ac:dyDescent="0.3">
      <c r="A1371" s="7">
        <v>45684</v>
      </c>
      <c r="B1371" s="6" t="s">
        <v>5</v>
      </c>
      <c r="C1371" s="6"/>
      <c r="D1371" s="6" t="str">
        <f>VLOOKUP(B1371,'Veri doğrulama'!$D$6:$E$13,2,0)</f>
        <v>MEHMET ÖZEN</v>
      </c>
      <c r="E1371" s="6" t="s">
        <v>313</v>
      </c>
      <c r="F1371" s="6" t="s">
        <v>308</v>
      </c>
      <c r="G1371" s="6" t="s">
        <v>29</v>
      </c>
      <c r="H1371" s="6" t="s">
        <v>34</v>
      </c>
      <c r="I1371" s="6">
        <v>735</v>
      </c>
      <c r="J1371" s="6">
        <v>397</v>
      </c>
      <c r="K1371" s="6">
        <v>1</v>
      </c>
      <c r="L1371" s="10">
        <f t="shared" si="38"/>
        <v>1.278872</v>
      </c>
      <c r="M1371" s="6" t="s">
        <v>43</v>
      </c>
      <c r="N1371" s="6"/>
      <c r="O1371" s="6"/>
      <c r="P1371" s="17" t="s">
        <v>54</v>
      </c>
      <c r="Q1371" s="17" t="s">
        <v>54</v>
      </c>
      <c r="R1371" s="17" t="s">
        <v>54</v>
      </c>
    </row>
    <row r="1372" spans="1:18" ht="30" customHeight="1" x14ac:dyDescent="0.3">
      <c r="A1372" s="7">
        <v>45684</v>
      </c>
      <c r="B1372" s="6" t="s">
        <v>4</v>
      </c>
      <c r="C1372" s="6"/>
      <c r="D1372" s="6" t="str">
        <f>VLOOKUP(B1372,'Veri doğrulama'!$D$6:$E$13,2,0)</f>
        <v>MEHMET YAZICI</v>
      </c>
      <c r="E1372" s="6" t="s">
        <v>302</v>
      </c>
      <c r="F1372" s="6" t="s">
        <v>321</v>
      </c>
      <c r="G1372" s="6" t="s">
        <v>18</v>
      </c>
      <c r="H1372" s="6" t="s">
        <v>34</v>
      </c>
      <c r="I1372" s="6">
        <v>1400</v>
      </c>
      <c r="J1372" s="6">
        <v>1200</v>
      </c>
      <c r="K1372" s="6">
        <v>2</v>
      </c>
      <c r="L1372" s="10">
        <f t="shared" si="38"/>
        <v>0.29179500000000003</v>
      </c>
      <c r="M1372" s="6" t="s">
        <v>103</v>
      </c>
      <c r="N1372" s="6" t="s">
        <v>157</v>
      </c>
      <c r="O1372" s="6"/>
      <c r="P1372" s="17" t="s">
        <v>54</v>
      </c>
      <c r="Q1372" s="17" t="s">
        <v>54</v>
      </c>
      <c r="R1372" s="17"/>
    </row>
    <row r="1373" spans="1:18" ht="30" customHeight="1" x14ac:dyDescent="0.3">
      <c r="A1373" s="7">
        <v>45684</v>
      </c>
      <c r="B1373" s="6" t="s">
        <v>7</v>
      </c>
      <c r="C1373" s="6"/>
      <c r="D1373" s="6" t="str">
        <f>VLOOKUP(B1373,'Veri doğrulama'!$D$6:$E$13,2,0)</f>
        <v>SIDDIK KAPLAN</v>
      </c>
      <c r="E1373" s="6" t="s">
        <v>311</v>
      </c>
      <c r="F1373" s="6" t="s">
        <v>305</v>
      </c>
      <c r="G1373" s="6" t="s">
        <v>18</v>
      </c>
      <c r="H1373" s="6" t="s">
        <v>34</v>
      </c>
      <c r="I1373" s="6">
        <v>557</v>
      </c>
      <c r="J1373" s="6">
        <v>247</v>
      </c>
      <c r="K1373" s="6">
        <v>1</v>
      </c>
      <c r="L1373" s="10">
        <f t="shared" si="38"/>
        <v>1.68</v>
      </c>
      <c r="M1373" s="6" t="s">
        <v>43</v>
      </c>
      <c r="N1373" s="6" t="s">
        <v>11</v>
      </c>
      <c r="O1373" s="6"/>
      <c r="P1373" s="17" t="s">
        <v>54</v>
      </c>
      <c r="Q1373" s="17" t="s">
        <v>54</v>
      </c>
      <c r="R1373" s="17" t="s">
        <v>54</v>
      </c>
    </row>
    <row r="1374" spans="1:18" ht="30" customHeight="1" x14ac:dyDescent="0.3">
      <c r="A1374" s="7">
        <v>45684</v>
      </c>
      <c r="B1374" s="6" t="s">
        <v>7</v>
      </c>
      <c r="C1374" s="6"/>
      <c r="D1374" s="6" t="str">
        <f>VLOOKUP(B1374,'Veri doğrulama'!$D$6:$E$13,2,0)</f>
        <v>SIDDIK KAPLAN</v>
      </c>
      <c r="E1374" s="6"/>
      <c r="F1374" s="6" t="s">
        <v>305</v>
      </c>
      <c r="G1374" s="6" t="s">
        <v>18</v>
      </c>
      <c r="H1374" s="6" t="s">
        <v>34</v>
      </c>
      <c r="I1374" s="6">
        <v>353</v>
      </c>
      <c r="J1374" s="6">
        <v>448</v>
      </c>
      <c r="K1374" s="6">
        <v>1</v>
      </c>
      <c r="L1374" s="10">
        <f t="shared" si="38"/>
        <v>0.13757900000000001</v>
      </c>
      <c r="M1374" s="6" t="s">
        <v>75</v>
      </c>
      <c r="N1374" s="6" t="s">
        <v>11</v>
      </c>
      <c r="O1374" s="6"/>
      <c r="P1374" s="17" t="s">
        <v>54</v>
      </c>
      <c r="Q1374" s="17" t="s">
        <v>54</v>
      </c>
      <c r="R1374" s="17" t="s">
        <v>54</v>
      </c>
    </row>
    <row r="1375" spans="1:18" ht="30" customHeight="1" x14ac:dyDescent="0.3">
      <c r="A1375" s="7">
        <v>45684</v>
      </c>
      <c r="B1375" s="6" t="s">
        <v>7</v>
      </c>
      <c r="C1375" s="6"/>
      <c r="D1375" s="6" t="str">
        <f>VLOOKUP(B1375,'Veri doğrulama'!$D$6:$E$13,2,0)</f>
        <v>SIDDIK KAPLAN</v>
      </c>
      <c r="E1375" s="6" t="s">
        <v>289</v>
      </c>
      <c r="F1375" s="6" t="s">
        <v>305</v>
      </c>
      <c r="G1375" s="6" t="s">
        <v>18</v>
      </c>
      <c r="H1375" s="6" t="s">
        <v>34</v>
      </c>
      <c r="I1375" s="6">
        <v>555</v>
      </c>
      <c r="J1375" s="6">
        <v>448</v>
      </c>
      <c r="K1375" s="6">
        <v>1</v>
      </c>
      <c r="L1375" s="10">
        <f t="shared" si="38"/>
        <v>0.31628800000000001</v>
      </c>
      <c r="M1375" s="6" t="s">
        <v>43</v>
      </c>
      <c r="N1375" s="6" t="s">
        <v>11</v>
      </c>
      <c r="O1375" s="6"/>
      <c r="P1375" s="17" t="s">
        <v>54</v>
      </c>
      <c r="Q1375" s="17" t="s">
        <v>54</v>
      </c>
      <c r="R1375" s="17" t="s">
        <v>54</v>
      </c>
    </row>
    <row r="1376" spans="1:18" ht="30" customHeight="1" x14ac:dyDescent="0.3">
      <c r="A1376" s="7">
        <v>45684</v>
      </c>
      <c r="B1376" s="6" t="s">
        <v>4</v>
      </c>
      <c r="C1376" s="6"/>
      <c r="D1376" s="6" t="str">
        <f>VLOOKUP(B1376,'Veri doğrulama'!$D$6:$E$13,2,0)</f>
        <v>MEHMET YAZICI</v>
      </c>
      <c r="E1376" s="6"/>
      <c r="F1376" s="6" t="s">
        <v>303</v>
      </c>
      <c r="G1376" s="6" t="s">
        <v>18</v>
      </c>
      <c r="H1376" s="6" t="s">
        <v>34</v>
      </c>
      <c r="I1376" s="6">
        <v>698</v>
      </c>
      <c r="J1376" s="6">
        <v>435</v>
      </c>
      <c r="K1376" s="6">
        <v>2</v>
      </c>
      <c r="L1376" s="10">
        <f t="shared" si="38"/>
        <v>1.4918400000000001</v>
      </c>
      <c r="M1376" s="6" t="s">
        <v>43</v>
      </c>
      <c r="N1376" s="6" t="s">
        <v>179</v>
      </c>
      <c r="O1376" s="6"/>
      <c r="P1376" s="17" t="s">
        <v>54</v>
      </c>
      <c r="Q1376" s="17" t="s">
        <v>54</v>
      </c>
      <c r="R1376" s="17"/>
    </row>
    <row r="1377" spans="1:18" ht="30" customHeight="1" x14ac:dyDescent="0.3">
      <c r="A1377" s="7">
        <v>45684</v>
      </c>
      <c r="B1377" s="6" t="s">
        <v>5</v>
      </c>
      <c r="C1377" s="6"/>
      <c r="D1377" s="6" t="str">
        <f>VLOOKUP(B1377,'Veri doğrulama'!$D$6:$E$13,2,0)</f>
        <v>MEHMET ÖZEN</v>
      </c>
      <c r="E1377" s="6"/>
      <c r="F1377" s="6" t="s">
        <v>317</v>
      </c>
      <c r="G1377" s="6" t="s">
        <v>13</v>
      </c>
      <c r="H1377" s="6" t="s">
        <v>34</v>
      </c>
      <c r="I1377" s="6">
        <v>2000</v>
      </c>
      <c r="J1377" s="6">
        <v>850</v>
      </c>
      <c r="K1377" s="6">
        <v>6</v>
      </c>
      <c r="L1377" s="10">
        <f t="shared" si="38"/>
        <v>0.30363000000000001</v>
      </c>
      <c r="M1377" s="6" t="s">
        <v>43</v>
      </c>
      <c r="N1377" s="6" t="s">
        <v>318</v>
      </c>
      <c r="O1377" s="6"/>
      <c r="P1377" s="17" t="s">
        <v>54</v>
      </c>
      <c r="Q1377" s="17" t="s">
        <v>54</v>
      </c>
      <c r="R1377" s="17"/>
    </row>
    <row r="1378" spans="1:18" ht="30" customHeight="1" x14ac:dyDescent="0.3">
      <c r="A1378" s="7">
        <v>45684</v>
      </c>
      <c r="B1378" s="6" t="s">
        <v>4</v>
      </c>
      <c r="C1378" s="6"/>
      <c r="D1378" s="6" t="str">
        <f>VLOOKUP(B1378,'Veri doğrulama'!$D$6:$E$13,2,0)</f>
        <v>MEHMET YAZICI</v>
      </c>
      <c r="E1378" s="6"/>
      <c r="F1378" s="6" t="s">
        <v>341</v>
      </c>
      <c r="G1378" s="6" t="s">
        <v>24</v>
      </c>
      <c r="H1378" s="6" t="s">
        <v>35</v>
      </c>
      <c r="I1378" s="6">
        <v>2028</v>
      </c>
      <c r="J1378" s="6">
        <v>380</v>
      </c>
      <c r="K1378" s="6">
        <v>1</v>
      </c>
      <c r="L1378" s="10">
        <f t="shared" si="38"/>
        <v>1.7</v>
      </c>
      <c r="M1378" s="6" t="s">
        <v>102</v>
      </c>
      <c r="N1378" s="6" t="s">
        <v>179</v>
      </c>
      <c r="O1378" s="6"/>
      <c r="P1378" s="17" t="s">
        <v>54</v>
      </c>
      <c r="Q1378" s="17" t="s">
        <v>54</v>
      </c>
      <c r="R1378" s="17"/>
    </row>
    <row r="1379" spans="1:18" ht="30" customHeight="1" x14ac:dyDescent="0.3">
      <c r="A1379" s="7">
        <v>45684</v>
      </c>
      <c r="B1379" s="6" t="s">
        <v>7</v>
      </c>
      <c r="C1379" s="6"/>
      <c r="D1379" s="6" t="str">
        <f>VLOOKUP(B1379,'Veri doğrulama'!$D$6:$E$13,2,0)</f>
        <v>SIDDIK KAPLAN</v>
      </c>
      <c r="E1379" s="6" t="s">
        <v>320</v>
      </c>
      <c r="F1379" s="6" t="s">
        <v>305</v>
      </c>
      <c r="G1379" s="6" t="s">
        <v>24</v>
      </c>
      <c r="H1379" s="6" t="s">
        <v>34</v>
      </c>
      <c r="I1379" s="6">
        <v>539</v>
      </c>
      <c r="J1379" s="6">
        <v>406</v>
      </c>
      <c r="K1379" s="6">
        <v>1</v>
      </c>
      <c r="L1379" s="10">
        <f t="shared" si="38"/>
        <v>0.77063999999999999</v>
      </c>
      <c r="M1379" s="6" t="s">
        <v>43</v>
      </c>
      <c r="N1379" s="6" t="s">
        <v>11</v>
      </c>
      <c r="O1379" s="6"/>
      <c r="P1379" s="17" t="s">
        <v>54</v>
      </c>
      <c r="Q1379" s="17" t="s">
        <v>54</v>
      </c>
      <c r="R1379" s="17"/>
    </row>
    <row r="1380" spans="1:18" ht="30" customHeight="1" x14ac:dyDescent="0.3">
      <c r="A1380" s="7">
        <v>45684</v>
      </c>
      <c r="B1380" s="6" t="s">
        <v>7</v>
      </c>
      <c r="C1380" s="6"/>
      <c r="D1380" s="6" t="str">
        <f>VLOOKUP(B1380,'Veri doğrulama'!$D$6:$E$13,2,0)</f>
        <v>SIDDIK KAPLAN</v>
      </c>
      <c r="E1380" s="6" t="s">
        <v>343</v>
      </c>
      <c r="F1380" s="6" t="s">
        <v>305</v>
      </c>
      <c r="G1380" s="6" t="s">
        <v>24</v>
      </c>
      <c r="H1380" s="6" t="s">
        <v>34</v>
      </c>
      <c r="I1380" s="6">
        <v>1600</v>
      </c>
      <c r="J1380" s="6">
        <v>406</v>
      </c>
      <c r="K1380" s="6">
        <v>1</v>
      </c>
      <c r="L1380" s="10">
        <f t="shared" si="38"/>
        <v>0.875336</v>
      </c>
      <c r="M1380" s="6" t="s">
        <v>43</v>
      </c>
      <c r="N1380" s="6" t="s">
        <v>11</v>
      </c>
      <c r="O1380" s="6"/>
      <c r="P1380" s="17" t="s">
        <v>54</v>
      </c>
      <c r="Q1380" s="17" t="s">
        <v>54</v>
      </c>
      <c r="R1380" s="17" t="s">
        <v>54</v>
      </c>
    </row>
    <row r="1381" spans="1:18" ht="30" customHeight="1" x14ac:dyDescent="0.3">
      <c r="A1381" s="7">
        <v>45684</v>
      </c>
      <c r="B1381" s="6" t="s">
        <v>7</v>
      </c>
      <c r="C1381" s="6"/>
      <c r="D1381" s="6" t="str">
        <f>VLOOKUP(B1381,'Veri doğrulama'!$D$6:$E$13,2,0)</f>
        <v>SIDDIK KAPLAN</v>
      </c>
      <c r="E1381" s="6"/>
      <c r="F1381" s="6" t="s">
        <v>305</v>
      </c>
      <c r="G1381" s="6" t="s">
        <v>24</v>
      </c>
      <c r="H1381" s="6" t="s">
        <v>34</v>
      </c>
      <c r="I1381" s="6">
        <v>1600</v>
      </c>
      <c r="J1381" s="6">
        <v>450</v>
      </c>
      <c r="K1381" s="6">
        <v>4</v>
      </c>
      <c r="L1381" s="10">
        <f t="shared" si="38"/>
        <v>1.2991999999999999</v>
      </c>
      <c r="M1381" s="6" t="s">
        <v>43</v>
      </c>
      <c r="N1381" s="6" t="s">
        <v>11</v>
      </c>
      <c r="O1381" s="6"/>
      <c r="P1381" s="17" t="s">
        <v>54</v>
      </c>
      <c r="Q1381" s="17" t="s">
        <v>54</v>
      </c>
      <c r="R1381" s="17" t="s">
        <v>54</v>
      </c>
    </row>
    <row r="1382" spans="1:18" ht="30" customHeight="1" x14ac:dyDescent="0.3">
      <c r="A1382" s="7">
        <v>45684</v>
      </c>
      <c r="B1382" s="6" t="s">
        <v>7</v>
      </c>
      <c r="C1382" s="6"/>
      <c r="D1382" s="6" t="str">
        <f>VLOOKUP(B1382,'Veri doğrulama'!$D$6:$E$13,2,0)</f>
        <v>SIDDIK KAPLAN</v>
      </c>
      <c r="E1382" s="6"/>
      <c r="F1382" s="6" t="s">
        <v>305</v>
      </c>
      <c r="G1382" s="6" t="s">
        <v>24</v>
      </c>
      <c r="H1382" s="6" t="s">
        <v>34</v>
      </c>
      <c r="I1382" s="6">
        <v>539</v>
      </c>
      <c r="J1382" s="6">
        <v>406</v>
      </c>
      <c r="K1382" s="6">
        <v>2</v>
      </c>
      <c r="L1382" s="10">
        <f t="shared" si="38"/>
        <v>2.16</v>
      </c>
      <c r="M1382" s="6" t="s">
        <v>43</v>
      </c>
      <c r="N1382" s="6" t="s">
        <v>11</v>
      </c>
      <c r="O1382" s="6"/>
      <c r="P1382" s="17" t="s">
        <v>54</v>
      </c>
      <c r="Q1382" s="17" t="s">
        <v>54</v>
      </c>
      <c r="R1382" s="17"/>
    </row>
    <row r="1383" spans="1:18" ht="30" customHeight="1" x14ac:dyDescent="0.3">
      <c r="A1383" s="7">
        <v>45684</v>
      </c>
      <c r="B1383" s="6" t="s">
        <v>4</v>
      </c>
      <c r="C1383" s="6"/>
      <c r="D1383" s="6" t="str">
        <f>VLOOKUP(B1383,'Veri doğrulama'!$D$6:$E$13,2,0)</f>
        <v>MEHMET YAZICI</v>
      </c>
      <c r="E1383" s="6"/>
      <c r="F1383" s="6" t="s">
        <v>306</v>
      </c>
      <c r="G1383" s="6" t="s">
        <v>19</v>
      </c>
      <c r="H1383" s="6" t="s">
        <v>34</v>
      </c>
      <c r="I1383" s="6">
        <v>1800</v>
      </c>
      <c r="J1383" s="6">
        <v>800</v>
      </c>
      <c r="K1383" s="6">
        <v>3</v>
      </c>
      <c r="L1383" s="10">
        <f t="shared" si="38"/>
        <v>0.437668</v>
      </c>
      <c r="M1383" s="6" t="s">
        <v>43</v>
      </c>
      <c r="N1383" s="6" t="s">
        <v>179</v>
      </c>
      <c r="O1383" s="6"/>
      <c r="P1383" s="17" t="s">
        <v>54</v>
      </c>
      <c r="Q1383" s="17" t="s">
        <v>54</v>
      </c>
      <c r="R1383" s="17"/>
    </row>
    <row r="1384" spans="1:18" ht="30" customHeight="1" x14ac:dyDescent="0.3">
      <c r="A1384" s="7">
        <v>45684</v>
      </c>
      <c r="B1384" s="6" t="s">
        <v>4</v>
      </c>
      <c r="C1384" s="6"/>
      <c r="D1384" s="6" t="str">
        <f>VLOOKUP(B1384,'Veri doğrulama'!$D$6:$E$13,2,0)</f>
        <v>MEHMET YAZICI</v>
      </c>
      <c r="E1384" s="6"/>
      <c r="F1384" s="6" t="s">
        <v>104</v>
      </c>
      <c r="G1384" s="6" t="s">
        <v>19</v>
      </c>
      <c r="H1384" s="6" t="s">
        <v>34</v>
      </c>
      <c r="I1384" s="6">
        <v>575</v>
      </c>
      <c r="J1384" s="6">
        <v>410</v>
      </c>
      <c r="K1384" s="6">
        <v>2</v>
      </c>
      <c r="L1384" s="10">
        <f t="shared" si="38"/>
        <v>1.44</v>
      </c>
      <c r="M1384" s="6" t="s">
        <v>43</v>
      </c>
      <c r="N1384" s="6" t="s">
        <v>159</v>
      </c>
      <c r="O1384" s="6"/>
      <c r="P1384" s="17" t="s">
        <v>54</v>
      </c>
      <c r="Q1384" s="17" t="s">
        <v>54</v>
      </c>
      <c r="R1384" s="17"/>
    </row>
    <row r="1385" spans="1:18" ht="30" customHeight="1" x14ac:dyDescent="0.3">
      <c r="A1385" s="7">
        <v>45681</v>
      </c>
      <c r="B1385" s="6" t="s">
        <v>5</v>
      </c>
      <c r="C1385" s="6"/>
      <c r="D1385" s="6" t="str">
        <f>VLOOKUP(B1385,'Veri doğrulama'!$D$6:$E$13,2,0)</f>
        <v>MEHMET ÖZEN</v>
      </c>
      <c r="E1385" s="6"/>
      <c r="F1385" s="6" t="s">
        <v>360</v>
      </c>
      <c r="G1385" s="6" t="s">
        <v>14</v>
      </c>
      <c r="H1385" s="6" t="s">
        <v>34</v>
      </c>
      <c r="I1385" s="6">
        <v>2200</v>
      </c>
      <c r="J1385" s="6">
        <v>150</v>
      </c>
      <c r="K1385" s="6">
        <v>1</v>
      </c>
      <c r="L1385" s="10">
        <f t="shared" si="38"/>
        <v>0.47149999999999997</v>
      </c>
      <c r="M1385" s="6" t="s">
        <v>75</v>
      </c>
      <c r="N1385" s="6" t="s">
        <v>195</v>
      </c>
      <c r="O1385" s="6"/>
      <c r="P1385" s="17" t="s">
        <v>54</v>
      </c>
      <c r="Q1385" s="17" t="s">
        <v>54</v>
      </c>
      <c r="R1385" s="17" t="s">
        <v>54</v>
      </c>
    </row>
    <row r="1386" spans="1:18" ht="30" customHeight="1" x14ac:dyDescent="0.3">
      <c r="A1386" s="7">
        <v>45681</v>
      </c>
      <c r="B1386" s="6" t="s">
        <v>5</v>
      </c>
      <c r="C1386" s="6"/>
      <c r="D1386" s="6" t="str">
        <f>VLOOKUP(B1386,'Veri doğrulama'!$D$6:$E$13,2,0)</f>
        <v>MEHMET ÖZEN</v>
      </c>
      <c r="E1386" s="6">
        <v>21138</v>
      </c>
      <c r="F1386" s="6" t="s">
        <v>298</v>
      </c>
      <c r="G1386" s="6" t="s">
        <v>18</v>
      </c>
      <c r="H1386" s="6" t="s">
        <v>35</v>
      </c>
      <c r="I1386" s="6">
        <v>2000</v>
      </c>
      <c r="J1386" s="6">
        <v>1100</v>
      </c>
      <c r="K1386" s="6">
        <v>2</v>
      </c>
      <c r="L1386" s="10">
        <f t="shared" si="38"/>
        <v>0.33</v>
      </c>
      <c r="M1386" s="6" t="s">
        <v>43</v>
      </c>
      <c r="N1386" s="6" t="s">
        <v>195</v>
      </c>
      <c r="O1386" s="6"/>
      <c r="P1386" s="17" t="s">
        <v>54</v>
      </c>
      <c r="Q1386" s="17" t="s">
        <v>54</v>
      </c>
      <c r="R1386" s="17" t="s">
        <v>54</v>
      </c>
    </row>
    <row r="1387" spans="1:18" ht="30" customHeight="1" x14ac:dyDescent="0.3">
      <c r="A1387" s="7">
        <v>45681</v>
      </c>
      <c r="B1387" s="6" t="s">
        <v>7</v>
      </c>
      <c r="C1387" s="6"/>
      <c r="D1387" s="6" t="str">
        <f>VLOOKUP(B1387,'Veri doğrulama'!$D$6:$E$13,2,0)</f>
        <v>SIDDIK KAPLAN</v>
      </c>
      <c r="E1387" s="6"/>
      <c r="F1387" s="6" t="s">
        <v>333</v>
      </c>
      <c r="G1387" s="6" t="s">
        <v>28</v>
      </c>
      <c r="H1387" s="6" t="s">
        <v>34</v>
      </c>
      <c r="I1387" s="6">
        <v>2000</v>
      </c>
      <c r="J1387" s="6">
        <v>600</v>
      </c>
      <c r="K1387" s="6">
        <v>1</v>
      </c>
      <c r="L1387" s="10">
        <f t="shared" si="38"/>
        <v>2.2000000000000002</v>
      </c>
      <c r="M1387" s="6" t="s">
        <v>42</v>
      </c>
      <c r="N1387" s="6" t="s">
        <v>11</v>
      </c>
      <c r="O1387" s="6"/>
      <c r="P1387" s="17" t="s">
        <v>54</v>
      </c>
      <c r="Q1387" s="17" t="s">
        <v>54</v>
      </c>
      <c r="R1387" s="17" t="s">
        <v>54</v>
      </c>
    </row>
    <row r="1388" spans="1:18" ht="30" customHeight="1" x14ac:dyDescent="0.3">
      <c r="A1388" s="7">
        <v>45681</v>
      </c>
      <c r="B1388" s="6" t="s">
        <v>4</v>
      </c>
      <c r="C1388" s="6"/>
      <c r="D1388" s="6" t="str">
        <f>VLOOKUP(B1388,'Veri doğrulama'!$D$6:$E$13,2,0)</f>
        <v>MEHMET YAZICI</v>
      </c>
      <c r="E1388" s="6" t="s">
        <v>300</v>
      </c>
      <c r="F1388" s="6" t="s">
        <v>295</v>
      </c>
      <c r="G1388" s="6" t="s">
        <v>28</v>
      </c>
      <c r="H1388" s="6" t="s">
        <v>34</v>
      </c>
      <c r="I1388" s="6">
        <v>800</v>
      </c>
      <c r="J1388" s="6">
        <v>550</v>
      </c>
      <c r="K1388" s="6">
        <v>1</v>
      </c>
      <c r="L1388" s="10">
        <f t="shared" si="38"/>
        <v>2.4</v>
      </c>
      <c r="M1388" s="6" t="s">
        <v>43</v>
      </c>
      <c r="N1388" s="6" t="s">
        <v>179</v>
      </c>
      <c r="O1388" s="6"/>
      <c r="P1388" s="17" t="s">
        <v>54</v>
      </c>
      <c r="Q1388" s="17" t="s">
        <v>54</v>
      </c>
      <c r="R1388" s="17" t="s">
        <v>54</v>
      </c>
    </row>
    <row r="1389" spans="1:18" ht="30" customHeight="1" x14ac:dyDescent="0.3">
      <c r="A1389" s="7">
        <v>45681</v>
      </c>
      <c r="B1389" s="6" t="s">
        <v>4</v>
      </c>
      <c r="C1389" s="6"/>
      <c r="D1389" s="6" t="str">
        <f>VLOOKUP(B1389,'Veri doğrulama'!$D$6:$E$13,2,0)</f>
        <v>MEHMET YAZICI</v>
      </c>
      <c r="E1389" s="6" t="s">
        <v>334</v>
      </c>
      <c r="F1389" s="6" t="s">
        <v>293</v>
      </c>
      <c r="G1389" s="6" t="s">
        <v>19</v>
      </c>
      <c r="H1389" s="6" t="s">
        <v>34</v>
      </c>
      <c r="I1389" s="6">
        <v>1800</v>
      </c>
      <c r="J1389" s="6">
        <v>800</v>
      </c>
      <c r="K1389" s="6">
        <v>2</v>
      </c>
      <c r="L1389" s="10">
        <f t="shared" si="38"/>
        <v>0.44</v>
      </c>
      <c r="M1389" s="6" t="s">
        <v>43</v>
      </c>
      <c r="N1389" s="6" t="s">
        <v>179</v>
      </c>
      <c r="O1389" s="6"/>
      <c r="P1389" s="17" t="s">
        <v>54</v>
      </c>
      <c r="Q1389" s="17" t="s">
        <v>54</v>
      </c>
      <c r="R1389" s="17" t="s">
        <v>54</v>
      </c>
    </row>
    <row r="1390" spans="1:18" ht="30" customHeight="1" x14ac:dyDescent="0.3">
      <c r="A1390" s="7">
        <v>45681</v>
      </c>
      <c r="B1390" s="6" t="s">
        <v>5</v>
      </c>
      <c r="C1390" s="6"/>
      <c r="D1390" s="6" t="str">
        <f>VLOOKUP(B1390,'Veri doğrulama'!$D$6:$E$13,2,0)</f>
        <v>MEHMET ÖZEN</v>
      </c>
      <c r="E1390" s="6"/>
      <c r="F1390" s="6" t="s">
        <v>297</v>
      </c>
      <c r="G1390" s="6" t="s">
        <v>16</v>
      </c>
      <c r="H1390" s="6" t="s">
        <v>34</v>
      </c>
      <c r="I1390" s="6">
        <v>1400</v>
      </c>
      <c r="J1390" s="6">
        <v>1200</v>
      </c>
      <c r="K1390" s="6">
        <v>1</v>
      </c>
      <c r="L1390" s="10">
        <f t="shared" si="38"/>
        <v>1.44</v>
      </c>
      <c r="M1390" s="6" t="s">
        <v>75</v>
      </c>
      <c r="N1390" s="6" t="s">
        <v>195</v>
      </c>
      <c r="O1390" s="6"/>
      <c r="P1390" s="17" t="s">
        <v>54</v>
      </c>
      <c r="Q1390" s="17" t="s">
        <v>54</v>
      </c>
      <c r="R1390" s="17"/>
    </row>
    <row r="1391" spans="1:18" ht="30" customHeight="1" x14ac:dyDescent="0.3">
      <c r="A1391" s="7">
        <v>45680</v>
      </c>
      <c r="B1391" s="6" t="s">
        <v>5</v>
      </c>
      <c r="C1391" s="6"/>
      <c r="D1391" s="6" t="str">
        <f>VLOOKUP(B1391,'Veri doğrulama'!$D$6:$E$13,2,0)</f>
        <v>MEHMET ÖZEN</v>
      </c>
      <c r="E1391" s="6" t="s">
        <v>296</v>
      </c>
      <c r="F1391" s="6" t="s">
        <v>288</v>
      </c>
      <c r="G1391" s="6" t="s">
        <v>16</v>
      </c>
      <c r="H1391" s="6" t="s">
        <v>34</v>
      </c>
      <c r="I1391" s="6">
        <v>1420</v>
      </c>
      <c r="J1391" s="6">
        <v>1420</v>
      </c>
      <c r="K1391" s="6">
        <v>1</v>
      </c>
      <c r="L1391" s="10">
        <f t="shared" si="38"/>
        <v>3.36</v>
      </c>
      <c r="M1391" s="6" t="s">
        <v>75</v>
      </c>
      <c r="N1391" s="6" t="s">
        <v>183</v>
      </c>
      <c r="O1391" s="6"/>
      <c r="P1391" s="17" t="s">
        <v>54</v>
      </c>
      <c r="Q1391" s="17" t="s">
        <v>54</v>
      </c>
      <c r="R1391" s="17" t="s">
        <v>54</v>
      </c>
    </row>
    <row r="1392" spans="1:18" ht="30" customHeight="1" x14ac:dyDescent="0.3">
      <c r="A1392" s="7">
        <v>45680</v>
      </c>
      <c r="B1392" s="6" t="s">
        <v>4</v>
      </c>
      <c r="C1392" s="6"/>
      <c r="D1392" s="6" t="str">
        <f>VLOOKUP(B1392,'Veri doğrulama'!$D$6:$E$13,2,0)</f>
        <v>MEHMET YAZICI</v>
      </c>
      <c r="E1392" s="6"/>
      <c r="F1392" s="6" t="s">
        <v>80</v>
      </c>
      <c r="G1392" s="6" t="s">
        <v>16</v>
      </c>
      <c r="H1392" s="6" t="s">
        <v>34</v>
      </c>
      <c r="I1392" s="6">
        <v>1400</v>
      </c>
      <c r="J1392" s="6">
        <v>1200</v>
      </c>
      <c r="K1392" s="6">
        <v>2</v>
      </c>
      <c r="L1392" s="10">
        <f t="shared" si="38"/>
        <v>2.0164</v>
      </c>
      <c r="M1392" s="6" t="s">
        <v>103</v>
      </c>
      <c r="N1392" s="6" t="s">
        <v>185</v>
      </c>
      <c r="O1392" s="6"/>
      <c r="P1392" s="17" t="s">
        <v>54</v>
      </c>
      <c r="Q1392" s="17" t="s">
        <v>54</v>
      </c>
      <c r="R1392" s="17" t="s">
        <v>54</v>
      </c>
    </row>
    <row r="1393" spans="1:18" ht="30" customHeight="1" x14ac:dyDescent="0.3">
      <c r="A1393" s="7">
        <v>45680</v>
      </c>
      <c r="B1393" s="6" t="s">
        <v>4</v>
      </c>
      <c r="C1393" s="6"/>
      <c r="D1393" s="6" t="str">
        <f>VLOOKUP(B1393,'Veri doğrulama'!$D$6:$E$13,2,0)</f>
        <v>MEHMET YAZICI</v>
      </c>
      <c r="E1393" s="6" t="s">
        <v>289</v>
      </c>
      <c r="F1393" s="6" t="s">
        <v>80</v>
      </c>
      <c r="G1393" s="6" t="s">
        <v>16</v>
      </c>
      <c r="H1393" s="6" t="s">
        <v>34</v>
      </c>
      <c r="I1393" s="6">
        <v>1400</v>
      </c>
      <c r="J1393" s="6">
        <v>1200</v>
      </c>
      <c r="K1393" s="6">
        <v>1</v>
      </c>
      <c r="L1393" s="10">
        <f t="shared" si="38"/>
        <v>1.68</v>
      </c>
      <c r="M1393" s="6" t="s">
        <v>103</v>
      </c>
      <c r="N1393" s="6" t="s">
        <v>185</v>
      </c>
      <c r="O1393" s="6"/>
      <c r="P1393" s="17" t="s">
        <v>54</v>
      </c>
      <c r="Q1393" s="17" t="s">
        <v>54</v>
      </c>
      <c r="R1393" s="17"/>
    </row>
    <row r="1394" spans="1:18" ht="30" customHeight="1" x14ac:dyDescent="0.3">
      <c r="A1394" s="7">
        <v>45680</v>
      </c>
      <c r="B1394" s="6" t="s">
        <v>4</v>
      </c>
      <c r="C1394" s="6"/>
      <c r="D1394" s="6" t="str">
        <f>VLOOKUP(B1394,'Veri doğrulama'!$D$6:$E$13,2,0)</f>
        <v>MEHMET YAZICI</v>
      </c>
      <c r="E1394" s="6" t="s">
        <v>286</v>
      </c>
      <c r="F1394" s="6" t="s">
        <v>74</v>
      </c>
      <c r="G1394" s="6" t="s">
        <v>18</v>
      </c>
      <c r="H1394" s="6" t="s">
        <v>34</v>
      </c>
      <c r="I1394" s="6">
        <v>2370</v>
      </c>
      <c r="J1394" s="6">
        <v>400</v>
      </c>
      <c r="K1394" s="6">
        <v>1</v>
      </c>
      <c r="L1394" s="10">
        <f t="shared" si="38"/>
        <v>3.36</v>
      </c>
      <c r="M1394" s="6" t="s">
        <v>39</v>
      </c>
      <c r="N1394" s="6" t="s">
        <v>179</v>
      </c>
      <c r="O1394" s="6"/>
      <c r="P1394" s="17" t="s">
        <v>54</v>
      </c>
      <c r="Q1394" s="17" t="s">
        <v>54</v>
      </c>
      <c r="R1394" s="17"/>
    </row>
    <row r="1395" spans="1:18" ht="30" customHeight="1" x14ac:dyDescent="0.3">
      <c r="A1395" s="7">
        <v>45680</v>
      </c>
      <c r="B1395" s="6" t="s">
        <v>5</v>
      </c>
      <c r="C1395" s="6"/>
      <c r="D1395" s="6" t="str">
        <f>VLOOKUP(B1395,'Veri doğrulama'!$D$6:$E$13,2,0)</f>
        <v>MEHMET ÖZEN</v>
      </c>
      <c r="E1395" s="6"/>
      <c r="F1395" s="6" t="s">
        <v>326</v>
      </c>
      <c r="G1395" s="6" t="s">
        <v>15</v>
      </c>
      <c r="H1395" s="6" t="s">
        <v>35</v>
      </c>
      <c r="I1395" s="6">
        <v>1763</v>
      </c>
      <c r="J1395" s="6">
        <v>720</v>
      </c>
      <c r="K1395" s="6">
        <v>2</v>
      </c>
      <c r="L1395" s="10">
        <f t="shared" si="38"/>
        <v>0.94799999999999995</v>
      </c>
      <c r="M1395" s="6" t="s">
        <v>102</v>
      </c>
      <c r="N1395" s="6" t="s">
        <v>53</v>
      </c>
      <c r="O1395" s="6"/>
      <c r="P1395" s="17" t="s">
        <v>54</v>
      </c>
      <c r="Q1395" s="17" t="s">
        <v>54</v>
      </c>
      <c r="R1395" s="17" t="s">
        <v>54</v>
      </c>
    </row>
    <row r="1396" spans="1:18" ht="30" customHeight="1" x14ac:dyDescent="0.3">
      <c r="A1396" s="7">
        <v>45680</v>
      </c>
      <c r="B1396" s="6" t="s">
        <v>4</v>
      </c>
      <c r="C1396" s="6"/>
      <c r="D1396" s="6" t="str">
        <f>VLOOKUP(B1396,'Veri doğrulama'!$D$6:$E$13,2,0)</f>
        <v>MEHMET YAZICI</v>
      </c>
      <c r="E1396" s="6" t="s">
        <v>291</v>
      </c>
      <c r="F1396" s="6" t="s">
        <v>301</v>
      </c>
      <c r="G1396" s="6" t="s">
        <v>24</v>
      </c>
      <c r="H1396" s="6" t="s">
        <v>34</v>
      </c>
      <c r="I1396" s="6">
        <v>1020</v>
      </c>
      <c r="J1396" s="6">
        <v>805</v>
      </c>
      <c r="K1396" s="6">
        <v>1</v>
      </c>
      <c r="L1396" s="10">
        <f t="shared" si="38"/>
        <v>1.26936</v>
      </c>
      <c r="M1396" s="6" t="s">
        <v>102</v>
      </c>
      <c r="N1396" s="6" t="s">
        <v>159</v>
      </c>
      <c r="O1396" s="6"/>
      <c r="P1396" s="17" t="s">
        <v>54</v>
      </c>
      <c r="Q1396" s="17" t="s">
        <v>54</v>
      </c>
      <c r="R1396" s="17"/>
    </row>
    <row r="1397" spans="1:18" ht="30" customHeight="1" x14ac:dyDescent="0.3">
      <c r="A1397" s="7">
        <v>45680</v>
      </c>
      <c r="B1397" s="6" t="s">
        <v>5</v>
      </c>
      <c r="C1397" s="6"/>
      <c r="D1397" s="6" t="str">
        <f>VLOOKUP(B1397,'Veri doğrulama'!$D$6:$E$13,2,0)</f>
        <v>MEHMET ÖZEN</v>
      </c>
      <c r="E1397" s="6" t="s">
        <v>328</v>
      </c>
      <c r="F1397" s="6" t="s">
        <v>283</v>
      </c>
      <c r="G1397" s="6" t="s">
        <v>15</v>
      </c>
      <c r="H1397" s="6" t="s">
        <v>34</v>
      </c>
      <c r="I1397" s="6">
        <v>487</v>
      </c>
      <c r="J1397" s="6">
        <v>504</v>
      </c>
      <c r="K1397" s="6">
        <v>1</v>
      </c>
      <c r="L1397" s="10">
        <f t="shared" si="38"/>
        <v>0.82110000000000005</v>
      </c>
      <c r="M1397" s="6" t="s">
        <v>43</v>
      </c>
      <c r="N1397" s="6" t="s">
        <v>195</v>
      </c>
      <c r="O1397" s="6"/>
      <c r="P1397" s="17" t="s">
        <v>54</v>
      </c>
      <c r="Q1397" s="17" t="s">
        <v>54</v>
      </c>
      <c r="R1397" s="17"/>
    </row>
    <row r="1398" spans="1:18" ht="30" customHeight="1" x14ac:dyDescent="0.3">
      <c r="A1398" s="7">
        <v>45680</v>
      </c>
      <c r="B1398" s="6" t="s">
        <v>4</v>
      </c>
      <c r="C1398" s="6"/>
      <c r="D1398" s="6" t="str">
        <f>VLOOKUP(B1398,'Veri doğrulama'!$D$6:$E$13,2,0)</f>
        <v>MEHMET YAZICI</v>
      </c>
      <c r="E1398" s="6"/>
      <c r="F1398" s="6" t="s">
        <v>331</v>
      </c>
      <c r="G1398" s="6" t="s">
        <v>26</v>
      </c>
      <c r="H1398" s="6" t="s">
        <v>34</v>
      </c>
      <c r="I1398" s="6">
        <v>2200</v>
      </c>
      <c r="J1398" s="6">
        <v>445</v>
      </c>
      <c r="K1398" s="6">
        <v>1</v>
      </c>
      <c r="L1398" s="10">
        <f t="shared" si="38"/>
        <v>0.981792</v>
      </c>
      <c r="M1398" s="6" t="s">
        <v>39</v>
      </c>
      <c r="N1398" s="6" t="s">
        <v>179</v>
      </c>
      <c r="O1398" s="6"/>
      <c r="P1398" s="17" t="s">
        <v>54</v>
      </c>
      <c r="Q1398" s="17" t="s">
        <v>54</v>
      </c>
      <c r="R1398" s="17"/>
    </row>
    <row r="1399" spans="1:18" ht="30" customHeight="1" x14ac:dyDescent="0.3">
      <c r="A1399" s="7">
        <v>45679</v>
      </c>
      <c r="B1399" s="6" t="s">
        <v>4</v>
      </c>
      <c r="C1399" s="6"/>
      <c r="D1399" s="6" t="str">
        <f>VLOOKUP(B1399,'Veri doğrulama'!$D$6:$E$13,2,0)</f>
        <v>MEHMET YAZICI</v>
      </c>
      <c r="E1399" s="6"/>
      <c r="F1399" s="6" t="s">
        <v>312</v>
      </c>
      <c r="G1399" s="6" t="s">
        <v>17</v>
      </c>
      <c r="H1399" s="6" t="s">
        <v>35</v>
      </c>
      <c r="I1399" s="6">
        <v>447</v>
      </c>
      <c r="J1399" s="6">
        <v>470</v>
      </c>
      <c r="K1399" s="6">
        <v>4</v>
      </c>
      <c r="L1399" s="10">
        <f t="shared" si="38"/>
        <v>0.97899999999999998</v>
      </c>
      <c r="M1399" s="6" t="s">
        <v>42</v>
      </c>
      <c r="N1399" s="6" t="s">
        <v>179</v>
      </c>
      <c r="O1399" s="6"/>
      <c r="P1399" s="17" t="s">
        <v>54</v>
      </c>
      <c r="Q1399" s="17" t="s">
        <v>54</v>
      </c>
      <c r="R1399" s="17"/>
    </row>
    <row r="1400" spans="1:18" ht="30" customHeight="1" x14ac:dyDescent="0.3">
      <c r="A1400" s="7">
        <v>45679</v>
      </c>
      <c r="B1400" s="6" t="s">
        <v>4</v>
      </c>
      <c r="C1400" s="6"/>
      <c r="D1400" s="6" t="str">
        <f>VLOOKUP(B1400,'Veri doğrulama'!$D$6:$E$13,2,0)</f>
        <v>MEHMET YAZICI</v>
      </c>
      <c r="E1400" s="6"/>
      <c r="F1400" s="6" t="s">
        <v>292</v>
      </c>
      <c r="G1400" s="6" t="s">
        <v>14</v>
      </c>
      <c r="H1400" s="6" t="s">
        <v>34</v>
      </c>
      <c r="I1400" s="6">
        <v>435</v>
      </c>
      <c r="J1400" s="6">
        <v>260</v>
      </c>
      <c r="K1400" s="6">
        <v>1</v>
      </c>
      <c r="L1400" s="10">
        <f t="shared" si="38"/>
        <v>0.21009</v>
      </c>
      <c r="M1400" s="6" t="s">
        <v>43</v>
      </c>
      <c r="N1400" s="6" t="s">
        <v>179</v>
      </c>
      <c r="O1400" s="6"/>
      <c r="P1400" s="17" t="s">
        <v>54</v>
      </c>
      <c r="Q1400" s="17" t="s">
        <v>54</v>
      </c>
      <c r="R1400" s="17" t="s">
        <v>54</v>
      </c>
    </row>
    <row r="1401" spans="1:18" ht="30" customHeight="1" x14ac:dyDescent="0.3">
      <c r="A1401" s="7">
        <v>45679</v>
      </c>
      <c r="B1401" s="6" t="s">
        <v>7</v>
      </c>
      <c r="C1401" s="6"/>
      <c r="D1401" s="6" t="str">
        <f>VLOOKUP(B1401,'Veri doğrulama'!$D$6:$E$13,2,0)</f>
        <v>SIDDIK KAPLAN</v>
      </c>
      <c r="E1401" s="6" t="s">
        <v>315</v>
      </c>
      <c r="F1401" s="6" t="s">
        <v>811</v>
      </c>
      <c r="G1401" s="6" t="s">
        <v>146</v>
      </c>
      <c r="H1401" s="6" t="s">
        <v>34</v>
      </c>
      <c r="I1401" s="6">
        <v>1210</v>
      </c>
      <c r="J1401" s="6">
        <v>810</v>
      </c>
      <c r="K1401" s="6">
        <v>1</v>
      </c>
      <c r="L1401" s="10">
        <f t="shared" ref="L1401:L1435" si="39">J1400*I1400/1000000*K1402</f>
        <v>0.11310000000000001</v>
      </c>
      <c r="M1401" s="6" t="s">
        <v>102</v>
      </c>
      <c r="N1401" s="6" t="s">
        <v>209</v>
      </c>
      <c r="O1401" s="6"/>
      <c r="P1401" s="17" t="s">
        <v>54</v>
      </c>
      <c r="Q1401" s="17" t="s">
        <v>54</v>
      </c>
      <c r="R1401" s="17" t="s">
        <v>54</v>
      </c>
    </row>
    <row r="1402" spans="1:18" ht="30" customHeight="1" x14ac:dyDescent="0.3">
      <c r="A1402" s="7">
        <v>45678</v>
      </c>
      <c r="B1402" s="6" t="s">
        <v>4</v>
      </c>
      <c r="C1402" s="6"/>
      <c r="D1402" s="6" t="str">
        <f>VLOOKUP(B1402,'Veri doğrulama'!$D$6:$E$13,2,0)</f>
        <v>MEHMET YAZICI</v>
      </c>
      <c r="E1402" s="6" t="s">
        <v>294</v>
      </c>
      <c r="F1402" s="6" t="s">
        <v>290</v>
      </c>
      <c r="G1402" s="6" t="s">
        <v>28</v>
      </c>
      <c r="H1402" s="6" t="s">
        <v>34</v>
      </c>
      <c r="I1402" s="6">
        <v>705</v>
      </c>
      <c r="J1402" s="6">
        <v>324</v>
      </c>
      <c r="K1402" s="6">
        <v>1</v>
      </c>
      <c r="L1402" s="10">
        <f t="shared" si="39"/>
        <v>0.98009999999999997</v>
      </c>
      <c r="M1402" s="6" t="s">
        <v>75</v>
      </c>
      <c r="N1402" s="6" t="s">
        <v>159</v>
      </c>
      <c r="O1402" s="6"/>
      <c r="P1402" s="17" t="s">
        <v>54</v>
      </c>
      <c r="Q1402" s="17" t="s">
        <v>54</v>
      </c>
      <c r="R1402" s="17"/>
    </row>
    <row r="1403" spans="1:18" ht="30" customHeight="1" x14ac:dyDescent="0.3">
      <c r="A1403" s="7">
        <v>45678</v>
      </c>
      <c r="B1403" s="6" t="s">
        <v>5</v>
      </c>
      <c r="C1403" s="6"/>
      <c r="D1403" s="6" t="str">
        <f>VLOOKUP(B1403,'Veri doğrulama'!$D$6:$E$13,2,0)</f>
        <v>MEHMET ÖZEN</v>
      </c>
      <c r="E1403" s="6"/>
      <c r="F1403" s="6" t="s">
        <v>280</v>
      </c>
      <c r="G1403" s="6" t="s">
        <v>15</v>
      </c>
      <c r="H1403" s="6" t="s">
        <v>34</v>
      </c>
      <c r="I1403" s="6">
        <v>2410</v>
      </c>
      <c r="J1403" s="6">
        <v>1210</v>
      </c>
      <c r="K1403" s="6">
        <v>1</v>
      </c>
      <c r="L1403" s="10">
        <f t="shared" si="39"/>
        <v>0.22842000000000001</v>
      </c>
      <c r="M1403" s="6" t="s">
        <v>43</v>
      </c>
      <c r="N1403" s="6" t="s">
        <v>310</v>
      </c>
      <c r="O1403" s="6"/>
      <c r="P1403" s="17" t="s">
        <v>54</v>
      </c>
      <c r="Q1403" s="17" t="s">
        <v>54</v>
      </c>
      <c r="R1403" s="17"/>
    </row>
    <row r="1404" spans="1:18" ht="30" customHeight="1" x14ac:dyDescent="0.3">
      <c r="A1404" s="7">
        <v>45678</v>
      </c>
      <c r="B1404" s="6" t="s">
        <v>5</v>
      </c>
      <c r="C1404" s="6"/>
      <c r="D1404" s="6" t="str">
        <f>VLOOKUP(B1404,'Veri doğrulama'!$D$6:$E$13,2,0)</f>
        <v>MEHMET ÖZEN</v>
      </c>
      <c r="E1404" s="6"/>
      <c r="F1404" s="6" t="s">
        <v>282</v>
      </c>
      <c r="G1404" s="6" t="s">
        <v>26</v>
      </c>
      <c r="H1404" s="6" t="s">
        <v>34</v>
      </c>
      <c r="I1404" s="6">
        <v>2240</v>
      </c>
      <c r="J1404" s="6">
        <v>350</v>
      </c>
      <c r="K1404" s="6">
        <v>1</v>
      </c>
      <c r="L1404" s="10">
        <f t="shared" si="39"/>
        <v>2.9161000000000001</v>
      </c>
      <c r="M1404" s="6" t="s">
        <v>75</v>
      </c>
      <c r="N1404" s="6" t="s">
        <v>159</v>
      </c>
      <c r="O1404" s="6"/>
      <c r="P1404" s="17" t="s">
        <v>54</v>
      </c>
      <c r="Q1404" s="17" t="s">
        <v>54</v>
      </c>
      <c r="R1404" s="17" t="s">
        <v>54</v>
      </c>
    </row>
    <row r="1405" spans="1:18" ht="30" customHeight="1" x14ac:dyDescent="0.3">
      <c r="A1405" s="7">
        <v>45678</v>
      </c>
      <c r="B1405" s="6" t="s">
        <v>7</v>
      </c>
      <c r="C1405" s="6"/>
      <c r="D1405" s="6" t="str">
        <f>VLOOKUP(B1405,'Veri doğrulama'!$D$6:$E$13,2,0)</f>
        <v>SIDDIK KAPLAN</v>
      </c>
      <c r="E1405" s="6" t="s">
        <v>278</v>
      </c>
      <c r="F1405" s="6" t="s">
        <v>791</v>
      </c>
      <c r="G1405" s="6"/>
      <c r="H1405" s="6" t="s">
        <v>34</v>
      </c>
      <c r="I1405" s="6">
        <v>950</v>
      </c>
      <c r="J1405" s="6">
        <v>750</v>
      </c>
      <c r="K1405" s="6">
        <v>1</v>
      </c>
      <c r="L1405" s="10">
        <f t="shared" si="39"/>
        <v>0.78400000000000003</v>
      </c>
      <c r="M1405" s="6" t="s">
        <v>42</v>
      </c>
      <c r="N1405" s="6"/>
      <c r="O1405" s="6"/>
      <c r="P1405" s="17" t="s">
        <v>54</v>
      </c>
      <c r="Q1405" s="17" t="s">
        <v>54</v>
      </c>
      <c r="R1405" s="17"/>
    </row>
    <row r="1406" spans="1:18" ht="30" customHeight="1" x14ac:dyDescent="0.3">
      <c r="A1406" s="7">
        <v>45678</v>
      </c>
      <c r="B1406" s="6" t="s">
        <v>5</v>
      </c>
      <c r="C1406" s="6"/>
      <c r="D1406" s="6" t="str">
        <f>VLOOKUP(B1406,'Veri doğrulama'!$D$6:$E$13,2,0)</f>
        <v>MEHMET ÖZEN</v>
      </c>
      <c r="E1406" s="6"/>
      <c r="F1406" s="6" t="s">
        <v>130</v>
      </c>
      <c r="G1406" s="6" t="s">
        <v>19</v>
      </c>
      <c r="H1406" s="6" t="s">
        <v>34</v>
      </c>
      <c r="I1406" s="6">
        <v>2200</v>
      </c>
      <c r="J1406" s="6">
        <v>410</v>
      </c>
      <c r="K1406" s="6">
        <v>1</v>
      </c>
      <c r="L1406" s="10">
        <f t="shared" si="39"/>
        <v>0.71250000000000002</v>
      </c>
      <c r="M1406" s="6" t="s">
        <v>39</v>
      </c>
      <c r="N1406" s="6" t="s">
        <v>285</v>
      </c>
      <c r="O1406" s="6"/>
      <c r="P1406" s="17" t="s">
        <v>54</v>
      </c>
      <c r="Q1406" s="17" t="s">
        <v>54</v>
      </c>
      <c r="R1406" s="17" t="s">
        <v>54</v>
      </c>
    </row>
    <row r="1407" spans="1:18" ht="30" customHeight="1" x14ac:dyDescent="0.3">
      <c r="A1407" s="7">
        <v>45678</v>
      </c>
      <c r="B1407" s="6" t="s">
        <v>4</v>
      </c>
      <c r="C1407" s="6"/>
      <c r="D1407" s="6" t="str">
        <f>VLOOKUP(B1407,'Veri doğrulama'!$D$6:$E$13,2,0)</f>
        <v>MEHMET YAZICI</v>
      </c>
      <c r="E1407" s="6"/>
      <c r="F1407" s="6" t="s">
        <v>273</v>
      </c>
      <c r="G1407" s="6" t="s">
        <v>14</v>
      </c>
      <c r="H1407" s="6" t="s">
        <v>34</v>
      </c>
      <c r="I1407" s="6">
        <v>555</v>
      </c>
      <c r="J1407" s="6">
        <v>448</v>
      </c>
      <c r="K1407" s="6">
        <v>1</v>
      </c>
      <c r="L1407" s="10">
        <f t="shared" si="39"/>
        <v>0.90200000000000002</v>
      </c>
      <c r="M1407" s="6" t="s">
        <v>43</v>
      </c>
      <c r="N1407" s="6" t="s">
        <v>185</v>
      </c>
      <c r="O1407" s="6"/>
      <c r="P1407" s="17" t="s">
        <v>54</v>
      </c>
      <c r="Q1407" s="17" t="s">
        <v>54</v>
      </c>
      <c r="R1407" s="17"/>
    </row>
    <row r="1408" spans="1:18" ht="30" customHeight="1" x14ac:dyDescent="0.3">
      <c r="A1408" s="7">
        <v>45677</v>
      </c>
      <c r="B1408" s="6" t="s">
        <v>5</v>
      </c>
      <c r="C1408" s="6"/>
      <c r="D1408" s="6" t="str">
        <f>VLOOKUP(B1408,'Veri doğrulama'!$D$6:$E$13,2,0)</f>
        <v>MEHMET ÖZEN</v>
      </c>
      <c r="E1408" s="6"/>
      <c r="F1408" s="6" t="s">
        <v>284</v>
      </c>
      <c r="G1408" s="6" t="s">
        <v>16</v>
      </c>
      <c r="H1408" s="6" t="s">
        <v>34</v>
      </c>
      <c r="I1408" s="6">
        <v>1420</v>
      </c>
      <c r="J1408" s="6">
        <v>1420</v>
      </c>
      <c r="K1408" s="6">
        <v>1</v>
      </c>
      <c r="L1408" s="10">
        <f t="shared" si="39"/>
        <v>0.24864</v>
      </c>
      <c r="M1408" s="6" t="s">
        <v>43</v>
      </c>
      <c r="N1408" s="6" t="s">
        <v>183</v>
      </c>
      <c r="O1408" s="6"/>
      <c r="P1408" s="17" t="s">
        <v>54</v>
      </c>
      <c r="Q1408" s="17" t="s">
        <v>54</v>
      </c>
      <c r="R1408" s="17" t="s">
        <v>54</v>
      </c>
    </row>
    <row r="1409" spans="1:18" ht="30" customHeight="1" x14ac:dyDescent="0.3">
      <c r="A1409" s="7">
        <v>45677</v>
      </c>
      <c r="B1409" s="6" t="s">
        <v>4</v>
      </c>
      <c r="C1409" s="6"/>
      <c r="D1409" s="6" t="str">
        <f>VLOOKUP(B1409,'Veri doğrulama'!$D$6:$E$13,2,0)</f>
        <v>MEHMET YAZICI</v>
      </c>
      <c r="E1409" s="6"/>
      <c r="F1409" s="6" t="s">
        <v>270</v>
      </c>
      <c r="G1409" s="6" t="s">
        <v>16</v>
      </c>
      <c r="H1409" s="6" t="s">
        <v>34</v>
      </c>
      <c r="I1409" s="6">
        <v>840</v>
      </c>
      <c r="J1409" s="6">
        <v>1990</v>
      </c>
      <c r="K1409" s="6">
        <v>1</v>
      </c>
      <c r="L1409" s="10">
        <f t="shared" si="39"/>
        <v>2.0164</v>
      </c>
      <c r="M1409" s="6" t="s">
        <v>102</v>
      </c>
      <c r="N1409" s="6" t="s">
        <v>179</v>
      </c>
      <c r="O1409" s="6"/>
      <c r="P1409" s="17" t="s">
        <v>54</v>
      </c>
      <c r="Q1409" s="17" t="s">
        <v>54</v>
      </c>
      <c r="R1409" s="17" t="s">
        <v>54</v>
      </c>
    </row>
    <row r="1410" spans="1:18" ht="30" customHeight="1" x14ac:dyDescent="0.3">
      <c r="A1410" s="7">
        <v>45677</v>
      </c>
      <c r="B1410" s="6" t="s">
        <v>4</v>
      </c>
      <c r="C1410" s="6"/>
      <c r="D1410" s="6" t="str">
        <f>VLOOKUP(B1410,'Veri doğrulama'!$D$6:$E$13,2,0)</f>
        <v>MEHMET YAZICI</v>
      </c>
      <c r="E1410" s="6"/>
      <c r="F1410" s="6" t="s">
        <v>80</v>
      </c>
      <c r="G1410" s="6" t="s">
        <v>18</v>
      </c>
      <c r="H1410" s="6" t="s">
        <v>34</v>
      </c>
      <c r="I1410" s="6">
        <v>1400</v>
      </c>
      <c r="J1410" s="6">
        <v>1200</v>
      </c>
      <c r="K1410" s="6">
        <v>1</v>
      </c>
      <c r="L1410" s="10">
        <f t="shared" si="39"/>
        <v>3.3431999999999999</v>
      </c>
      <c r="M1410" s="6" t="s">
        <v>75</v>
      </c>
      <c r="N1410" s="6" t="s">
        <v>185</v>
      </c>
      <c r="O1410" s="6"/>
      <c r="P1410" s="17" t="s">
        <v>54</v>
      </c>
      <c r="Q1410" s="17" t="s">
        <v>54</v>
      </c>
      <c r="R1410" s="17" t="s">
        <v>54</v>
      </c>
    </row>
    <row r="1411" spans="1:18" ht="30" customHeight="1" x14ac:dyDescent="0.3">
      <c r="A1411" s="7">
        <v>45677</v>
      </c>
      <c r="B1411" s="6" t="s">
        <v>5</v>
      </c>
      <c r="C1411" s="6"/>
      <c r="D1411" s="6" t="str">
        <f>VLOOKUP(B1411,'Veri doğrulama'!$D$6:$E$13,2,0)</f>
        <v>MEHMET ÖZEN</v>
      </c>
      <c r="E1411" s="6"/>
      <c r="F1411" s="6" t="s">
        <v>304</v>
      </c>
      <c r="G1411" s="6" t="s">
        <v>13</v>
      </c>
      <c r="H1411" s="6" t="s">
        <v>34</v>
      </c>
      <c r="I1411" s="6">
        <v>680</v>
      </c>
      <c r="J1411" s="6">
        <v>450</v>
      </c>
      <c r="K1411" s="6">
        <v>2</v>
      </c>
      <c r="L1411" s="10">
        <f t="shared" si="39"/>
        <v>1.68</v>
      </c>
      <c r="M1411" s="6" t="s">
        <v>102</v>
      </c>
      <c r="N1411" s="6" t="s">
        <v>195</v>
      </c>
      <c r="O1411" s="6"/>
      <c r="P1411" s="17" t="s">
        <v>54</v>
      </c>
      <c r="Q1411" s="17" t="s">
        <v>54</v>
      </c>
      <c r="R1411" s="17"/>
    </row>
    <row r="1412" spans="1:18" ht="30" customHeight="1" x14ac:dyDescent="0.3">
      <c r="A1412" s="7">
        <v>45677</v>
      </c>
      <c r="B1412" s="6" t="s">
        <v>4</v>
      </c>
      <c r="C1412" s="6"/>
      <c r="D1412" s="6" t="str">
        <f>VLOOKUP(B1412,'Veri doğrulama'!$D$6:$E$13,2,0)</f>
        <v>MEHMET YAZICI</v>
      </c>
      <c r="E1412" s="6" t="s">
        <v>287</v>
      </c>
      <c r="F1412" s="6" t="s">
        <v>264</v>
      </c>
      <c r="G1412" s="6" t="s">
        <v>13</v>
      </c>
      <c r="H1412" s="6" t="s">
        <v>34</v>
      </c>
      <c r="I1412" s="6">
        <v>2200</v>
      </c>
      <c r="J1412" s="6">
        <v>445</v>
      </c>
      <c r="K1412" s="6">
        <v>1</v>
      </c>
      <c r="L1412" s="10">
        <f t="shared" si="39"/>
        <v>0.61199999999999999</v>
      </c>
      <c r="M1412" s="6" t="s">
        <v>102</v>
      </c>
      <c r="N1412" s="6" t="s">
        <v>179</v>
      </c>
      <c r="O1412" s="6"/>
      <c r="P1412" s="17" t="s">
        <v>54</v>
      </c>
      <c r="Q1412" s="17" t="s">
        <v>54</v>
      </c>
      <c r="R1412" s="17" t="s">
        <v>54</v>
      </c>
    </row>
    <row r="1413" spans="1:18" ht="30" customHeight="1" x14ac:dyDescent="0.3">
      <c r="A1413" s="7">
        <v>45677</v>
      </c>
      <c r="B1413" s="6" t="s">
        <v>5</v>
      </c>
      <c r="C1413" s="6"/>
      <c r="D1413" s="6" t="str">
        <f>VLOOKUP(B1413,'Veri doğrulama'!$D$6:$E$13,2,0)</f>
        <v>MEHMET ÖZEN</v>
      </c>
      <c r="E1413" s="6"/>
      <c r="F1413" s="6" t="s">
        <v>279</v>
      </c>
      <c r="G1413" s="6" t="s">
        <v>26</v>
      </c>
      <c r="H1413" s="6" t="s">
        <v>35</v>
      </c>
      <c r="I1413" s="6">
        <v>665</v>
      </c>
      <c r="J1413" s="6">
        <v>350</v>
      </c>
      <c r="K1413" s="6">
        <v>2</v>
      </c>
      <c r="L1413" s="10">
        <f t="shared" si="39"/>
        <v>0.97899999999999998</v>
      </c>
      <c r="M1413" s="6" t="s">
        <v>38</v>
      </c>
      <c r="N1413" s="6" t="s">
        <v>195</v>
      </c>
      <c r="O1413" s="6"/>
      <c r="P1413" s="17" t="s">
        <v>54</v>
      </c>
      <c r="Q1413" s="17" t="s">
        <v>54</v>
      </c>
      <c r="R1413" s="17"/>
    </row>
    <row r="1414" spans="1:18" ht="30" customHeight="1" x14ac:dyDescent="0.3">
      <c r="A1414" s="7">
        <v>45677</v>
      </c>
      <c r="B1414" s="6" t="s">
        <v>4</v>
      </c>
      <c r="C1414" s="6"/>
      <c r="D1414" s="6" t="str">
        <f>VLOOKUP(B1414,'Veri doğrulama'!$D$6:$E$13,2,0)</f>
        <v>MEHMET YAZICI</v>
      </c>
      <c r="E1414" s="6"/>
      <c r="F1414" s="6" t="s">
        <v>271</v>
      </c>
      <c r="G1414" s="6" t="s">
        <v>26</v>
      </c>
      <c r="H1414" s="6" t="s">
        <v>34</v>
      </c>
      <c r="I1414" s="6">
        <v>900</v>
      </c>
      <c r="J1414" s="6">
        <v>600</v>
      </c>
      <c r="K1414" s="6">
        <v>1</v>
      </c>
      <c r="L1414" s="10">
        <f t="shared" si="39"/>
        <v>0.23275000000000001</v>
      </c>
      <c r="M1414" s="6" t="s">
        <v>156</v>
      </c>
      <c r="N1414" s="6" t="s">
        <v>159</v>
      </c>
      <c r="O1414" s="6"/>
      <c r="P1414" s="17" t="s">
        <v>54</v>
      </c>
      <c r="Q1414" s="17" t="s">
        <v>54</v>
      </c>
      <c r="R1414" s="17"/>
    </row>
    <row r="1415" spans="1:18" ht="30" customHeight="1" x14ac:dyDescent="0.3">
      <c r="A1415" s="7">
        <v>45677</v>
      </c>
      <c r="B1415" s="6" t="s">
        <v>5</v>
      </c>
      <c r="C1415" s="6"/>
      <c r="D1415" s="6" t="str">
        <f>VLOOKUP(B1415,'Veri doğrulama'!$D$6:$E$13,2,0)</f>
        <v>MEHMET ÖZEN</v>
      </c>
      <c r="E1415" s="6"/>
      <c r="F1415" s="6" t="s">
        <v>281</v>
      </c>
      <c r="G1415" s="6" t="s">
        <v>17</v>
      </c>
      <c r="H1415" s="6" t="s">
        <v>34</v>
      </c>
      <c r="I1415" s="6">
        <v>1500</v>
      </c>
      <c r="J1415" s="6">
        <v>500</v>
      </c>
      <c r="K1415" s="6">
        <v>1</v>
      </c>
      <c r="L1415" s="10">
        <f t="shared" si="39"/>
        <v>0.54</v>
      </c>
      <c r="M1415" s="6" t="s">
        <v>43</v>
      </c>
      <c r="N1415" s="6" t="s">
        <v>195</v>
      </c>
      <c r="O1415" s="6"/>
      <c r="P1415" s="17" t="s">
        <v>54</v>
      </c>
      <c r="Q1415" s="17" t="s">
        <v>54</v>
      </c>
      <c r="R1415" s="17"/>
    </row>
    <row r="1416" spans="1:18" ht="30" customHeight="1" x14ac:dyDescent="0.3">
      <c r="A1416" s="7">
        <v>45677</v>
      </c>
      <c r="B1416" s="6" t="s">
        <v>4</v>
      </c>
      <c r="C1416" s="6"/>
      <c r="D1416" s="6" t="str">
        <f>VLOOKUP(B1416,'Veri doğrulama'!$D$6:$E$13,2,0)</f>
        <v>MEHMET YAZICI</v>
      </c>
      <c r="E1416" s="6">
        <v>21161</v>
      </c>
      <c r="F1416" s="6" t="s">
        <v>220</v>
      </c>
      <c r="G1416" s="6" t="s">
        <v>17</v>
      </c>
      <c r="H1416" s="6" t="s">
        <v>34</v>
      </c>
      <c r="I1416" s="6">
        <v>320</v>
      </c>
      <c r="J1416" s="6">
        <v>900</v>
      </c>
      <c r="K1416" s="6">
        <v>1</v>
      </c>
      <c r="L1416" s="10">
        <f t="shared" si="39"/>
        <v>0.75</v>
      </c>
      <c r="M1416" s="6" t="s">
        <v>103</v>
      </c>
      <c r="N1416" s="6" t="s">
        <v>185</v>
      </c>
      <c r="O1416" s="6"/>
      <c r="P1416" s="17" t="s">
        <v>54</v>
      </c>
      <c r="Q1416" s="17" t="s">
        <v>54</v>
      </c>
      <c r="R1416" s="17"/>
    </row>
    <row r="1417" spans="1:18" ht="30" customHeight="1" x14ac:dyDescent="0.3">
      <c r="A1417" s="7">
        <v>45677</v>
      </c>
      <c r="B1417" s="6" t="s">
        <v>5</v>
      </c>
      <c r="C1417" s="6"/>
      <c r="D1417" s="6" t="str">
        <f>VLOOKUP(B1417,'Veri doğrulama'!$D$6:$E$13,2,0)</f>
        <v>MEHMET ÖZEN</v>
      </c>
      <c r="E1417" s="6"/>
      <c r="F1417" s="6" t="s">
        <v>106</v>
      </c>
      <c r="G1417" s="6" t="s">
        <v>16</v>
      </c>
      <c r="H1417" s="6" t="s">
        <v>34</v>
      </c>
      <c r="I1417" s="6">
        <v>698</v>
      </c>
      <c r="J1417" s="6">
        <v>430</v>
      </c>
      <c r="K1417" s="6">
        <v>1</v>
      </c>
      <c r="L1417" s="10">
        <f t="shared" si="39"/>
        <v>0.57599999999999996</v>
      </c>
      <c r="M1417" s="6" t="s">
        <v>103</v>
      </c>
      <c r="N1417" s="6"/>
      <c r="O1417" s="6"/>
      <c r="P1417" s="17" t="s">
        <v>54</v>
      </c>
      <c r="Q1417" s="17" t="s">
        <v>54</v>
      </c>
      <c r="R1417" s="17" t="s">
        <v>54</v>
      </c>
    </row>
    <row r="1418" spans="1:18" ht="30" customHeight="1" x14ac:dyDescent="0.3">
      <c r="A1418" s="7">
        <v>45677</v>
      </c>
      <c r="B1418" s="6" t="s">
        <v>4</v>
      </c>
      <c r="C1418" s="6"/>
      <c r="D1418" s="6" t="str">
        <f>VLOOKUP(B1418,'Veri doğrulama'!$D$6:$E$13,2,0)</f>
        <v>MEHMET YAZICI</v>
      </c>
      <c r="E1418" s="6" t="s">
        <v>263</v>
      </c>
      <c r="F1418" s="6" t="s">
        <v>74</v>
      </c>
      <c r="G1418" s="6" t="s">
        <v>18</v>
      </c>
      <c r="H1418" s="6" t="s">
        <v>34</v>
      </c>
      <c r="I1418" s="6">
        <v>2370</v>
      </c>
      <c r="J1418" s="6">
        <v>400</v>
      </c>
      <c r="K1418" s="6">
        <v>2</v>
      </c>
      <c r="L1418" s="10">
        <f t="shared" si="39"/>
        <v>0.60028000000000004</v>
      </c>
      <c r="M1418" s="6" t="s">
        <v>102</v>
      </c>
      <c r="N1418" s="6" t="s">
        <v>185</v>
      </c>
      <c r="O1418" s="6"/>
      <c r="P1418" s="17" t="s">
        <v>54</v>
      </c>
      <c r="Q1418" s="17" t="s">
        <v>54</v>
      </c>
      <c r="R1418" s="17"/>
    </row>
    <row r="1419" spans="1:18" ht="30" customHeight="1" x14ac:dyDescent="0.3">
      <c r="A1419" s="7">
        <v>45674</v>
      </c>
      <c r="B1419" s="6" t="s">
        <v>5</v>
      </c>
      <c r="C1419" s="6"/>
      <c r="D1419" s="6" t="str">
        <f>VLOOKUP(B1419,'Veri doğrulama'!$D$6:$E$13,2,0)</f>
        <v>MEHMET ÖZEN</v>
      </c>
      <c r="E1419" s="6" t="s">
        <v>263</v>
      </c>
      <c r="F1419" s="6" t="s">
        <v>275</v>
      </c>
      <c r="G1419" s="6" t="s">
        <v>15</v>
      </c>
      <c r="H1419" s="6" t="s">
        <v>35</v>
      </c>
      <c r="I1419" s="6">
        <v>1600</v>
      </c>
      <c r="J1419" s="6">
        <v>800</v>
      </c>
      <c r="K1419" s="6">
        <v>2</v>
      </c>
      <c r="L1419" s="10">
        <f t="shared" si="39"/>
        <v>0.94799999999999995</v>
      </c>
      <c r="M1419" s="6" t="s">
        <v>43</v>
      </c>
      <c r="N1419" s="6" t="s">
        <v>195</v>
      </c>
      <c r="O1419" s="6"/>
      <c r="P1419" s="17" t="s">
        <v>54</v>
      </c>
      <c r="Q1419" s="17" t="s">
        <v>54</v>
      </c>
      <c r="R1419" s="17" t="s">
        <v>54</v>
      </c>
    </row>
    <row r="1420" spans="1:18" ht="30" customHeight="1" x14ac:dyDescent="0.3">
      <c r="A1420" s="7">
        <v>45674</v>
      </c>
      <c r="B1420" s="6" t="s">
        <v>4</v>
      </c>
      <c r="C1420" s="6"/>
      <c r="D1420" s="6" t="str">
        <f>VLOOKUP(B1420,'Veri doğrulama'!$D$6:$E$13,2,0)</f>
        <v>MEHMET YAZICI</v>
      </c>
      <c r="E1420" s="6" t="s">
        <v>272</v>
      </c>
      <c r="F1420" s="6" t="s">
        <v>264</v>
      </c>
      <c r="G1420" s="6" t="s">
        <v>13</v>
      </c>
      <c r="H1420" s="6" t="s">
        <v>34</v>
      </c>
      <c r="I1420" s="6">
        <v>2200</v>
      </c>
      <c r="J1420" s="6">
        <v>445</v>
      </c>
      <c r="K1420" s="6">
        <v>1</v>
      </c>
      <c r="L1420" s="10">
        <f t="shared" si="39"/>
        <v>1.28</v>
      </c>
      <c r="M1420" s="6" t="s">
        <v>156</v>
      </c>
      <c r="N1420" s="6" t="s">
        <v>179</v>
      </c>
      <c r="O1420" s="6"/>
      <c r="P1420" s="17" t="s">
        <v>54</v>
      </c>
      <c r="Q1420" s="17" t="s">
        <v>54</v>
      </c>
      <c r="R1420" s="17" t="s">
        <v>54</v>
      </c>
    </row>
    <row r="1421" spans="1:18" ht="30" customHeight="1" x14ac:dyDescent="0.3">
      <c r="A1421" s="7">
        <v>45674</v>
      </c>
      <c r="B1421" s="6" t="s">
        <v>4</v>
      </c>
      <c r="C1421" s="6"/>
      <c r="D1421" s="6" t="str">
        <f>VLOOKUP(B1421,'Veri doğrulama'!$D$6:$E$13,2,0)</f>
        <v>MEHMET YAZICI</v>
      </c>
      <c r="E1421" s="6" t="s">
        <v>278</v>
      </c>
      <c r="F1421" s="6" t="s">
        <v>262</v>
      </c>
      <c r="G1421" s="6" t="s">
        <v>17</v>
      </c>
      <c r="H1421" s="6" t="s">
        <v>35</v>
      </c>
      <c r="I1421" s="6">
        <v>518</v>
      </c>
      <c r="J1421" s="6">
        <v>397</v>
      </c>
      <c r="K1421" s="6">
        <v>1</v>
      </c>
      <c r="L1421" s="10">
        <f t="shared" si="39"/>
        <v>0.97899999999999998</v>
      </c>
      <c r="M1421" s="6" t="s">
        <v>42</v>
      </c>
      <c r="N1421" s="6" t="s">
        <v>185</v>
      </c>
      <c r="O1421" s="6"/>
      <c r="P1421" s="17" t="s">
        <v>54</v>
      </c>
      <c r="Q1421" s="17" t="s">
        <v>54</v>
      </c>
      <c r="R1421" s="17"/>
    </row>
    <row r="1422" spans="1:18" ht="30" customHeight="1" x14ac:dyDescent="0.3">
      <c r="A1422" s="7">
        <v>45674</v>
      </c>
      <c r="B1422" s="6" t="s">
        <v>4</v>
      </c>
      <c r="C1422" s="6"/>
      <c r="D1422" s="6" t="str">
        <f>VLOOKUP(B1422,'Veri doğrulama'!$D$6:$E$13,2,0)</f>
        <v>MEHMET YAZICI</v>
      </c>
      <c r="E1422" s="6"/>
      <c r="F1422" s="6" t="s">
        <v>129</v>
      </c>
      <c r="G1422" s="6" t="s">
        <v>17</v>
      </c>
      <c r="H1422" s="6" t="s">
        <v>34</v>
      </c>
      <c r="I1422" s="6">
        <v>1400</v>
      </c>
      <c r="J1422" s="6">
        <v>800</v>
      </c>
      <c r="K1422" s="6">
        <v>1</v>
      </c>
      <c r="L1422" s="10">
        <f t="shared" si="39"/>
        <v>0.205646</v>
      </c>
      <c r="M1422" s="6" t="s">
        <v>103</v>
      </c>
      <c r="N1422" s="6" t="s">
        <v>185</v>
      </c>
      <c r="O1422" s="6"/>
      <c r="P1422" s="17" t="s">
        <v>54</v>
      </c>
      <c r="Q1422" s="17" t="s">
        <v>54</v>
      </c>
      <c r="R1422" s="17" t="s">
        <v>54</v>
      </c>
    </row>
    <row r="1423" spans="1:18" ht="30" customHeight="1" x14ac:dyDescent="0.3">
      <c r="A1423" s="7">
        <v>45674</v>
      </c>
      <c r="B1423" s="6" t="s">
        <v>4</v>
      </c>
      <c r="C1423" s="6"/>
      <c r="D1423" s="6" t="str">
        <f>VLOOKUP(B1423,'Veri doğrulama'!$D$6:$E$13,2,0)</f>
        <v>MEHMET YAZICI</v>
      </c>
      <c r="E1423" s="6"/>
      <c r="F1423" s="6" t="s">
        <v>267</v>
      </c>
      <c r="G1423" s="6" t="s">
        <v>19</v>
      </c>
      <c r="H1423" s="6" t="s">
        <v>34</v>
      </c>
      <c r="I1423" s="6">
        <v>1200</v>
      </c>
      <c r="J1423" s="6">
        <v>500</v>
      </c>
      <c r="K1423" s="6">
        <v>1</v>
      </c>
      <c r="L1423" s="10">
        <f t="shared" si="39"/>
        <v>1.1200000000000001</v>
      </c>
      <c r="M1423" s="6" t="s">
        <v>103</v>
      </c>
      <c r="N1423" s="6" t="s">
        <v>179</v>
      </c>
      <c r="O1423" s="6"/>
      <c r="P1423" s="17" t="s">
        <v>54</v>
      </c>
      <c r="Q1423" s="17" t="s">
        <v>54</v>
      </c>
      <c r="R1423" s="17" t="s">
        <v>54</v>
      </c>
    </row>
    <row r="1424" spans="1:18" ht="30" customHeight="1" x14ac:dyDescent="0.3">
      <c r="A1424" s="7">
        <v>45674</v>
      </c>
      <c r="B1424" s="6" t="s">
        <v>4</v>
      </c>
      <c r="C1424" s="6"/>
      <c r="D1424" s="6" t="str">
        <f>VLOOKUP(B1424,'Veri doğrulama'!$D$6:$E$13,2,0)</f>
        <v>MEHMET YAZICI</v>
      </c>
      <c r="E1424" s="6"/>
      <c r="F1424" s="6" t="s">
        <v>251</v>
      </c>
      <c r="G1424" s="6" t="s">
        <v>19</v>
      </c>
      <c r="H1424" s="6" t="s">
        <v>34</v>
      </c>
      <c r="I1424" s="6">
        <v>1200</v>
      </c>
      <c r="J1424" s="6">
        <v>500</v>
      </c>
      <c r="K1424" s="6">
        <v>1</v>
      </c>
      <c r="L1424" s="10">
        <f t="shared" si="39"/>
        <v>0.6</v>
      </c>
      <c r="M1424" s="6" t="s">
        <v>75</v>
      </c>
      <c r="N1424" s="6" t="s">
        <v>179</v>
      </c>
      <c r="O1424" s="6"/>
      <c r="P1424" s="17" t="s">
        <v>54</v>
      </c>
      <c r="Q1424" s="17" t="s">
        <v>54</v>
      </c>
      <c r="R1424" s="17" t="s">
        <v>54</v>
      </c>
    </row>
    <row r="1425" spans="1:18" ht="30" customHeight="1" x14ac:dyDescent="0.3">
      <c r="A1425" s="7">
        <v>45673</v>
      </c>
      <c r="B1425" s="6" t="s">
        <v>4</v>
      </c>
      <c r="C1425" s="6"/>
      <c r="D1425" s="6" t="str">
        <f>VLOOKUP(B1425,'Veri doğrulama'!$D$6:$E$13,2,0)</f>
        <v>MEHMET YAZICI</v>
      </c>
      <c r="E1425" s="6" t="s">
        <v>268</v>
      </c>
      <c r="F1425" s="6" t="s">
        <v>124</v>
      </c>
      <c r="G1425" s="6" t="s">
        <v>16</v>
      </c>
      <c r="H1425" s="6" t="s">
        <v>34</v>
      </c>
      <c r="I1425" s="6">
        <v>684</v>
      </c>
      <c r="J1425" s="6">
        <v>350</v>
      </c>
      <c r="K1425" s="6">
        <v>1</v>
      </c>
      <c r="L1425" s="10">
        <f t="shared" si="39"/>
        <v>0.6</v>
      </c>
      <c r="M1425" s="6" t="s">
        <v>43</v>
      </c>
      <c r="N1425" s="6" t="s">
        <v>185</v>
      </c>
      <c r="O1425" s="6"/>
      <c r="P1425" s="17" t="s">
        <v>54</v>
      </c>
      <c r="Q1425" s="17" t="s">
        <v>54</v>
      </c>
      <c r="R1425" s="17"/>
    </row>
    <row r="1426" spans="1:18" ht="30" customHeight="1" x14ac:dyDescent="0.3">
      <c r="A1426" s="7">
        <v>45673</v>
      </c>
      <c r="B1426" s="6" t="s">
        <v>4</v>
      </c>
      <c r="C1426" s="6"/>
      <c r="D1426" s="6" t="str">
        <f>VLOOKUP(B1426,'Veri doğrulama'!$D$6:$E$13,2,0)</f>
        <v>MEHMET YAZICI</v>
      </c>
      <c r="E1426" s="6"/>
      <c r="F1426" s="6" t="s">
        <v>250</v>
      </c>
      <c r="G1426" s="6" t="s">
        <v>16</v>
      </c>
      <c r="H1426" s="6" t="s">
        <v>34</v>
      </c>
      <c r="I1426" s="6">
        <v>1800</v>
      </c>
      <c r="J1426" s="6">
        <v>390</v>
      </c>
      <c r="K1426" s="6">
        <v>1</v>
      </c>
      <c r="L1426" s="10">
        <f t="shared" si="39"/>
        <v>0.2394</v>
      </c>
      <c r="M1426" s="6" t="s">
        <v>156</v>
      </c>
      <c r="N1426" s="6" t="s">
        <v>179</v>
      </c>
      <c r="O1426" s="6"/>
      <c r="P1426" s="17" t="s">
        <v>54</v>
      </c>
      <c r="Q1426" s="17" t="s">
        <v>54</v>
      </c>
      <c r="R1426" s="17" t="s">
        <v>54</v>
      </c>
    </row>
    <row r="1427" spans="1:18" ht="30" customHeight="1" x14ac:dyDescent="0.3">
      <c r="A1427" s="7">
        <v>45673</v>
      </c>
      <c r="B1427" s="6" t="s">
        <v>5</v>
      </c>
      <c r="C1427" s="6"/>
      <c r="D1427" s="6" t="str">
        <f>VLOOKUP(B1427,'Veri doğrulama'!$D$6:$E$13,2,0)</f>
        <v>MEHMET ÖZEN</v>
      </c>
      <c r="E1427" s="6" t="s">
        <v>258</v>
      </c>
      <c r="F1427" s="6" t="s">
        <v>274</v>
      </c>
      <c r="G1427" s="6" t="s">
        <v>146</v>
      </c>
      <c r="H1427" s="6" t="s">
        <v>34</v>
      </c>
      <c r="I1427" s="6">
        <v>1810</v>
      </c>
      <c r="J1427" s="6">
        <v>1010</v>
      </c>
      <c r="K1427" s="6">
        <v>1</v>
      </c>
      <c r="L1427" s="10">
        <f t="shared" si="39"/>
        <v>0.70199999999999996</v>
      </c>
      <c r="M1427" s="6" t="s">
        <v>156</v>
      </c>
      <c r="N1427" s="6" t="s">
        <v>310</v>
      </c>
      <c r="O1427" s="6"/>
      <c r="P1427" s="17" t="s">
        <v>54</v>
      </c>
      <c r="Q1427" s="17" t="s">
        <v>54</v>
      </c>
      <c r="R1427" s="17"/>
    </row>
    <row r="1428" spans="1:18" ht="30" customHeight="1" x14ac:dyDescent="0.3">
      <c r="A1428" s="7">
        <v>45673</v>
      </c>
      <c r="B1428" s="6" t="s">
        <v>5</v>
      </c>
      <c r="C1428" s="6"/>
      <c r="D1428" s="6" t="str">
        <f>VLOOKUP(B1428,'Veri doğrulama'!$D$6:$E$13,2,0)</f>
        <v>MEHMET ÖZEN</v>
      </c>
      <c r="E1428" s="6"/>
      <c r="F1428" s="6" t="s">
        <v>96</v>
      </c>
      <c r="G1428" s="6" t="s">
        <v>18</v>
      </c>
      <c r="H1428" s="6" t="s">
        <v>34</v>
      </c>
      <c r="I1428" s="6">
        <v>1400</v>
      </c>
      <c r="J1428" s="6">
        <v>800</v>
      </c>
      <c r="K1428" s="6">
        <v>1</v>
      </c>
      <c r="L1428" s="10">
        <f t="shared" si="39"/>
        <v>1.8281000000000001</v>
      </c>
      <c r="M1428" s="6" t="s">
        <v>103</v>
      </c>
      <c r="N1428" s="6" t="s">
        <v>318</v>
      </c>
      <c r="O1428" s="6"/>
      <c r="P1428" s="17" t="s">
        <v>54</v>
      </c>
      <c r="Q1428" s="17" t="s">
        <v>54</v>
      </c>
      <c r="R1428" s="17" t="s">
        <v>54</v>
      </c>
    </row>
    <row r="1429" spans="1:18" ht="30" customHeight="1" x14ac:dyDescent="0.3">
      <c r="A1429" s="7">
        <v>45673</v>
      </c>
      <c r="B1429" s="6" t="s">
        <v>5</v>
      </c>
      <c r="C1429" s="6"/>
      <c r="D1429" s="6" t="str">
        <f>VLOOKUP(B1429,'Veri doğrulama'!$D$6:$E$13,2,0)</f>
        <v>MEHMET ÖZEN</v>
      </c>
      <c r="E1429" s="6" t="s">
        <v>276</v>
      </c>
      <c r="F1429" s="6" t="s">
        <v>254</v>
      </c>
      <c r="G1429" s="6" t="s">
        <v>18</v>
      </c>
      <c r="H1429" s="6" t="s">
        <v>34</v>
      </c>
      <c r="I1429" s="6">
        <v>2000</v>
      </c>
      <c r="J1429" s="6">
        <v>1100</v>
      </c>
      <c r="K1429" s="6">
        <v>1</v>
      </c>
      <c r="L1429" s="10">
        <f t="shared" si="39"/>
        <v>1.1200000000000001</v>
      </c>
      <c r="M1429" s="6" t="s">
        <v>42</v>
      </c>
      <c r="N1429" s="6"/>
      <c r="O1429" s="6"/>
      <c r="P1429" s="17" t="s">
        <v>54</v>
      </c>
      <c r="Q1429" s="17"/>
      <c r="R1429" s="17"/>
    </row>
    <row r="1430" spans="1:18" ht="30" customHeight="1" x14ac:dyDescent="0.3">
      <c r="A1430" s="7">
        <v>45673</v>
      </c>
      <c r="B1430" s="6" t="s">
        <v>4</v>
      </c>
      <c r="C1430" s="6"/>
      <c r="D1430" s="6" t="str">
        <f>VLOOKUP(B1430,'Veri doğrulama'!$D$6:$E$13,2,0)</f>
        <v>MEHMET YAZICI</v>
      </c>
      <c r="E1430" s="6"/>
      <c r="F1430" s="6" t="s">
        <v>245</v>
      </c>
      <c r="G1430" s="6" t="s">
        <v>18</v>
      </c>
      <c r="H1430" s="6" t="s">
        <v>34</v>
      </c>
      <c r="I1430" s="6">
        <v>407</v>
      </c>
      <c r="J1430" s="6">
        <v>540</v>
      </c>
      <c r="K1430" s="6">
        <v>1</v>
      </c>
      <c r="L1430" s="10">
        <f t="shared" si="39"/>
        <v>2.2000000000000002</v>
      </c>
      <c r="M1430" s="6" t="s">
        <v>102</v>
      </c>
      <c r="N1430" s="6" t="s">
        <v>179</v>
      </c>
      <c r="O1430" s="6"/>
      <c r="P1430" s="17" t="s">
        <v>54</v>
      </c>
      <c r="Q1430" s="17" t="s">
        <v>54</v>
      </c>
      <c r="R1430" s="17" t="s">
        <v>54</v>
      </c>
    </row>
    <row r="1431" spans="1:18" ht="30" customHeight="1" x14ac:dyDescent="0.3">
      <c r="A1431" s="7">
        <v>45673</v>
      </c>
      <c r="B1431" s="6" t="s">
        <v>7</v>
      </c>
      <c r="C1431" s="6"/>
      <c r="D1431" s="6" t="str">
        <f>VLOOKUP(B1431,'Veri doğrulama'!$D$6:$E$13,2,0)</f>
        <v>SIDDIK KAPLAN</v>
      </c>
      <c r="E1431" s="6" t="s">
        <v>249</v>
      </c>
      <c r="F1431" s="6" t="s">
        <v>243</v>
      </c>
      <c r="G1431" s="6" t="s">
        <v>18</v>
      </c>
      <c r="H1431" s="6" t="s">
        <v>34</v>
      </c>
      <c r="I1431" s="6">
        <v>1400</v>
      </c>
      <c r="J1431" s="6">
        <v>800</v>
      </c>
      <c r="K1431" s="6">
        <v>1</v>
      </c>
      <c r="L1431" s="10">
        <f t="shared" si="39"/>
        <v>0.21978</v>
      </c>
      <c r="M1431" s="6" t="s">
        <v>252</v>
      </c>
      <c r="N1431" s="6"/>
      <c r="O1431" s="6"/>
      <c r="P1431" s="17" t="s">
        <v>54</v>
      </c>
      <c r="Q1431" s="17" t="s">
        <v>54</v>
      </c>
      <c r="R1431" s="17"/>
    </row>
    <row r="1432" spans="1:18" ht="30" customHeight="1" x14ac:dyDescent="0.3">
      <c r="A1432" s="7">
        <v>45673</v>
      </c>
      <c r="B1432" s="6" t="s">
        <v>4</v>
      </c>
      <c r="C1432" s="6"/>
      <c r="D1432" s="6" t="str">
        <f>VLOOKUP(B1432,'Veri doğrulama'!$D$6:$E$13,2,0)</f>
        <v>MEHMET YAZICI</v>
      </c>
      <c r="E1432" s="6"/>
      <c r="F1432" s="6" t="s">
        <v>201</v>
      </c>
      <c r="G1432" s="6" t="s">
        <v>15</v>
      </c>
      <c r="H1432" s="6" t="s">
        <v>34</v>
      </c>
      <c r="I1432" s="6">
        <v>1800</v>
      </c>
      <c r="J1432" s="6">
        <v>360</v>
      </c>
      <c r="K1432" s="6">
        <v>1</v>
      </c>
      <c r="L1432" s="10">
        <f t="shared" si="39"/>
        <v>1.1200000000000001</v>
      </c>
      <c r="M1432" s="6" t="s">
        <v>103</v>
      </c>
      <c r="N1432" s="6" t="s">
        <v>179</v>
      </c>
      <c r="O1432" s="6"/>
      <c r="P1432" s="17" t="s">
        <v>54</v>
      </c>
      <c r="Q1432" s="17" t="s">
        <v>54</v>
      </c>
      <c r="R1432" s="17"/>
    </row>
    <row r="1433" spans="1:18" ht="30" customHeight="1" x14ac:dyDescent="0.3">
      <c r="A1433" s="7">
        <v>45673</v>
      </c>
      <c r="B1433" s="6" t="s">
        <v>4</v>
      </c>
      <c r="C1433" s="6"/>
      <c r="D1433" s="6" t="str">
        <f>VLOOKUP(B1433,'Veri doğrulama'!$D$6:$E$13,2,0)</f>
        <v>MEHMET YAZICI</v>
      </c>
      <c r="E1433" s="6"/>
      <c r="F1433" s="6" t="s">
        <v>725</v>
      </c>
      <c r="G1433" s="6" t="s">
        <v>30</v>
      </c>
      <c r="H1433" s="6" t="s">
        <v>34</v>
      </c>
      <c r="I1433" s="6">
        <v>1800</v>
      </c>
      <c r="J1433" s="6">
        <v>800</v>
      </c>
      <c r="K1433" s="6">
        <v>1</v>
      </c>
      <c r="L1433" s="10">
        <f t="shared" si="39"/>
        <v>0.64800000000000002</v>
      </c>
      <c r="M1433" s="6" t="s">
        <v>43</v>
      </c>
      <c r="N1433" s="6" t="s">
        <v>632</v>
      </c>
      <c r="O1433" s="6"/>
      <c r="P1433" s="17" t="s">
        <v>54</v>
      </c>
      <c r="Q1433" s="17" t="s">
        <v>54</v>
      </c>
      <c r="R1433" s="17" t="s">
        <v>54</v>
      </c>
    </row>
    <row r="1434" spans="1:18" ht="30" customHeight="1" x14ac:dyDescent="0.3">
      <c r="A1434" s="7">
        <v>45673</v>
      </c>
      <c r="B1434" s="6" t="s">
        <v>4</v>
      </c>
      <c r="C1434" s="6"/>
      <c r="D1434" s="6" t="str">
        <f>VLOOKUP(B1434,'Veri doğrulama'!$D$6:$E$13,2,0)</f>
        <v>MEHMET YAZICI</v>
      </c>
      <c r="E1434" s="6"/>
      <c r="F1434" s="6" t="s">
        <v>347</v>
      </c>
      <c r="G1434" s="6" t="s">
        <v>27</v>
      </c>
      <c r="H1434" s="6" t="s">
        <v>34</v>
      </c>
      <c r="I1434" s="6">
        <v>557</v>
      </c>
      <c r="J1434" s="6">
        <v>247</v>
      </c>
      <c r="K1434" s="6">
        <v>1</v>
      </c>
      <c r="L1434" s="10">
        <f t="shared" si="39"/>
        <v>1.44</v>
      </c>
      <c r="M1434" s="6" t="s">
        <v>39</v>
      </c>
      <c r="N1434" s="6" t="s">
        <v>179</v>
      </c>
      <c r="O1434" s="6"/>
      <c r="P1434" s="17" t="s">
        <v>54</v>
      </c>
      <c r="Q1434" s="17" t="s">
        <v>54</v>
      </c>
      <c r="R1434" s="17"/>
    </row>
    <row r="1435" spans="1:18" ht="30" customHeight="1" x14ac:dyDescent="0.3">
      <c r="A1435" s="7">
        <v>45673</v>
      </c>
      <c r="B1435" s="6" t="s">
        <v>5</v>
      </c>
      <c r="C1435" s="6"/>
      <c r="D1435" s="6" t="str">
        <f>VLOOKUP(B1435,'Veri doğrulama'!$D$6:$E$13,2,0)</f>
        <v>MEHMET ÖZEN</v>
      </c>
      <c r="E1435" s="6"/>
      <c r="F1435" s="6" t="s">
        <v>248</v>
      </c>
      <c r="G1435" s="6" t="s">
        <v>19</v>
      </c>
      <c r="H1435" s="6" t="s">
        <v>34</v>
      </c>
      <c r="I1435" s="6">
        <v>1800</v>
      </c>
      <c r="J1435" s="6">
        <v>800</v>
      </c>
      <c r="K1435" s="6">
        <v>1</v>
      </c>
      <c r="L1435" s="10">
        <f t="shared" si="39"/>
        <v>0.13757900000000001</v>
      </c>
      <c r="M1435" s="6" t="s">
        <v>103</v>
      </c>
      <c r="N1435" s="6"/>
      <c r="O1435" s="6"/>
      <c r="P1435" s="17" t="s">
        <v>54</v>
      </c>
      <c r="Q1435" s="17" t="s">
        <v>54</v>
      </c>
      <c r="R1435" s="17"/>
    </row>
    <row r="1436" spans="1:18" ht="30" customHeight="1" x14ac:dyDescent="0.3">
      <c r="A1436" s="7">
        <v>45672</v>
      </c>
      <c r="B1436" s="6" t="s">
        <v>4</v>
      </c>
      <c r="C1436" s="6"/>
      <c r="D1436" s="6" t="str">
        <f>VLOOKUP(B1436,'Veri doğrulama'!$D$6:$E$13,2,0)</f>
        <v>MEHMET YAZICI</v>
      </c>
      <c r="E1436" s="6"/>
      <c r="F1436" s="6" t="s">
        <v>244</v>
      </c>
      <c r="G1436" s="6" t="s">
        <v>16</v>
      </c>
      <c r="H1436" s="6" t="s">
        <v>34</v>
      </c>
      <c r="I1436" s="6">
        <v>1930</v>
      </c>
      <c r="J1436" s="6">
        <v>300</v>
      </c>
      <c r="K1436" s="6">
        <v>1</v>
      </c>
      <c r="L1436" s="10">
        <f>I1435*J1435/1000000*K1437</f>
        <v>1.44</v>
      </c>
      <c r="M1436" s="6" t="s">
        <v>75</v>
      </c>
      <c r="N1436" s="6" t="s">
        <v>185</v>
      </c>
      <c r="O1436" s="6"/>
      <c r="P1436" s="17" t="s">
        <v>54</v>
      </c>
      <c r="Q1436" s="17" t="s">
        <v>54</v>
      </c>
      <c r="R1436" s="17" t="s">
        <v>54</v>
      </c>
    </row>
    <row r="1437" spans="1:18" ht="30" customHeight="1" x14ac:dyDescent="0.3">
      <c r="A1437" s="7">
        <v>45672</v>
      </c>
      <c r="B1437" s="6" t="s">
        <v>5</v>
      </c>
      <c r="C1437" s="6"/>
      <c r="D1437" s="6" t="str">
        <f>VLOOKUP(B1437,'Veri doğrulama'!$D$6:$E$13,2,0)</f>
        <v>MEHMET ÖZEN</v>
      </c>
      <c r="E1437" s="6"/>
      <c r="F1437" s="6" t="s">
        <v>232</v>
      </c>
      <c r="G1437" s="6" t="s">
        <v>16</v>
      </c>
      <c r="H1437" s="6" t="s">
        <v>34</v>
      </c>
      <c r="I1437" s="6">
        <v>2420</v>
      </c>
      <c r="J1437" s="6">
        <v>1120</v>
      </c>
      <c r="K1437" s="6">
        <v>1</v>
      </c>
      <c r="L1437" s="10">
        <f t="shared" ref="L1437:L1466" si="40">J1436*I1436/1000000*K1438</f>
        <v>0.57899999999999996</v>
      </c>
      <c r="M1437" s="6" t="s">
        <v>43</v>
      </c>
      <c r="N1437" s="6" t="s">
        <v>310</v>
      </c>
      <c r="O1437" s="6"/>
      <c r="P1437" s="17" t="s">
        <v>54</v>
      </c>
      <c r="Q1437" s="17" t="s">
        <v>54</v>
      </c>
      <c r="R1437" s="17" t="s">
        <v>54</v>
      </c>
    </row>
    <row r="1438" spans="1:18" ht="30" customHeight="1" x14ac:dyDescent="0.3">
      <c r="A1438" s="7">
        <v>45672</v>
      </c>
      <c r="B1438" s="6" t="s">
        <v>5</v>
      </c>
      <c r="C1438" s="6"/>
      <c r="D1438" s="6" t="str">
        <f>VLOOKUP(B1438,'Veri doğrulama'!$D$6:$E$13,2,0)</f>
        <v>MEHMET ÖZEN</v>
      </c>
      <c r="E1438" s="6" t="s">
        <v>246</v>
      </c>
      <c r="F1438" s="6" t="s">
        <v>107</v>
      </c>
      <c r="G1438" s="6" t="s">
        <v>16</v>
      </c>
      <c r="H1438" s="6" t="s">
        <v>34</v>
      </c>
      <c r="I1438" s="6">
        <v>1800</v>
      </c>
      <c r="J1438" s="6">
        <v>390</v>
      </c>
      <c r="K1438" s="6">
        <v>1</v>
      </c>
      <c r="L1438" s="10">
        <f t="shared" si="40"/>
        <v>2.7103999999999999</v>
      </c>
      <c r="M1438" s="6" t="s">
        <v>103</v>
      </c>
      <c r="N1438" s="6" t="s">
        <v>318</v>
      </c>
      <c r="O1438" s="6"/>
      <c r="P1438" s="17" t="s">
        <v>54</v>
      </c>
      <c r="Q1438" s="17" t="s">
        <v>54</v>
      </c>
      <c r="R1438" s="17" t="s">
        <v>54</v>
      </c>
    </row>
    <row r="1439" spans="1:18" ht="30" customHeight="1" x14ac:dyDescent="0.3">
      <c r="A1439" s="7">
        <v>45672</v>
      </c>
      <c r="B1439" s="6" t="s">
        <v>4</v>
      </c>
      <c r="C1439" s="6"/>
      <c r="D1439" s="6" t="str">
        <f>VLOOKUP(B1439,'Veri doğrulama'!$D$6:$E$13,2,0)</f>
        <v>MEHMET YAZICI</v>
      </c>
      <c r="E1439" s="6" t="s">
        <v>235</v>
      </c>
      <c r="F1439" s="6" t="s">
        <v>149</v>
      </c>
      <c r="G1439" s="6" t="s">
        <v>18</v>
      </c>
      <c r="H1439" s="6" t="s">
        <v>34</v>
      </c>
      <c r="I1439" s="6">
        <v>557</v>
      </c>
      <c r="J1439" s="6">
        <v>247</v>
      </c>
      <c r="K1439" s="6">
        <v>1</v>
      </c>
      <c r="L1439" s="10">
        <f t="shared" si="40"/>
        <v>0.70199999999999996</v>
      </c>
      <c r="M1439" s="6" t="s">
        <v>43</v>
      </c>
      <c r="N1439" s="6" t="s">
        <v>179</v>
      </c>
      <c r="O1439" s="6"/>
      <c r="P1439" s="17" t="s">
        <v>54</v>
      </c>
      <c r="Q1439" s="17" t="s">
        <v>54</v>
      </c>
      <c r="R1439" s="17" t="s">
        <v>54</v>
      </c>
    </row>
    <row r="1440" spans="1:18" ht="30" customHeight="1" x14ac:dyDescent="0.3">
      <c r="A1440" s="7">
        <v>45672</v>
      </c>
      <c r="B1440" s="6" t="s">
        <v>5</v>
      </c>
      <c r="C1440" s="6"/>
      <c r="D1440" s="6" t="str">
        <f>VLOOKUP(B1440,'Veri doğrulama'!$D$6:$E$13,2,0)</f>
        <v>MEHMET ÖZEN</v>
      </c>
      <c r="E1440" s="6" t="s">
        <v>233</v>
      </c>
      <c r="F1440" s="6" t="s">
        <v>277</v>
      </c>
      <c r="G1440" s="6" t="s">
        <v>28</v>
      </c>
      <c r="H1440" s="6" t="s">
        <v>34</v>
      </c>
      <c r="I1440" s="6">
        <v>264</v>
      </c>
      <c r="J1440" s="6">
        <v>447</v>
      </c>
      <c r="K1440" s="6">
        <v>1</v>
      </c>
      <c r="L1440" s="10">
        <f t="shared" si="40"/>
        <v>0.13757900000000001</v>
      </c>
      <c r="M1440" s="6" t="s">
        <v>42</v>
      </c>
      <c r="N1440" s="6" t="s">
        <v>195</v>
      </c>
      <c r="O1440" s="6"/>
      <c r="P1440" s="17" t="s">
        <v>54</v>
      </c>
      <c r="Q1440" s="17" t="s">
        <v>54</v>
      </c>
      <c r="R1440" s="17"/>
    </row>
    <row r="1441" spans="1:18" ht="30" customHeight="1" x14ac:dyDescent="0.3">
      <c r="A1441" s="7">
        <v>45672</v>
      </c>
      <c r="B1441" s="6" t="s">
        <v>4</v>
      </c>
      <c r="C1441" s="6"/>
      <c r="D1441" s="6" t="str">
        <f>VLOOKUP(B1441,'Veri doğrulama'!$D$6:$E$13,2,0)</f>
        <v>MEHMET YAZICI</v>
      </c>
      <c r="E1441" s="6"/>
      <c r="F1441" s="6" t="s">
        <v>247</v>
      </c>
      <c r="G1441" s="6" t="s">
        <v>15</v>
      </c>
      <c r="H1441" s="6" t="s">
        <v>34</v>
      </c>
      <c r="I1441" s="6">
        <v>1600</v>
      </c>
      <c r="J1441" s="6">
        <v>800</v>
      </c>
      <c r="K1441" s="6">
        <v>1</v>
      </c>
      <c r="L1441" s="10">
        <f t="shared" si="40"/>
        <v>0.118008</v>
      </c>
      <c r="M1441" s="6" t="s">
        <v>156</v>
      </c>
      <c r="N1441" s="6" t="s">
        <v>179</v>
      </c>
      <c r="O1441" s="6"/>
      <c r="P1441" s="17" t="s">
        <v>54</v>
      </c>
      <c r="Q1441" s="17" t="s">
        <v>54</v>
      </c>
      <c r="R1441" s="17"/>
    </row>
    <row r="1442" spans="1:18" ht="30" customHeight="1" x14ac:dyDescent="0.3">
      <c r="A1442" s="7">
        <v>45672</v>
      </c>
      <c r="B1442" s="6" t="s">
        <v>4</v>
      </c>
      <c r="C1442" s="6"/>
      <c r="D1442" s="6" t="str">
        <f>VLOOKUP(B1442,'Veri doğrulama'!$D$6:$E$13,2,0)</f>
        <v>MEHMET YAZICI</v>
      </c>
      <c r="E1442" s="6"/>
      <c r="F1442" s="6" t="s">
        <v>141</v>
      </c>
      <c r="G1442" s="6" t="s">
        <v>15</v>
      </c>
      <c r="H1442" s="6" t="s">
        <v>34</v>
      </c>
      <c r="I1442" s="6">
        <v>1100</v>
      </c>
      <c r="J1442" s="6">
        <v>360</v>
      </c>
      <c r="K1442" s="6">
        <v>1</v>
      </c>
      <c r="L1442" s="10">
        <f t="shared" si="40"/>
        <v>1.28</v>
      </c>
      <c r="M1442" s="6" t="s">
        <v>43</v>
      </c>
      <c r="N1442" s="6" t="s">
        <v>185</v>
      </c>
      <c r="O1442" s="6"/>
      <c r="P1442" s="17" t="s">
        <v>54</v>
      </c>
      <c r="Q1442" s="17" t="s">
        <v>54</v>
      </c>
      <c r="R1442" s="17" t="s">
        <v>54</v>
      </c>
    </row>
    <row r="1443" spans="1:18" ht="30" customHeight="1" x14ac:dyDescent="0.3">
      <c r="A1443" s="7">
        <v>45672</v>
      </c>
      <c r="B1443" s="6" t="s">
        <v>4</v>
      </c>
      <c r="C1443" s="6"/>
      <c r="D1443" s="6" t="str">
        <f>VLOOKUP(B1443,'Veri doğrulama'!$D$6:$E$13,2,0)</f>
        <v>MEHMET YAZICI</v>
      </c>
      <c r="E1443" s="6"/>
      <c r="F1443" s="6" t="s">
        <v>269</v>
      </c>
      <c r="G1443" s="6" t="s">
        <v>26</v>
      </c>
      <c r="H1443" s="6" t="s">
        <v>34</v>
      </c>
      <c r="I1443" s="6">
        <v>524</v>
      </c>
      <c r="J1443" s="6">
        <v>470</v>
      </c>
      <c r="K1443" s="6">
        <v>1</v>
      </c>
      <c r="L1443" s="10">
        <f t="shared" si="40"/>
        <v>0.39600000000000002</v>
      </c>
      <c r="M1443" s="6" t="s">
        <v>75</v>
      </c>
      <c r="N1443" s="6" t="s">
        <v>185</v>
      </c>
      <c r="O1443" s="6"/>
      <c r="P1443" s="17" t="s">
        <v>54</v>
      </c>
      <c r="Q1443" s="17" t="s">
        <v>54</v>
      </c>
      <c r="R1443" s="17" t="s">
        <v>54</v>
      </c>
    </row>
    <row r="1444" spans="1:18" ht="30" customHeight="1" x14ac:dyDescent="0.3">
      <c r="A1444" s="7">
        <v>45672</v>
      </c>
      <c r="B1444" s="6" t="s">
        <v>4</v>
      </c>
      <c r="C1444" s="6"/>
      <c r="D1444" s="6" t="str">
        <f>VLOOKUP(B1444,'Veri doğrulama'!$D$6:$E$13,2,0)</f>
        <v>MEHMET YAZICI</v>
      </c>
      <c r="E1444" s="6" t="s">
        <v>238</v>
      </c>
      <c r="F1444" s="6" t="s">
        <v>133</v>
      </c>
      <c r="G1444" s="6" t="s">
        <v>26</v>
      </c>
      <c r="H1444" s="6" t="s">
        <v>34</v>
      </c>
      <c r="I1444" s="6">
        <v>435</v>
      </c>
      <c r="J1444" s="6">
        <v>449</v>
      </c>
      <c r="K1444" s="6">
        <v>1</v>
      </c>
      <c r="L1444" s="10">
        <f t="shared" si="40"/>
        <v>0.24628</v>
      </c>
      <c r="M1444" s="6" t="s">
        <v>43</v>
      </c>
      <c r="N1444" s="6" t="s">
        <v>159</v>
      </c>
      <c r="O1444" s="6"/>
      <c r="P1444" s="17" t="s">
        <v>54</v>
      </c>
      <c r="Q1444" s="17" t="s">
        <v>54</v>
      </c>
      <c r="R1444" s="17" t="s">
        <v>54</v>
      </c>
    </row>
    <row r="1445" spans="1:18" ht="30" customHeight="1" x14ac:dyDescent="0.3">
      <c r="A1445" s="7">
        <v>45672</v>
      </c>
      <c r="B1445" s="6" t="s">
        <v>4</v>
      </c>
      <c r="C1445" s="6"/>
      <c r="D1445" s="6" t="str">
        <f>VLOOKUP(B1445,'Veri doğrulama'!$D$6:$E$13,2,0)</f>
        <v>MEHMET YAZICI</v>
      </c>
      <c r="E1445" s="6"/>
      <c r="F1445" s="6" t="s">
        <v>256</v>
      </c>
      <c r="G1445" s="6" t="s">
        <v>17</v>
      </c>
      <c r="H1445" s="6" t="s">
        <v>34</v>
      </c>
      <c r="I1445" s="6">
        <v>818</v>
      </c>
      <c r="J1445" s="6">
        <v>450</v>
      </c>
      <c r="K1445" s="6">
        <v>1</v>
      </c>
      <c r="L1445" s="10">
        <f t="shared" si="40"/>
        <v>0.19531499999999999</v>
      </c>
      <c r="M1445" s="6" t="s">
        <v>156</v>
      </c>
      <c r="N1445" s="6" t="s">
        <v>159</v>
      </c>
      <c r="O1445" s="6"/>
      <c r="P1445" s="17" t="s">
        <v>54</v>
      </c>
      <c r="Q1445" s="17" t="s">
        <v>54</v>
      </c>
      <c r="R1445" s="17" t="s">
        <v>54</v>
      </c>
    </row>
    <row r="1446" spans="1:18" ht="30" customHeight="1" x14ac:dyDescent="0.3">
      <c r="A1446" s="7">
        <v>45672</v>
      </c>
      <c r="B1446" s="6" t="s">
        <v>4</v>
      </c>
      <c r="C1446" s="6"/>
      <c r="D1446" s="6" t="str">
        <f>VLOOKUP(B1446,'Veri doğrulama'!$D$6:$E$13,2,0)</f>
        <v>MEHMET YAZICI</v>
      </c>
      <c r="E1446" s="6"/>
      <c r="F1446" s="6" t="s">
        <v>234</v>
      </c>
      <c r="G1446" s="15" t="s">
        <v>17</v>
      </c>
      <c r="H1446" s="6" t="s">
        <v>34</v>
      </c>
      <c r="I1446" s="6">
        <v>435</v>
      </c>
      <c r="J1446" s="6">
        <v>381</v>
      </c>
      <c r="K1446" s="6">
        <v>1</v>
      </c>
      <c r="L1446" s="10">
        <f t="shared" si="40"/>
        <v>0.36809999999999998</v>
      </c>
      <c r="M1446" s="6" t="s">
        <v>102</v>
      </c>
      <c r="N1446" s="6" t="s">
        <v>179</v>
      </c>
      <c r="O1446" s="6"/>
      <c r="P1446" s="17" t="s">
        <v>54</v>
      </c>
      <c r="Q1446" s="17" t="s">
        <v>54</v>
      </c>
      <c r="R1446" s="17" t="s">
        <v>54</v>
      </c>
    </row>
    <row r="1447" spans="1:18" ht="30" customHeight="1" x14ac:dyDescent="0.3">
      <c r="A1447" s="7">
        <v>45672</v>
      </c>
      <c r="B1447" s="6" t="s">
        <v>7</v>
      </c>
      <c r="C1447" s="6"/>
      <c r="D1447" s="6" t="str">
        <f>VLOOKUP(B1447,'Veri doğrulama'!$D$6:$E$13,2,0)</f>
        <v>SIDDIK KAPLAN</v>
      </c>
      <c r="E1447" s="6" t="s">
        <v>257</v>
      </c>
      <c r="F1447" s="6" t="s">
        <v>230</v>
      </c>
      <c r="G1447" s="15" t="s">
        <v>16</v>
      </c>
      <c r="H1447" s="6" t="s">
        <v>34</v>
      </c>
      <c r="I1447" s="6">
        <v>2600</v>
      </c>
      <c r="J1447" s="6">
        <v>600</v>
      </c>
      <c r="K1447" s="6">
        <v>1</v>
      </c>
      <c r="L1447" s="10">
        <f t="shared" si="40"/>
        <v>0.16573499999999999</v>
      </c>
      <c r="M1447" s="6" t="s">
        <v>75</v>
      </c>
      <c r="N1447" s="6" t="s">
        <v>231</v>
      </c>
      <c r="O1447" s="6"/>
      <c r="P1447" s="17" t="s">
        <v>54</v>
      </c>
      <c r="Q1447" s="17" t="s">
        <v>54</v>
      </c>
      <c r="R1447" s="17" t="s">
        <v>54</v>
      </c>
    </row>
    <row r="1448" spans="1:18" ht="30" customHeight="1" x14ac:dyDescent="0.3">
      <c r="A1448" s="7">
        <v>45672</v>
      </c>
      <c r="B1448" s="6" t="s">
        <v>4</v>
      </c>
      <c r="C1448" s="6"/>
      <c r="D1448" s="6" t="str">
        <f>VLOOKUP(B1448,'Veri doğrulama'!$D$6:$E$13,2,0)</f>
        <v>MEHMET YAZICI</v>
      </c>
      <c r="E1448" s="6" t="s">
        <v>236</v>
      </c>
      <c r="F1448" s="6" t="s">
        <v>239</v>
      </c>
      <c r="G1448" s="6" t="s">
        <v>18</v>
      </c>
      <c r="H1448" s="6" t="s">
        <v>34</v>
      </c>
      <c r="I1448" s="6">
        <v>1148</v>
      </c>
      <c r="J1448" s="6">
        <v>557</v>
      </c>
      <c r="K1448" s="6">
        <v>1</v>
      </c>
      <c r="L1448" s="10">
        <f t="shared" si="40"/>
        <v>1.56</v>
      </c>
      <c r="M1448" s="6" t="s">
        <v>43</v>
      </c>
      <c r="N1448" s="6" t="s">
        <v>185</v>
      </c>
      <c r="O1448" s="6"/>
      <c r="P1448" s="17" t="s">
        <v>54</v>
      </c>
      <c r="Q1448" s="17" t="s">
        <v>54</v>
      </c>
      <c r="R1448" s="17" t="s">
        <v>54</v>
      </c>
    </row>
    <row r="1449" spans="1:18" ht="30" customHeight="1" x14ac:dyDescent="0.3">
      <c r="A1449" s="7">
        <v>45671</v>
      </c>
      <c r="B1449" s="6" t="s">
        <v>5</v>
      </c>
      <c r="C1449" s="6"/>
      <c r="D1449" s="6" t="str">
        <f>VLOOKUP(B1449,'Veri doğrulama'!$D$6:$E$13,2,0)</f>
        <v>MEHMET ÖZEN</v>
      </c>
      <c r="E1449" s="6"/>
      <c r="F1449" s="6" t="s">
        <v>227</v>
      </c>
      <c r="G1449" s="6" t="s">
        <v>18</v>
      </c>
      <c r="H1449" s="6" t="s">
        <v>34</v>
      </c>
      <c r="I1449" s="6">
        <v>2050</v>
      </c>
      <c r="J1449" s="6">
        <v>520</v>
      </c>
      <c r="K1449" s="6">
        <v>1</v>
      </c>
      <c r="L1449" s="10">
        <f t="shared" si="40"/>
        <v>0.639436</v>
      </c>
      <c r="M1449" s="6" t="s">
        <v>43</v>
      </c>
      <c r="N1449" s="6"/>
      <c r="O1449" s="6"/>
      <c r="P1449" s="17" t="s">
        <v>54</v>
      </c>
      <c r="Q1449" s="17" t="s">
        <v>54</v>
      </c>
      <c r="R1449" s="17"/>
    </row>
    <row r="1450" spans="1:18" ht="30" customHeight="1" x14ac:dyDescent="0.3">
      <c r="A1450" s="7">
        <v>45671</v>
      </c>
      <c r="B1450" s="6" t="s">
        <v>5</v>
      </c>
      <c r="C1450" s="6"/>
      <c r="D1450" s="6" t="str">
        <f>VLOOKUP(B1450,'Veri doğrulama'!$D$6:$E$13,2,0)</f>
        <v>MEHMET ÖZEN</v>
      </c>
      <c r="E1450" s="6"/>
      <c r="F1450" s="6" t="s">
        <v>240</v>
      </c>
      <c r="G1450" s="6" t="s">
        <v>28</v>
      </c>
      <c r="H1450" s="6" t="s">
        <v>34</v>
      </c>
      <c r="I1450" s="6">
        <v>1596</v>
      </c>
      <c r="J1450" s="6">
        <v>564</v>
      </c>
      <c r="K1450" s="6">
        <v>1</v>
      </c>
      <c r="L1450" s="10">
        <f t="shared" si="40"/>
        <v>1.0660000000000001</v>
      </c>
      <c r="M1450" s="6" t="s">
        <v>103</v>
      </c>
      <c r="N1450" s="15"/>
      <c r="O1450" s="15"/>
      <c r="P1450" s="17" t="s">
        <v>54</v>
      </c>
      <c r="Q1450" s="17" t="s">
        <v>54</v>
      </c>
      <c r="R1450" s="17" t="s">
        <v>54</v>
      </c>
    </row>
    <row r="1451" spans="1:18" ht="30" customHeight="1" x14ac:dyDescent="0.3">
      <c r="A1451" s="7">
        <v>45671</v>
      </c>
      <c r="B1451" s="6" t="s">
        <v>4</v>
      </c>
      <c r="C1451" s="6"/>
      <c r="D1451" s="6" t="str">
        <f>VLOOKUP(B1451,'Veri doğrulama'!$D$6:$E$13,2,0)</f>
        <v>MEHMET YAZICI</v>
      </c>
      <c r="E1451" s="6"/>
      <c r="F1451" s="6" t="s">
        <v>314</v>
      </c>
      <c r="G1451" s="6" t="s">
        <v>20</v>
      </c>
      <c r="H1451" s="6" t="s">
        <v>34</v>
      </c>
      <c r="I1451" s="6">
        <v>1800</v>
      </c>
      <c r="J1451" s="6">
        <v>360</v>
      </c>
      <c r="K1451" s="6">
        <v>1</v>
      </c>
      <c r="L1451" s="10">
        <f t="shared" si="40"/>
        <v>0.90014400000000006</v>
      </c>
      <c r="M1451" s="6" t="s">
        <v>43</v>
      </c>
      <c r="N1451" s="6" t="s">
        <v>179</v>
      </c>
      <c r="O1451" s="6"/>
      <c r="P1451" s="17" t="s">
        <v>54</v>
      </c>
      <c r="Q1451" s="17" t="s">
        <v>54</v>
      </c>
      <c r="R1451" s="17" t="s">
        <v>54</v>
      </c>
    </row>
    <row r="1452" spans="1:18" ht="30" customHeight="1" x14ac:dyDescent="0.3">
      <c r="A1452" s="7">
        <v>45671</v>
      </c>
      <c r="B1452" s="6" t="s">
        <v>4</v>
      </c>
      <c r="C1452" s="6"/>
      <c r="D1452" s="6" t="str">
        <f>VLOOKUP(B1452,'Veri doğrulama'!$D$6:$E$13,2,0)</f>
        <v>MEHMET YAZICI</v>
      </c>
      <c r="E1452" s="6" t="s">
        <v>242</v>
      </c>
      <c r="F1452" s="6" t="s">
        <v>237</v>
      </c>
      <c r="G1452" s="6" t="s">
        <v>26</v>
      </c>
      <c r="H1452" s="6" t="s">
        <v>34</v>
      </c>
      <c r="I1452" s="6">
        <v>539</v>
      </c>
      <c r="J1452" s="6">
        <v>406</v>
      </c>
      <c r="K1452" s="6">
        <v>1</v>
      </c>
      <c r="L1452" s="10">
        <f t="shared" si="40"/>
        <v>0.64800000000000002</v>
      </c>
      <c r="M1452" s="15" t="s">
        <v>41</v>
      </c>
      <c r="N1452" s="6" t="s">
        <v>179</v>
      </c>
      <c r="O1452" s="6"/>
      <c r="P1452" s="17" t="s">
        <v>54</v>
      </c>
      <c r="Q1452" s="17" t="s">
        <v>54</v>
      </c>
      <c r="R1452" s="17"/>
    </row>
    <row r="1453" spans="1:18" ht="30" customHeight="1" x14ac:dyDescent="0.3">
      <c r="A1453" s="7">
        <v>45671</v>
      </c>
      <c r="B1453" s="6" t="s">
        <v>4</v>
      </c>
      <c r="C1453" s="6"/>
      <c r="D1453" s="6" t="str">
        <f>VLOOKUP(B1453,'Veri doğrulama'!$D$6:$E$13,2,0)</f>
        <v>MEHMET YAZICI</v>
      </c>
      <c r="E1453" s="6"/>
      <c r="F1453" s="6" t="s">
        <v>225</v>
      </c>
      <c r="G1453" s="6" t="s">
        <v>17</v>
      </c>
      <c r="H1453" s="6" t="s">
        <v>34</v>
      </c>
      <c r="I1453" s="6">
        <v>539</v>
      </c>
      <c r="J1453" s="6">
        <v>406</v>
      </c>
      <c r="K1453" s="6">
        <v>1</v>
      </c>
      <c r="L1453" s="10">
        <f t="shared" si="40"/>
        <v>0.218834</v>
      </c>
      <c r="M1453" s="6" t="s">
        <v>103</v>
      </c>
      <c r="N1453" s="6" t="s">
        <v>179</v>
      </c>
      <c r="O1453" s="6"/>
      <c r="P1453" s="17" t="s">
        <v>54</v>
      </c>
      <c r="Q1453" s="17" t="s">
        <v>54</v>
      </c>
      <c r="R1453" s="17"/>
    </row>
    <row r="1454" spans="1:18" ht="30" customHeight="1" x14ac:dyDescent="0.3">
      <c r="A1454" s="7">
        <v>45671</v>
      </c>
      <c r="B1454" s="6" t="s">
        <v>4</v>
      </c>
      <c r="C1454" s="6"/>
      <c r="D1454" s="6" t="str">
        <f>VLOOKUP(B1454,'Veri doğrulama'!$D$6:$E$13,2,0)</f>
        <v>MEHMET YAZICI</v>
      </c>
      <c r="E1454" s="6"/>
      <c r="F1454" s="6" t="s">
        <v>225</v>
      </c>
      <c r="G1454" s="6" t="s">
        <v>17</v>
      </c>
      <c r="H1454" s="6" t="s">
        <v>34</v>
      </c>
      <c r="I1454" s="6">
        <v>539</v>
      </c>
      <c r="J1454" s="6">
        <v>406</v>
      </c>
      <c r="K1454" s="6">
        <v>1</v>
      </c>
      <c r="L1454" s="10">
        <f t="shared" si="40"/>
        <v>0.218834</v>
      </c>
      <c r="M1454" s="6" t="s">
        <v>39</v>
      </c>
      <c r="N1454" s="6" t="s">
        <v>179</v>
      </c>
      <c r="O1454" s="6"/>
      <c r="P1454" s="17" t="s">
        <v>54</v>
      </c>
      <c r="Q1454" s="17" t="s">
        <v>54</v>
      </c>
      <c r="R1454" s="17" t="s">
        <v>54</v>
      </c>
    </row>
    <row r="1455" spans="1:18" ht="30" customHeight="1" x14ac:dyDescent="0.3">
      <c r="A1455" s="7">
        <v>45671</v>
      </c>
      <c r="B1455" s="6" t="s">
        <v>5</v>
      </c>
      <c r="C1455" s="6"/>
      <c r="D1455" s="6" t="str">
        <f>VLOOKUP(B1455,'Veri doğrulama'!$D$6:$E$13,2,0)</f>
        <v>MEHMET ÖZEN</v>
      </c>
      <c r="E1455" s="6"/>
      <c r="F1455" s="6" t="s">
        <v>253</v>
      </c>
      <c r="G1455" s="6" t="s">
        <v>30</v>
      </c>
      <c r="H1455" s="6" t="s">
        <v>34</v>
      </c>
      <c r="I1455" s="6">
        <v>1800</v>
      </c>
      <c r="J1455" s="6">
        <v>800</v>
      </c>
      <c r="K1455" s="6">
        <v>1</v>
      </c>
      <c r="L1455" s="10">
        <f t="shared" si="40"/>
        <v>0.218834</v>
      </c>
      <c r="M1455" s="6" t="s">
        <v>102</v>
      </c>
      <c r="N1455" s="6"/>
      <c r="O1455" s="6"/>
      <c r="P1455" s="17" t="s">
        <v>54</v>
      </c>
      <c r="Q1455" s="17" t="s">
        <v>54</v>
      </c>
      <c r="R1455" s="17" t="s">
        <v>54</v>
      </c>
    </row>
    <row r="1456" spans="1:18" ht="30" customHeight="1" x14ac:dyDescent="0.3">
      <c r="A1456" s="7">
        <v>45671</v>
      </c>
      <c r="B1456" s="6" t="s">
        <v>5</v>
      </c>
      <c r="C1456" s="6"/>
      <c r="D1456" s="6" t="str">
        <f>VLOOKUP(B1456,'Veri doğrulama'!$D$6:$E$13,2,0)</f>
        <v>MEHMET ÖZEN</v>
      </c>
      <c r="E1456" s="6"/>
      <c r="F1456" s="6" t="s">
        <v>226</v>
      </c>
      <c r="G1456" s="6" t="s">
        <v>30</v>
      </c>
      <c r="H1456" s="6" t="s">
        <v>35</v>
      </c>
      <c r="I1456" s="6">
        <v>2220</v>
      </c>
      <c r="J1456" s="6">
        <v>970</v>
      </c>
      <c r="K1456" s="6">
        <v>1</v>
      </c>
      <c r="L1456" s="10">
        <f t="shared" si="40"/>
        <v>1.44</v>
      </c>
      <c r="M1456" s="6" t="s">
        <v>75</v>
      </c>
      <c r="N1456" s="15"/>
      <c r="O1456" s="15"/>
      <c r="P1456" s="17" t="s">
        <v>54</v>
      </c>
      <c r="Q1456" s="17" t="s">
        <v>54</v>
      </c>
      <c r="R1456" s="17" t="s">
        <v>54</v>
      </c>
    </row>
    <row r="1457" spans="1:18" ht="30" customHeight="1" x14ac:dyDescent="0.3">
      <c r="A1457" s="7">
        <v>45671</v>
      </c>
      <c r="B1457" s="6" t="s">
        <v>4</v>
      </c>
      <c r="C1457" s="6"/>
      <c r="D1457" s="6" t="str">
        <f>VLOOKUP(B1457,'Veri doğrulama'!$D$6:$E$13,2,0)</f>
        <v>MEHMET YAZICI</v>
      </c>
      <c r="E1457" s="6" t="s">
        <v>255</v>
      </c>
      <c r="F1457" s="6" t="s">
        <v>144</v>
      </c>
      <c r="G1457" s="6" t="s">
        <v>19</v>
      </c>
      <c r="H1457" s="6" t="s">
        <v>33</v>
      </c>
      <c r="I1457" s="6">
        <v>1800</v>
      </c>
      <c r="J1457" s="6">
        <v>415</v>
      </c>
      <c r="K1457" s="6">
        <v>1</v>
      </c>
      <c r="L1457" s="10">
        <f t="shared" si="40"/>
        <v>2.1534</v>
      </c>
      <c r="M1457" s="6" t="s">
        <v>103</v>
      </c>
      <c r="N1457" s="15" t="s">
        <v>179</v>
      </c>
      <c r="O1457" s="15"/>
      <c r="P1457" s="17" t="s">
        <v>54</v>
      </c>
      <c r="Q1457" s="17" t="s">
        <v>54</v>
      </c>
      <c r="R1457" s="17" t="s">
        <v>54</v>
      </c>
    </row>
    <row r="1458" spans="1:18" ht="30" customHeight="1" x14ac:dyDescent="0.3">
      <c r="A1458" s="7">
        <v>45671</v>
      </c>
      <c r="B1458" s="6" t="s">
        <v>7</v>
      </c>
      <c r="C1458" s="6"/>
      <c r="D1458" s="6" t="str">
        <f>VLOOKUP(B1458,'Veri doğrulama'!$D$6:$E$13,2,0)</f>
        <v>SIDDIK KAPLAN</v>
      </c>
      <c r="E1458" s="6"/>
      <c r="F1458" s="6" t="s">
        <v>216</v>
      </c>
      <c r="G1458" s="6" t="s">
        <v>19</v>
      </c>
      <c r="H1458" s="6" t="s">
        <v>34</v>
      </c>
      <c r="I1458" s="6">
        <v>1800</v>
      </c>
      <c r="J1458" s="6">
        <v>415</v>
      </c>
      <c r="K1458" s="6">
        <v>1</v>
      </c>
      <c r="L1458" s="10">
        <f t="shared" si="40"/>
        <v>0.747</v>
      </c>
      <c r="M1458" s="15" t="s">
        <v>43</v>
      </c>
      <c r="N1458" s="15"/>
      <c r="O1458" s="15"/>
      <c r="P1458" s="17" t="s">
        <v>54</v>
      </c>
      <c r="Q1458" s="17" t="s">
        <v>54</v>
      </c>
      <c r="R1458" s="17"/>
    </row>
    <row r="1459" spans="1:18" ht="30" customHeight="1" x14ac:dyDescent="0.3">
      <c r="A1459" s="7">
        <v>45670</v>
      </c>
      <c r="B1459" s="6" t="s">
        <v>4</v>
      </c>
      <c r="C1459" s="6"/>
      <c r="D1459" s="6" t="str">
        <f>VLOOKUP(B1459,'Veri doğrulama'!$D$6:$E$13,2,0)</f>
        <v>MEHMET YAZICI</v>
      </c>
      <c r="E1459" s="6"/>
      <c r="F1459" s="6" t="s">
        <v>215</v>
      </c>
      <c r="G1459" s="6" t="s">
        <v>19</v>
      </c>
      <c r="H1459" s="6" t="s">
        <v>34</v>
      </c>
      <c r="I1459" s="6">
        <v>1930</v>
      </c>
      <c r="J1459" s="6">
        <v>300</v>
      </c>
      <c r="K1459" s="6">
        <v>1</v>
      </c>
      <c r="L1459" s="10">
        <f t="shared" si="40"/>
        <v>0.747</v>
      </c>
      <c r="M1459" s="15" t="s">
        <v>156</v>
      </c>
      <c r="N1459" s="6" t="s">
        <v>179</v>
      </c>
      <c r="O1459" s="6"/>
      <c r="P1459" s="17" t="s">
        <v>54</v>
      </c>
      <c r="Q1459" s="17" t="s">
        <v>54</v>
      </c>
      <c r="R1459" s="17"/>
    </row>
    <row r="1460" spans="1:18" ht="30" customHeight="1" x14ac:dyDescent="0.3">
      <c r="A1460" s="7">
        <v>45670</v>
      </c>
      <c r="B1460" s="6" t="s">
        <v>4</v>
      </c>
      <c r="C1460" s="6"/>
      <c r="D1460" s="6" t="str">
        <f>VLOOKUP(B1460,'Veri doğrulama'!$D$6:$E$13,2,0)</f>
        <v>MEHMET YAZICI</v>
      </c>
      <c r="E1460" s="6" t="s">
        <v>218</v>
      </c>
      <c r="F1460" s="6" t="s">
        <v>213</v>
      </c>
      <c r="G1460" s="6" t="s">
        <v>19</v>
      </c>
      <c r="H1460" s="6" t="s">
        <v>34</v>
      </c>
      <c r="I1460" s="6">
        <v>350</v>
      </c>
      <c r="J1460" s="6">
        <v>2386</v>
      </c>
      <c r="K1460" s="6">
        <v>1</v>
      </c>
      <c r="L1460" s="10">
        <f t="shared" si="40"/>
        <v>0.57899999999999996</v>
      </c>
      <c r="M1460" s="15" t="s">
        <v>43</v>
      </c>
      <c r="N1460" s="6" t="s">
        <v>179</v>
      </c>
      <c r="O1460" s="6"/>
      <c r="P1460" s="17" t="s">
        <v>54</v>
      </c>
      <c r="Q1460" s="17" t="s">
        <v>54</v>
      </c>
      <c r="R1460" s="17" t="s">
        <v>54</v>
      </c>
    </row>
    <row r="1461" spans="1:18" ht="30" customHeight="1" x14ac:dyDescent="0.3">
      <c r="A1461" s="7">
        <v>45670</v>
      </c>
      <c r="B1461" s="6" t="s">
        <v>7</v>
      </c>
      <c r="C1461" s="6"/>
      <c r="D1461" s="6" t="str">
        <f>VLOOKUP(B1461,'Veri doğrulama'!$D$6:$E$13,2,0)</f>
        <v>SIDDIK KAPLAN</v>
      </c>
      <c r="E1461" s="6"/>
      <c r="F1461" s="6" t="s">
        <v>265</v>
      </c>
      <c r="G1461" s="6" t="s">
        <v>14</v>
      </c>
      <c r="H1461" s="6" t="s">
        <v>34</v>
      </c>
      <c r="I1461" s="6">
        <v>750</v>
      </c>
      <c r="J1461" s="6">
        <v>600</v>
      </c>
      <c r="K1461" s="6">
        <v>1</v>
      </c>
      <c r="L1461" s="10">
        <f t="shared" si="40"/>
        <v>0.83509999999999995</v>
      </c>
      <c r="M1461" s="6" t="s">
        <v>75</v>
      </c>
      <c r="N1461" s="6" t="s">
        <v>266</v>
      </c>
      <c r="O1461" s="6"/>
      <c r="P1461" s="17" t="s">
        <v>54</v>
      </c>
      <c r="Q1461" s="17" t="s">
        <v>54</v>
      </c>
      <c r="R1461" s="17"/>
    </row>
    <row r="1462" spans="1:18" ht="30" customHeight="1" x14ac:dyDescent="0.3">
      <c r="A1462" s="7">
        <v>45670</v>
      </c>
      <c r="B1462" s="6" t="s">
        <v>5</v>
      </c>
      <c r="C1462" s="6"/>
      <c r="D1462" s="6" t="str">
        <f>VLOOKUP(B1462,'Veri doğrulama'!$D$6:$E$13,2,0)</f>
        <v>MEHMET ÖZEN</v>
      </c>
      <c r="E1462" s="6" t="s">
        <v>214</v>
      </c>
      <c r="F1462" s="6" t="s">
        <v>217</v>
      </c>
      <c r="G1462" s="6" t="s">
        <v>14</v>
      </c>
      <c r="H1462" s="6" t="s">
        <v>34</v>
      </c>
      <c r="I1462" s="6">
        <v>2200</v>
      </c>
      <c r="J1462" s="6">
        <v>450</v>
      </c>
      <c r="K1462" s="6">
        <v>1</v>
      </c>
      <c r="L1462" s="10">
        <f t="shared" si="40"/>
        <v>0.45</v>
      </c>
      <c r="M1462" s="6" t="s">
        <v>42</v>
      </c>
      <c r="N1462" s="6" t="s">
        <v>195</v>
      </c>
      <c r="O1462" s="6"/>
      <c r="P1462" s="17" t="s">
        <v>54</v>
      </c>
      <c r="Q1462" s="17" t="s">
        <v>54</v>
      </c>
      <c r="R1462" s="17" t="s">
        <v>54</v>
      </c>
    </row>
    <row r="1463" spans="1:18" ht="30" customHeight="1" x14ac:dyDescent="0.3">
      <c r="A1463" s="7">
        <v>45670</v>
      </c>
      <c r="B1463" s="6" t="s">
        <v>7</v>
      </c>
      <c r="C1463" s="6"/>
      <c r="D1463" s="6" t="str">
        <f>VLOOKUP(B1463,'Veri doğrulama'!$D$6:$E$13,2,0)</f>
        <v>SIDDIK KAPLAN</v>
      </c>
      <c r="E1463" s="6" t="s">
        <v>257</v>
      </c>
      <c r="F1463" s="6" t="s">
        <v>259</v>
      </c>
      <c r="G1463" s="6" t="s">
        <v>13</v>
      </c>
      <c r="H1463" s="6" t="s">
        <v>34</v>
      </c>
      <c r="I1463" s="6">
        <v>677</v>
      </c>
      <c r="J1463" s="6">
        <v>447</v>
      </c>
      <c r="K1463" s="6">
        <v>1</v>
      </c>
      <c r="L1463" s="10">
        <f t="shared" si="40"/>
        <v>0.99</v>
      </c>
      <c r="M1463" s="6" t="s">
        <v>43</v>
      </c>
      <c r="N1463" s="6" t="s">
        <v>260</v>
      </c>
      <c r="O1463" s="6"/>
      <c r="P1463" s="17" t="s">
        <v>54</v>
      </c>
      <c r="Q1463" s="17" t="s">
        <v>54</v>
      </c>
      <c r="R1463" s="17" t="s">
        <v>54</v>
      </c>
    </row>
    <row r="1464" spans="1:18" ht="30" customHeight="1" x14ac:dyDescent="0.3">
      <c r="A1464" s="7">
        <v>45670</v>
      </c>
      <c r="B1464" s="6" t="s">
        <v>4</v>
      </c>
      <c r="C1464" s="6"/>
      <c r="D1464" s="6" t="str">
        <f>VLOOKUP(B1464,'Veri doğrulama'!$D$6:$E$13,2,0)</f>
        <v>MEHMET YAZICI</v>
      </c>
      <c r="E1464" s="6" t="s">
        <v>219</v>
      </c>
      <c r="F1464" s="6" t="s">
        <v>211</v>
      </c>
      <c r="G1464" s="6" t="s">
        <v>13</v>
      </c>
      <c r="H1464" s="6" t="s">
        <v>34</v>
      </c>
      <c r="I1464" s="6">
        <v>1400</v>
      </c>
      <c r="J1464" s="6">
        <v>500</v>
      </c>
      <c r="K1464" s="6">
        <v>1</v>
      </c>
      <c r="L1464" s="10">
        <f t="shared" si="40"/>
        <v>0.90785700000000014</v>
      </c>
      <c r="M1464" s="6" t="s">
        <v>103</v>
      </c>
      <c r="N1464" s="6" t="s">
        <v>179</v>
      </c>
      <c r="O1464" s="6"/>
      <c r="P1464" s="17" t="s">
        <v>54</v>
      </c>
      <c r="Q1464" s="17" t="s">
        <v>54</v>
      </c>
      <c r="R1464" s="17"/>
    </row>
    <row r="1465" spans="1:18" ht="30" customHeight="1" x14ac:dyDescent="0.3">
      <c r="A1465" s="7">
        <v>45670</v>
      </c>
      <c r="B1465" s="6" t="s">
        <v>5</v>
      </c>
      <c r="C1465" s="6"/>
      <c r="D1465" s="6" t="str">
        <f>VLOOKUP(B1465,'Veri doğrulama'!$D$6:$E$13,2,0)</f>
        <v>MEHMET ÖZEN</v>
      </c>
      <c r="E1465" s="6" t="s">
        <v>261</v>
      </c>
      <c r="F1465" s="6" t="s">
        <v>241</v>
      </c>
      <c r="G1465" s="6" t="s">
        <v>27</v>
      </c>
      <c r="H1465" s="6" t="s">
        <v>35</v>
      </c>
      <c r="I1465" s="6">
        <v>2000</v>
      </c>
      <c r="J1465" s="6">
        <v>550</v>
      </c>
      <c r="K1465" s="6">
        <v>3</v>
      </c>
      <c r="L1465" s="10">
        <f t="shared" si="40"/>
        <v>0.7</v>
      </c>
      <c r="M1465" s="6" t="s">
        <v>43</v>
      </c>
      <c r="N1465" s="6" t="s">
        <v>195</v>
      </c>
      <c r="O1465" s="6"/>
      <c r="P1465" s="17" t="s">
        <v>54</v>
      </c>
      <c r="Q1465" s="17" t="s">
        <v>54</v>
      </c>
      <c r="R1465" s="17" t="s">
        <v>54</v>
      </c>
    </row>
    <row r="1466" spans="1:18" ht="30" customHeight="1" x14ac:dyDescent="0.3">
      <c r="A1466" s="7">
        <v>45670</v>
      </c>
      <c r="B1466" s="6" t="s">
        <v>5</v>
      </c>
      <c r="C1466" s="6"/>
      <c r="D1466" s="6" t="str">
        <f>VLOOKUP(B1466,'Veri doğrulama'!$D$6:$E$13,2,0)</f>
        <v>MEHMET ÖZEN</v>
      </c>
      <c r="E1466" s="6"/>
      <c r="F1466" s="6" t="s">
        <v>113</v>
      </c>
      <c r="G1466" s="6" t="s">
        <v>110</v>
      </c>
      <c r="H1466" s="6" t="s">
        <v>34</v>
      </c>
      <c r="I1466" s="6">
        <v>650</v>
      </c>
      <c r="J1466" s="6">
        <v>900</v>
      </c>
      <c r="K1466" s="6">
        <v>1</v>
      </c>
      <c r="L1466" s="10">
        <f t="shared" si="40"/>
        <v>1.1000000000000001</v>
      </c>
      <c r="M1466" s="6" t="s">
        <v>103</v>
      </c>
      <c r="N1466" s="6"/>
      <c r="O1466" s="6"/>
      <c r="P1466" s="17" t="s">
        <v>54</v>
      </c>
      <c r="Q1466" s="17" t="s">
        <v>54</v>
      </c>
      <c r="R1466" s="17"/>
    </row>
    <row r="1467" spans="1:18" ht="30" customHeight="1" x14ac:dyDescent="0.3">
      <c r="A1467" s="7">
        <v>45667</v>
      </c>
      <c r="B1467" s="6" t="s">
        <v>4</v>
      </c>
      <c r="C1467" s="6"/>
      <c r="D1467" s="6" t="str">
        <f>VLOOKUP(B1467,'Veri doğrulama'!$D$6:$E$13,2,0)</f>
        <v>MEHMET YAZICI</v>
      </c>
      <c r="E1467" s="6"/>
      <c r="F1467" s="6" t="s">
        <v>332</v>
      </c>
      <c r="G1467" s="6" t="s">
        <v>22</v>
      </c>
      <c r="H1467" s="6" t="s">
        <v>34</v>
      </c>
      <c r="I1467" s="6">
        <v>955</v>
      </c>
      <c r="J1467" s="6">
        <v>456</v>
      </c>
      <c r="K1467" s="6">
        <v>1</v>
      </c>
      <c r="L1467" s="10">
        <f>I1466*J1466/1000000*K1468</f>
        <v>0.58499999999999996</v>
      </c>
      <c r="M1467" s="6" t="s">
        <v>38</v>
      </c>
      <c r="N1467" s="6" t="s">
        <v>185</v>
      </c>
      <c r="O1467" s="6"/>
      <c r="P1467" s="17" t="s">
        <v>54</v>
      </c>
      <c r="Q1467" s="17" t="s">
        <v>54</v>
      </c>
      <c r="R1467" s="17" t="s">
        <v>54</v>
      </c>
    </row>
    <row r="1468" spans="1:18" ht="30" customHeight="1" x14ac:dyDescent="0.3">
      <c r="A1468" s="7">
        <v>45667</v>
      </c>
      <c r="B1468" s="6" t="s">
        <v>4</v>
      </c>
      <c r="C1468" s="6"/>
      <c r="D1468" s="6" t="str">
        <f>VLOOKUP(B1468,'Veri doğrulama'!$D$6:$E$13,2,0)</f>
        <v>MEHMET YAZICI</v>
      </c>
      <c r="E1468" s="6" t="s">
        <v>114</v>
      </c>
      <c r="F1468" s="6" t="s">
        <v>211</v>
      </c>
      <c r="G1468" s="6" t="s">
        <v>13</v>
      </c>
      <c r="H1468" s="6" t="s">
        <v>34</v>
      </c>
      <c r="I1468" s="6">
        <v>1400</v>
      </c>
      <c r="J1468" s="6">
        <v>500</v>
      </c>
      <c r="K1468" s="6">
        <v>1</v>
      </c>
      <c r="L1468" s="10">
        <f t="shared" ref="L1468:L1513" si="41">J1467*I1467/1000000*K1469</f>
        <v>1.3064399999999998</v>
      </c>
      <c r="M1468" s="6" t="s">
        <v>102</v>
      </c>
      <c r="N1468" s="6" t="s">
        <v>179</v>
      </c>
      <c r="O1468" s="6"/>
      <c r="P1468" s="17" t="s">
        <v>54</v>
      </c>
      <c r="Q1468" s="17" t="s">
        <v>54</v>
      </c>
      <c r="R1468" s="17"/>
    </row>
    <row r="1469" spans="1:18" ht="30" customHeight="1" x14ac:dyDescent="0.3">
      <c r="A1469" s="7">
        <v>45667</v>
      </c>
      <c r="B1469" s="6" t="s">
        <v>4</v>
      </c>
      <c r="C1469" s="6"/>
      <c r="D1469" s="6" t="str">
        <f>VLOOKUP(B1469,'Veri doğrulama'!$D$6:$E$13,2,0)</f>
        <v>MEHMET YAZICI</v>
      </c>
      <c r="E1469" s="6"/>
      <c r="F1469" s="6" t="s">
        <v>127</v>
      </c>
      <c r="G1469" s="6" t="s">
        <v>19</v>
      </c>
      <c r="H1469" s="6" t="s">
        <v>35</v>
      </c>
      <c r="I1469" s="6">
        <v>580</v>
      </c>
      <c r="J1469" s="6">
        <v>447</v>
      </c>
      <c r="K1469" s="6">
        <v>3</v>
      </c>
      <c r="L1469" s="10">
        <f t="shared" si="41"/>
        <v>0.7</v>
      </c>
      <c r="M1469" s="6" t="s">
        <v>39</v>
      </c>
      <c r="N1469" s="6" t="s">
        <v>179</v>
      </c>
      <c r="O1469" s="6"/>
      <c r="P1469" s="17" t="s">
        <v>54</v>
      </c>
      <c r="Q1469" s="17" t="s">
        <v>54</v>
      </c>
      <c r="R1469" s="17" t="s">
        <v>54</v>
      </c>
    </row>
    <row r="1470" spans="1:18" ht="30" customHeight="1" x14ac:dyDescent="0.3">
      <c r="A1470" s="7">
        <v>45667</v>
      </c>
      <c r="B1470" s="6" t="s">
        <v>4</v>
      </c>
      <c r="C1470" s="6"/>
      <c r="D1470" s="6" t="str">
        <f>VLOOKUP(B1470,'Veri doğrulama'!$D$6:$E$13,2,0)</f>
        <v>MEHMET YAZICI</v>
      </c>
      <c r="E1470" s="6"/>
      <c r="F1470" s="6" t="s">
        <v>201</v>
      </c>
      <c r="G1470" s="6" t="s">
        <v>19</v>
      </c>
      <c r="H1470" s="6" t="s">
        <v>34</v>
      </c>
      <c r="I1470" s="6">
        <v>1800</v>
      </c>
      <c r="J1470" s="6">
        <v>360</v>
      </c>
      <c r="K1470" s="6">
        <v>1</v>
      </c>
      <c r="L1470" s="10">
        <f t="shared" si="41"/>
        <v>0.25925999999999999</v>
      </c>
      <c r="M1470" s="6" t="s">
        <v>75</v>
      </c>
      <c r="N1470" s="6" t="s">
        <v>179</v>
      </c>
      <c r="O1470" s="6"/>
      <c r="P1470" s="17" t="s">
        <v>54</v>
      </c>
      <c r="Q1470" s="17" t="s">
        <v>54</v>
      </c>
      <c r="R1470" s="17" t="s">
        <v>54</v>
      </c>
    </row>
    <row r="1471" spans="1:18" ht="30" customHeight="1" x14ac:dyDescent="0.3">
      <c r="A1471" s="7">
        <v>45666</v>
      </c>
      <c r="B1471" s="6" t="s">
        <v>5</v>
      </c>
      <c r="C1471" s="6"/>
      <c r="D1471" s="6" t="str">
        <f>VLOOKUP(B1471,'Veri doğrulama'!$D$6:$E$13,2,0)</f>
        <v>MEHMET ÖZEN</v>
      </c>
      <c r="E1471" s="6"/>
      <c r="F1471" s="6" t="s">
        <v>226</v>
      </c>
      <c r="G1471" s="6" t="s">
        <v>16</v>
      </c>
      <c r="H1471" s="6" t="s">
        <v>34</v>
      </c>
      <c r="I1471" s="6">
        <v>1120</v>
      </c>
      <c r="J1471" s="6">
        <v>530</v>
      </c>
      <c r="K1471" s="6">
        <v>1</v>
      </c>
      <c r="L1471" s="10">
        <f t="shared" si="41"/>
        <v>0.64800000000000002</v>
      </c>
      <c r="M1471" s="6" t="s">
        <v>102</v>
      </c>
      <c r="N1471" s="6"/>
      <c r="O1471" s="6"/>
      <c r="P1471" s="17" t="s">
        <v>54</v>
      </c>
      <c r="Q1471" s="17" t="s">
        <v>54</v>
      </c>
      <c r="R1471" s="17" t="s">
        <v>54</v>
      </c>
    </row>
    <row r="1472" spans="1:18" ht="30" customHeight="1" x14ac:dyDescent="0.3">
      <c r="A1472" s="7">
        <v>45666</v>
      </c>
      <c r="B1472" s="6" t="s">
        <v>4</v>
      </c>
      <c r="C1472" s="6"/>
      <c r="D1472" s="6" t="str">
        <f>VLOOKUP(B1472,'Veri doğrulama'!$D$6:$E$13,2,0)</f>
        <v>MEHMET YAZICI</v>
      </c>
      <c r="E1472" s="6">
        <v>20900</v>
      </c>
      <c r="F1472" s="6" t="s">
        <v>133</v>
      </c>
      <c r="G1472" s="6" t="s">
        <v>16</v>
      </c>
      <c r="H1472" s="6" t="s">
        <v>34</v>
      </c>
      <c r="I1472" s="6">
        <v>449</v>
      </c>
      <c r="J1472" s="6">
        <v>435</v>
      </c>
      <c r="K1472" s="6">
        <v>1</v>
      </c>
      <c r="L1472" s="10">
        <f t="shared" si="41"/>
        <v>0.59360000000000002</v>
      </c>
      <c r="M1472" s="6" t="s">
        <v>43</v>
      </c>
      <c r="N1472" s="6" t="s">
        <v>185</v>
      </c>
      <c r="O1472" s="6"/>
      <c r="P1472" s="17" t="s">
        <v>54</v>
      </c>
      <c r="Q1472" s="17" t="s">
        <v>54</v>
      </c>
      <c r="R1472" s="17" t="s">
        <v>54</v>
      </c>
    </row>
    <row r="1473" spans="1:18" ht="30" customHeight="1" x14ac:dyDescent="0.3">
      <c r="A1473" s="7">
        <v>45666</v>
      </c>
      <c r="B1473" s="6" t="s">
        <v>5</v>
      </c>
      <c r="C1473" s="6"/>
      <c r="D1473" s="6" t="str">
        <f>VLOOKUP(B1473,'Veri doğrulama'!$D$6:$E$13,2,0)</f>
        <v>MEHMET ÖZEN</v>
      </c>
      <c r="E1473" s="6" t="s">
        <v>228</v>
      </c>
      <c r="F1473" s="6" t="s">
        <v>197</v>
      </c>
      <c r="G1473" s="6" t="s">
        <v>16</v>
      </c>
      <c r="H1473" s="6" t="s">
        <v>34</v>
      </c>
      <c r="I1473" s="6">
        <v>2220</v>
      </c>
      <c r="J1473" s="6">
        <v>970</v>
      </c>
      <c r="K1473" s="6">
        <v>1</v>
      </c>
      <c r="L1473" s="10">
        <f t="shared" si="41"/>
        <v>0.19531499999999999</v>
      </c>
      <c r="M1473" s="6" t="s">
        <v>43</v>
      </c>
      <c r="N1473" s="6"/>
      <c r="O1473" s="6"/>
      <c r="P1473" s="17" t="s">
        <v>54</v>
      </c>
      <c r="Q1473" s="17" t="s">
        <v>54</v>
      </c>
      <c r="R1473" s="17"/>
    </row>
    <row r="1474" spans="1:18" ht="30" customHeight="1" x14ac:dyDescent="0.3">
      <c r="A1474" s="7">
        <v>45666</v>
      </c>
      <c r="B1474" s="6" t="s">
        <v>5</v>
      </c>
      <c r="C1474" s="6"/>
      <c r="D1474" s="6" t="str">
        <f>VLOOKUP(B1474,'Veri doğrulama'!$D$6:$E$13,2,0)</f>
        <v>MEHMET ÖZEN</v>
      </c>
      <c r="E1474" s="6" t="s">
        <v>203</v>
      </c>
      <c r="F1474" s="6" t="s">
        <v>197</v>
      </c>
      <c r="G1474" s="6" t="s">
        <v>16</v>
      </c>
      <c r="H1474" s="6" t="s">
        <v>33</v>
      </c>
      <c r="I1474" s="6">
        <v>2220</v>
      </c>
      <c r="J1474" s="6">
        <v>970</v>
      </c>
      <c r="K1474" s="6">
        <v>1</v>
      </c>
      <c r="L1474" s="10">
        <f t="shared" si="41"/>
        <v>6.4602000000000004</v>
      </c>
      <c r="M1474" s="6" t="s">
        <v>43</v>
      </c>
      <c r="N1474" s="6"/>
      <c r="O1474" s="6"/>
      <c r="P1474" s="17" t="s">
        <v>54</v>
      </c>
      <c r="Q1474" s="17" t="s">
        <v>54</v>
      </c>
      <c r="R1474" s="17"/>
    </row>
    <row r="1475" spans="1:18" ht="30" customHeight="1" x14ac:dyDescent="0.3">
      <c r="A1475" s="7">
        <v>45666</v>
      </c>
      <c r="B1475" s="6" t="s">
        <v>4</v>
      </c>
      <c r="C1475" s="6"/>
      <c r="D1475" s="6" t="str">
        <f>VLOOKUP(B1475,'Veri doğrulama'!$D$6:$E$13,2,0)</f>
        <v>MEHMET YAZICI</v>
      </c>
      <c r="E1475" s="6"/>
      <c r="F1475" s="6" t="s">
        <v>211</v>
      </c>
      <c r="G1475" s="6" t="s">
        <v>23</v>
      </c>
      <c r="H1475" s="6" t="s">
        <v>34</v>
      </c>
      <c r="I1475" s="6">
        <v>1400</v>
      </c>
      <c r="J1475" s="6">
        <v>500</v>
      </c>
      <c r="K1475" s="6">
        <v>3</v>
      </c>
      <c r="L1475" s="10">
        <f t="shared" si="41"/>
        <v>6.4602000000000004</v>
      </c>
      <c r="M1475" s="6" t="s">
        <v>43</v>
      </c>
      <c r="N1475" s="6" t="s">
        <v>385</v>
      </c>
      <c r="O1475" s="6"/>
      <c r="P1475" s="17" t="s">
        <v>54</v>
      </c>
      <c r="Q1475" s="17" t="s">
        <v>54</v>
      </c>
      <c r="R1475" s="17" t="s">
        <v>54</v>
      </c>
    </row>
    <row r="1476" spans="1:18" ht="30" customHeight="1" x14ac:dyDescent="0.3">
      <c r="A1476" s="7">
        <v>45666</v>
      </c>
      <c r="B1476" s="6" t="s">
        <v>4</v>
      </c>
      <c r="C1476" s="6"/>
      <c r="D1476" s="6" t="str">
        <f>VLOOKUP(B1476,'Veri doğrulama'!$D$6:$E$13,2,0)</f>
        <v>MEHMET YAZICI</v>
      </c>
      <c r="E1476" s="6"/>
      <c r="F1476" s="6" t="s">
        <v>220</v>
      </c>
      <c r="G1476" s="6" t="s">
        <v>18</v>
      </c>
      <c r="H1476" s="6" t="s">
        <v>35</v>
      </c>
      <c r="I1476" s="6">
        <v>900</v>
      </c>
      <c r="J1476" s="6">
        <v>320</v>
      </c>
      <c r="K1476" s="6">
        <v>3</v>
      </c>
      <c r="L1476" s="10">
        <f t="shared" si="41"/>
        <v>0.7</v>
      </c>
      <c r="M1476" s="6" t="s">
        <v>43</v>
      </c>
      <c r="N1476" s="6" t="s">
        <v>157</v>
      </c>
      <c r="O1476" s="6"/>
      <c r="P1476" s="17" t="s">
        <v>54</v>
      </c>
      <c r="Q1476" s="17" t="s">
        <v>54</v>
      </c>
      <c r="R1476" s="17"/>
    </row>
    <row r="1477" spans="1:18" ht="30" customHeight="1" x14ac:dyDescent="0.3">
      <c r="A1477" s="7">
        <v>45666</v>
      </c>
      <c r="B1477" s="6" t="s">
        <v>4</v>
      </c>
      <c r="C1477" s="6"/>
      <c r="D1477" s="6" t="str">
        <f>VLOOKUP(B1477,'Veri doğrulama'!$D$6:$E$13,2,0)</f>
        <v>MEHMET YAZICI</v>
      </c>
      <c r="E1477" s="6" t="s">
        <v>435</v>
      </c>
      <c r="F1477" s="6" t="s">
        <v>204</v>
      </c>
      <c r="G1477" s="6" t="s">
        <v>13</v>
      </c>
      <c r="H1477" s="6" t="s">
        <v>34</v>
      </c>
      <c r="I1477" s="6">
        <v>2200</v>
      </c>
      <c r="J1477" s="6">
        <v>450</v>
      </c>
      <c r="K1477" s="6">
        <v>1</v>
      </c>
      <c r="L1477" s="10">
        <f t="shared" si="41"/>
        <v>0.28799999999999998</v>
      </c>
      <c r="M1477" s="6" t="s">
        <v>42</v>
      </c>
      <c r="N1477" s="6" t="s">
        <v>185</v>
      </c>
      <c r="O1477" s="6"/>
      <c r="P1477" s="17" t="s">
        <v>54</v>
      </c>
      <c r="Q1477" s="17" t="s">
        <v>54</v>
      </c>
      <c r="R1477" s="17" t="s">
        <v>54</v>
      </c>
    </row>
    <row r="1478" spans="1:18" ht="30" customHeight="1" x14ac:dyDescent="0.3">
      <c r="A1478" s="7">
        <v>45666</v>
      </c>
      <c r="B1478" s="6" t="s">
        <v>4</v>
      </c>
      <c r="C1478" s="6"/>
      <c r="D1478" s="6" t="str">
        <f>VLOOKUP(B1478,'Veri doğrulama'!$D$6:$E$13,2,0)</f>
        <v>MEHMET YAZICI</v>
      </c>
      <c r="E1478" s="6"/>
      <c r="F1478" s="6" t="s">
        <v>270</v>
      </c>
      <c r="G1478" s="6" t="s">
        <v>24</v>
      </c>
      <c r="H1478" s="6" t="s">
        <v>34</v>
      </c>
      <c r="I1478" s="6">
        <v>1990</v>
      </c>
      <c r="J1478" s="6">
        <v>840</v>
      </c>
      <c r="K1478" s="6">
        <v>1</v>
      </c>
      <c r="L1478" s="10">
        <f t="shared" si="41"/>
        <v>0.99</v>
      </c>
      <c r="M1478" s="6" t="s">
        <v>43</v>
      </c>
      <c r="N1478" s="6" t="s">
        <v>179</v>
      </c>
      <c r="O1478" s="6"/>
      <c r="P1478" s="17" t="s">
        <v>54</v>
      </c>
      <c r="Q1478" s="17" t="s">
        <v>54</v>
      </c>
      <c r="R1478" s="17"/>
    </row>
    <row r="1479" spans="1:18" ht="30" customHeight="1" x14ac:dyDescent="0.3">
      <c r="A1479" s="7">
        <v>45666</v>
      </c>
      <c r="B1479" s="6" t="s">
        <v>5</v>
      </c>
      <c r="C1479" s="6"/>
      <c r="D1479" s="6" t="str">
        <f>VLOOKUP(B1479,'Veri doğrulama'!$D$6:$E$13,2,0)</f>
        <v>MEHMET ÖZEN</v>
      </c>
      <c r="E1479" s="6"/>
      <c r="F1479" s="6" t="s">
        <v>205</v>
      </c>
      <c r="G1479" s="6" t="s">
        <v>27</v>
      </c>
      <c r="H1479" s="6" t="s">
        <v>34</v>
      </c>
      <c r="I1479" s="6">
        <v>2200</v>
      </c>
      <c r="J1479" s="6">
        <v>415</v>
      </c>
      <c r="K1479" s="6">
        <v>1</v>
      </c>
      <c r="L1479" s="10">
        <f t="shared" si="41"/>
        <v>1.6716</v>
      </c>
      <c r="M1479" s="6" t="s">
        <v>103</v>
      </c>
      <c r="N1479" s="6" t="s">
        <v>318</v>
      </c>
      <c r="O1479" s="6"/>
      <c r="P1479" s="17" t="s">
        <v>54</v>
      </c>
      <c r="Q1479" s="17" t="s">
        <v>54</v>
      </c>
      <c r="R1479" s="17" t="s">
        <v>54</v>
      </c>
    </row>
    <row r="1480" spans="1:18" ht="30" customHeight="1" x14ac:dyDescent="0.3">
      <c r="A1480" s="7">
        <v>45666</v>
      </c>
      <c r="B1480" s="6" t="s">
        <v>5</v>
      </c>
      <c r="C1480" s="6"/>
      <c r="D1480" s="6" t="str">
        <f>VLOOKUP(B1480,'Veri doğrulama'!$D$6:$E$13,2,0)</f>
        <v>MEHMET ÖZEN</v>
      </c>
      <c r="E1480" s="6"/>
      <c r="F1480" s="6" t="s">
        <v>196</v>
      </c>
      <c r="G1480" s="6" t="s">
        <v>16</v>
      </c>
      <c r="H1480" s="6" t="s">
        <v>34</v>
      </c>
      <c r="I1480" s="6">
        <v>1400</v>
      </c>
      <c r="J1480" s="6">
        <v>800</v>
      </c>
      <c r="K1480" s="6">
        <v>1</v>
      </c>
      <c r="L1480" s="10">
        <f t="shared" si="41"/>
        <v>0.91300000000000003</v>
      </c>
      <c r="M1480" s="6" t="s">
        <v>75</v>
      </c>
      <c r="N1480" s="6" t="s">
        <v>209</v>
      </c>
      <c r="O1480" s="6"/>
      <c r="P1480" s="17" t="s">
        <v>54</v>
      </c>
      <c r="Q1480" s="17" t="s">
        <v>54</v>
      </c>
      <c r="R1480" s="17" t="s">
        <v>54</v>
      </c>
    </row>
    <row r="1481" spans="1:18" ht="30" customHeight="1" x14ac:dyDescent="0.3">
      <c r="A1481" s="7">
        <v>45665</v>
      </c>
      <c r="B1481" s="6" t="s">
        <v>5</v>
      </c>
      <c r="C1481" s="6"/>
      <c r="D1481" s="6" t="str">
        <f>VLOOKUP(B1481,'Veri doğrulama'!$D$6:$E$13,2,0)</f>
        <v>MEHMET ÖZEN</v>
      </c>
      <c r="E1481" s="6">
        <v>2000000</v>
      </c>
      <c r="F1481" s="6" t="s">
        <v>197</v>
      </c>
      <c r="G1481" s="6" t="s">
        <v>18</v>
      </c>
      <c r="H1481" s="6" t="s">
        <v>34</v>
      </c>
      <c r="I1481" s="6">
        <v>1120</v>
      </c>
      <c r="J1481" s="6">
        <v>530</v>
      </c>
      <c r="K1481" s="6">
        <v>1</v>
      </c>
      <c r="L1481" s="10">
        <f t="shared" si="41"/>
        <v>1.1200000000000001</v>
      </c>
      <c r="M1481" s="6" t="s">
        <v>75</v>
      </c>
      <c r="N1481" s="6"/>
      <c r="O1481" s="6"/>
      <c r="P1481" s="17" t="s">
        <v>54</v>
      </c>
      <c r="Q1481" s="17" t="s">
        <v>54</v>
      </c>
      <c r="R1481" s="17" t="s">
        <v>54</v>
      </c>
    </row>
    <row r="1482" spans="1:18" ht="30" customHeight="1" x14ac:dyDescent="0.3">
      <c r="A1482" s="7">
        <v>45665</v>
      </c>
      <c r="B1482" s="6" t="s">
        <v>4</v>
      </c>
      <c r="C1482" s="6"/>
      <c r="D1482" s="6" t="str">
        <f>VLOOKUP(B1482,'Veri doğrulama'!$D$6:$E$13,2,0)</f>
        <v>MEHMET YAZICI</v>
      </c>
      <c r="E1482" s="6"/>
      <c r="F1482" s="6" t="s">
        <v>186</v>
      </c>
      <c r="G1482" s="6" t="s">
        <v>18</v>
      </c>
      <c r="H1482" s="6" t="s">
        <v>34</v>
      </c>
      <c r="I1482" s="6">
        <v>698</v>
      </c>
      <c r="J1482" s="6">
        <v>435</v>
      </c>
      <c r="K1482" s="6">
        <v>1</v>
      </c>
      <c r="L1482" s="10">
        <f t="shared" si="41"/>
        <v>1.7808000000000002</v>
      </c>
      <c r="M1482" s="6" t="s">
        <v>43</v>
      </c>
      <c r="N1482" s="6" t="s">
        <v>157</v>
      </c>
      <c r="O1482" s="6"/>
      <c r="P1482" s="17" t="s">
        <v>54</v>
      </c>
      <c r="Q1482" s="17" t="s">
        <v>54</v>
      </c>
      <c r="R1482" s="17"/>
    </row>
    <row r="1483" spans="1:18" ht="30" customHeight="1" x14ac:dyDescent="0.3">
      <c r="A1483" s="7">
        <v>45665</v>
      </c>
      <c r="B1483" s="6" t="s">
        <v>4</v>
      </c>
      <c r="C1483" s="6"/>
      <c r="D1483" s="6" t="str">
        <f>VLOOKUP(B1483,'Veri doğrulama'!$D$6:$E$13,2,0)</f>
        <v>MEHMET YAZICI</v>
      </c>
      <c r="E1483" s="6" t="s">
        <v>199</v>
      </c>
      <c r="F1483" s="6" t="s">
        <v>184</v>
      </c>
      <c r="G1483" s="6" t="s">
        <v>18</v>
      </c>
      <c r="H1483" s="6" t="s">
        <v>34</v>
      </c>
      <c r="I1483" s="6">
        <v>2016</v>
      </c>
      <c r="J1483" s="6">
        <v>497</v>
      </c>
      <c r="K1483" s="6">
        <v>3</v>
      </c>
      <c r="L1483" s="10">
        <f t="shared" si="41"/>
        <v>0.30363000000000001</v>
      </c>
      <c r="M1483" s="6" t="s">
        <v>43</v>
      </c>
      <c r="N1483" s="6" t="s">
        <v>185</v>
      </c>
      <c r="O1483" s="6"/>
      <c r="P1483" s="17" t="s">
        <v>54</v>
      </c>
      <c r="Q1483" s="17" t="s">
        <v>54</v>
      </c>
      <c r="R1483" s="17" t="s">
        <v>54</v>
      </c>
    </row>
    <row r="1484" spans="1:18" ht="30" customHeight="1" x14ac:dyDescent="0.3">
      <c r="A1484" s="7">
        <v>45665</v>
      </c>
      <c r="B1484" s="6" t="s">
        <v>7</v>
      </c>
      <c r="C1484" s="6"/>
      <c r="D1484" s="6" t="str">
        <f>VLOOKUP(B1484,'Veri doğrulama'!$D$6:$E$13,2,0)</f>
        <v>SIDDIK KAPLAN</v>
      </c>
      <c r="E1484" s="6" t="s">
        <v>188</v>
      </c>
      <c r="F1484" s="6" t="s">
        <v>182</v>
      </c>
      <c r="G1484" s="6" t="s">
        <v>18</v>
      </c>
      <c r="H1484" s="6" t="s">
        <v>34</v>
      </c>
      <c r="I1484" s="6">
        <v>1180</v>
      </c>
      <c r="J1484" s="6">
        <v>550</v>
      </c>
      <c r="K1484" s="6">
        <v>1</v>
      </c>
      <c r="L1484" s="10">
        <f t="shared" si="41"/>
        <v>1.001952</v>
      </c>
      <c r="M1484" s="6" t="s">
        <v>103</v>
      </c>
      <c r="N1484" s="6"/>
      <c r="O1484" s="6"/>
      <c r="P1484" s="17" t="s">
        <v>54</v>
      </c>
      <c r="Q1484" s="17" t="s">
        <v>54</v>
      </c>
      <c r="R1484" s="17"/>
    </row>
    <row r="1485" spans="1:18" ht="30" customHeight="1" x14ac:dyDescent="0.3">
      <c r="A1485" s="7">
        <v>45665</v>
      </c>
      <c r="B1485" s="6" t="s">
        <v>5</v>
      </c>
      <c r="C1485" s="6"/>
      <c r="D1485" s="6" t="str">
        <f>VLOOKUP(B1485,'Veri doğrulama'!$D$6:$E$13,2,0)</f>
        <v>MEHMET ÖZEN</v>
      </c>
      <c r="E1485" s="6"/>
      <c r="F1485" s="6" t="s">
        <v>198</v>
      </c>
      <c r="G1485" s="6" t="s">
        <v>13</v>
      </c>
      <c r="H1485" s="6" t="s">
        <v>34</v>
      </c>
      <c r="I1485" s="6">
        <v>2090</v>
      </c>
      <c r="J1485" s="6">
        <v>360</v>
      </c>
      <c r="K1485" s="6">
        <v>1</v>
      </c>
      <c r="L1485" s="10">
        <f t="shared" si="41"/>
        <v>1.298</v>
      </c>
      <c r="M1485" s="6" t="s">
        <v>43</v>
      </c>
      <c r="N1485" s="6"/>
      <c r="O1485" s="6"/>
      <c r="P1485" s="17" t="s">
        <v>54</v>
      </c>
      <c r="Q1485" s="17" t="s">
        <v>54</v>
      </c>
      <c r="R1485" s="17" t="s">
        <v>54</v>
      </c>
    </row>
    <row r="1486" spans="1:18" ht="30" customHeight="1" x14ac:dyDescent="0.3">
      <c r="A1486" s="7">
        <v>45665</v>
      </c>
      <c r="B1486" s="6" t="s">
        <v>4</v>
      </c>
      <c r="C1486" s="6"/>
      <c r="D1486" s="6" t="str">
        <f>VLOOKUP(B1486,'Veri doğrulama'!$D$6:$E$13,2,0)</f>
        <v>MEHMET YAZICI</v>
      </c>
      <c r="E1486" s="6"/>
      <c r="F1486" s="6" t="s">
        <v>187</v>
      </c>
      <c r="G1486" s="6" t="s">
        <v>13</v>
      </c>
      <c r="H1486" s="6" t="s">
        <v>34</v>
      </c>
      <c r="I1486" s="6">
        <v>769</v>
      </c>
      <c r="J1486" s="6">
        <v>390</v>
      </c>
      <c r="K1486" s="6">
        <v>2</v>
      </c>
      <c r="L1486" s="10">
        <f t="shared" si="41"/>
        <v>0.75239999999999996</v>
      </c>
      <c r="M1486" s="6" t="s">
        <v>43</v>
      </c>
      <c r="N1486" s="6" t="s">
        <v>157</v>
      </c>
      <c r="O1486" s="6"/>
      <c r="P1486" s="17" t="s">
        <v>54</v>
      </c>
      <c r="Q1486" s="17" t="s">
        <v>54</v>
      </c>
      <c r="R1486" s="17" t="s">
        <v>54</v>
      </c>
    </row>
    <row r="1487" spans="1:18" ht="30" customHeight="1" x14ac:dyDescent="0.3">
      <c r="A1487" s="7">
        <v>45665</v>
      </c>
      <c r="B1487" s="6" t="s">
        <v>4</v>
      </c>
      <c r="C1487" s="6"/>
      <c r="D1487" s="6" t="str">
        <f>VLOOKUP(B1487,'Veri doğrulama'!$D$6:$E$13,2,0)</f>
        <v>MEHMET YAZICI</v>
      </c>
      <c r="E1487" s="6">
        <v>21100.01</v>
      </c>
      <c r="F1487" s="6" t="s">
        <v>222</v>
      </c>
      <c r="G1487" s="6" t="s">
        <v>26</v>
      </c>
      <c r="H1487" s="6" t="s">
        <v>34</v>
      </c>
      <c r="I1487" s="6">
        <v>672</v>
      </c>
      <c r="J1487" s="6">
        <v>446</v>
      </c>
      <c r="K1487" s="6">
        <v>1</v>
      </c>
      <c r="L1487" s="10">
        <f t="shared" si="41"/>
        <v>0.29991000000000001</v>
      </c>
      <c r="M1487" s="6" t="s">
        <v>43</v>
      </c>
      <c r="N1487" s="6" t="s">
        <v>185</v>
      </c>
      <c r="O1487" s="6"/>
      <c r="P1487" s="17" t="s">
        <v>54</v>
      </c>
      <c r="Q1487" s="17" t="s">
        <v>54</v>
      </c>
      <c r="R1487" s="17" t="s">
        <v>54</v>
      </c>
    </row>
    <row r="1488" spans="1:18" ht="30" customHeight="1" x14ac:dyDescent="0.3">
      <c r="A1488" s="7">
        <v>45665</v>
      </c>
      <c r="B1488" s="6" t="s">
        <v>4</v>
      </c>
      <c r="C1488" s="6"/>
      <c r="D1488" s="6" t="str">
        <f>VLOOKUP(B1488,'Veri doğrulama'!$D$6:$E$13,2,0)</f>
        <v>MEHMET YAZICI</v>
      </c>
      <c r="E1488" s="6"/>
      <c r="F1488" s="6" t="s">
        <v>193</v>
      </c>
      <c r="G1488" s="6" t="s">
        <v>26</v>
      </c>
      <c r="H1488" s="6" t="s">
        <v>34</v>
      </c>
      <c r="I1488" s="6">
        <v>900</v>
      </c>
      <c r="J1488" s="6">
        <v>600</v>
      </c>
      <c r="K1488" s="6">
        <v>1</v>
      </c>
      <c r="L1488" s="10">
        <f t="shared" si="41"/>
        <v>0.29971199999999998</v>
      </c>
      <c r="M1488" s="6" t="s">
        <v>103</v>
      </c>
      <c r="N1488" s="6" t="s">
        <v>179</v>
      </c>
      <c r="O1488" s="6"/>
      <c r="P1488" s="17" t="s">
        <v>54</v>
      </c>
      <c r="Q1488" s="17" t="s">
        <v>54</v>
      </c>
      <c r="R1488" s="17"/>
    </row>
    <row r="1489" spans="1:18" ht="30" customHeight="1" x14ac:dyDescent="0.3">
      <c r="A1489" s="7">
        <v>45665</v>
      </c>
      <c r="B1489" s="6" t="s">
        <v>4</v>
      </c>
      <c r="C1489" s="6"/>
      <c r="D1489" s="6" t="str">
        <f>VLOOKUP(B1489,'Veri doğrulama'!$D$6:$E$13,2,0)</f>
        <v>MEHMET YAZICI</v>
      </c>
      <c r="E1489" s="6" t="s">
        <v>224</v>
      </c>
      <c r="F1489" s="6" t="s">
        <v>223</v>
      </c>
      <c r="G1489" s="6" t="s">
        <v>17</v>
      </c>
      <c r="H1489" s="6" t="s">
        <v>35</v>
      </c>
      <c r="I1489" s="6">
        <v>1600</v>
      </c>
      <c r="J1489" s="6">
        <v>1400</v>
      </c>
      <c r="K1489" s="6">
        <v>1</v>
      </c>
      <c r="L1489" s="10">
        <f t="shared" si="41"/>
        <v>0.54</v>
      </c>
      <c r="M1489" s="6" t="s">
        <v>43</v>
      </c>
      <c r="N1489" s="6" t="s">
        <v>157</v>
      </c>
      <c r="O1489" s="6"/>
      <c r="P1489" s="17" t="s">
        <v>54</v>
      </c>
      <c r="Q1489" s="17" t="s">
        <v>54</v>
      </c>
      <c r="R1489" s="17" t="s">
        <v>54</v>
      </c>
    </row>
    <row r="1490" spans="1:18" ht="30" customHeight="1" x14ac:dyDescent="0.3">
      <c r="A1490" s="7">
        <v>45665</v>
      </c>
      <c r="B1490" s="6" t="s">
        <v>4</v>
      </c>
      <c r="C1490" s="6"/>
      <c r="D1490" s="6" t="str">
        <f>VLOOKUP(B1490,'Veri doğrulama'!$D$6:$E$13,2,0)</f>
        <v>MEHMET YAZICI</v>
      </c>
      <c r="E1490" s="6">
        <v>20666</v>
      </c>
      <c r="F1490" s="6" t="s">
        <v>189</v>
      </c>
      <c r="G1490" s="6" t="s">
        <v>17</v>
      </c>
      <c r="H1490" s="6" t="s">
        <v>34</v>
      </c>
      <c r="I1490" s="6">
        <v>1800</v>
      </c>
      <c r="J1490" s="6">
        <v>800</v>
      </c>
      <c r="K1490" s="6">
        <v>1</v>
      </c>
      <c r="L1490" s="10">
        <f t="shared" si="41"/>
        <v>2.2400000000000002</v>
      </c>
      <c r="M1490" s="6" t="s">
        <v>75</v>
      </c>
      <c r="N1490" s="6" t="s">
        <v>185</v>
      </c>
      <c r="O1490" s="6"/>
      <c r="P1490" s="17" t="s">
        <v>54</v>
      </c>
      <c r="Q1490" s="17" t="s">
        <v>54</v>
      </c>
      <c r="R1490" s="17" t="s">
        <v>54</v>
      </c>
    </row>
    <row r="1491" spans="1:18" ht="30" customHeight="1" x14ac:dyDescent="0.3">
      <c r="A1491" s="7">
        <v>45665</v>
      </c>
      <c r="B1491" s="6" t="s">
        <v>4</v>
      </c>
      <c r="C1491" s="6"/>
      <c r="D1491" s="6" t="str">
        <f>VLOOKUP(B1491,'Veri doğrulama'!$D$6:$E$13,2,0)</f>
        <v>MEHMET YAZICI</v>
      </c>
      <c r="E1491" s="6"/>
      <c r="F1491" s="6" t="s">
        <v>181</v>
      </c>
      <c r="G1491" s="6" t="s">
        <v>17</v>
      </c>
      <c r="H1491" s="6" t="s">
        <v>34</v>
      </c>
      <c r="I1491" s="6">
        <v>2386</v>
      </c>
      <c r="J1491" s="6">
        <v>586</v>
      </c>
      <c r="K1491" s="6">
        <v>1</v>
      </c>
      <c r="L1491" s="10">
        <f t="shared" si="41"/>
        <v>4.32</v>
      </c>
      <c r="M1491" s="6" t="s">
        <v>102</v>
      </c>
      <c r="N1491" s="6" t="s">
        <v>179</v>
      </c>
      <c r="O1491" s="6"/>
      <c r="P1491" s="17" t="s">
        <v>54</v>
      </c>
      <c r="Q1491" s="17" t="s">
        <v>54</v>
      </c>
      <c r="R1491" s="17" t="s">
        <v>54</v>
      </c>
    </row>
    <row r="1492" spans="1:18" ht="30" customHeight="1" x14ac:dyDescent="0.3">
      <c r="A1492" s="7">
        <v>45665</v>
      </c>
      <c r="B1492" s="6" t="s">
        <v>5</v>
      </c>
      <c r="C1492" s="6"/>
      <c r="D1492" s="6" t="str">
        <f>VLOOKUP(B1492,'Veri doğrulama'!$D$6:$E$13,2,0)</f>
        <v>MEHMET ÖZEN</v>
      </c>
      <c r="E1492" s="6" t="s">
        <v>191</v>
      </c>
      <c r="F1492" s="6" t="s">
        <v>194</v>
      </c>
      <c r="G1492" s="6" t="s">
        <v>24</v>
      </c>
      <c r="H1492" s="6" t="s">
        <v>34</v>
      </c>
      <c r="I1492" s="6">
        <v>1200</v>
      </c>
      <c r="J1492" s="6">
        <v>1400</v>
      </c>
      <c r="K1492" s="6">
        <v>3</v>
      </c>
      <c r="L1492" s="10">
        <f t="shared" si="41"/>
        <v>1.398196</v>
      </c>
      <c r="M1492" s="6" t="s">
        <v>102</v>
      </c>
      <c r="N1492" s="6" t="s">
        <v>195</v>
      </c>
      <c r="O1492" s="6"/>
      <c r="P1492" s="17" t="s">
        <v>54</v>
      </c>
      <c r="Q1492" s="17" t="s">
        <v>54</v>
      </c>
      <c r="R1492" s="17" t="s">
        <v>54</v>
      </c>
    </row>
    <row r="1493" spans="1:18" ht="30" customHeight="1" x14ac:dyDescent="0.3">
      <c r="A1493" s="7">
        <v>45665</v>
      </c>
      <c r="B1493" s="6" t="s">
        <v>5</v>
      </c>
      <c r="C1493" s="6"/>
      <c r="D1493" s="6" t="str">
        <f>VLOOKUP(B1493,'Veri doğrulama'!$D$6:$E$13,2,0)</f>
        <v>MEHMET ÖZEN</v>
      </c>
      <c r="E1493" s="6"/>
      <c r="F1493" s="6" t="s">
        <v>190</v>
      </c>
      <c r="G1493" s="6" t="s">
        <v>27</v>
      </c>
      <c r="H1493" s="6" t="s">
        <v>34</v>
      </c>
      <c r="I1493" s="6">
        <v>849</v>
      </c>
      <c r="J1493" s="6">
        <v>350</v>
      </c>
      <c r="K1493" s="6">
        <v>1</v>
      </c>
      <c r="L1493" s="10">
        <f t="shared" si="41"/>
        <v>1.68</v>
      </c>
      <c r="M1493" s="6" t="s">
        <v>102</v>
      </c>
      <c r="N1493" s="6" t="s">
        <v>285</v>
      </c>
      <c r="O1493" s="6"/>
      <c r="P1493" s="17" t="s">
        <v>54</v>
      </c>
      <c r="Q1493" s="17" t="s">
        <v>54</v>
      </c>
      <c r="R1493" s="17" t="s">
        <v>54</v>
      </c>
    </row>
    <row r="1494" spans="1:18" ht="30" customHeight="1" x14ac:dyDescent="0.3">
      <c r="A1494" s="7">
        <v>45665</v>
      </c>
      <c r="B1494" s="6" t="s">
        <v>4</v>
      </c>
      <c r="C1494" s="6"/>
      <c r="D1494" s="6" t="str">
        <f>VLOOKUP(B1494,'Veri doğrulama'!$D$6:$E$13,2,0)</f>
        <v>MEHMET YAZICI</v>
      </c>
      <c r="E1494" s="6"/>
      <c r="F1494" s="6" t="s">
        <v>171</v>
      </c>
      <c r="G1494" s="6" t="s">
        <v>27</v>
      </c>
      <c r="H1494" s="6" t="s">
        <v>35</v>
      </c>
      <c r="I1494" s="6">
        <v>1500</v>
      </c>
      <c r="J1494" s="6">
        <v>500</v>
      </c>
      <c r="K1494" s="6">
        <v>1</v>
      </c>
      <c r="L1494" s="10">
        <f t="shared" si="41"/>
        <v>0.89145000000000008</v>
      </c>
      <c r="M1494" s="6" t="s">
        <v>38</v>
      </c>
      <c r="N1494" s="6" t="s">
        <v>179</v>
      </c>
      <c r="O1494" s="6"/>
      <c r="P1494" s="17" t="s">
        <v>54</v>
      </c>
      <c r="Q1494" s="17" t="s">
        <v>54</v>
      </c>
      <c r="R1494" s="17" t="s">
        <v>54</v>
      </c>
    </row>
    <row r="1495" spans="1:18" ht="30" customHeight="1" x14ac:dyDescent="0.3">
      <c r="A1495" s="7">
        <v>45664</v>
      </c>
      <c r="B1495" s="6" t="s">
        <v>4</v>
      </c>
      <c r="C1495" s="6"/>
      <c r="D1495" s="6" t="str">
        <f>VLOOKUP(B1495,'Veri doğrulama'!$D$6:$E$13,2,0)</f>
        <v>MEHMET YAZICI</v>
      </c>
      <c r="E1495" s="6" t="s">
        <v>192</v>
      </c>
      <c r="F1495" s="6" t="s">
        <v>200</v>
      </c>
      <c r="G1495" s="6" t="s">
        <v>19</v>
      </c>
      <c r="H1495" s="6" t="s">
        <v>34</v>
      </c>
      <c r="I1495" s="6">
        <v>735</v>
      </c>
      <c r="J1495" s="6">
        <v>397</v>
      </c>
      <c r="K1495" s="6">
        <v>3</v>
      </c>
      <c r="L1495" s="10">
        <f t="shared" si="41"/>
        <v>0.75</v>
      </c>
      <c r="M1495" s="6" t="s">
        <v>38</v>
      </c>
      <c r="N1495" s="6" t="s">
        <v>179</v>
      </c>
      <c r="O1495" s="6"/>
      <c r="P1495" s="17" t="s">
        <v>54</v>
      </c>
      <c r="Q1495" s="17" t="s">
        <v>54</v>
      </c>
      <c r="R1495" s="17" t="s">
        <v>54</v>
      </c>
    </row>
    <row r="1496" spans="1:18" ht="30" customHeight="1" x14ac:dyDescent="0.3">
      <c r="A1496" s="7">
        <v>45664</v>
      </c>
      <c r="B1496" s="6" t="s">
        <v>5</v>
      </c>
      <c r="C1496" s="6"/>
      <c r="D1496" s="6" t="str">
        <f>VLOOKUP(B1496,'Veri doğrulama'!$D$6:$E$13,2,0)</f>
        <v>MEHMET ÖZEN</v>
      </c>
      <c r="E1496" s="6" t="s">
        <v>173</v>
      </c>
      <c r="F1496" s="6" t="s">
        <v>176</v>
      </c>
      <c r="G1496" s="6" t="s">
        <v>19</v>
      </c>
      <c r="H1496" s="6" t="s">
        <v>34</v>
      </c>
      <c r="I1496" s="6">
        <v>673</v>
      </c>
      <c r="J1496" s="6">
        <v>445</v>
      </c>
      <c r="K1496" s="6">
        <v>1</v>
      </c>
      <c r="L1496" s="10">
        <f t="shared" si="41"/>
        <v>0.58359000000000005</v>
      </c>
      <c r="M1496" s="6" t="s">
        <v>75</v>
      </c>
      <c r="N1496" s="6"/>
      <c r="O1496" s="6"/>
      <c r="P1496" s="17" t="s">
        <v>54</v>
      </c>
      <c r="Q1496" s="17" t="s">
        <v>54</v>
      </c>
      <c r="R1496" s="17" t="s">
        <v>54</v>
      </c>
    </row>
    <row r="1497" spans="1:18" ht="30" customHeight="1" x14ac:dyDescent="0.3">
      <c r="A1497" s="7">
        <v>45664</v>
      </c>
      <c r="B1497" s="6" t="s">
        <v>5</v>
      </c>
      <c r="C1497" s="6"/>
      <c r="D1497" s="6" t="str">
        <f>VLOOKUP(B1497,'Veri doğrulama'!$D$6:$E$13,2,0)</f>
        <v>MEHMET ÖZEN</v>
      </c>
      <c r="E1497" s="6" t="s">
        <v>202</v>
      </c>
      <c r="F1497" s="6" t="s">
        <v>168</v>
      </c>
      <c r="G1497" s="6" t="s">
        <v>19</v>
      </c>
      <c r="H1497" s="6" t="s">
        <v>34</v>
      </c>
      <c r="I1497" s="6">
        <v>407</v>
      </c>
      <c r="J1497" s="6">
        <v>437</v>
      </c>
      <c r="K1497" s="6">
        <v>2</v>
      </c>
      <c r="L1497" s="10">
        <f t="shared" si="41"/>
        <v>0.299485</v>
      </c>
      <c r="M1497" s="6" t="s">
        <v>102</v>
      </c>
      <c r="N1497" s="6" t="s">
        <v>285</v>
      </c>
      <c r="O1497" s="6"/>
      <c r="P1497" s="17" t="s">
        <v>54</v>
      </c>
      <c r="Q1497" s="17" t="s">
        <v>54</v>
      </c>
      <c r="R1497" s="17" t="s">
        <v>54</v>
      </c>
    </row>
    <row r="1498" spans="1:18" ht="30" customHeight="1" x14ac:dyDescent="0.3">
      <c r="A1498" s="7">
        <v>45664</v>
      </c>
      <c r="B1498" s="6" t="s">
        <v>4</v>
      </c>
      <c r="C1498" s="6"/>
      <c r="D1498" s="6" t="str">
        <f>VLOOKUP(B1498,'Veri doğrulama'!$D$6:$E$13,2,0)</f>
        <v>MEHMET YAZICI</v>
      </c>
      <c r="E1498" s="6" t="s">
        <v>178</v>
      </c>
      <c r="F1498" s="6" t="s">
        <v>210</v>
      </c>
      <c r="G1498" s="6" t="s">
        <v>14</v>
      </c>
      <c r="H1498" s="6" t="s">
        <v>34</v>
      </c>
      <c r="I1498" s="6">
        <v>850</v>
      </c>
      <c r="J1498" s="6">
        <v>710</v>
      </c>
      <c r="K1498" s="6">
        <v>1</v>
      </c>
      <c r="L1498" s="10">
        <f t="shared" si="41"/>
        <v>0.35571799999999998</v>
      </c>
      <c r="M1498" s="6" t="s">
        <v>103</v>
      </c>
      <c r="N1498" s="6" t="s">
        <v>179</v>
      </c>
      <c r="O1498" s="6"/>
      <c r="P1498" s="17" t="s">
        <v>54</v>
      </c>
      <c r="Q1498" s="17" t="s">
        <v>54</v>
      </c>
      <c r="R1498" s="17" t="s">
        <v>54</v>
      </c>
    </row>
    <row r="1499" spans="1:18" ht="30" customHeight="1" x14ac:dyDescent="0.3">
      <c r="A1499" s="7">
        <v>45664</v>
      </c>
      <c r="B1499" s="6" t="s">
        <v>5</v>
      </c>
      <c r="C1499" s="6"/>
      <c r="D1499" s="6" t="str">
        <f>VLOOKUP(B1499,'Veri doğrulama'!$D$6:$E$13,2,0)</f>
        <v>MEHMET ÖZEN</v>
      </c>
      <c r="E1499" s="6" t="s">
        <v>169</v>
      </c>
      <c r="F1499" s="6" t="s">
        <v>177</v>
      </c>
      <c r="G1499" s="6" t="s">
        <v>16</v>
      </c>
      <c r="H1499" s="6" t="s">
        <v>35</v>
      </c>
      <c r="I1499" s="6">
        <v>1400</v>
      </c>
      <c r="J1499" s="6">
        <v>800</v>
      </c>
      <c r="K1499" s="6">
        <v>2</v>
      </c>
      <c r="L1499" s="10">
        <f t="shared" si="41"/>
        <v>0.60350000000000004</v>
      </c>
      <c r="M1499" s="6" t="s">
        <v>43</v>
      </c>
      <c r="N1499" s="6" t="s">
        <v>318</v>
      </c>
      <c r="O1499" s="6"/>
      <c r="P1499" s="17" t="s">
        <v>54</v>
      </c>
      <c r="Q1499" s="17" t="s">
        <v>54</v>
      </c>
      <c r="R1499" s="17"/>
    </row>
    <row r="1500" spans="1:18" ht="30" customHeight="1" x14ac:dyDescent="0.3">
      <c r="A1500" s="7">
        <v>45664</v>
      </c>
      <c r="B1500" s="6" t="s">
        <v>4</v>
      </c>
      <c r="C1500" s="6"/>
      <c r="D1500" s="6" t="str">
        <f>VLOOKUP(B1500,'Veri doğrulama'!$D$6:$E$13,2,0)</f>
        <v>MEHMET YAZICI</v>
      </c>
      <c r="E1500" s="6" t="s">
        <v>212</v>
      </c>
      <c r="F1500" s="6" t="s">
        <v>175</v>
      </c>
      <c r="G1500" s="6" t="s">
        <v>16</v>
      </c>
      <c r="H1500" s="6" t="s">
        <v>34</v>
      </c>
      <c r="I1500" s="6">
        <v>300</v>
      </c>
      <c r="J1500" s="6">
        <v>252</v>
      </c>
      <c r="K1500" s="6">
        <v>1</v>
      </c>
      <c r="L1500" s="10">
        <f t="shared" si="41"/>
        <v>1.1200000000000001</v>
      </c>
      <c r="M1500" s="6" t="s">
        <v>102</v>
      </c>
      <c r="N1500" s="6" t="s">
        <v>179</v>
      </c>
      <c r="O1500" s="6"/>
      <c r="P1500" s="17" t="s">
        <v>54</v>
      </c>
      <c r="Q1500" s="17" t="s">
        <v>54</v>
      </c>
      <c r="R1500" s="17"/>
    </row>
    <row r="1501" spans="1:18" ht="30" customHeight="1" x14ac:dyDescent="0.3">
      <c r="A1501" s="7">
        <v>45664</v>
      </c>
      <c r="B1501" s="6" t="s">
        <v>4</v>
      </c>
      <c r="C1501" s="6"/>
      <c r="D1501" s="6" t="str">
        <f>VLOOKUP(B1501,'Veri doğrulama'!$D$6:$E$13,2,0)</f>
        <v>MEHMET YAZICI</v>
      </c>
      <c r="E1501" s="6"/>
      <c r="F1501" s="6" t="s">
        <v>135</v>
      </c>
      <c r="G1501" s="6" t="s">
        <v>28</v>
      </c>
      <c r="H1501" s="6" t="s">
        <v>34</v>
      </c>
      <c r="I1501" s="6">
        <v>1800</v>
      </c>
      <c r="J1501" s="6">
        <v>850</v>
      </c>
      <c r="K1501" s="6">
        <v>1</v>
      </c>
      <c r="L1501" s="10">
        <f t="shared" si="41"/>
        <v>7.5600000000000001E-2</v>
      </c>
      <c r="M1501" s="6" t="s">
        <v>103</v>
      </c>
      <c r="N1501" s="6" t="s">
        <v>179</v>
      </c>
      <c r="O1501" s="6"/>
      <c r="P1501" s="17" t="s">
        <v>54</v>
      </c>
      <c r="Q1501" s="17" t="s">
        <v>54</v>
      </c>
      <c r="R1501" s="17"/>
    </row>
    <row r="1502" spans="1:18" ht="30" customHeight="1" x14ac:dyDescent="0.3">
      <c r="A1502" s="7">
        <v>45664</v>
      </c>
      <c r="B1502" s="6" t="s">
        <v>5</v>
      </c>
      <c r="C1502" s="6"/>
      <c r="D1502" s="6" t="str">
        <f>VLOOKUP(B1502,'Veri doğrulama'!$D$6:$E$13,2,0)</f>
        <v>MEHMET ÖZEN</v>
      </c>
      <c r="E1502" s="6"/>
      <c r="F1502" s="6" t="s">
        <v>172</v>
      </c>
      <c r="G1502" s="6" t="s">
        <v>28</v>
      </c>
      <c r="H1502" s="6" t="s">
        <v>34</v>
      </c>
      <c r="I1502" s="6">
        <v>1790</v>
      </c>
      <c r="J1502" s="6">
        <v>840</v>
      </c>
      <c r="K1502" s="6">
        <v>1</v>
      </c>
      <c r="L1502" s="10">
        <f t="shared" si="41"/>
        <v>1.53</v>
      </c>
      <c r="M1502" s="6" t="s">
        <v>75</v>
      </c>
      <c r="N1502" s="6"/>
      <c r="O1502" s="6"/>
      <c r="P1502" s="17" t="s">
        <v>54</v>
      </c>
      <c r="Q1502" s="17" t="s">
        <v>54</v>
      </c>
      <c r="R1502" s="17"/>
    </row>
    <row r="1503" spans="1:18" ht="30" customHeight="1" x14ac:dyDescent="0.3">
      <c r="A1503" s="7">
        <v>45664</v>
      </c>
      <c r="B1503" s="6" t="s">
        <v>4</v>
      </c>
      <c r="C1503" s="6"/>
      <c r="D1503" s="6" t="str">
        <f>VLOOKUP(B1503,'Veri doğrulama'!$D$6:$E$13,2,0)</f>
        <v>MEHMET YAZICI</v>
      </c>
      <c r="E1503" s="6" t="s">
        <v>221</v>
      </c>
      <c r="F1503" s="6" t="s">
        <v>229</v>
      </c>
      <c r="G1503" s="6" t="s">
        <v>15</v>
      </c>
      <c r="H1503" s="6" t="s">
        <v>34</v>
      </c>
      <c r="I1503" s="6">
        <v>1800</v>
      </c>
      <c r="J1503" s="6">
        <v>1200</v>
      </c>
      <c r="K1503" s="6">
        <v>1</v>
      </c>
      <c r="L1503" s="10">
        <f t="shared" si="41"/>
        <v>1.5036</v>
      </c>
      <c r="M1503" s="6" t="s">
        <v>75</v>
      </c>
      <c r="N1503" s="6" t="s">
        <v>157</v>
      </c>
      <c r="O1503" s="6"/>
      <c r="P1503" s="17" t="s">
        <v>54</v>
      </c>
      <c r="Q1503" s="17" t="s">
        <v>54</v>
      </c>
      <c r="R1503" s="17"/>
    </row>
    <row r="1504" spans="1:18" ht="30" customHeight="1" x14ac:dyDescent="0.3">
      <c r="A1504" s="7">
        <v>45664</v>
      </c>
      <c r="B1504" s="6" t="s">
        <v>4</v>
      </c>
      <c r="C1504" s="6"/>
      <c r="D1504" s="6" t="str">
        <f>VLOOKUP(B1504,'Veri doğrulama'!$D$6:$E$13,2,0)</f>
        <v>MEHMET YAZICI</v>
      </c>
      <c r="E1504" s="6" t="s">
        <v>174</v>
      </c>
      <c r="F1504" s="6" t="s">
        <v>161</v>
      </c>
      <c r="G1504" s="6" t="s">
        <v>20</v>
      </c>
      <c r="H1504" s="6" t="s">
        <v>34</v>
      </c>
      <c r="I1504" s="6">
        <v>1600</v>
      </c>
      <c r="J1504" s="6">
        <v>800</v>
      </c>
      <c r="K1504" s="6">
        <v>1</v>
      </c>
      <c r="L1504" s="10">
        <f t="shared" si="41"/>
        <v>2.16</v>
      </c>
      <c r="M1504" s="6" t="s">
        <v>38</v>
      </c>
      <c r="N1504" s="6" t="s">
        <v>159</v>
      </c>
      <c r="O1504" s="6"/>
      <c r="P1504" s="17" t="s">
        <v>54</v>
      </c>
      <c r="Q1504" s="17" t="s">
        <v>54</v>
      </c>
      <c r="R1504" s="17" t="s">
        <v>54</v>
      </c>
    </row>
    <row r="1505" spans="1:18" ht="30" customHeight="1" x14ac:dyDescent="0.3">
      <c r="A1505" s="7">
        <v>45664</v>
      </c>
      <c r="B1505" s="6" t="s">
        <v>4</v>
      </c>
      <c r="C1505" s="6"/>
      <c r="D1505" s="6" t="str">
        <f>VLOOKUP(B1505,'Veri doğrulama'!$D$6:$E$13,2,0)</f>
        <v>MEHMET YAZICI</v>
      </c>
      <c r="E1505" s="6" t="s">
        <v>224</v>
      </c>
      <c r="F1505" s="6" t="s">
        <v>717</v>
      </c>
      <c r="G1505" s="6" t="s">
        <v>25</v>
      </c>
      <c r="H1505" s="6" t="s">
        <v>34</v>
      </c>
      <c r="I1505" s="6">
        <v>2370</v>
      </c>
      <c r="J1505" s="6">
        <v>128</v>
      </c>
      <c r="K1505" s="6">
        <v>1</v>
      </c>
      <c r="L1505" s="10">
        <f t="shared" si="41"/>
        <v>1.28</v>
      </c>
      <c r="M1505" s="6" t="s">
        <v>156</v>
      </c>
      <c r="N1505" s="6" t="s">
        <v>716</v>
      </c>
      <c r="O1505" s="6"/>
      <c r="P1505" s="17" t="s">
        <v>54</v>
      </c>
      <c r="Q1505" s="17" t="s">
        <v>54</v>
      </c>
      <c r="R1505" s="17" t="s">
        <v>54</v>
      </c>
    </row>
    <row r="1506" spans="1:18" ht="30" customHeight="1" x14ac:dyDescent="0.3">
      <c r="A1506" s="7">
        <v>45664</v>
      </c>
      <c r="B1506" s="6" t="s">
        <v>4</v>
      </c>
      <c r="C1506" s="6"/>
      <c r="D1506" s="6" t="str">
        <f>VLOOKUP(B1506,'Veri doğrulama'!$D$6:$E$13,2,0)</f>
        <v>MEHMET YAZICI</v>
      </c>
      <c r="E1506" s="6"/>
      <c r="F1506" s="6" t="s">
        <v>170</v>
      </c>
      <c r="G1506" s="6" t="s">
        <v>27</v>
      </c>
      <c r="H1506" s="6" t="s">
        <v>35</v>
      </c>
      <c r="I1506" s="6">
        <v>389</v>
      </c>
      <c r="J1506" s="6">
        <v>500</v>
      </c>
      <c r="K1506" s="6">
        <v>1</v>
      </c>
      <c r="L1506" s="10">
        <f t="shared" si="41"/>
        <v>0.30336000000000002</v>
      </c>
      <c r="M1506" s="6" t="s">
        <v>75</v>
      </c>
      <c r="N1506" s="6" t="s">
        <v>179</v>
      </c>
      <c r="O1506" s="6"/>
      <c r="P1506" s="17" t="s">
        <v>54</v>
      </c>
      <c r="Q1506" s="17" t="s">
        <v>54</v>
      </c>
      <c r="R1506" s="17" t="s">
        <v>54</v>
      </c>
    </row>
    <row r="1507" spans="1:18" ht="30" customHeight="1" x14ac:dyDescent="0.3">
      <c r="A1507" s="7">
        <v>45664</v>
      </c>
      <c r="B1507" s="6" t="s">
        <v>4</v>
      </c>
      <c r="C1507" s="6"/>
      <c r="D1507" s="6" t="str">
        <f>VLOOKUP(B1507,'Veri doğrulama'!$D$6:$E$13,2,0)</f>
        <v>MEHMET YAZICI</v>
      </c>
      <c r="E1507" s="6">
        <v>22681</v>
      </c>
      <c r="F1507" s="6" t="s">
        <v>163</v>
      </c>
      <c r="G1507" s="6" t="s">
        <v>27</v>
      </c>
      <c r="H1507" s="6" t="s">
        <v>34</v>
      </c>
      <c r="I1507" s="6">
        <v>445</v>
      </c>
      <c r="J1507" s="6">
        <v>171</v>
      </c>
      <c r="K1507" s="6">
        <v>1</v>
      </c>
      <c r="L1507" s="10">
        <f t="shared" si="41"/>
        <v>0.19450000000000001</v>
      </c>
      <c r="M1507" s="6" t="s">
        <v>156</v>
      </c>
      <c r="N1507" s="6" t="s">
        <v>159</v>
      </c>
      <c r="O1507" s="6"/>
      <c r="P1507" s="17" t="s">
        <v>54</v>
      </c>
      <c r="Q1507" s="17" t="s">
        <v>54</v>
      </c>
      <c r="R1507" s="17"/>
    </row>
    <row r="1508" spans="1:18" ht="30" customHeight="1" x14ac:dyDescent="0.3">
      <c r="A1508" s="7">
        <v>45663</v>
      </c>
      <c r="B1508" s="6" t="s">
        <v>5</v>
      </c>
      <c r="C1508" s="6"/>
      <c r="D1508" s="6" t="str">
        <f>VLOOKUP(B1508,'Veri doğrulama'!$D$6:$E$13,2,0)</f>
        <v>MEHMET ÖZEN</v>
      </c>
      <c r="E1508" s="6"/>
      <c r="F1508" s="6" t="s">
        <v>167</v>
      </c>
      <c r="G1508" s="6" t="s">
        <v>19</v>
      </c>
      <c r="H1508" s="6" t="s">
        <v>34</v>
      </c>
      <c r="I1508" s="6">
        <v>2386</v>
      </c>
      <c r="J1508" s="6">
        <v>350</v>
      </c>
      <c r="K1508" s="6">
        <v>1</v>
      </c>
      <c r="L1508" s="10">
        <f t="shared" si="41"/>
        <v>7.6094999999999996E-2</v>
      </c>
      <c r="M1508" s="6" t="s">
        <v>75</v>
      </c>
      <c r="N1508" s="6" t="s">
        <v>285</v>
      </c>
      <c r="O1508" s="6"/>
      <c r="P1508" s="17" t="s">
        <v>54</v>
      </c>
      <c r="Q1508" s="17" t="s">
        <v>54</v>
      </c>
      <c r="R1508" s="17" t="s">
        <v>54</v>
      </c>
    </row>
    <row r="1509" spans="1:18" ht="30" customHeight="1" x14ac:dyDescent="0.3">
      <c r="A1509" s="7">
        <v>45663</v>
      </c>
      <c r="B1509" s="6" t="s">
        <v>4</v>
      </c>
      <c r="C1509" s="6"/>
      <c r="D1509" s="6" t="str">
        <f>VLOOKUP(B1509,'Veri doğrulama'!$D$6:$E$13,2,0)</f>
        <v>MEHMET YAZICI</v>
      </c>
      <c r="E1509" s="6"/>
      <c r="F1509" s="6" t="s">
        <v>165</v>
      </c>
      <c r="G1509" s="6" t="s">
        <v>16</v>
      </c>
      <c r="H1509" s="6" t="s">
        <v>34</v>
      </c>
      <c r="I1509" s="6">
        <v>1400</v>
      </c>
      <c r="J1509" s="6">
        <v>800</v>
      </c>
      <c r="K1509" s="6">
        <v>1</v>
      </c>
      <c r="L1509" s="10">
        <f t="shared" si="41"/>
        <v>0.83509999999999995</v>
      </c>
      <c r="M1509" s="6" t="s">
        <v>102</v>
      </c>
      <c r="N1509" s="6" t="s">
        <v>157</v>
      </c>
      <c r="O1509" s="6"/>
      <c r="P1509" s="17" t="s">
        <v>54</v>
      </c>
      <c r="Q1509" s="17" t="s">
        <v>54</v>
      </c>
      <c r="R1509" s="17" t="s">
        <v>54</v>
      </c>
    </row>
    <row r="1510" spans="1:18" ht="30" customHeight="1" x14ac:dyDescent="0.3">
      <c r="A1510" s="7">
        <v>45663</v>
      </c>
      <c r="B1510" s="6" t="s">
        <v>4</v>
      </c>
      <c r="C1510" s="6"/>
      <c r="D1510" s="6" t="str">
        <f>VLOOKUP(B1510,'Veri doğrulama'!$D$6:$E$13,2,0)</f>
        <v>MEHMET YAZICI</v>
      </c>
      <c r="E1510" s="6"/>
      <c r="F1510" s="6" t="s">
        <v>151</v>
      </c>
      <c r="G1510" s="6" t="s">
        <v>18</v>
      </c>
      <c r="H1510" s="6" t="s">
        <v>34</v>
      </c>
      <c r="I1510" s="6">
        <v>2000</v>
      </c>
      <c r="J1510" s="6">
        <v>900</v>
      </c>
      <c r="K1510" s="6">
        <v>1</v>
      </c>
      <c r="L1510" s="10">
        <f t="shared" si="41"/>
        <v>1.1200000000000001</v>
      </c>
      <c r="M1510" s="6" t="s">
        <v>43</v>
      </c>
      <c r="N1510" s="6" t="s">
        <v>179</v>
      </c>
      <c r="O1510" s="6"/>
      <c r="P1510" s="17" t="s">
        <v>54</v>
      </c>
      <c r="Q1510" s="17" t="s">
        <v>54</v>
      </c>
      <c r="R1510" s="17"/>
    </row>
    <row r="1511" spans="1:18" ht="30" customHeight="1" x14ac:dyDescent="0.3">
      <c r="A1511" s="7">
        <v>45663</v>
      </c>
      <c r="B1511" s="6" t="s">
        <v>5</v>
      </c>
      <c r="C1511" s="6"/>
      <c r="D1511" s="6" t="str">
        <f>VLOOKUP(B1511,'Veri doğrulama'!$D$6:$E$13,2,0)</f>
        <v>MEHMET ÖZEN</v>
      </c>
      <c r="E1511" s="6"/>
      <c r="F1511" s="6" t="s">
        <v>164</v>
      </c>
      <c r="G1511" s="6" t="s">
        <v>16</v>
      </c>
      <c r="H1511" s="6" t="s">
        <v>34</v>
      </c>
      <c r="I1511" s="6">
        <v>2420</v>
      </c>
      <c r="J1511" s="6">
        <v>1120</v>
      </c>
      <c r="K1511" s="6">
        <v>1</v>
      </c>
      <c r="L1511" s="10">
        <f t="shared" si="41"/>
        <v>1.8</v>
      </c>
      <c r="M1511" s="6" t="s">
        <v>75</v>
      </c>
      <c r="N1511" s="6" t="s">
        <v>310</v>
      </c>
      <c r="O1511" s="6"/>
      <c r="P1511" s="17" t="s">
        <v>54</v>
      </c>
      <c r="Q1511" s="17" t="s">
        <v>54</v>
      </c>
      <c r="R1511" s="17" t="s">
        <v>54</v>
      </c>
    </row>
    <row r="1512" spans="1:18" ht="30" customHeight="1" x14ac:dyDescent="0.3">
      <c r="A1512" s="7">
        <v>45663</v>
      </c>
      <c r="B1512" s="6" t="s">
        <v>5</v>
      </c>
      <c r="C1512" s="6"/>
      <c r="D1512" s="6" t="str">
        <f>VLOOKUP(B1512,'Veri doğrulama'!$D$6:$E$13,2,0)</f>
        <v>MEHMET ÖZEN</v>
      </c>
      <c r="E1512" s="6" t="s">
        <v>180</v>
      </c>
      <c r="F1512" s="6" t="s">
        <v>161</v>
      </c>
      <c r="G1512" s="6" t="s">
        <v>16</v>
      </c>
      <c r="H1512" s="6" t="s">
        <v>34</v>
      </c>
      <c r="I1512" s="6">
        <v>1800</v>
      </c>
      <c r="J1512" s="6">
        <v>800</v>
      </c>
      <c r="K1512" s="6">
        <v>1</v>
      </c>
      <c r="L1512" s="10">
        <f t="shared" si="41"/>
        <v>2.7103999999999999</v>
      </c>
      <c r="M1512" s="6" t="s">
        <v>43</v>
      </c>
      <c r="N1512" s="6"/>
      <c r="O1512" s="6"/>
      <c r="P1512" s="17" t="s">
        <v>54</v>
      </c>
      <c r="Q1512" s="17" t="s">
        <v>54</v>
      </c>
      <c r="R1512" s="17"/>
    </row>
    <row r="1513" spans="1:18" ht="30" customHeight="1" x14ac:dyDescent="0.3">
      <c r="A1513" s="7">
        <v>45659</v>
      </c>
      <c r="B1513" s="6" t="s">
        <v>5</v>
      </c>
      <c r="C1513" s="6"/>
      <c r="D1513" s="6" t="str">
        <f>VLOOKUP(B1513,'Veri doğrulama'!$D$6:$E$13,2,0)</f>
        <v>MEHMET ÖZEN</v>
      </c>
      <c r="E1513" s="6"/>
      <c r="F1513" s="6" t="s">
        <v>161</v>
      </c>
      <c r="G1513" s="6" t="s">
        <v>16</v>
      </c>
      <c r="H1513" s="6" t="s">
        <v>34</v>
      </c>
      <c r="I1513" s="6">
        <v>1800</v>
      </c>
      <c r="J1513" s="6">
        <v>800</v>
      </c>
      <c r="K1513" s="6">
        <v>1</v>
      </c>
      <c r="L1513" s="10">
        <f t="shared" si="41"/>
        <v>1.44</v>
      </c>
      <c r="M1513" s="6" t="s">
        <v>103</v>
      </c>
      <c r="N1513" s="6"/>
      <c r="O1513" s="6"/>
      <c r="P1513" s="17" t="s">
        <v>54</v>
      </c>
      <c r="Q1513" s="17" t="s">
        <v>54</v>
      </c>
      <c r="R1513" s="17" t="s">
        <v>54</v>
      </c>
    </row>
    <row r="1514" spans="1:18" ht="30" customHeight="1" x14ac:dyDescent="0.3">
      <c r="A1514" s="7">
        <v>45659</v>
      </c>
      <c r="B1514" s="6" t="s">
        <v>4</v>
      </c>
      <c r="C1514" s="6"/>
      <c r="D1514" s="6" t="str">
        <f>VLOOKUP(B1514,'Veri doğrulama'!$D$6:$E$13,2,0)</f>
        <v>MEHMET YAZICI</v>
      </c>
      <c r="E1514" s="6" t="s">
        <v>162</v>
      </c>
      <c r="F1514" s="6" t="s">
        <v>160</v>
      </c>
      <c r="G1514" s="6" t="s">
        <v>16</v>
      </c>
      <c r="H1514" s="6" t="s">
        <v>34</v>
      </c>
      <c r="I1514" s="6">
        <v>1800</v>
      </c>
      <c r="J1514" s="6">
        <v>1600</v>
      </c>
      <c r="K1514" s="6">
        <v>1</v>
      </c>
      <c r="L1514" s="10">
        <f t="shared" ref="L1514" si="42">J1513*I1513/1000000*K1515</f>
        <v>1.44</v>
      </c>
      <c r="M1514" s="6" t="s">
        <v>42</v>
      </c>
      <c r="N1514" s="6" t="s">
        <v>159</v>
      </c>
      <c r="O1514" s="6"/>
      <c r="P1514" s="17" t="s">
        <v>54</v>
      </c>
      <c r="Q1514" s="17" t="s">
        <v>54</v>
      </c>
      <c r="R1514" s="17"/>
    </row>
    <row r="1515" spans="1:18" ht="30" customHeight="1" x14ac:dyDescent="0.3">
      <c r="A1515" s="7">
        <v>45659</v>
      </c>
      <c r="D1515" s="6" t="e">
        <f>VLOOKUP(B1515,'Veri doğrulama'!$D$6:$E$13,2,0)</f>
        <v>#N/A</v>
      </c>
      <c r="E1515" s="6"/>
      <c r="H1515" s="6" t="s">
        <v>34</v>
      </c>
      <c r="K1515" s="6">
        <v>1</v>
      </c>
      <c r="L1515" s="10" t="e">
        <f>J1514*I1514/1000000*#REF!</f>
        <v>#REF!</v>
      </c>
      <c r="M1515" s="6" t="s">
        <v>43</v>
      </c>
      <c r="P1515" s="17" t="s">
        <v>54</v>
      </c>
      <c r="Q1515" s="17" t="s">
        <v>54</v>
      </c>
      <c r="R1515" s="17"/>
    </row>
  </sheetData>
  <sheetProtection algorithmName="SHA-512" hashValue="OQHtVdUc2O/Z6y355Cv6QEg3cMuL6bNGUopEQyLkl1tWDB2GDvhzWUSBsMEw8jeTEo5532M2TL+JhX/xjlxfrA==" saltValue="QmfMLkg/wr4IZuTW1/UiLA==" spinCount="100000" sheet="1" objects="1" scenarios="1"/>
  <autoFilter ref="A1:R1515" xr:uid="{00000000-0009-0000-0000-000001000000}">
    <sortState xmlns:xlrd2="http://schemas.microsoft.com/office/spreadsheetml/2017/richdata2" ref="A4:R1507">
      <sortCondition descending="1" ref="A1:A1509"/>
    </sortState>
  </autoFilter>
  <sortState xmlns:xlrd2="http://schemas.microsoft.com/office/spreadsheetml/2017/richdata2" ref="A3:R1237">
    <sortCondition descending="1" ref="A1:A1237"/>
  </sortState>
  <conditionalFormatting sqref="Q1080 Q1081:R1497 Q432:R1079 P432:P1497 P382:R431 P295:P381 R295:R381 Q200:Q381 R200:R291 P136:P291 R136:R198 P2:R135">
    <cfRule type="containsText" dxfId="9" priority="36" operator="containsText" text="YAPILDI">
      <formula>NOT(ISERROR(SEARCH("YAPILDI",P2)))</formula>
    </cfRule>
  </conditionalFormatting>
  <conditionalFormatting sqref="R294">
    <cfRule type="containsText" dxfId="8" priority="11" operator="containsText" text="YAPILDI">
      <formula>NOT(ISERROR(SEARCH("YAPILDI",R294)))</formula>
    </cfRule>
  </conditionalFormatting>
  <conditionalFormatting sqref="R293">
    <cfRule type="containsText" dxfId="7" priority="10" operator="containsText" text="YAPILDI">
      <formula>NOT(ISERROR(SEARCH("YAPILDI",R293)))</formula>
    </cfRule>
  </conditionalFormatting>
  <conditionalFormatting sqref="R292">
    <cfRule type="containsText" dxfId="6" priority="9" operator="containsText" text="YAPILDI">
      <formula>NOT(ISERROR(SEARCH("YAPILDI",R292)))</formula>
    </cfRule>
  </conditionalFormatting>
  <conditionalFormatting sqref="P292">
    <cfRule type="containsText" dxfId="5" priority="7" operator="containsText" text="YAPILDI">
      <formula>NOT(ISERROR(SEARCH("YAPILDI",P292)))</formula>
    </cfRule>
  </conditionalFormatting>
  <conditionalFormatting sqref="P293">
    <cfRule type="containsText" dxfId="4" priority="6" operator="containsText" text="YAPILDI">
      <formula>NOT(ISERROR(SEARCH("YAPILDI",P293)))</formula>
    </cfRule>
  </conditionalFormatting>
  <conditionalFormatting sqref="P294">
    <cfRule type="containsText" dxfId="3" priority="5" operator="containsText" text="YAPILDI">
      <formula>NOT(ISERROR(SEARCH("YAPILDI",P294)))</formula>
    </cfRule>
  </conditionalFormatting>
  <conditionalFormatting sqref="P1498:R1515">
    <cfRule type="containsText" dxfId="2" priority="2" operator="containsText" text="YAPILDI">
      <formula>NOT(ISERROR(SEARCH("YAPILDI",P1498)))</formula>
    </cfRule>
  </conditionalFormatting>
  <conditionalFormatting sqref="Q136:Q199 R199">
    <cfRule type="containsText" dxfId="1" priority="1" operator="containsText" text="YAPILDI">
      <formula>NOT(ISERROR(SEARCH("YAPILDI",Q136)))</formula>
    </cfRule>
  </conditionalFormatting>
  <dataValidations count="6">
    <dataValidation type="list" allowBlank="1" showInputMessage="1" showErrorMessage="1" sqref="G1234:G1311 G295:G1232 G1498:G1515 G2:G291" xr:uid="{00000000-0002-0000-0100-000000000000}">
      <formula1>Renkler</formula1>
    </dataValidation>
    <dataValidation type="list" allowBlank="1" showInputMessage="1" showErrorMessage="1" sqref="G1446:G1448" xr:uid="{00000000-0002-0000-0100-000001000000}">
      <formula1>$H$1315:$H$1332</formula1>
    </dataValidation>
    <dataValidation type="list" allowBlank="1" showInputMessage="1" showErrorMessage="1" sqref="P295:P1048576 Q1081:R1515 R295:R1079 P2:P291 Q2:Q1080" xr:uid="{00000000-0002-0000-0100-000002000000}">
      <formula1>"YAPILDI"</formula1>
    </dataValidation>
    <dataValidation type="list" allowBlank="1" showInputMessage="1" showErrorMessage="1" sqref="M295:M1313 M1498:M1515" xr:uid="{00000000-0002-0000-0100-000003000000}">
      <formula1>Hata_Nedeni</formula1>
    </dataValidation>
    <dataValidation type="list" allowBlank="1" showInputMessage="1" showErrorMessage="1" sqref="B295:C1311 B1498:C1515" xr:uid="{00000000-0002-0000-0100-000004000000}">
      <formula1>Bölüm_Adı</formula1>
    </dataValidation>
    <dataValidation type="list" allowBlank="1" showInputMessage="1" showErrorMessage="1" sqref="H295:H1312 H1498:H1515" xr:uid="{00000000-0002-0000-0100-000005000000}">
      <formula1>Kalınlık</formula1>
    </dataValidation>
  </dataValidations>
  <pageMargins left="0.7" right="0.7" top="0.75" bottom="0.75" header="0.3" footer="0.3"/>
  <pageSetup paperSize="9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6000000}">
          <x14:formula1>
            <xm:f>'Veri doğrulama'!$F$6:$F$25</xm:f>
          </x14:formula1>
          <xm:sqref>G1425:G1445</xm:sqref>
        </x14:dataValidation>
        <x14:dataValidation type="list" allowBlank="1" showInputMessage="1" showErrorMessage="1" xr:uid="{00000000-0002-0000-0100-000007000000}">
          <x14:formula1>
            <xm:f>'Veri doğrulama'!$D$6:$D$9</xm:f>
          </x14:formula1>
          <xm:sqref>B1495:C1496</xm:sqref>
        </x14:dataValidation>
        <x14:dataValidation type="list" allowBlank="1" showInputMessage="1" showErrorMessage="1" xr:uid="{00000000-0002-0000-0100-000008000000}">
          <x14:formula1>
            <xm:f>'Veri doğrulama'!$E$6:$E$9</xm:f>
          </x14:formula1>
          <xm:sqref>D1497</xm:sqref>
        </x14:dataValidation>
        <x14:dataValidation type="list" allowBlank="1" showInputMessage="1" showErrorMessage="1" xr:uid="{00000000-0002-0000-0100-000009000000}">
          <x14:formula1>
            <xm:f>'Veri doğrulama'!$E$6:$E$11</xm:f>
          </x14:formula1>
          <xm:sqref>D1491:D1496</xm:sqref>
        </x14:dataValidation>
        <x14:dataValidation type="list" allowBlank="1" showInputMessage="1" showErrorMessage="1" xr:uid="{00000000-0002-0000-0100-00000A000000}">
          <x14:formula1>
            <xm:f>'Veri doğrulama'!$D$6:$D$11</xm:f>
          </x14:formula1>
          <xm:sqref>B1489:C1494</xm:sqref>
        </x14:dataValidation>
        <x14:dataValidation type="list" allowBlank="1" showInputMessage="1" showErrorMessage="1" xr:uid="{00000000-0002-0000-0100-00000B000000}">
          <x14:formula1>
            <xm:f>'Veri doğrulama'!$H$6:$H$13</xm:f>
          </x14:formula1>
          <xm:sqref>M1451:M1497</xm:sqref>
        </x14:dataValidation>
        <x14:dataValidation type="list" allowBlank="1" showInputMessage="1" showErrorMessage="1" xr:uid="{00000000-0002-0000-0100-00000C000000}">
          <x14:formula1>
            <xm:f>'Veri doğrulama'!$F$6:$F$23</xm:f>
          </x14:formula1>
          <xm:sqref>G1449:G1496</xm:sqref>
        </x14:dataValidation>
        <x14:dataValidation type="list" allowBlank="1" showInputMessage="1" showErrorMessage="1" xr:uid="{00000000-0002-0000-0100-00000D000000}">
          <x14:formula1>
            <xm:f>'Veri doğrulama'!$F$6:$F$26</xm:f>
          </x14:formula1>
          <xm:sqref>G1353:G1424</xm:sqref>
        </x14:dataValidation>
        <x14:dataValidation type="list" allowBlank="1" showInputMessage="1" showErrorMessage="1" xr:uid="{00000000-0002-0000-0100-00000E000000}">
          <x14:formula1>
            <xm:f>'Veri doğrulama'!$F$6:$F$27</xm:f>
          </x14:formula1>
          <xm:sqref>G1312:G1352</xm:sqref>
        </x14:dataValidation>
        <x14:dataValidation type="list" allowBlank="1" showInputMessage="1" showErrorMessage="1" xr:uid="{00000000-0002-0000-0100-00000F000000}">
          <x14:formula1>
            <xm:f>'Veri doğrulama'!$H$6:$H$14</xm:f>
          </x14:formula1>
          <xm:sqref>M1314:M1450</xm:sqref>
        </x14:dataValidation>
        <x14:dataValidation type="list" allowBlank="1" showInputMessage="1" showErrorMessage="1" xr:uid="{00000000-0002-0000-0100-000010000000}">
          <x14:formula1>
            <xm:f>'Veri doğrulama'!$D$6:$D$12</xm:f>
          </x14:formula1>
          <xm:sqref>B1312:C1488</xm:sqref>
        </x14:dataValidation>
        <x14:dataValidation type="list" allowBlank="1" showInputMessage="1" showErrorMessage="1" xr:uid="{00000000-0002-0000-0100-000011000000}">
          <x14:formula1>
            <xm:f>'Veri doğrulama'!$G$6:$G$8</xm:f>
          </x14:formula1>
          <xm:sqref>H1313:H1497</xm:sqref>
        </x14:dataValidation>
        <x14:dataValidation type="list" allowBlank="1" showInputMessage="1" showErrorMessage="1" xr:uid="{00000000-0002-0000-0100-000012000000}">
          <x14:formula1>
            <xm:f>'Veri doğrulama'!$E$6:$E$12</xm:f>
          </x14:formula1>
          <xm:sqref>D295:D1490 D1498:D1515 D2:D291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5"/>
  <dimension ref="A1:P1048425"/>
  <sheetViews>
    <sheetView showGridLines="0" zoomScaleNormal="100" zoomScaleSheetLayoutView="25" workbookViewId="0">
      <selection activeCell="O11" sqref="O11"/>
    </sheetView>
  </sheetViews>
  <sheetFormatPr defaultColWidth="19.21875" defaultRowHeight="30" customHeight="1" x14ac:dyDescent="0.3"/>
  <cols>
    <col min="1" max="1" width="26.5546875" style="3" customWidth="1"/>
    <col min="2" max="3" width="19.21875" style="3"/>
    <col min="4" max="4" width="12.21875" style="3" customWidth="1"/>
    <col min="5" max="5" width="37.21875" style="3" customWidth="1"/>
    <col min="6" max="6" width="18.21875" style="3" customWidth="1"/>
    <col min="7" max="7" width="14" style="3" customWidth="1"/>
    <col min="8" max="8" width="12.21875" style="3" customWidth="1"/>
    <col min="9" max="9" width="12.5546875" style="3" customWidth="1"/>
    <col min="10" max="10" width="11.5546875" style="3" customWidth="1"/>
    <col min="11" max="11" width="12.5546875" style="3" customWidth="1"/>
    <col min="12" max="12" width="19.21875" style="3"/>
    <col min="13" max="13" width="22.5546875" style="3" customWidth="1"/>
    <col min="14" max="14" width="19.5546875" style="3" customWidth="1"/>
    <col min="15" max="16" width="19.21875" style="3"/>
  </cols>
  <sheetData>
    <row r="1" spans="1:16" ht="30" customHeight="1" x14ac:dyDescent="0.3">
      <c r="A1" s="4" t="s">
        <v>0</v>
      </c>
      <c r="B1" s="4" t="s">
        <v>1</v>
      </c>
      <c r="C1" s="5" t="s">
        <v>47</v>
      </c>
      <c r="D1" s="5" t="s">
        <v>49</v>
      </c>
      <c r="E1" s="5" t="s">
        <v>45</v>
      </c>
      <c r="F1" s="5" t="s">
        <v>46</v>
      </c>
      <c r="G1" s="5" t="s">
        <v>44</v>
      </c>
      <c r="H1" s="5" t="s">
        <v>59</v>
      </c>
      <c r="I1" s="5" t="s">
        <v>58</v>
      </c>
      <c r="J1" s="5" t="s">
        <v>56</v>
      </c>
      <c r="K1" s="5" t="s">
        <v>57</v>
      </c>
      <c r="L1" s="5" t="s">
        <v>2</v>
      </c>
      <c r="M1" s="5" t="s">
        <v>154</v>
      </c>
      <c r="N1" s="5" t="s">
        <v>50</v>
      </c>
      <c r="O1" s="5" t="s">
        <v>51</v>
      </c>
      <c r="P1" s="5" t="s">
        <v>52</v>
      </c>
    </row>
    <row r="2" spans="1:16" ht="30" customHeight="1" x14ac:dyDescent="0.3">
      <c r="A2" s="7">
        <v>45954.647905092592</v>
      </c>
      <c r="B2" s="6" t="s">
        <v>5</v>
      </c>
      <c r="C2" s="6" t="str">
        <f>VLOOKUP(B2,'Veri doğrulama'!D6:E13,2,0)</f>
        <v>MEHMET ÖZEN</v>
      </c>
      <c r="D2" s="6"/>
      <c r="E2" s="6" t="s">
        <v>1308</v>
      </c>
      <c r="F2" s="6" t="s">
        <v>30</v>
      </c>
      <c r="G2" s="6" t="s">
        <v>34</v>
      </c>
      <c r="H2" s="6">
        <v>1400</v>
      </c>
      <c r="I2" s="6">
        <v>1200</v>
      </c>
      <c r="J2" s="6">
        <v>2</v>
      </c>
      <c r="K2" s="10">
        <f t="shared" ref="K2:K33" si="0">H2*I2/1000000*J2</f>
        <v>3.36</v>
      </c>
      <c r="L2" s="6" t="s">
        <v>42</v>
      </c>
      <c r="M2" s="6"/>
      <c r="N2" s="6" t="s">
        <v>54</v>
      </c>
      <c r="O2" s="6"/>
      <c r="P2" s="6"/>
    </row>
    <row r="3" spans="1:16" ht="30" customHeight="1" x14ac:dyDescent="0.3">
      <c r="A3" s="7">
        <v>45954.576030324075</v>
      </c>
      <c r="B3" s="6" t="s">
        <v>5</v>
      </c>
      <c r="C3" s="6" t="str">
        <f>VLOOKUP(B3,'Veri doğrulama'!D6:E13,2,0)</f>
        <v>MEHMET ÖZEN</v>
      </c>
      <c r="D3" s="6">
        <v>24977</v>
      </c>
      <c r="E3" s="6" t="s">
        <v>1307</v>
      </c>
      <c r="F3" s="6" t="s">
        <v>15</v>
      </c>
      <c r="G3" s="6" t="s">
        <v>34</v>
      </c>
      <c r="H3" s="6">
        <v>1763</v>
      </c>
      <c r="I3" s="6">
        <v>679</v>
      </c>
      <c r="J3" s="6">
        <v>1</v>
      </c>
      <c r="K3" s="10">
        <f t="shared" si="0"/>
        <v>1.1970769999999999</v>
      </c>
      <c r="L3" s="6" t="s">
        <v>102</v>
      </c>
      <c r="M3" s="6" t="s">
        <v>5</v>
      </c>
      <c r="N3" s="6" t="s">
        <v>54</v>
      </c>
      <c r="O3" s="6"/>
      <c r="P3" s="6"/>
    </row>
    <row r="4" spans="1:16" ht="30" customHeight="1" x14ac:dyDescent="0.3">
      <c r="A4" s="7">
        <v>45954.526358333336</v>
      </c>
      <c r="B4" s="6" t="s">
        <v>5</v>
      </c>
      <c r="C4" s="6" t="str">
        <f>VLOOKUP(B4,'Veri doğrulama'!D6:E13,2,0)</f>
        <v>MEHMET ÖZEN</v>
      </c>
      <c r="D4" s="6"/>
      <c r="E4" s="6" t="s">
        <v>1306</v>
      </c>
      <c r="F4" s="6" t="s">
        <v>16</v>
      </c>
      <c r="G4" s="6" t="s">
        <v>34</v>
      </c>
      <c r="H4" s="6">
        <v>1200</v>
      </c>
      <c r="I4" s="6">
        <v>1000</v>
      </c>
      <c r="J4" s="6">
        <v>3</v>
      </c>
      <c r="K4" s="10">
        <f t="shared" si="0"/>
        <v>3.5999999999999996</v>
      </c>
      <c r="L4" s="6" t="s">
        <v>103</v>
      </c>
      <c r="M4" s="6"/>
      <c r="N4" s="6" t="s">
        <v>54</v>
      </c>
      <c r="O4" s="6"/>
      <c r="P4" s="6"/>
    </row>
    <row r="5" spans="1:16" ht="30" customHeight="1" x14ac:dyDescent="0.3">
      <c r="A5" s="7">
        <v>45953.649837962963</v>
      </c>
      <c r="B5" s="6" t="s">
        <v>5</v>
      </c>
      <c r="C5" s="6" t="s">
        <v>53</v>
      </c>
      <c r="D5" s="6"/>
      <c r="E5" s="6" t="s">
        <v>1305</v>
      </c>
      <c r="F5" s="6" t="s">
        <v>17</v>
      </c>
      <c r="G5" s="6" t="s">
        <v>35</v>
      </c>
      <c r="H5" s="6">
        <v>1895</v>
      </c>
      <c r="I5" s="6">
        <v>870</v>
      </c>
      <c r="J5" s="6">
        <v>1</v>
      </c>
      <c r="K5" s="10">
        <f t="shared" si="0"/>
        <v>1.6486499999999999</v>
      </c>
      <c r="L5" s="6" t="s">
        <v>75</v>
      </c>
      <c r="M5" s="6"/>
      <c r="N5" s="6" t="s">
        <v>54</v>
      </c>
      <c r="O5" s="6"/>
      <c r="P5" s="6"/>
    </row>
    <row r="6" spans="1:16" ht="30" customHeight="1" x14ac:dyDescent="0.3">
      <c r="A6" s="7">
        <v>45953.63651527778</v>
      </c>
      <c r="B6" s="6" t="s">
        <v>7</v>
      </c>
      <c r="C6" s="6" t="str">
        <f>VLOOKUP(B6,'Veri doğrulama'!D6:E13,2,0)</f>
        <v>SIDDIK KAPLAN</v>
      </c>
      <c r="D6" s="6"/>
      <c r="E6" s="6" t="s">
        <v>1304</v>
      </c>
      <c r="F6" s="6" t="s">
        <v>1004</v>
      </c>
      <c r="G6" s="6" t="s">
        <v>34</v>
      </c>
      <c r="H6" s="6">
        <v>1600</v>
      </c>
      <c r="I6" s="6">
        <v>800</v>
      </c>
      <c r="J6" s="6">
        <v>1</v>
      </c>
      <c r="K6" s="10">
        <f t="shared" si="0"/>
        <v>1.28</v>
      </c>
      <c r="L6" s="6" t="s">
        <v>43</v>
      </c>
      <c r="M6" s="6"/>
      <c r="N6" s="6" t="s">
        <v>54</v>
      </c>
      <c r="O6" s="6"/>
      <c r="P6" s="6"/>
    </row>
    <row r="7" spans="1:16" ht="30" customHeight="1" x14ac:dyDescent="0.3">
      <c r="A7" s="7">
        <v>45953.597365856484</v>
      </c>
      <c r="B7" s="6" t="s">
        <v>5</v>
      </c>
      <c r="C7" s="6" t="str">
        <f>VLOOKUP(B7,'Veri doğrulama'!D6:E13,2,0)</f>
        <v>MEHMET ÖZEN</v>
      </c>
      <c r="D7" s="6"/>
      <c r="E7" s="6" t="s">
        <v>1303</v>
      </c>
      <c r="F7" s="6" t="s">
        <v>17</v>
      </c>
      <c r="G7" s="6" t="s">
        <v>35</v>
      </c>
      <c r="H7" s="6">
        <v>1800</v>
      </c>
      <c r="I7" s="6">
        <v>150</v>
      </c>
      <c r="J7" s="6">
        <v>1</v>
      </c>
      <c r="K7" s="10">
        <f t="shared" si="0"/>
        <v>0.27</v>
      </c>
      <c r="L7" s="6" t="s">
        <v>102</v>
      </c>
      <c r="M7" s="6"/>
      <c r="N7" s="6" t="s">
        <v>54</v>
      </c>
      <c r="O7" s="6"/>
      <c r="P7" s="6"/>
    </row>
    <row r="8" spans="1:16" ht="30" customHeight="1" x14ac:dyDescent="0.3">
      <c r="A8" s="7">
        <v>45953.481804166666</v>
      </c>
      <c r="B8" s="6" t="s">
        <v>7</v>
      </c>
      <c r="C8" s="6" t="str">
        <f>VLOOKUP(B8,'Veri doğrulama'!D6:E13,2,0)</f>
        <v>SIDDIK KAPLAN</v>
      </c>
      <c r="D8" s="6"/>
      <c r="E8" s="6" t="s">
        <v>1301</v>
      </c>
      <c r="F8" s="6" t="s">
        <v>30</v>
      </c>
      <c r="G8" s="6" t="s">
        <v>34</v>
      </c>
      <c r="H8" s="6">
        <v>1200</v>
      </c>
      <c r="I8" s="6">
        <v>700</v>
      </c>
      <c r="J8" s="6">
        <v>1</v>
      </c>
      <c r="K8" s="10">
        <f t="shared" si="0"/>
        <v>0.84</v>
      </c>
      <c r="L8" s="6" t="s">
        <v>43</v>
      </c>
      <c r="M8" s="6" t="s">
        <v>1302</v>
      </c>
      <c r="N8" s="6" t="s">
        <v>54</v>
      </c>
      <c r="O8" s="6"/>
      <c r="P8" s="6"/>
    </row>
    <row r="9" spans="1:16" ht="30" customHeight="1" x14ac:dyDescent="0.3">
      <c r="A9" s="7">
        <v>45953.478490393521</v>
      </c>
      <c r="B9" s="6" t="s">
        <v>5</v>
      </c>
      <c r="C9" s="6" t="str">
        <f>VLOOKUP(B9,'Veri doğrulama'!D6:E13,2,0)</f>
        <v>MEHMET ÖZEN</v>
      </c>
      <c r="D9" s="6" t="s">
        <v>1299</v>
      </c>
      <c r="E9" s="6" t="s">
        <v>1300</v>
      </c>
      <c r="F9" s="6" t="s">
        <v>16</v>
      </c>
      <c r="G9" s="6" t="s">
        <v>34</v>
      </c>
      <c r="H9" s="6">
        <v>1000</v>
      </c>
      <c r="I9" s="6">
        <v>600</v>
      </c>
      <c r="J9" s="6">
        <v>1</v>
      </c>
      <c r="K9" s="10">
        <f t="shared" si="0"/>
        <v>0.6</v>
      </c>
      <c r="L9" s="6" t="s">
        <v>42</v>
      </c>
      <c r="M9" s="6"/>
      <c r="N9" s="6" t="s">
        <v>54</v>
      </c>
      <c r="O9" s="6"/>
      <c r="P9" s="6"/>
    </row>
    <row r="10" spans="1:16" ht="30" customHeight="1" x14ac:dyDescent="0.3">
      <c r="A10" s="7">
        <v>45953.373304745372</v>
      </c>
      <c r="B10" s="6" t="s">
        <v>5</v>
      </c>
      <c r="C10" s="6" t="str">
        <f>VLOOKUP(B10,'Veri doğrulama'!D6:E13,2,0)</f>
        <v>MEHMET ÖZEN</v>
      </c>
      <c r="D10" s="6"/>
      <c r="E10" s="6" t="s">
        <v>1298</v>
      </c>
      <c r="F10" s="6" t="s">
        <v>16</v>
      </c>
      <c r="G10" s="6" t="s">
        <v>34</v>
      </c>
      <c r="H10" s="6">
        <v>701</v>
      </c>
      <c r="I10" s="6">
        <v>397</v>
      </c>
      <c r="J10" s="6">
        <v>1</v>
      </c>
      <c r="K10" s="10">
        <f t="shared" si="0"/>
        <v>0.27829700000000002</v>
      </c>
      <c r="L10" s="6" t="s">
        <v>156</v>
      </c>
      <c r="M10" s="6"/>
      <c r="N10" s="6" t="s">
        <v>54</v>
      </c>
      <c r="O10" s="6"/>
      <c r="P10" s="6"/>
    </row>
    <row r="11" spans="1:16" ht="30" customHeight="1" x14ac:dyDescent="0.3">
      <c r="A11" s="7">
        <v>45952.608689699075</v>
      </c>
      <c r="B11" s="6" t="s">
        <v>81</v>
      </c>
      <c r="C11" s="6" t="str">
        <f>VLOOKUP(B11,'Veri doğrulama'!D6:E13,2,0)</f>
        <v>İBRAHİM ÇELİK</v>
      </c>
      <c r="D11" s="6"/>
      <c r="E11" s="6" t="s">
        <v>1271</v>
      </c>
      <c r="F11" s="6" t="s">
        <v>1004</v>
      </c>
      <c r="G11" s="6" t="s">
        <v>34</v>
      </c>
      <c r="H11" s="6">
        <v>1022</v>
      </c>
      <c r="I11" s="6">
        <v>457</v>
      </c>
      <c r="J11" s="6">
        <v>1</v>
      </c>
      <c r="K11" s="10">
        <f t="shared" si="0"/>
        <v>0.46705400000000002</v>
      </c>
      <c r="L11" s="6" t="s">
        <v>43</v>
      </c>
      <c r="M11" s="6" t="s">
        <v>1142</v>
      </c>
      <c r="N11" s="6" t="s">
        <v>54</v>
      </c>
      <c r="O11" s="6"/>
      <c r="P11" s="6"/>
    </row>
    <row r="12" spans="1:16" ht="30" customHeight="1" x14ac:dyDescent="0.3">
      <c r="A12" s="7">
        <v>45952.606819097222</v>
      </c>
      <c r="B12" s="6" t="s">
        <v>81</v>
      </c>
      <c r="C12" s="6" t="str">
        <f>VLOOKUP(B12,'Veri doğrulama'!D6:E13,2,0)</f>
        <v>İBRAHİM ÇELİK</v>
      </c>
      <c r="D12" s="6"/>
      <c r="E12" s="6" t="s">
        <v>1271</v>
      </c>
      <c r="F12" s="6" t="s">
        <v>1004</v>
      </c>
      <c r="G12" s="6" t="s">
        <v>34</v>
      </c>
      <c r="H12" s="6">
        <v>1022</v>
      </c>
      <c r="I12" s="6">
        <v>818</v>
      </c>
      <c r="J12" s="6">
        <v>1</v>
      </c>
      <c r="K12" s="10">
        <f t="shared" si="0"/>
        <v>0.83599599999999996</v>
      </c>
      <c r="L12" s="6" t="s">
        <v>43</v>
      </c>
      <c r="M12" s="6" t="s">
        <v>1142</v>
      </c>
      <c r="N12" s="6" t="s">
        <v>54</v>
      </c>
      <c r="O12" s="6"/>
      <c r="P12" s="6"/>
    </row>
    <row r="13" spans="1:16" ht="30" customHeight="1" x14ac:dyDescent="0.3">
      <c r="A13" s="7">
        <v>45952.562012962961</v>
      </c>
      <c r="B13" s="6" t="s">
        <v>4</v>
      </c>
      <c r="C13" s="6" t="str">
        <f>VLOOKUP(B13,'Veri doğrulama'!D6:E13,2,0)</f>
        <v>MEHMET YAZICI</v>
      </c>
      <c r="D13" s="6"/>
      <c r="E13" s="6" t="s">
        <v>1297</v>
      </c>
      <c r="F13" s="6" t="s">
        <v>16</v>
      </c>
      <c r="G13" s="6" t="s">
        <v>34</v>
      </c>
      <c r="H13" s="6">
        <v>730</v>
      </c>
      <c r="I13" s="6">
        <v>252</v>
      </c>
      <c r="J13" s="6">
        <v>1</v>
      </c>
      <c r="K13" s="10">
        <f t="shared" si="0"/>
        <v>0.18396000000000001</v>
      </c>
      <c r="L13" s="6" t="s">
        <v>75</v>
      </c>
      <c r="M13" s="6"/>
      <c r="N13" s="6" t="s">
        <v>54</v>
      </c>
      <c r="O13" s="6"/>
      <c r="P13" s="6"/>
    </row>
    <row r="14" spans="1:16" ht="30" customHeight="1" x14ac:dyDescent="0.3">
      <c r="A14" s="7">
        <v>45952.561444328705</v>
      </c>
      <c r="B14" s="6" t="s">
        <v>4</v>
      </c>
      <c r="C14" s="6" t="str">
        <f>VLOOKUP(B14,'Veri doğrulama'!D6:E13,2,0)</f>
        <v>MEHMET YAZICI</v>
      </c>
      <c r="D14" s="6"/>
      <c r="E14" s="6" t="s">
        <v>303</v>
      </c>
      <c r="F14" s="6" t="s">
        <v>16</v>
      </c>
      <c r="G14" s="6" t="s">
        <v>34</v>
      </c>
      <c r="H14" s="6">
        <v>696</v>
      </c>
      <c r="I14" s="6">
        <v>435</v>
      </c>
      <c r="J14" s="6">
        <v>2</v>
      </c>
      <c r="K14" s="10">
        <f t="shared" si="0"/>
        <v>0.60551999999999995</v>
      </c>
      <c r="L14" s="6" t="s">
        <v>102</v>
      </c>
      <c r="M14" s="6"/>
      <c r="N14" s="6" t="s">
        <v>54</v>
      </c>
      <c r="O14" s="6"/>
      <c r="P14" s="6"/>
    </row>
    <row r="15" spans="1:16" ht="30" customHeight="1" x14ac:dyDescent="0.3">
      <c r="A15" s="7">
        <v>45952.560714814812</v>
      </c>
      <c r="B15" s="6" t="s">
        <v>4</v>
      </c>
      <c r="C15" s="6" t="str">
        <f>VLOOKUP(B15,'Veri doğrulama'!D6:E13,2,0)</f>
        <v>MEHMET YAZICI</v>
      </c>
      <c r="D15" s="6"/>
      <c r="E15" s="6" t="s">
        <v>1296</v>
      </c>
      <c r="F15" s="6" t="s">
        <v>16</v>
      </c>
      <c r="G15" s="6" t="s">
        <v>34</v>
      </c>
      <c r="H15" s="6">
        <v>762</v>
      </c>
      <c r="I15" s="6">
        <v>375</v>
      </c>
      <c r="J15" s="6">
        <v>1</v>
      </c>
      <c r="K15" s="10">
        <f t="shared" si="0"/>
        <v>0.28575</v>
      </c>
      <c r="L15" s="6" t="s">
        <v>39</v>
      </c>
      <c r="M15" s="6"/>
      <c r="N15" s="6" t="s">
        <v>54</v>
      </c>
      <c r="O15" s="6"/>
      <c r="P15" s="6"/>
    </row>
    <row r="16" spans="1:16" ht="30" customHeight="1" x14ac:dyDescent="0.3">
      <c r="A16" s="7">
        <v>45952.560115046297</v>
      </c>
      <c r="B16" s="6" t="s">
        <v>4</v>
      </c>
      <c r="C16" s="6" t="str">
        <f>VLOOKUP(B16,'Veri doğrulama'!D6:E13,2,0)</f>
        <v>MEHMET YAZICI</v>
      </c>
      <c r="D16" s="6"/>
      <c r="E16" s="6" t="s">
        <v>1295</v>
      </c>
      <c r="F16" s="6" t="s">
        <v>16</v>
      </c>
      <c r="G16" s="6" t="s">
        <v>34</v>
      </c>
      <c r="H16" s="6">
        <v>762</v>
      </c>
      <c r="I16" s="6">
        <v>355</v>
      </c>
      <c r="J16" s="6">
        <v>1</v>
      </c>
      <c r="K16" s="10">
        <f t="shared" si="0"/>
        <v>0.27050999999999997</v>
      </c>
      <c r="L16" s="6" t="s">
        <v>75</v>
      </c>
      <c r="M16" s="6"/>
      <c r="N16" s="6" t="s">
        <v>54</v>
      </c>
      <c r="O16" s="6"/>
      <c r="P16" s="6"/>
    </row>
    <row r="17" spans="1:16" ht="30" customHeight="1" x14ac:dyDescent="0.3">
      <c r="A17" s="7">
        <v>45951.345957523146</v>
      </c>
      <c r="B17" s="6" t="s">
        <v>5</v>
      </c>
      <c r="C17" s="6" t="str">
        <f>VLOOKUP(B17,'Veri doğrulama'!D6:E13,2,0)</f>
        <v>MEHMET ÖZEN</v>
      </c>
      <c r="D17" s="6"/>
      <c r="E17" s="6" t="s">
        <v>1293</v>
      </c>
      <c r="F17" s="6" t="s">
        <v>17</v>
      </c>
      <c r="G17" s="6" t="s">
        <v>34</v>
      </c>
      <c r="H17" s="6">
        <v>1200</v>
      </c>
      <c r="I17" s="6">
        <v>1400</v>
      </c>
      <c r="J17" s="6">
        <v>2</v>
      </c>
      <c r="K17" s="10">
        <f t="shared" si="0"/>
        <v>3.36</v>
      </c>
      <c r="L17" s="6" t="s">
        <v>156</v>
      </c>
      <c r="M17" s="6" t="s">
        <v>1294</v>
      </c>
      <c r="N17" s="6" t="s">
        <v>54</v>
      </c>
      <c r="O17" s="6" t="s">
        <v>54</v>
      </c>
      <c r="P17" s="6"/>
    </row>
    <row r="18" spans="1:16" ht="30" customHeight="1" x14ac:dyDescent="0.3">
      <c r="A18" s="7">
        <v>45951.343143865743</v>
      </c>
      <c r="B18" s="6" t="s">
        <v>5</v>
      </c>
      <c r="C18" s="6" t="str">
        <f>VLOOKUP(B18,'Veri doğrulama'!D6:E13,2,0)</f>
        <v>MEHMET ÖZEN</v>
      </c>
      <c r="D18" s="6"/>
      <c r="E18" s="6" t="s">
        <v>555</v>
      </c>
      <c r="F18" s="6" t="s">
        <v>16</v>
      </c>
      <c r="G18" s="6" t="s">
        <v>34</v>
      </c>
      <c r="H18" s="6">
        <v>1200</v>
      </c>
      <c r="I18" s="6">
        <v>700</v>
      </c>
      <c r="J18" s="6">
        <v>1</v>
      </c>
      <c r="K18" s="10">
        <f t="shared" si="0"/>
        <v>0.84</v>
      </c>
      <c r="L18" s="6" t="s">
        <v>596</v>
      </c>
      <c r="M18" s="6"/>
      <c r="N18" s="6" t="s">
        <v>54</v>
      </c>
      <c r="O18" s="6" t="s">
        <v>54</v>
      </c>
      <c r="P18" s="6"/>
    </row>
    <row r="19" spans="1:16" ht="30" customHeight="1" x14ac:dyDescent="0.3">
      <c r="A19" s="7">
        <v>45951.342518750003</v>
      </c>
      <c r="B19" s="6" t="s">
        <v>5</v>
      </c>
      <c r="C19" s="6" t="str">
        <f>VLOOKUP(B19,'Veri doğrulama'!D6:E13,2,0)</f>
        <v>MEHMET ÖZEN</v>
      </c>
      <c r="D19" s="6"/>
      <c r="E19" s="6" t="s">
        <v>1292</v>
      </c>
      <c r="F19" s="6" t="s">
        <v>16</v>
      </c>
      <c r="G19" s="6" t="s">
        <v>34</v>
      </c>
      <c r="H19" s="6">
        <v>539</v>
      </c>
      <c r="I19" s="6">
        <v>556</v>
      </c>
      <c r="J19" s="6">
        <v>2</v>
      </c>
      <c r="K19" s="10">
        <f t="shared" si="0"/>
        <v>0.59936800000000001</v>
      </c>
      <c r="L19" s="6" t="s">
        <v>103</v>
      </c>
      <c r="M19" s="6"/>
      <c r="N19" s="6" t="s">
        <v>54</v>
      </c>
      <c r="O19" s="6" t="s">
        <v>54</v>
      </c>
      <c r="P19" s="6"/>
    </row>
    <row r="20" spans="1:16" ht="30" customHeight="1" x14ac:dyDescent="0.3">
      <c r="A20" s="7">
        <v>45950.624475231481</v>
      </c>
      <c r="B20" s="6" t="s">
        <v>5</v>
      </c>
      <c r="C20" s="6" t="str">
        <f>VLOOKUP(B20,'Veri doğrulama'!D6:E13,2,0)</f>
        <v>MEHMET ÖZEN</v>
      </c>
      <c r="D20" s="6"/>
      <c r="E20" s="6" t="s">
        <v>1291</v>
      </c>
      <c r="F20" s="6" t="s">
        <v>16</v>
      </c>
      <c r="G20" s="6" t="s">
        <v>34</v>
      </c>
      <c r="H20" s="6">
        <v>2000</v>
      </c>
      <c r="I20" s="6">
        <v>590</v>
      </c>
      <c r="J20" s="6">
        <v>1</v>
      </c>
      <c r="K20" s="10">
        <f t="shared" si="0"/>
        <v>1.18</v>
      </c>
      <c r="L20" s="6" t="s">
        <v>596</v>
      </c>
      <c r="M20" s="6"/>
      <c r="N20" s="6" t="s">
        <v>54</v>
      </c>
      <c r="O20" s="6" t="s">
        <v>54</v>
      </c>
      <c r="P20" s="6"/>
    </row>
    <row r="21" spans="1:16" ht="30" customHeight="1" x14ac:dyDescent="0.3">
      <c r="A21" s="7">
        <v>45950.602987152779</v>
      </c>
      <c r="B21" s="6" t="s">
        <v>5</v>
      </c>
      <c r="C21" s="6" t="s">
        <v>53</v>
      </c>
      <c r="D21" s="6"/>
      <c r="E21" s="6" t="s">
        <v>1290</v>
      </c>
      <c r="F21" s="6" t="s">
        <v>16</v>
      </c>
      <c r="G21" s="6" t="s">
        <v>34</v>
      </c>
      <c r="H21" s="6">
        <v>1300</v>
      </c>
      <c r="I21" s="6">
        <v>320</v>
      </c>
      <c r="J21" s="6">
        <v>1</v>
      </c>
      <c r="K21" s="10">
        <f t="shared" si="0"/>
        <v>0.41599999999999998</v>
      </c>
      <c r="L21" s="6" t="s">
        <v>156</v>
      </c>
      <c r="M21" s="6"/>
      <c r="N21" s="6" t="s">
        <v>54</v>
      </c>
      <c r="O21" s="6" t="s">
        <v>54</v>
      </c>
      <c r="P21" s="6"/>
    </row>
    <row r="22" spans="1:16" ht="30" customHeight="1" x14ac:dyDescent="0.3">
      <c r="A22" s="7">
        <v>45950.570219907408</v>
      </c>
      <c r="B22" s="6" t="s">
        <v>7</v>
      </c>
      <c r="C22" s="6" t="str">
        <f>VLOOKUP(B22,'Veri doğrulama'!D6:E13,2,0)</f>
        <v>SIDDIK KAPLAN</v>
      </c>
      <c r="D22" s="6"/>
      <c r="E22" s="6" t="s">
        <v>1288</v>
      </c>
      <c r="F22" s="6" t="s">
        <v>15</v>
      </c>
      <c r="G22" s="6" t="s">
        <v>34</v>
      </c>
      <c r="H22" s="6">
        <v>1200</v>
      </c>
      <c r="I22" s="6">
        <v>1400</v>
      </c>
      <c r="J22" s="6">
        <v>1</v>
      </c>
      <c r="K22" s="10">
        <f t="shared" si="0"/>
        <v>1.68</v>
      </c>
      <c r="L22" s="6" t="s">
        <v>43</v>
      </c>
      <c r="M22" s="6" t="s">
        <v>1289</v>
      </c>
      <c r="N22" s="6" t="s">
        <v>54</v>
      </c>
      <c r="O22" s="6" t="s">
        <v>54</v>
      </c>
      <c r="P22" s="6"/>
    </row>
    <row r="23" spans="1:16" ht="30" customHeight="1" x14ac:dyDescent="0.3">
      <c r="A23" s="7">
        <v>45950.416307638887</v>
      </c>
      <c r="B23" s="6" t="s">
        <v>5</v>
      </c>
      <c r="C23" s="6" t="str">
        <f>VLOOKUP(B23,'Veri doğrulama'!D6:E13,2,0)</f>
        <v>MEHMET ÖZEN</v>
      </c>
      <c r="D23" s="6" t="s">
        <v>1286</v>
      </c>
      <c r="E23" s="6" t="s">
        <v>1287</v>
      </c>
      <c r="F23" s="6" t="s">
        <v>15</v>
      </c>
      <c r="G23" s="6" t="s">
        <v>34</v>
      </c>
      <c r="H23" s="6">
        <v>1810</v>
      </c>
      <c r="I23" s="6">
        <v>483</v>
      </c>
      <c r="J23" s="6">
        <v>2</v>
      </c>
      <c r="K23" s="10">
        <f t="shared" si="0"/>
        <v>1.7484599999999999</v>
      </c>
      <c r="L23" s="6" t="s">
        <v>42</v>
      </c>
      <c r="M23" s="6"/>
      <c r="N23" s="6" t="s">
        <v>54</v>
      </c>
      <c r="O23" s="6" t="s">
        <v>54</v>
      </c>
      <c r="P23" s="6"/>
    </row>
    <row r="24" spans="1:16" ht="30" customHeight="1" x14ac:dyDescent="0.3">
      <c r="A24" s="7">
        <v>45950.39007523148</v>
      </c>
      <c r="B24" s="6" t="s">
        <v>5</v>
      </c>
      <c r="C24" s="6" t="str">
        <f>VLOOKUP(B24,'Veri doğrulama'!D6:E13,2,0)</f>
        <v>MEHMET ÖZEN</v>
      </c>
      <c r="D24" s="6"/>
      <c r="E24" s="6" t="s">
        <v>142</v>
      </c>
      <c r="F24" s="6" t="s">
        <v>16</v>
      </c>
      <c r="G24" s="6" t="s">
        <v>34</v>
      </c>
      <c r="H24" s="6">
        <v>785</v>
      </c>
      <c r="I24" s="6">
        <v>415</v>
      </c>
      <c r="J24" s="6">
        <v>1</v>
      </c>
      <c r="K24" s="10">
        <f t="shared" si="0"/>
        <v>0.32577499999999998</v>
      </c>
      <c r="L24" s="6" t="s">
        <v>102</v>
      </c>
      <c r="M24" s="6"/>
      <c r="N24" s="6" t="s">
        <v>54</v>
      </c>
      <c r="O24" s="6" t="s">
        <v>54</v>
      </c>
      <c r="P24" s="6"/>
    </row>
    <row r="25" spans="1:16" ht="30" customHeight="1" x14ac:dyDescent="0.3">
      <c r="A25" s="7">
        <v>45947.569798032404</v>
      </c>
      <c r="B25" s="6" t="s">
        <v>5</v>
      </c>
      <c r="C25" s="6" t="str">
        <f>VLOOKUP(B25,'Veri doğrulama'!D6:E13,2,0)</f>
        <v>MEHMET ÖZEN</v>
      </c>
      <c r="D25" s="6" t="s">
        <v>1284</v>
      </c>
      <c r="E25" s="6" t="s">
        <v>1285</v>
      </c>
      <c r="F25" s="6" t="s">
        <v>28</v>
      </c>
      <c r="G25" s="6" t="s">
        <v>34</v>
      </c>
      <c r="H25" s="6">
        <v>1800</v>
      </c>
      <c r="I25" s="6">
        <v>360</v>
      </c>
      <c r="J25" s="6">
        <v>1</v>
      </c>
      <c r="K25" s="10">
        <f t="shared" si="0"/>
        <v>0.64800000000000002</v>
      </c>
      <c r="L25" s="6" t="s">
        <v>41</v>
      </c>
      <c r="M25" s="6"/>
      <c r="N25" s="6" t="s">
        <v>54</v>
      </c>
      <c r="O25" s="6" t="s">
        <v>54</v>
      </c>
      <c r="P25" s="6"/>
    </row>
    <row r="26" spans="1:16" ht="30" customHeight="1" x14ac:dyDescent="0.3">
      <c r="A26" s="7">
        <v>45946.625356597222</v>
      </c>
      <c r="B26" s="6" t="s">
        <v>5</v>
      </c>
      <c r="C26" s="6" t="str">
        <f>VLOOKUP(B26,'Veri doğrulama'!D6:E13,2,0)</f>
        <v>MEHMET ÖZEN</v>
      </c>
      <c r="D26" s="6"/>
      <c r="E26" s="6" t="s">
        <v>1282</v>
      </c>
      <c r="F26" s="6" t="s">
        <v>18</v>
      </c>
      <c r="G26" s="6" t="s">
        <v>34</v>
      </c>
      <c r="H26" s="6">
        <v>1800</v>
      </c>
      <c r="I26" s="6">
        <v>1100</v>
      </c>
      <c r="J26" s="6">
        <v>1</v>
      </c>
      <c r="K26" s="10">
        <f t="shared" si="0"/>
        <v>1.98</v>
      </c>
      <c r="L26" s="6" t="s">
        <v>43</v>
      </c>
      <c r="M26" s="6" t="s">
        <v>1283</v>
      </c>
      <c r="N26" s="6" t="s">
        <v>54</v>
      </c>
      <c r="O26" s="6" t="s">
        <v>54</v>
      </c>
      <c r="P26" s="6"/>
    </row>
    <row r="27" spans="1:16" ht="30" customHeight="1" x14ac:dyDescent="0.3">
      <c r="A27" s="7">
        <v>45946.472892129626</v>
      </c>
      <c r="B27" s="6" t="s">
        <v>5</v>
      </c>
      <c r="C27" s="6" t="str">
        <f>VLOOKUP(B27,'Veri doğrulama'!D6:E13,2,0)</f>
        <v>MEHMET ÖZEN</v>
      </c>
      <c r="D27" s="6"/>
      <c r="E27" s="6" t="s">
        <v>1281</v>
      </c>
      <c r="F27" s="6" t="s">
        <v>27</v>
      </c>
      <c r="G27" s="6" t="s">
        <v>34</v>
      </c>
      <c r="H27" s="6">
        <v>1800</v>
      </c>
      <c r="I27" s="6">
        <v>800</v>
      </c>
      <c r="J27" s="6">
        <v>1</v>
      </c>
      <c r="K27" s="10">
        <f t="shared" si="0"/>
        <v>1.44</v>
      </c>
      <c r="L27" s="6" t="s">
        <v>252</v>
      </c>
      <c r="M27" s="6"/>
      <c r="N27" s="6" t="s">
        <v>54</v>
      </c>
      <c r="O27" s="6" t="s">
        <v>54</v>
      </c>
      <c r="P27" s="6"/>
    </row>
    <row r="28" spans="1:16" ht="30" customHeight="1" x14ac:dyDescent="0.3">
      <c r="A28" s="7">
        <v>45946.469927430553</v>
      </c>
      <c r="B28" s="6" t="s">
        <v>5</v>
      </c>
      <c r="C28" s="6" t="str">
        <f>VLOOKUP(B28,'Veri doğrulama'!D6:E13,2,0)</f>
        <v>MEHMET ÖZEN</v>
      </c>
      <c r="D28" s="6"/>
      <c r="E28" s="6" t="s">
        <v>1280</v>
      </c>
      <c r="F28" s="6" t="s">
        <v>16</v>
      </c>
      <c r="G28" s="6" t="s">
        <v>35</v>
      </c>
      <c r="H28" s="6">
        <v>1800</v>
      </c>
      <c r="I28" s="6">
        <v>800</v>
      </c>
      <c r="J28" s="6">
        <v>1</v>
      </c>
      <c r="K28" s="10">
        <f t="shared" si="0"/>
        <v>1.44</v>
      </c>
      <c r="L28" s="6" t="s">
        <v>103</v>
      </c>
      <c r="M28" s="6"/>
      <c r="N28" s="6" t="s">
        <v>54</v>
      </c>
      <c r="O28" s="6" t="s">
        <v>54</v>
      </c>
      <c r="P28" s="6"/>
    </row>
    <row r="29" spans="1:16" ht="30" customHeight="1" x14ac:dyDescent="0.3">
      <c r="A29" s="7">
        <v>45946.452360300929</v>
      </c>
      <c r="B29" s="6" t="s">
        <v>5</v>
      </c>
      <c r="C29" s="6" t="str">
        <f>VLOOKUP(B29,'Veri doğrulama'!D6:E13,2,0)</f>
        <v>MEHMET ÖZEN</v>
      </c>
      <c r="D29" s="6" t="s">
        <v>1278</v>
      </c>
      <c r="E29" s="6" t="s">
        <v>1279</v>
      </c>
      <c r="F29" s="6" t="s">
        <v>26</v>
      </c>
      <c r="G29" s="6" t="s">
        <v>33</v>
      </c>
      <c r="H29" s="6">
        <v>2345</v>
      </c>
      <c r="I29" s="6">
        <v>410</v>
      </c>
      <c r="J29" s="6">
        <v>1</v>
      </c>
      <c r="K29" s="10">
        <f t="shared" si="0"/>
        <v>0.96145000000000003</v>
      </c>
      <c r="L29" s="6" t="s">
        <v>41</v>
      </c>
      <c r="M29" s="6"/>
      <c r="N29" s="6" t="s">
        <v>54</v>
      </c>
      <c r="O29" s="6" t="s">
        <v>54</v>
      </c>
      <c r="P29" s="6"/>
    </row>
    <row r="30" spans="1:16" ht="30" customHeight="1" x14ac:dyDescent="0.3">
      <c r="A30" s="7">
        <v>45945.734578356482</v>
      </c>
      <c r="B30" s="6" t="s">
        <v>5</v>
      </c>
      <c r="C30" s="6" t="str">
        <f>VLOOKUP(B30,'Veri doğrulama'!D6:E13,2,0)</f>
        <v>MEHMET ÖZEN</v>
      </c>
      <c r="D30" s="6" t="s">
        <v>1276</v>
      </c>
      <c r="E30" s="6" t="s">
        <v>1277</v>
      </c>
      <c r="F30" s="6" t="s">
        <v>28</v>
      </c>
      <c r="G30" s="6" t="s">
        <v>35</v>
      </c>
      <c r="H30" s="6">
        <v>2010</v>
      </c>
      <c r="I30" s="6">
        <v>460</v>
      </c>
      <c r="J30" s="6">
        <v>1</v>
      </c>
      <c r="K30" s="10">
        <f t="shared" si="0"/>
        <v>0.92459999999999998</v>
      </c>
      <c r="L30" s="6" t="s">
        <v>42</v>
      </c>
      <c r="M30" s="6"/>
      <c r="N30" s="6" t="s">
        <v>54</v>
      </c>
      <c r="O30" s="6" t="s">
        <v>54</v>
      </c>
      <c r="P30" s="6"/>
    </row>
    <row r="31" spans="1:16" ht="30" customHeight="1" x14ac:dyDescent="0.3">
      <c r="A31" s="7">
        <v>45945.510555787034</v>
      </c>
      <c r="B31" s="6" t="s">
        <v>5</v>
      </c>
      <c r="C31" s="6" t="str">
        <f>VLOOKUP(B31,'Veri doğrulama'!D6:E13,2,0)</f>
        <v>MEHMET ÖZEN</v>
      </c>
      <c r="D31" s="6" t="s">
        <v>1274</v>
      </c>
      <c r="E31" s="6" t="s">
        <v>1275</v>
      </c>
      <c r="F31" s="6" t="s">
        <v>16</v>
      </c>
      <c r="G31" s="6" t="s">
        <v>35</v>
      </c>
      <c r="H31" s="6">
        <v>1800</v>
      </c>
      <c r="I31" s="6">
        <v>800</v>
      </c>
      <c r="J31" s="6">
        <v>1</v>
      </c>
      <c r="K31" s="10">
        <f t="shared" si="0"/>
        <v>1.44</v>
      </c>
      <c r="L31" s="6" t="s">
        <v>103</v>
      </c>
      <c r="M31" s="6"/>
      <c r="N31" s="6" t="s">
        <v>54</v>
      </c>
      <c r="O31" s="6" t="s">
        <v>54</v>
      </c>
      <c r="P31" s="6"/>
    </row>
    <row r="32" spans="1:16" ht="30" customHeight="1" x14ac:dyDescent="0.3">
      <c r="A32" s="7">
        <v>45945.475419328701</v>
      </c>
      <c r="B32" s="6" t="s">
        <v>4</v>
      </c>
      <c r="C32" s="6" t="str">
        <f>VLOOKUP(B32,'Veri doğrulama'!D6:E13,2,0)</f>
        <v>MEHMET YAZICI</v>
      </c>
      <c r="D32" s="6"/>
      <c r="E32" s="6" t="s">
        <v>1272</v>
      </c>
      <c r="F32" s="6" t="s">
        <v>16</v>
      </c>
      <c r="G32" s="6" t="s">
        <v>34</v>
      </c>
      <c r="H32" s="6">
        <v>2386</v>
      </c>
      <c r="I32" s="6">
        <v>335</v>
      </c>
      <c r="J32" s="6">
        <v>1</v>
      </c>
      <c r="K32" s="10">
        <f t="shared" si="0"/>
        <v>0.79930999999999996</v>
      </c>
      <c r="L32" s="6" t="s">
        <v>596</v>
      </c>
      <c r="M32" s="6" t="s">
        <v>1273</v>
      </c>
      <c r="N32" s="6" t="s">
        <v>54</v>
      </c>
      <c r="O32" s="6" t="s">
        <v>54</v>
      </c>
      <c r="P32" s="6"/>
    </row>
    <row r="33" spans="1:16" ht="30" customHeight="1" x14ac:dyDescent="0.3">
      <c r="A33" s="7">
        <v>45945.413610995369</v>
      </c>
      <c r="B33" s="6" t="s">
        <v>5</v>
      </c>
      <c r="C33" s="6" t="str">
        <f>VLOOKUP(B33,'Veri doğrulama'!D6:E13,2,0)</f>
        <v>MEHMET ÖZEN</v>
      </c>
      <c r="D33" s="6"/>
      <c r="E33" s="6" t="s">
        <v>1245</v>
      </c>
      <c r="F33" s="6" t="s">
        <v>14</v>
      </c>
      <c r="G33" s="6" t="s">
        <v>34</v>
      </c>
      <c r="H33" s="6">
        <v>2210</v>
      </c>
      <c r="I33" s="6">
        <v>910</v>
      </c>
      <c r="J33" s="6">
        <v>1</v>
      </c>
      <c r="K33" s="10">
        <f t="shared" si="0"/>
        <v>2.0110999999999999</v>
      </c>
      <c r="L33" s="6"/>
      <c r="M33" s="6"/>
      <c r="N33" s="6" t="s">
        <v>54</v>
      </c>
      <c r="O33" s="6" t="s">
        <v>54</v>
      </c>
      <c r="P33" s="6"/>
    </row>
    <row r="34" spans="1:16" ht="30" customHeight="1" x14ac:dyDescent="0.3">
      <c r="A34" s="7">
        <v>45945.406091087963</v>
      </c>
      <c r="B34" s="6" t="s">
        <v>81</v>
      </c>
      <c r="C34" s="6" t="str">
        <f>VLOOKUP(B34,'Veri doğrulama'!D6:E13,2,0)</f>
        <v>İBRAHİM ÇELİK</v>
      </c>
      <c r="D34" s="6"/>
      <c r="E34" s="6" t="s">
        <v>1271</v>
      </c>
      <c r="F34" s="6" t="s">
        <v>22</v>
      </c>
      <c r="G34" s="6" t="s">
        <v>34</v>
      </c>
      <c r="H34" s="6">
        <v>448</v>
      </c>
      <c r="I34" s="6">
        <v>200</v>
      </c>
      <c r="J34" s="6">
        <v>1</v>
      </c>
      <c r="K34" s="10">
        <f t="shared" ref="K34:K65" si="1">H34*I34/1000000*J34</f>
        <v>8.9599999999999999E-2</v>
      </c>
      <c r="L34" s="6" t="s">
        <v>43</v>
      </c>
      <c r="M34" s="6" t="s">
        <v>1142</v>
      </c>
      <c r="N34" s="6" t="s">
        <v>54</v>
      </c>
      <c r="O34" s="6" t="s">
        <v>54</v>
      </c>
      <c r="P34" s="6"/>
    </row>
    <row r="35" spans="1:16" ht="30" customHeight="1" x14ac:dyDescent="0.3">
      <c r="A35" s="7">
        <v>45945.405222800924</v>
      </c>
      <c r="B35" s="6" t="s">
        <v>81</v>
      </c>
      <c r="C35" s="6" t="str">
        <f>VLOOKUP(B35,'Veri doğrulama'!D6:E13,2,0)</f>
        <v>İBRAHİM ÇELİK</v>
      </c>
      <c r="D35" s="6"/>
      <c r="E35" s="6" t="s">
        <v>1271</v>
      </c>
      <c r="F35" s="6" t="s">
        <v>22</v>
      </c>
      <c r="G35" s="6" t="s">
        <v>34</v>
      </c>
      <c r="H35" s="6">
        <v>698</v>
      </c>
      <c r="I35" s="6">
        <v>448</v>
      </c>
      <c r="J35" s="6">
        <v>2</v>
      </c>
      <c r="K35" s="10">
        <f t="shared" si="1"/>
        <v>0.62540799999999996</v>
      </c>
      <c r="L35" s="6" t="s">
        <v>103</v>
      </c>
      <c r="M35" s="6" t="s">
        <v>1142</v>
      </c>
      <c r="N35" s="6" t="s">
        <v>54</v>
      </c>
      <c r="O35" s="6" t="s">
        <v>54</v>
      </c>
      <c r="P35" s="6"/>
    </row>
    <row r="36" spans="1:16" ht="30" customHeight="1" x14ac:dyDescent="0.3">
      <c r="A36" s="7">
        <v>45944.758927546296</v>
      </c>
      <c r="B36" s="6" t="s">
        <v>4</v>
      </c>
      <c r="C36" s="6" t="str">
        <f>VLOOKUP(B36,'Veri doğrulama'!D6:E13,2,0)</f>
        <v>MEHMET YAZICI</v>
      </c>
      <c r="D36" s="6"/>
      <c r="E36" s="6" t="s">
        <v>714</v>
      </c>
      <c r="F36" s="6" t="s">
        <v>17</v>
      </c>
      <c r="G36" s="6" t="s">
        <v>34</v>
      </c>
      <c r="H36" s="6">
        <v>539</v>
      </c>
      <c r="I36" s="6">
        <v>556</v>
      </c>
      <c r="J36" s="6">
        <v>1</v>
      </c>
      <c r="K36" s="10">
        <f t="shared" si="1"/>
        <v>0.29968400000000001</v>
      </c>
      <c r="L36" s="6" t="s">
        <v>103</v>
      </c>
      <c r="M36" s="6"/>
      <c r="N36" s="6" t="s">
        <v>54</v>
      </c>
      <c r="O36" s="6" t="s">
        <v>54</v>
      </c>
      <c r="P36" s="6"/>
    </row>
    <row r="37" spans="1:16" ht="30" customHeight="1" x14ac:dyDescent="0.3">
      <c r="A37" s="7">
        <v>45944.75824664352</v>
      </c>
      <c r="B37" s="6" t="s">
        <v>4</v>
      </c>
      <c r="C37" s="6" t="str">
        <f>VLOOKUP(B37,'Veri doğrulama'!D6:E13,2,0)</f>
        <v>MEHMET YAZICI</v>
      </c>
      <c r="D37" s="6"/>
      <c r="E37" s="6" t="s">
        <v>194</v>
      </c>
      <c r="F37" s="6" t="s">
        <v>17</v>
      </c>
      <c r="G37" s="6" t="s">
        <v>34</v>
      </c>
      <c r="H37" s="6">
        <v>1200</v>
      </c>
      <c r="I37" s="6">
        <v>1400</v>
      </c>
      <c r="J37" s="6">
        <v>3</v>
      </c>
      <c r="K37" s="10">
        <f t="shared" si="1"/>
        <v>5.04</v>
      </c>
      <c r="L37" s="6" t="s">
        <v>102</v>
      </c>
      <c r="M37" s="6"/>
      <c r="N37" s="6" t="s">
        <v>54</v>
      </c>
      <c r="O37" s="6" t="s">
        <v>54</v>
      </c>
      <c r="P37" s="6"/>
    </row>
    <row r="38" spans="1:16" ht="30" customHeight="1" x14ac:dyDescent="0.3">
      <c r="A38" s="7">
        <v>45944.708326273147</v>
      </c>
      <c r="B38" s="6" t="s">
        <v>5</v>
      </c>
      <c r="C38" s="6" t="str">
        <f>VLOOKUP(B38,'Veri doğrulama'!D6:E13,2,0)</f>
        <v>MEHMET ÖZEN</v>
      </c>
      <c r="D38" s="6">
        <v>25059</v>
      </c>
      <c r="E38" s="6" t="s">
        <v>1270</v>
      </c>
      <c r="F38" s="6" t="s">
        <v>13</v>
      </c>
      <c r="G38" s="6" t="s">
        <v>34</v>
      </c>
      <c r="H38" s="6">
        <v>1815</v>
      </c>
      <c r="I38" s="6">
        <v>397</v>
      </c>
      <c r="J38" s="6">
        <v>1</v>
      </c>
      <c r="K38" s="10">
        <f t="shared" si="1"/>
        <v>0.72055499999999995</v>
      </c>
      <c r="L38" s="6" t="s">
        <v>156</v>
      </c>
      <c r="M38" s="6"/>
      <c r="N38" s="6" t="s">
        <v>54</v>
      </c>
      <c r="O38" s="6" t="s">
        <v>54</v>
      </c>
      <c r="P38" s="6"/>
    </row>
    <row r="39" spans="1:16" ht="30" customHeight="1" x14ac:dyDescent="0.3">
      <c r="A39" s="7">
        <v>45944.707318518522</v>
      </c>
      <c r="B39" s="6" t="s">
        <v>5</v>
      </c>
      <c r="C39" s="6" t="str">
        <f>VLOOKUP(B39,'Veri doğrulama'!D6:E13,2,0)</f>
        <v>MEHMET ÖZEN</v>
      </c>
      <c r="D39" s="6" t="s">
        <v>1268</v>
      </c>
      <c r="E39" s="6" t="s">
        <v>1269</v>
      </c>
      <c r="F39" s="6" t="s">
        <v>14</v>
      </c>
      <c r="G39" s="6" t="s">
        <v>34</v>
      </c>
      <c r="H39" s="6">
        <v>378</v>
      </c>
      <c r="I39" s="6">
        <v>320</v>
      </c>
      <c r="J39" s="6">
        <v>1</v>
      </c>
      <c r="K39" s="10">
        <f t="shared" si="1"/>
        <v>0.12096</v>
      </c>
      <c r="L39" s="6" t="s">
        <v>75</v>
      </c>
      <c r="M39" s="6"/>
      <c r="N39" s="6" t="s">
        <v>54</v>
      </c>
      <c r="O39" s="6" t="s">
        <v>54</v>
      </c>
      <c r="P39" s="6"/>
    </row>
    <row r="40" spans="1:16" ht="30" customHeight="1" x14ac:dyDescent="0.3">
      <c r="A40" s="7">
        <v>45944.599824999998</v>
      </c>
      <c r="B40" s="6" t="s">
        <v>5</v>
      </c>
      <c r="C40" s="6" t="str">
        <f>VLOOKUP(B40,'Veri doğrulama'!D6:E13,2,0)</f>
        <v>MEHMET ÖZEN</v>
      </c>
      <c r="D40" s="6"/>
      <c r="E40" s="6" t="s">
        <v>1267</v>
      </c>
      <c r="F40" s="6" t="s">
        <v>15</v>
      </c>
      <c r="G40" s="6" t="s">
        <v>34</v>
      </c>
      <c r="H40" s="6">
        <v>800</v>
      </c>
      <c r="I40" s="6">
        <v>500</v>
      </c>
      <c r="J40" s="6">
        <v>1</v>
      </c>
      <c r="K40" s="10">
        <f t="shared" si="1"/>
        <v>0.4</v>
      </c>
      <c r="L40" s="6" t="s">
        <v>102</v>
      </c>
      <c r="M40" s="6"/>
      <c r="N40" s="6" t="s">
        <v>54</v>
      </c>
      <c r="O40" s="6" t="s">
        <v>54</v>
      </c>
      <c r="P40" s="6"/>
    </row>
    <row r="41" spans="1:16" ht="30" customHeight="1" x14ac:dyDescent="0.3">
      <c r="A41" s="7">
        <v>45944.581143518517</v>
      </c>
      <c r="B41" s="6" t="s">
        <v>4</v>
      </c>
      <c r="C41" s="6" t="str">
        <f>VLOOKUP(B41,'Veri doğrulama'!D6:E13,2,0)</f>
        <v>MEHMET YAZICI</v>
      </c>
      <c r="D41" s="6"/>
      <c r="E41" s="6" t="s">
        <v>434</v>
      </c>
      <c r="F41" s="6" t="s">
        <v>19</v>
      </c>
      <c r="G41" s="6" t="s">
        <v>35</v>
      </c>
      <c r="H41" s="6">
        <v>2163</v>
      </c>
      <c r="I41" s="6">
        <v>699</v>
      </c>
      <c r="J41" s="6">
        <v>1</v>
      </c>
      <c r="K41" s="10">
        <f t="shared" si="1"/>
        <v>1.5119370000000001</v>
      </c>
      <c r="L41" s="6" t="s">
        <v>103</v>
      </c>
      <c r="M41" s="6"/>
      <c r="N41" s="6" t="s">
        <v>54</v>
      </c>
      <c r="O41" s="6" t="s">
        <v>54</v>
      </c>
      <c r="P41" s="6"/>
    </row>
    <row r="42" spans="1:16" ht="30" customHeight="1" x14ac:dyDescent="0.3">
      <c r="A42" s="7">
        <v>45944.436118287034</v>
      </c>
      <c r="B42" s="6" t="s">
        <v>5</v>
      </c>
      <c r="C42" s="6" t="str">
        <f>VLOOKUP(B42,'Veri doğrulama'!D6:E13,2,0)</f>
        <v>MEHMET ÖZEN</v>
      </c>
      <c r="D42" s="6"/>
      <c r="E42" s="6" t="s">
        <v>1266</v>
      </c>
      <c r="F42" s="6" t="s">
        <v>22</v>
      </c>
      <c r="G42" s="6" t="s">
        <v>34</v>
      </c>
      <c r="H42" s="6">
        <v>698</v>
      </c>
      <c r="I42" s="6">
        <v>447</v>
      </c>
      <c r="J42" s="6">
        <v>2</v>
      </c>
      <c r="K42" s="10">
        <f t="shared" si="1"/>
        <v>0.62401200000000001</v>
      </c>
      <c r="L42" s="6" t="s">
        <v>43</v>
      </c>
      <c r="M42" s="6"/>
      <c r="N42" s="6" t="s">
        <v>54</v>
      </c>
      <c r="O42" s="6" t="s">
        <v>54</v>
      </c>
      <c r="P42" s="6"/>
    </row>
    <row r="43" spans="1:16" ht="30" customHeight="1" x14ac:dyDescent="0.3">
      <c r="A43" s="7">
        <v>45943.577365393518</v>
      </c>
      <c r="B43" s="6" t="s">
        <v>5</v>
      </c>
      <c r="C43" s="6" t="str">
        <f>VLOOKUP(B43,'Veri doğrulama'!D6:E13,2,0)</f>
        <v>MEHMET ÖZEN</v>
      </c>
      <c r="D43" s="6"/>
      <c r="E43" s="6" t="s">
        <v>1265</v>
      </c>
      <c r="F43" s="6" t="s">
        <v>26</v>
      </c>
      <c r="G43" s="6" t="s">
        <v>34</v>
      </c>
      <c r="H43" s="6">
        <v>2035</v>
      </c>
      <c r="I43" s="6">
        <v>585</v>
      </c>
      <c r="J43" s="6">
        <v>1</v>
      </c>
      <c r="K43" s="10">
        <f t="shared" si="1"/>
        <v>1.1904749999999999</v>
      </c>
      <c r="L43" s="6" t="s">
        <v>42</v>
      </c>
      <c r="M43" s="6"/>
      <c r="N43" s="6" t="s">
        <v>54</v>
      </c>
      <c r="O43" s="6" t="s">
        <v>54</v>
      </c>
      <c r="P43" s="6"/>
    </row>
    <row r="44" spans="1:16" ht="30" customHeight="1" x14ac:dyDescent="0.3">
      <c r="A44" s="7">
        <v>45943.382036921299</v>
      </c>
      <c r="B44" s="6" t="s">
        <v>5</v>
      </c>
      <c r="C44" s="6" t="str">
        <f>VLOOKUP(B44,'Veri doğrulama'!D6:E13,2,0)</f>
        <v>MEHMET ÖZEN</v>
      </c>
      <c r="D44" s="6"/>
      <c r="E44" s="6" t="s">
        <v>1264</v>
      </c>
      <c r="F44" s="6" t="s">
        <v>24</v>
      </c>
      <c r="G44" s="6" t="s">
        <v>35</v>
      </c>
      <c r="H44" s="6">
        <v>900</v>
      </c>
      <c r="I44" s="6">
        <v>600</v>
      </c>
      <c r="J44" s="6">
        <v>1</v>
      </c>
      <c r="K44" s="10">
        <f t="shared" si="1"/>
        <v>0.54</v>
      </c>
      <c r="L44" s="6" t="s">
        <v>103</v>
      </c>
      <c r="M44" s="6"/>
      <c r="N44" s="6" t="s">
        <v>54</v>
      </c>
      <c r="O44" s="6" t="s">
        <v>54</v>
      </c>
      <c r="P44" s="6"/>
    </row>
    <row r="45" spans="1:16" ht="30" customHeight="1" x14ac:dyDescent="0.3">
      <c r="A45" s="7">
        <v>45943.367507754629</v>
      </c>
      <c r="B45" s="6" t="s">
        <v>4</v>
      </c>
      <c r="C45" s="6" t="str">
        <f>VLOOKUP(B45,'Veri doğrulama'!D6:E13,2,0)</f>
        <v>MEHMET YAZICI</v>
      </c>
      <c r="D45" s="6"/>
      <c r="E45" s="6" t="s">
        <v>1263</v>
      </c>
      <c r="F45" s="6" t="s">
        <v>15</v>
      </c>
      <c r="G45" s="6" t="s">
        <v>34</v>
      </c>
      <c r="H45" s="6">
        <v>163</v>
      </c>
      <c r="I45" s="6">
        <v>393</v>
      </c>
      <c r="J45" s="6">
        <v>150</v>
      </c>
      <c r="K45" s="10">
        <f t="shared" si="1"/>
        <v>9.6088500000000003</v>
      </c>
      <c r="L45" s="6" t="s">
        <v>39</v>
      </c>
      <c r="M45" s="6" t="s">
        <v>1262</v>
      </c>
      <c r="N45" s="6" t="s">
        <v>54</v>
      </c>
      <c r="O45" s="6" t="s">
        <v>54</v>
      </c>
      <c r="P45" s="6"/>
    </row>
    <row r="46" spans="1:16" ht="30" customHeight="1" x14ac:dyDescent="0.3">
      <c r="A46" s="7">
        <v>45940.448010879627</v>
      </c>
      <c r="B46" s="6" t="s">
        <v>5</v>
      </c>
      <c r="C46" s="6" t="str">
        <f>VLOOKUP(B46,'Veri doğrulama'!D6:E13,2,0)</f>
        <v>MEHMET ÖZEN</v>
      </c>
      <c r="D46" s="6" t="s">
        <v>1260</v>
      </c>
      <c r="E46" s="6" t="s">
        <v>1261</v>
      </c>
      <c r="F46" s="6" t="s">
        <v>14</v>
      </c>
      <c r="G46" s="6" t="s">
        <v>34</v>
      </c>
      <c r="H46" s="6">
        <v>1970</v>
      </c>
      <c r="I46" s="6">
        <v>520</v>
      </c>
      <c r="J46" s="6">
        <v>1</v>
      </c>
      <c r="K46" s="10">
        <f t="shared" si="1"/>
        <v>1.0244</v>
      </c>
      <c r="L46" s="6" t="s">
        <v>102</v>
      </c>
      <c r="M46" s="6" t="s">
        <v>1171</v>
      </c>
      <c r="N46" s="6" t="s">
        <v>54</v>
      </c>
      <c r="O46" s="6" t="s">
        <v>54</v>
      </c>
      <c r="P46" s="6"/>
    </row>
    <row r="47" spans="1:16" ht="30" customHeight="1" x14ac:dyDescent="0.3">
      <c r="A47" s="7">
        <v>45940.41331423611</v>
      </c>
      <c r="B47" s="6" t="s">
        <v>5</v>
      </c>
      <c r="C47" s="6" t="str">
        <f>VLOOKUP(B47,'Veri doğrulama'!D6:E13,2,0)</f>
        <v>MEHMET ÖZEN</v>
      </c>
      <c r="D47" s="6"/>
      <c r="E47" s="6" t="s">
        <v>1259</v>
      </c>
      <c r="F47" s="6" t="s">
        <v>19</v>
      </c>
      <c r="G47" s="6" t="s">
        <v>34</v>
      </c>
      <c r="H47" s="6">
        <v>2000</v>
      </c>
      <c r="I47" s="6">
        <v>1100</v>
      </c>
      <c r="J47" s="6">
        <v>1</v>
      </c>
      <c r="K47" s="10">
        <f t="shared" si="1"/>
        <v>2.2000000000000002</v>
      </c>
      <c r="L47" s="6" t="s">
        <v>103</v>
      </c>
      <c r="M47" s="6"/>
      <c r="N47" s="6" t="s">
        <v>54</v>
      </c>
      <c r="O47" s="6" t="s">
        <v>54</v>
      </c>
      <c r="P47" s="6"/>
    </row>
    <row r="48" spans="1:16" ht="30" customHeight="1" x14ac:dyDescent="0.3">
      <c r="A48" s="7">
        <v>45940.412379745372</v>
      </c>
      <c r="B48" s="6" t="s">
        <v>7</v>
      </c>
      <c r="C48" s="6" t="str">
        <f>VLOOKUP(B48,'Veri doğrulama'!D6:E13,2,0)</f>
        <v>SIDDIK KAPLAN</v>
      </c>
      <c r="D48" s="6"/>
      <c r="E48" s="6" t="s">
        <v>1258</v>
      </c>
      <c r="F48" s="6" t="s">
        <v>15</v>
      </c>
      <c r="G48" s="6" t="s">
        <v>34</v>
      </c>
      <c r="H48" s="6">
        <v>1400</v>
      </c>
      <c r="I48" s="6">
        <v>800</v>
      </c>
      <c r="J48" s="6">
        <v>1</v>
      </c>
      <c r="K48" s="10">
        <f t="shared" si="1"/>
        <v>1.1200000000000001</v>
      </c>
      <c r="L48" s="6" t="s">
        <v>43</v>
      </c>
      <c r="M48" s="6"/>
      <c r="N48" s="6" t="s">
        <v>54</v>
      </c>
      <c r="O48" s="6" t="s">
        <v>54</v>
      </c>
      <c r="P48" s="6"/>
    </row>
    <row r="49" spans="1:16" ht="30" customHeight="1" x14ac:dyDescent="0.3">
      <c r="A49" s="7">
        <v>45939.768154398145</v>
      </c>
      <c r="B49" s="6" t="s">
        <v>4</v>
      </c>
      <c r="C49" s="6" t="str">
        <f>VLOOKUP(B49,'Veri doğrulama'!D6:E13,2,0)</f>
        <v>MEHMET YAZICI</v>
      </c>
      <c r="D49" s="6"/>
      <c r="E49" s="6" t="s">
        <v>1257</v>
      </c>
      <c r="F49" s="6" t="s">
        <v>15</v>
      </c>
      <c r="G49" s="6" t="s">
        <v>34</v>
      </c>
      <c r="H49" s="6">
        <v>800</v>
      </c>
      <c r="I49" s="6">
        <v>500</v>
      </c>
      <c r="J49" s="6">
        <v>1</v>
      </c>
      <c r="K49" s="10">
        <f t="shared" si="1"/>
        <v>0.4</v>
      </c>
      <c r="L49" s="6" t="s">
        <v>156</v>
      </c>
      <c r="M49" s="6"/>
      <c r="N49" s="6" t="s">
        <v>54</v>
      </c>
      <c r="O49" s="6" t="s">
        <v>54</v>
      </c>
      <c r="P49" s="6"/>
    </row>
    <row r="50" spans="1:16" ht="30" customHeight="1" x14ac:dyDescent="0.3">
      <c r="A50" s="7">
        <v>45939.762860185183</v>
      </c>
      <c r="B50" s="6" t="s">
        <v>5</v>
      </c>
      <c r="C50" s="6" t="str">
        <f>VLOOKUP(B50,'Veri doğrulama'!D6:E13,2,0)</f>
        <v>MEHMET ÖZEN</v>
      </c>
      <c r="D50" s="6"/>
      <c r="E50" s="6" t="s">
        <v>1256</v>
      </c>
      <c r="F50" s="6" t="s">
        <v>28</v>
      </c>
      <c r="G50" s="6" t="s">
        <v>34</v>
      </c>
      <c r="H50" s="6">
        <v>1200</v>
      </c>
      <c r="I50" s="6">
        <v>1400</v>
      </c>
      <c r="J50" s="6">
        <v>1</v>
      </c>
      <c r="K50" s="10">
        <f t="shared" si="1"/>
        <v>1.68</v>
      </c>
      <c r="L50" s="6" t="s">
        <v>43</v>
      </c>
      <c r="M50" s="6"/>
      <c r="N50" s="6" t="s">
        <v>54</v>
      </c>
      <c r="O50" s="6" t="s">
        <v>54</v>
      </c>
      <c r="P50" s="6"/>
    </row>
    <row r="51" spans="1:16" ht="30" customHeight="1" x14ac:dyDescent="0.3">
      <c r="A51" s="7">
        <v>45939.762194097224</v>
      </c>
      <c r="B51" s="6" t="s">
        <v>5</v>
      </c>
      <c r="C51" s="6" t="str">
        <f>VLOOKUP(B51,'Veri doğrulama'!D6:E13,2,0)</f>
        <v>MEHMET ÖZEN</v>
      </c>
      <c r="D51" s="6"/>
      <c r="E51" s="6" t="s">
        <v>1255</v>
      </c>
      <c r="F51" s="6" t="s">
        <v>18</v>
      </c>
      <c r="G51" s="6" t="s">
        <v>35</v>
      </c>
      <c r="H51" s="6">
        <v>1895</v>
      </c>
      <c r="I51" s="6">
        <v>870</v>
      </c>
      <c r="J51" s="6">
        <v>1</v>
      </c>
      <c r="K51" s="10">
        <f t="shared" si="1"/>
        <v>1.6486499999999999</v>
      </c>
      <c r="L51" s="6" t="s">
        <v>43</v>
      </c>
      <c r="M51" s="6"/>
      <c r="N51" s="6" t="s">
        <v>54</v>
      </c>
      <c r="O51" s="6" t="s">
        <v>54</v>
      </c>
      <c r="P51" s="6"/>
    </row>
    <row r="52" spans="1:16" ht="30" customHeight="1" x14ac:dyDescent="0.3">
      <c r="A52" s="7">
        <v>45939.659156828704</v>
      </c>
      <c r="B52" s="6" t="s">
        <v>5</v>
      </c>
      <c r="C52" s="6" t="str">
        <f>VLOOKUP(B52,'Veri doğrulama'!D6:E13,2,0)</f>
        <v>MEHMET ÖZEN</v>
      </c>
      <c r="D52" s="6"/>
      <c r="E52" s="6" t="s">
        <v>1254</v>
      </c>
      <c r="F52" s="6" t="s">
        <v>26</v>
      </c>
      <c r="G52" s="6" t="s">
        <v>34</v>
      </c>
      <c r="H52" s="6">
        <v>2000</v>
      </c>
      <c r="I52" s="6">
        <v>590</v>
      </c>
      <c r="J52" s="6">
        <v>1</v>
      </c>
      <c r="K52" s="10">
        <f t="shared" si="1"/>
        <v>1.18</v>
      </c>
      <c r="L52" s="6" t="s">
        <v>596</v>
      </c>
      <c r="M52" s="6"/>
      <c r="N52" s="6" t="s">
        <v>54</v>
      </c>
      <c r="O52" s="6" t="s">
        <v>54</v>
      </c>
      <c r="P52" s="6"/>
    </row>
    <row r="53" spans="1:16" ht="30" customHeight="1" x14ac:dyDescent="0.3">
      <c r="A53" s="7">
        <v>45939.503909143517</v>
      </c>
      <c r="B53" s="6" t="s">
        <v>5</v>
      </c>
      <c r="C53" s="6" t="str">
        <f>VLOOKUP(B53,'Veri doğrulama'!D6:E13,2,0)</f>
        <v>MEHMET ÖZEN</v>
      </c>
      <c r="D53" s="6"/>
      <c r="E53" s="6" t="s">
        <v>1253</v>
      </c>
      <c r="F53" s="6" t="s">
        <v>17</v>
      </c>
      <c r="G53" s="6" t="s">
        <v>34</v>
      </c>
      <c r="H53" s="6">
        <v>1420</v>
      </c>
      <c r="I53" s="6">
        <v>1220</v>
      </c>
      <c r="J53" s="6">
        <v>1</v>
      </c>
      <c r="K53" s="10">
        <f t="shared" si="1"/>
        <v>1.7323999999999999</v>
      </c>
      <c r="L53" s="6" t="s">
        <v>41</v>
      </c>
      <c r="M53" s="6"/>
      <c r="N53" s="6" t="s">
        <v>54</v>
      </c>
      <c r="O53" s="6" t="s">
        <v>54</v>
      </c>
      <c r="P53" s="6"/>
    </row>
    <row r="54" spans="1:16" ht="30" customHeight="1" x14ac:dyDescent="0.3">
      <c r="A54" s="7">
        <v>45939.502494560184</v>
      </c>
      <c r="B54" s="6" t="s">
        <v>5</v>
      </c>
      <c r="C54" s="6" t="str">
        <f>VLOOKUP(B54,'Veri doğrulama'!D6:E13,2,0)</f>
        <v>MEHMET ÖZEN</v>
      </c>
      <c r="D54" s="6"/>
      <c r="E54" s="6" t="s">
        <v>1252</v>
      </c>
      <c r="F54" s="6" t="s">
        <v>17</v>
      </c>
      <c r="G54" s="6" t="s">
        <v>34</v>
      </c>
      <c r="H54" s="6">
        <v>1420</v>
      </c>
      <c r="I54" s="6">
        <v>1420</v>
      </c>
      <c r="J54" s="6">
        <v>4</v>
      </c>
      <c r="K54" s="10">
        <f t="shared" si="1"/>
        <v>8.0655999999999999</v>
      </c>
      <c r="L54" s="6" t="s">
        <v>41</v>
      </c>
      <c r="M54" s="6"/>
      <c r="N54" s="6" t="s">
        <v>54</v>
      </c>
      <c r="O54" s="6" t="s">
        <v>54</v>
      </c>
      <c r="P54" s="6"/>
    </row>
    <row r="55" spans="1:16" ht="30" customHeight="1" x14ac:dyDescent="0.3">
      <c r="A55" s="7">
        <v>45938.585800347224</v>
      </c>
      <c r="B55" s="6" t="s">
        <v>5</v>
      </c>
      <c r="C55" s="6" t="str">
        <f>VLOOKUP(B55,'Veri doğrulama'!D6:E13,2,0)</f>
        <v>MEHMET ÖZEN</v>
      </c>
      <c r="D55" s="6" t="s">
        <v>1251</v>
      </c>
      <c r="E55" s="6" t="s">
        <v>634</v>
      </c>
      <c r="F55" s="6" t="s">
        <v>16</v>
      </c>
      <c r="G55" s="6" t="s">
        <v>34</v>
      </c>
      <c r="H55" s="6">
        <v>1400</v>
      </c>
      <c r="I55" s="6">
        <v>800</v>
      </c>
      <c r="J55" s="6">
        <v>1</v>
      </c>
      <c r="K55" s="10">
        <f t="shared" si="1"/>
        <v>1.1200000000000001</v>
      </c>
      <c r="L55" s="6" t="s">
        <v>103</v>
      </c>
      <c r="M55" s="6" t="s">
        <v>1171</v>
      </c>
      <c r="N55" s="6" t="s">
        <v>54</v>
      </c>
      <c r="O55" s="6" t="s">
        <v>54</v>
      </c>
      <c r="P55" s="6"/>
    </row>
    <row r="56" spans="1:16" ht="30" customHeight="1" x14ac:dyDescent="0.3">
      <c r="A56" s="7">
        <v>45938.502439236108</v>
      </c>
      <c r="B56" s="6" t="s">
        <v>5</v>
      </c>
      <c r="C56" s="6" t="str">
        <f>VLOOKUP(B56,'Veri doğrulama'!D6:E13,2,0)</f>
        <v>MEHMET ÖZEN</v>
      </c>
      <c r="D56" s="6"/>
      <c r="E56" s="6" t="s">
        <v>1250</v>
      </c>
      <c r="F56" s="6" t="s">
        <v>16</v>
      </c>
      <c r="G56" s="6" t="s">
        <v>34</v>
      </c>
      <c r="H56" s="6">
        <v>539</v>
      </c>
      <c r="I56" s="6">
        <v>432</v>
      </c>
      <c r="J56" s="6">
        <v>1</v>
      </c>
      <c r="K56" s="10">
        <f t="shared" si="1"/>
        <v>0.232848</v>
      </c>
      <c r="L56" s="6" t="s">
        <v>102</v>
      </c>
      <c r="M56" s="6"/>
      <c r="N56" s="6" t="s">
        <v>54</v>
      </c>
      <c r="O56" s="6" t="s">
        <v>54</v>
      </c>
      <c r="P56" s="6"/>
    </row>
    <row r="57" spans="1:16" ht="30" customHeight="1" x14ac:dyDescent="0.3">
      <c r="A57" s="7">
        <v>45938.469952199077</v>
      </c>
      <c r="B57" s="6" t="s">
        <v>5</v>
      </c>
      <c r="C57" s="6" t="str">
        <f>VLOOKUP(B57,'Veri doğrulama'!D6:E13,2,0)</f>
        <v>MEHMET ÖZEN</v>
      </c>
      <c r="D57" s="6"/>
      <c r="E57" s="6" t="s">
        <v>1249</v>
      </c>
      <c r="F57" s="6" t="s">
        <v>13</v>
      </c>
      <c r="G57" s="6" t="s">
        <v>34</v>
      </c>
      <c r="H57" s="6">
        <v>2200</v>
      </c>
      <c r="I57" s="6">
        <v>450</v>
      </c>
      <c r="J57" s="6">
        <v>1</v>
      </c>
      <c r="K57" s="10">
        <f t="shared" si="1"/>
        <v>0.99</v>
      </c>
      <c r="L57" s="6" t="s">
        <v>596</v>
      </c>
      <c r="M57" s="6"/>
      <c r="N57" s="6" t="s">
        <v>54</v>
      </c>
      <c r="O57" s="6" t="s">
        <v>54</v>
      </c>
      <c r="P57" s="6"/>
    </row>
    <row r="58" spans="1:16" ht="30" customHeight="1" x14ac:dyDescent="0.3">
      <c r="A58" s="7">
        <v>45938.357471180556</v>
      </c>
      <c r="B58" s="6" t="s">
        <v>5</v>
      </c>
      <c r="C58" s="6" t="str">
        <f>VLOOKUP(B58,'Veri doğrulama'!D6:E13,2,0)</f>
        <v>MEHMET ÖZEN</v>
      </c>
      <c r="D58" s="6"/>
      <c r="E58" s="6" t="s">
        <v>1248</v>
      </c>
      <c r="F58" s="6" t="s">
        <v>16</v>
      </c>
      <c r="G58" s="6" t="s">
        <v>34</v>
      </c>
      <c r="H58" s="6">
        <v>1600</v>
      </c>
      <c r="I58" s="6">
        <v>1200</v>
      </c>
      <c r="J58" s="6">
        <v>1</v>
      </c>
      <c r="K58" s="10">
        <f t="shared" si="1"/>
        <v>1.92</v>
      </c>
      <c r="L58" s="6" t="s">
        <v>156</v>
      </c>
      <c r="M58" s="6"/>
      <c r="N58" s="6" t="s">
        <v>54</v>
      </c>
      <c r="O58" s="6" t="s">
        <v>54</v>
      </c>
      <c r="P58" s="6"/>
    </row>
    <row r="59" spans="1:16" ht="30" customHeight="1" x14ac:dyDescent="0.3">
      <c r="A59" s="7">
        <v>45938.356610763891</v>
      </c>
      <c r="B59" s="6" t="s">
        <v>5</v>
      </c>
      <c r="C59" s="6" t="str">
        <f>VLOOKUP(B59,'Veri doğrulama'!D6:E13,2,0)</f>
        <v>MEHMET ÖZEN</v>
      </c>
      <c r="D59" s="6"/>
      <c r="E59" s="6" t="s">
        <v>1247</v>
      </c>
      <c r="F59" s="6" t="s">
        <v>19</v>
      </c>
      <c r="G59" s="6" t="s">
        <v>34</v>
      </c>
      <c r="H59" s="6">
        <v>2000</v>
      </c>
      <c r="I59" s="6">
        <v>1100</v>
      </c>
      <c r="J59" s="6">
        <v>1</v>
      </c>
      <c r="K59" s="10">
        <f t="shared" si="1"/>
        <v>2.2000000000000002</v>
      </c>
      <c r="L59" s="6" t="s">
        <v>156</v>
      </c>
      <c r="M59" s="6"/>
      <c r="N59" s="6" t="s">
        <v>54</v>
      </c>
      <c r="O59" s="6" t="s">
        <v>54</v>
      </c>
      <c r="P59" s="6"/>
    </row>
    <row r="60" spans="1:16" ht="30" customHeight="1" x14ac:dyDescent="0.3">
      <c r="A60" s="7">
        <v>45938.355657754626</v>
      </c>
      <c r="B60" s="6" t="s">
        <v>5</v>
      </c>
      <c r="C60" s="6" t="str">
        <f>VLOOKUP(B60,'Veri doğrulama'!D6:E13,2,0)</f>
        <v>MEHMET ÖZEN</v>
      </c>
      <c r="D60" s="6"/>
      <c r="E60" s="6" t="s">
        <v>1246</v>
      </c>
      <c r="F60" s="6" t="s">
        <v>14</v>
      </c>
      <c r="G60" s="6" t="s">
        <v>34</v>
      </c>
      <c r="H60" s="6">
        <v>2210</v>
      </c>
      <c r="I60" s="6">
        <v>510</v>
      </c>
      <c r="J60" s="6">
        <v>1</v>
      </c>
      <c r="K60" s="10">
        <f t="shared" si="1"/>
        <v>1.1271</v>
      </c>
      <c r="L60" s="6" t="s">
        <v>103</v>
      </c>
      <c r="M60" s="6"/>
      <c r="N60" s="6" t="s">
        <v>54</v>
      </c>
      <c r="O60" s="6" t="s">
        <v>54</v>
      </c>
      <c r="P60" s="6"/>
    </row>
    <row r="61" spans="1:16" ht="30" customHeight="1" x14ac:dyDescent="0.3">
      <c r="A61" s="7">
        <v>45938.355111226854</v>
      </c>
      <c r="B61" s="6" t="s">
        <v>5</v>
      </c>
      <c r="C61" s="6" t="str">
        <f>VLOOKUP(B61,'Veri doğrulama'!D6:E13,2,0)</f>
        <v>MEHMET ÖZEN</v>
      </c>
      <c r="D61" s="6"/>
      <c r="E61" s="6" t="s">
        <v>1245</v>
      </c>
      <c r="F61" s="6" t="s">
        <v>14</v>
      </c>
      <c r="G61" s="6" t="s">
        <v>34</v>
      </c>
      <c r="H61" s="6">
        <v>2210</v>
      </c>
      <c r="I61" s="6">
        <v>910</v>
      </c>
      <c r="J61" s="6">
        <v>2</v>
      </c>
      <c r="K61" s="10">
        <f t="shared" si="1"/>
        <v>4.0221999999999998</v>
      </c>
      <c r="L61" s="6" t="s">
        <v>103</v>
      </c>
      <c r="M61" s="6"/>
      <c r="N61" s="6" t="s">
        <v>54</v>
      </c>
      <c r="O61" s="6" t="s">
        <v>54</v>
      </c>
      <c r="P61" s="6"/>
    </row>
    <row r="62" spans="1:16" ht="30" customHeight="1" x14ac:dyDescent="0.3">
      <c r="A62" s="7">
        <v>45937.768778819445</v>
      </c>
      <c r="B62" s="6" t="s">
        <v>4</v>
      </c>
      <c r="C62" s="6" t="str">
        <f>VLOOKUP(B62,'Veri doğrulama'!D6:E13,2,0)</f>
        <v>MEHMET YAZICI</v>
      </c>
      <c r="D62" s="6"/>
      <c r="E62" s="6" t="s">
        <v>1244</v>
      </c>
      <c r="F62" s="6" t="s">
        <v>19</v>
      </c>
      <c r="G62" s="6" t="s">
        <v>34</v>
      </c>
      <c r="H62" s="6">
        <v>600</v>
      </c>
      <c r="I62" s="6">
        <v>324</v>
      </c>
      <c r="J62" s="6">
        <v>1</v>
      </c>
      <c r="K62" s="10">
        <f t="shared" si="1"/>
        <v>0.19439999999999999</v>
      </c>
      <c r="L62" s="6" t="s">
        <v>102</v>
      </c>
      <c r="M62" s="6"/>
      <c r="N62" s="6" t="s">
        <v>54</v>
      </c>
      <c r="O62" s="6" t="s">
        <v>54</v>
      </c>
      <c r="P62" s="6"/>
    </row>
    <row r="63" spans="1:16" ht="30" customHeight="1" x14ac:dyDescent="0.3">
      <c r="A63" s="7">
        <v>45937.768254513889</v>
      </c>
      <c r="B63" s="6" t="s">
        <v>4</v>
      </c>
      <c r="C63" s="6" t="str">
        <f>VLOOKUP(B63,'Veri doğrulama'!D6:E13,2,0)</f>
        <v>MEHMET YAZICI</v>
      </c>
      <c r="D63" s="6"/>
      <c r="E63" s="6" t="s">
        <v>1243</v>
      </c>
      <c r="F63" s="6" t="s">
        <v>19</v>
      </c>
      <c r="G63" s="6" t="s">
        <v>34</v>
      </c>
      <c r="H63" s="6">
        <v>665</v>
      </c>
      <c r="I63" s="6">
        <v>330</v>
      </c>
      <c r="J63" s="6">
        <v>1</v>
      </c>
      <c r="K63" s="10">
        <f t="shared" si="1"/>
        <v>0.21945000000000001</v>
      </c>
      <c r="L63" s="6" t="s">
        <v>102</v>
      </c>
      <c r="M63" s="6"/>
      <c r="N63" s="6" t="s">
        <v>54</v>
      </c>
      <c r="O63" s="6" t="s">
        <v>54</v>
      </c>
      <c r="P63" s="6"/>
    </row>
    <row r="64" spans="1:16" ht="30" customHeight="1" x14ac:dyDescent="0.3">
      <c r="A64" s="7">
        <v>45937.767720833333</v>
      </c>
      <c r="B64" s="6" t="s">
        <v>4</v>
      </c>
      <c r="C64" s="6" t="str">
        <f>VLOOKUP(B64,'Veri doğrulama'!D6:E13,2,0)</f>
        <v>MEHMET YAZICI</v>
      </c>
      <c r="D64" s="6"/>
      <c r="E64" s="6" t="s">
        <v>1242</v>
      </c>
      <c r="F64" s="6" t="s">
        <v>19</v>
      </c>
      <c r="G64" s="6" t="s">
        <v>34</v>
      </c>
      <c r="H64" s="6">
        <v>324</v>
      </c>
      <c r="I64" s="6">
        <v>560</v>
      </c>
      <c r="J64" s="6">
        <v>1</v>
      </c>
      <c r="K64" s="10">
        <f t="shared" si="1"/>
        <v>0.18143999999999999</v>
      </c>
      <c r="L64" s="6" t="s">
        <v>102</v>
      </c>
      <c r="M64" s="6"/>
      <c r="N64" s="6" t="s">
        <v>54</v>
      </c>
      <c r="O64" s="6" t="s">
        <v>54</v>
      </c>
      <c r="P64" s="6"/>
    </row>
    <row r="65" spans="1:16" ht="30" customHeight="1" x14ac:dyDescent="0.3">
      <c r="A65" s="7">
        <v>45937.76693784722</v>
      </c>
      <c r="B65" s="6" t="s">
        <v>4</v>
      </c>
      <c r="C65" s="6" t="str">
        <f>VLOOKUP(B65,'Veri doğrulama'!D6:E13,2,0)</f>
        <v>MEHMET YAZICI</v>
      </c>
      <c r="D65" s="6"/>
      <c r="E65" s="6" t="s">
        <v>1241</v>
      </c>
      <c r="F65" s="6" t="s">
        <v>20</v>
      </c>
      <c r="G65" s="6" t="s">
        <v>34</v>
      </c>
      <c r="H65" s="6">
        <v>390</v>
      </c>
      <c r="I65" s="6">
        <v>279</v>
      </c>
      <c r="J65" s="6">
        <v>1</v>
      </c>
      <c r="K65" s="10">
        <f t="shared" si="1"/>
        <v>0.10881</v>
      </c>
      <c r="L65" s="6" t="s">
        <v>75</v>
      </c>
      <c r="M65" s="6"/>
      <c r="N65" s="6" t="s">
        <v>54</v>
      </c>
      <c r="O65" s="6" t="s">
        <v>54</v>
      </c>
      <c r="P65" s="6"/>
    </row>
    <row r="66" spans="1:16" ht="30" customHeight="1" x14ac:dyDescent="0.3">
      <c r="A66" s="7">
        <v>45937.766132870369</v>
      </c>
      <c r="B66" s="6" t="s">
        <v>4</v>
      </c>
      <c r="C66" s="6" t="str">
        <f>VLOOKUP(B66,'Veri doğrulama'!D6:E13,2,0)</f>
        <v>MEHMET YAZICI</v>
      </c>
      <c r="D66" s="6"/>
      <c r="E66" s="6" t="s">
        <v>816</v>
      </c>
      <c r="F66" s="6" t="s">
        <v>15</v>
      </c>
      <c r="G66" s="6" t="s">
        <v>34</v>
      </c>
      <c r="H66" s="6">
        <v>557</v>
      </c>
      <c r="I66" s="6">
        <v>247</v>
      </c>
      <c r="J66" s="6">
        <v>1</v>
      </c>
      <c r="K66" s="10">
        <f t="shared" ref="K66:K85" si="2">H66*I66/1000000*J66</f>
        <v>0.13757900000000001</v>
      </c>
      <c r="L66" s="6" t="s">
        <v>75</v>
      </c>
      <c r="M66" s="6"/>
      <c r="N66" s="6" t="s">
        <v>54</v>
      </c>
      <c r="O66" s="6" t="s">
        <v>54</v>
      </c>
      <c r="P66" s="6"/>
    </row>
    <row r="67" spans="1:16" ht="30" customHeight="1" x14ac:dyDescent="0.3">
      <c r="A67" s="7">
        <v>45937.598880324076</v>
      </c>
      <c r="B67" s="6" t="s">
        <v>5</v>
      </c>
      <c r="C67" s="6" t="str">
        <f>VLOOKUP(B67,'Veri doğrulama'!D6:E13,2,0)</f>
        <v>MEHMET ÖZEN</v>
      </c>
      <c r="D67" s="6"/>
      <c r="E67" s="6" t="s">
        <v>1068</v>
      </c>
      <c r="F67" s="6" t="s">
        <v>16</v>
      </c>
      <c r="G67" s="6" t="s">
        <v>34</v>
      </c>
      <c r="H67" s="6">
        <v>2000</v>
      </c>
      <c r="I67" s="6">
        <v>1000</v>
      </c>
      <c r="J67" s="6">
        <v>1</v>
      </c>
      <c r="K67" s="10">
        <f t="shared" si="2"/>
        <v>2</v>
      </c>
      <c r="L67" s="6" t="s">
        <v>42</v>
      </c>
      <c r="M67" s="6"/>
      <c r="N67" s="6" t="s">
        <v>54</v>
      </c>
      <c r="O67" s="6" t="s">
        <v>54</v>
      </c>
      <c r="P67" s="6"/>
    </row>
    <row r="68" spans="1:16" ht="30" customHeight="1" x14ac:dyDescent="0.3">
      <c r="A68" s="7">
        <v>45937.596753472222</v>
      </c>
      <c r="B68" s="6" t="s">
        <v>5</v>
      </c>
      <c r="C68" s="6" t="str">
        <f>VLOOKUP(B68,'Veri doğrulama'!D6:E13,2,0)</f>
        <v>MEHMET ÖZEN</v>
      </c>
      <c r="D68" s="6"/>
      <c r="E68" s="6" t="s">
        <v>1240</v>
      </c>
      <c r="F68" s="6" t="s">
        <v>14</v>
      </c>
      <c r="G68" s="6" t="s">
        <v>34</v>
      </c>
      <c r="H68" s="6">
        <v>2028</v>
      </c>
      <c r="I68" s="6">
        <v>380</v>
      </c>
      <c r="J68" s="6">
        <v>1</v>
      </c>
      <c r="K68" s="10">
        <f t="shared" si="2"/>
        <v>0.77063999999999999</v>
      </c>
      <c r="L68" s="6" t="s">
        <v>42</v>
      </c>
      <c r="M68" s="6"/>
      <c r="N68" s="6" t="s">
        <v>54</v>
      </c>
      <c r="O68" s="6" t="s">
        <v>54</v>
      </c>
      <c r="P68" s="6"/>
    </row>
    <row r="69" spans="1:16" ht="30" customHeight="1" x14ac:dyDescent="0.3">
      <c r="A69" s="7">
        <v>45937.554761921296</v>
      </c>
      <c r="B69" s="6" t="s">
        <v>5</v>
      </c>
      <c r="C69" s="6" t="str">
        <f>VLOOKUP(B69,'Veri doğrulama'!D6:E13,2,0)</f>
        <v>MEHMET ÖZEN</v>
      </c>
      <c r="D69" s="6"/>
      <c r="E69" s="6" t="s">
        <v>1239</v>
      </c>
      <c r="F69" s="6" t="s">
        <v>14</v>
      </c>
      <c r="G69" s="6" t="s">
        <v>34</v>
      </c>
      <c r="H69" s="6">
        <v>762</v>
      </c>
      <c r="I69" s="6">
        <v>395</v>
      </c>
      <c r="J69" s="6">
        <v>1</v>
      </c>
      <c r="K69" s="10">
        <f t="shared" si="2"/>
        <v>0.30098999999999998</v>
      </c>
      <c r="L69" s="6" t="s">
        <v>156</v>
      </c>
      <c r="M69" s="6"/>
      <c r="N69" s="6" t="s">
        <v>54</v>
      </c>
      <c r="O69" s="6" t="s">
        <v>54</v>
      </c>
      <c r="P69" s="6"/>
    </row>
    <row r="70" spans="1:16" ht="30" customHeight="1" x14ac:dyDescent="0.3">
      <c r="A70" s="7">
        <v>45937.466813888888</v>
      </c>
      <c r="B70" s="6" t="s">
        <v>5</v>
      </c>
      <c r="C70" s="6" t="str">
        <f>VLOOKUP(B70,'Veri doğrulama'!D6:E13,2,0)</f>
        <v>MEHMET ÖZEN</v>
      </c>
      <c r="D70" s="6"/>
      <c r="E70" s="6" t="s">
        <v>1238</v>
      </c>
      <c r="F70" s="6" t="s">
        <v>18</v>
      </c>
      <c r="G70" s="6" t="s">
        <v>34</v>
      </c>
      <c r="H70" s="6">
        <v>638</v>
      </c>
      <c r="I70" s="6">
        <v>510</v>
      </c>
      <c r="J70" s="6">
        <v>1</v>
      </c>
      <c r="K70" s="10">
        <f t="shared" si="2"/>
        <v>0.32538</v>
      </c>
      <c r="L70" s="6" t="s">
        <v>42</v>
      </c>
      <c r="M70" s="6"/>
      <c r="N70" s="6" t="s">
        <v>54</v>
      </c>
      <c r="O70" s="6" t="s">
        <v>54</v>
      </c>
      <c r="P70" s="6"/>
    </row>
    <row r="71" spans="1:16" ht="30" customHeight="1" x14ac:dyDescent="0.3">
      <c r="A71" s="7">
        <v>45937.459581365743</v>
      </c>
      <c r="B71" s="6" t="s">
        <v>5</v>
      </c>
      <c r="C71" s="6" t="str">
        <f>VLOOKUP(B71,'Veri doğrulama'!D6:E13,2,0)</f>
        <v>MEHMET ÖZEN</v>
      </c>
      <c r="D71" s="6"/>
      <c r="E71" s="6" t="s">
        <v>769</v>
      </c>
      <c r="F71" s="6" t="s">
        <v>14</v>
      </c>
      <c r="G71" s="6" t="s">
        <v>34</v>
      </c>
      <c r="H71" s="6">
        <v>1800</v>
      </c>
      <c r="I71" s="6">
        <v>350</v>
      </c>
      <c r="J71" s="6">
        <v>1</v>
      </c>
      <c r="K71" s="10">
        <f t="shared" si="2"/>
        <v>0.63</v>
      </c>
      <c r="L71" s="6" t="s">
        <v>156</v>
      </c>
      <c r="M71" s="6"/>
      <c r="N71" s="6" t="s">
        <v>54</v>
      </c>
      <c r="O71" s="6" t="s">
        <v>54</v>
      </c>
      <c r="P71" s="6"/>
    </row>
    <row r="72" spans="1:16" ht="30" customHeight="1" x14ac:dyDescent="0.3">
      <c r="A72" s="7">
        <v>45937.411828935183</v>
      </c>
      <c r="B72" s="6" t="s">
        <v>4</v>
      </c>
      <c r="C72" s="6" t="str">
        <f>VLOOKUP(B72,'Veri doğrulama'!D6:E13,2,0)</f>
        <v>MEHMET YAZICI</v>
      </c>
      <c r="D72" s="6"/>
      <c r="E72" s="6" t="s">
        <v>1235</v>
      </c>
      <c r="F72" s="6" t="s">
        <v>14</v>
      </c>
      <c r="G72" s="6" t="s">
        <v>34</v>
      </c>
      <c r="H72" s="6">
        <v>2028</v>
      </c>
      <c r="I72" s="6">
        <v>380</v>
      </c>
      <c r="J72" s="6">
        <v>1</v>
      </c>
      <c r="K72" s="10">
        <f t="shared" si="2"/>
        <v>0.77063999999999999</v>
      </c>
      <c r="L72" s="6" t="s">
        <v>42</v>
      </c>
      <c r="M72" s="6" t="s">
        <v>1237</v>
      </c>
      <c r="N72" s="6" t="s">
        <v>54</v>
      </c>
      <c r="O72" s="6" t="s">
        <v>54</v>
      </c>
      <c r="P72" s="6"/>
    </row>
    <row r="73" spans="1:16" ht="30" customHeight="1" x14ac:dyDescent="0.3">
      <c r="A73" s="7">
        <v>45937.363035069444</v>
      </c>
      <c r="B73" s="6" t="s">
        <v>5</v>
      </c>
      <c r="C73" s="6" t="str">
        <f>VLOOKUP(B73,'Veri doğrulama'!D6:E13,2,0)</f>
        <v>MEHMET ÖZEN</v>
      </c>
      <c r="D73" s="6" t="s">
        <v>1230</v>
      </c>
      <c r="E73" s="6" t="s">
        <v>1231</v>
      </c>
      <c r="F73" s="6" t="s">
        <v>18</v>
      </c>
      <c r="G73" s="6" t="s">
        <v>34</v>
      </c>
      <c r="H73" s="6">
        <v>1720</v>
      </c>
      <c r="I73" s="6">
        <v>1520</v>
      </c>
      <c r="J73" s="6">
        <v>1</v>
      </c>
      <c r="K73" s="10">
        <f t="shared" si="2"/>
        <v>2.6143999999999998</v>
      </c>
      <c r="L73" s="6" t="s">
        <v>42</v>
      </c>
      <c r="M73" s="6"/>
      <c r="N73" s="6" t="s">
        <v>54</v>
      </c>
      <c r="O73" s="6" t="s">
        <v>54</v>
      </c>
      <c r="P73" s="6"/>
    </row>
    <row r="74" spans="1:16" ht="30" customHeight="1" x14ac:dyDescent="0.3">
      <c r="A74" s="7">
        <v>45937.361205671295</v>
      </c>
      <c r="B74" s="6" t="s">
        <v>5</v>
      </c>
      <c r="C74" s="6" t="str">
        <f>VLOOKUP(B74,'Veri doğrulama'!D6:E13,2,0)</f>
        <v>MEHMET ÖZEN</v>
      </c>
      <c r="D74" s="6"/>
      <c r="E74" s="6" t="s">
        <v>1229</v>
      </c>
      <c r="F74" s="6" t="s">
        <v>16</v>
      </c>
      <c r="G74" s="6" t="s">
        <v>34</v>
      </c>
      <c r="H74" s="6">
        <v>762</v>
      </c>
      <c r="I74" s="6">
        <v>396</v>
      </c>
      <c r="J74" s="6">
        <v>1</v>
      </c>
      <c r="K74" s="10">
        <f t="shared" si="2"/>
        <v>0.30175200000000002</v>
      </c>
      <c r="L74" s="6" t="s">
        <v>156</v>
      </c>
      <c r="M74" s="6"/>
      <c r="N74" s="6" t="s">
        <v>54</v>
      </c>
      <c r="O74" s="6" t="s">
        <v>54</v>
      </c>
      <c r="P74" s="6"/>
    </row>
    <row r="75" spans="1:16" ht="30" customHeight="1" x14ac:dyDescent="0.3">
      <c r="A75" s="7">
        <v>45936.718334259262</v>
      </c>
      <c r="B75" s="6" t="s">
        <v>5</v>
      </c>
      <c r="C75" s="6" t="str">
        <f>VLOOKUP(B75,'Veri doğrulama'!D6:E13,2,0)</f>
        <v>MEHMET ÖZEN</v>
      </c>
      <c r="D75" s="6"/>
      <c r="E75" s="6" t="s">
        <v>1228</v>
      </c>
      <c r="F75" s="6" t="s">
        <v>18</v>
      </c>
      <c r="G75" s="6" t="s">
        <v>34</v>
      </c>
      <c r="H75" s="6">
        <v>539</v>
      </c>
      <c r="I75" s="6">
        <v>406</v>
      </c>
      <c r="J75" s="6">
        <v>1</v>
      </c>
      <c r="K75" s="10">
        <f t="shared" si="2"/>
        <v>0.218834</v>
      </c>
      <c r="L75" s="6" t="s">
        <v>156</v>
      </c>
      <c r="M75" s="6"/>
      <c r="N75" s="6" t="s">
        <v>54</v>
      </c>
      <c r="O75" s="6" t="s">
        <v>54</v>
      </c>
      <c r="P75" s="6"/>
    </row>
    <row r="76" spans="1:16" ht="30" customHeight="1" x14ac:dyDescent="0.3">
      <c r="A76" s="7">
        <v>45936.715655208332</v>
      </c>
      <c r="B76" s="6" t="s">
        <v>5</v>
      </c>
      <c r="C76" s="6" t="str">
        <f>VLOOKUP(B76,'Veri doğrulama'!D6:E13,2,0)</f>
        <v>MEHMET ÖZEN</v>
      </c>
      <c r="D76" s="6"/>
      <c r="E76" s="6" t="s">
        <v>1227</v>
      </c>
      <c r="F76" s="6" t="s">
        <v>18</v>
      </c>
      <c r="G76" s="6" t="s">
        <v>34</v>
      </c>
      <c r="H76" s="6">
        <v>1600</v>
      </c>
      <c r="I76" s="6">
        <v>385</v>
      </c>
      <c r="J76" s="6">
        <v>1</v>
      </c>
      <c r="K76" s="10">
        <f t="shared" si="2"/>
        <v>0.61599999999999999</v>
      </c>
      <c r="L76" s="6" t="s">
        <v>103</v>
      </c>
      <c r="M76" s="6"/>
      <c r="N76" s="6" t="s">
        <v>54</v>
      </c>
      <c r="O76" s="6" t="s">
        <v>54</v>
      </c>
      <c r="P76" s="6"/>
    </row>
    <row r="77" spans="1:16" ht="30" customHeight="1" x14ac:dyDescent="0.3">
      <c r="A77" s="7">
        <v>45936.707397106482</v>
      </c>
      <c r="B77" s="6" t="s">
        <v>5</v>
      </c>
      <c r="C77" s="6" t="str">
        <f>VLOOKUP(B77,'Veri doğrulama'!D6:E13,2,0)</f>
        <v>MEHMET ÖZEN</v>
      </c>
      <c r="D77" s="6" t="s">
        <v>1222</v>
      </c>
      <c r="E77" s="6" t="s">
        <v>1226</v>
      </c>
      <c r="F77" s="6" t="s">
        <v>18</v>
      </c>
      <c r="G77" s="6" t="s">
        <v>34</v>
      </c>
      <c r="H77" s="6">
        <v>2210</v>
      </c>
      <c r="I77" s="6">
        <v>510</v>
      </c>
      <c r="J77" s="6">
        <v>1</v>
      </c>
      <c r="K77" s="10">
        <f t="shared" si="2"/>
        <v>1.1271</v>
      </c>
      <c r="L77" s="6" t="s">
        <v>38</v>
      </c>
      <c r="M77" s="6"/>
      <c r="N77" s="6" t="s">
        <v>54</v>
      </c>
      <c r="O77" s="6" t="s">
        <v>54</v>
      </c>
      <c r="P77" s="6"/>
    </row>
    <row r="78" spans="1:16" ht="30" customHeight="1" x14ac:dyDescent="0.3">
      <c r="A78" s="7">
        <v>45936.359875810187</v>
      </c>
      <c r="B78" s="6" t="s">
        <v>7</v>
      </c>
      <c r="C78" s="6" t="str">
        <f>VLOOKUP(B78,'Veri doğrulama'!D6:E13,2,0)</f>
        <v>SIDDIK KAPLAN</v>
      </c>
      <c r="D78" s="6"/>
      <c r="E78" s="6" t="s">
        <v>1225</v>
      </c>
      <c r="F78" s="6" t="s">
        <v>18</v>
      </c>
      <c r="G78" s="6" t="s">
        <v>34</v>
      </c>
      <c r="H78" s="6">
        <v>1600</v>
      </c>
      <c r="I78" s="6">
        <v>800</v>
      </c>
      <c r="J78" s="6">
        <v>1</v>
      </c>
      <c r="K78" s="10">
        <f t="shared" si="2"/>
        <v>1.28</v>
      </c>
      <c r="L78" s="6" t="s">
        <v>43</v>
      </c>
      <c r="M78" s="6" t="s">
        <v>231</v>
      </c>
      <c r="N78" s="6" t="s">
        <v>54</v>
      </c>
      <c r="O78" s="6" t="s">
        <v>54</v>
      </c>
      <c r="P78" s="6"/>
    </row>
    <row r="79" spans="1:16" ht="30" customHeight="1" x14ac:dyDescent="0.3">
      <c r="A79" s="7">
        <v>45933.706137384259</v>
      </c>
      <c r="B79" s="6" t="s">
        <v>5</v>
      </c>
      <c r="C79" s="6" t="str">
        <f>VLOOKUP(B79,'Veri doğrulama'!D6:E13,2,0)</f>
        <v>MEHMET ÖZEN</v>
      </c>
      <c r="D79" s="6"/>
      <c r="E79" s="6" t="s">
        <v>1224</v>
      </c>
      <c r="F79" s="6" t="s">
        <v>29</v>
      </c>
      <c r="G79" s="6" t="s">
        <v>34</v>
      </c>
      <c r="H79" s="6">
        <v>762</v>
      </c>
      <c r="I79" s="6">
        <v>340</v>
      </c>
      <c r="J79" s="6">
        <v>1</v>
      </c>
      <c r="K79" s="10">
        <f t="shared" si="2"/>
        <v>0.25907999999999998</v>
      </c>
      <c r="L79" s="6" t="s">
        <v>42</v>
      </c>
      <c r="M79" s="6"/>
      <c r="N79" s="6" t="s">
        <v>54</v>
      </c>
      <c r="O79" s="6" t="s">
        <v>54</v>
      </c>
      <c r="P79" s="6"/>
    </row>
    <row r="80" spans="1:16" ht="30" customHeight="1" x14ac:dyDescent="0.3">
      <c r="A80" s="7">
        <v>45933.569380092595</v>
      </c>
      <c r="B80" s="6" t="s">
        <v>5</v>
      </c>
      <c r="C80" s="6" t="str">
        <f>VLOOKUP(B80,'Veri doğrulama'!D6:E13,2,0)</f>
        <v>MEHMET ÖZEN</v>
      </c>
      <c r="D80" s="6" t="s">
        <v>1222</v>
      </c>
      <c r="E80" s="6" t="s">
        <v>1223</v>
      </c>
      <c r="F80" s="6" t="s">
        <v>18</v>
      </c>
      <c r="G80" s="6" t="s">
        <v>34</v>
      </c>
      <c r="H80" s="6">
        <v>2210</v>
      </c>
      <c r="I80" s="6">
        <v>510</v>
      </c>
      <c r="J80" s="6">
        <v>1</v>
      </c>
      <c r="K80" s="10">
        <f t="shared" si="2"/>
        <v>1.1271</v>
      </c>
      <c r="L80" s="6" t="s">
        <v>75</v>
      </c>
      <c r="M80" s="6"/>
      <c r="N80" s="6" t="s">
        <v>54</v>
      </c>
      <c r="O80" s="6" t="s">
        <v>54</v>
      </c>
      <c r="P80" s="6"/>
    </row>
    <row r="81" spans="1:16" ht="30" customHeight="1" x14ac:dyDescent="0.3">
      <c r="A81" s="7">
        <v>45933.501693287035</v>
      </c>
      <c r="B81" s="6" t="s">
        <v>4</v>
      </c>
      <c r="C81" s="6" t="str">
        <f>VLOOKUP(B81,'Veri doğrulama'!D6:E13,2,0)</f>
        <v>MEHMET YAZICI</v>
      </c>
      <c r="D81" s="6"/>
      <c r="E81" s="6" t="s">
        <v>1221</v>
      </c>
      <c r="F81" s="6" t="s">
        <v>18</v>
      </c>
      <c r="G81" s="6" t="s">
        <v>34</v>
      </c>
      <c r="H81" s="6">
        <v>556</v>
      </c>
      <c r="I81" s="6">
        <v>539</v>
      </c>
      <c r="J81" s="6">
        <v>2</v>
      </c>
      <c r="K81" s="10">
        <f t="shared" si="2"/>
        <v>0.59936800000000001</v>
      </c>
      <c r="L81" s="6" t="s">
        <v>37</v>
      </c>
      <c r="M81" s="6"/>
      <c r="N81" s="6" t="s">
        <v>54</v>
      </c>
      <c r="O81" s="6" t="s">
        <v>54</v>
      </c>
      <c r="P81" s="6"/>
    </row>
    <row r="82" spans="1:16" ht="30" customHeight="1" x14ac:dyDescent="0.3">
      <c r="A82" s="7">
        <v>45933.452164699076</v>
      </c>
      <c r="B82" s="6" t="s">
        <v>5</v>
      </c>
      <c r="C82" s="6" t="str">
        <f>VLOOKUP(B82,'Veri doğrulama'!D6:E13,2,0)</f>
        <v>MEHMET ÖZEN</v>
      </c>
      <c r="D82" s="6" t="s">
        <v>1199</v>
      </c>
      <c r="E82" s="6" t="s">
        <v>1220</v>
      </c>
      <c r="F82" s="6" t="s">
        <v>16</v>
      </c>
      <c r="G82" s="6" t="s">
        <v>34</v>
      </c>
      <c r="H82" s="6">
        <v>1620</v>
      </c>
      <c r="I82" s="6">
        <v>1370</v>
      </c>
      <c r="J82" s="6">
        <v>1</v>
      </c>
      <c r="K82" s="10">
        <f t="shared" si="2"/>
        <v>2.2193999999999998</v>
      </c>
      <c r="L82" s="6" t="s">
        <v>42</v>
      </c>
      <c r="M82" s="6"/>
      <c r="N82" s="6" t="s">
        <v>54</v>
      </c>
      <c r="O82" s="6" t="s">
        <v>54</v>
      </c>
      <c r="P82" s="6"/>
    </row>
    <row r="83" spans="1:16" ht="30" customHeight="1" x14ac:dyDescent="0.3">
      <c r="A83" s="7">
        <v>45933.40996365741</v>
      </c>
      <c r="B83" s="6" t="s">
        <v>5</v>
      </c>
      <c r="C83" s="6" t="str">
        <f>VLOOKUP(B83,'Veri doğrulama'!D6:E13,2,0)</f>
        <v>MEHMET ÖZEN</v>
      </c>
      <c r="D83" s="6" t="s">
        <v>1218</v>
      </c>
      <c r="E83" s="6" t="s">
        <v>1219</v>
      </c>
      <c r="F83" s="6" t="s">
        <v>26</v>
      </c>
      <c r="G83" s="6" t="s">
        <v>34</v>
      </c>
      <c r="H83" s="6">
        <v>1420</v>
      </c>
      <c r="I83" s="6">
        <v>1420</v>
      </c>
      <c r="J83" s="6">
        <v>1</v>
      </c>
      <c r="K83" s="10">
        <f t="shared" si="2"/>
        <v>2.0164</v>
      </c>
      <c r="L83" s="6" t="s">
        <v>42</v>
      </c>
      <c r="M83" s="6"/>
      <c r="N83" s="6" t="s">
        <v>54</v>
      </c>
      <c r="O83" s="6" t="s">
        <v>54</v>
      </c>
      <c r="P83" s="6"/>
    </row>
    <row r="84" spans="1:16" ht="30" customHeight="1" x14ac:dyDescent="0.3">
      <c r="A84" s="7">
        <v>45933.36175891204</v>
      </c>
      <c r="B84" s="6" t="s">
        <v>5</v>
      </c>
      <c r="C84" s="6" t="str">
        <f>VLOOKUP(B84,'Veri doğrulama'!D6:E13,2,0)</f>
        <v>MEHMET ÖZEN</v>
      </c>
      <c r="D84" s="6"/>
      <c r="E84" s="6" t="s">
        <v>1217</v>
      </c>
      <c r="F84" s="6" t="s">
        <v>17</v>
      </c>
      <c r="G84" s="6" t="s">
        <v>34</v>
      </c>
      <c r="H84" s="6">
        <v>1100</v>
      </c>
      <c r="I84" s="6">
        <v>360</v>
      </c>
      <c r="J84" s="6">
        <v>2</v>
      </c>
      <c r="K84" s="10">
        <f t="shared" si="2"/>
        <v>0.79200000000000004</v>
      </c>
      <c r="L84" s="6" t="s">
        <v>75</v>
      </c>
      <c r="M84" s="6"/>
      <c r="N84" s="6" t="s">
        <v>54</v>
      </c>
      <c r="O84" s="6" t="s">
        <v>54</v>
      </c>
      <c r="P84" s="6"/>
    </row>
    <row r="85" spans="1:16" ht="30" customHeight="1" x14ac:dyDescent="0.3">
      <c r="A85" s="7">
        <v>45933.351309375001</v>
      </c>
      <c r="B85" s="6" t="s">
        <v>5</v>
      </c>
      <c r="C85" s="6" t="str">
        <f>VLOOKUP(B85,'Veri doğrulama'!D6:E13,2,0)</f>
        <v>MEHMET ÖZEN</v>
      </c>
      <c r="D85" s="6"/>
      <c r="E85" s="6" t="s">
        <v>1216</v>
      </c>
      <c r="F85" s="6" t="s">
        <v>16</v>
      </c>
      <c r="G85" s="6" t="s">
        <v>34</v>
      </c>
      <c r="H85" s="6">
        <v>1877</v>
      </c>
      <c r="I85" s="6">
        <v>375</v>
      </c>
      <c r="J85" s="6">
        <v>2</v>
      </c>
      <c r="K85" s="10">
        <f t="shared" si="2"/>
        <v>1.4077500000000001</v>
      </c>
      <c r="L85" s="6" t="s">
        <v>103</v>
      </c>
      <c r="M85" s="6"/>
      <c r="N85" s="6" t="s">
        <v>54</v>
      </c>
      <c r="O85" s="6" t="s">
        <v>54</v>
      </c>
      <c r="P85" s="6"/>
    </row>
    <row r="86" spans="1:16" ht="30" customHeight="1" x14ac:dyDescent="0.3">
      <c r="A86" s="7">
        <v>45933</v>
      </c>
      <c r="B86" s="6" t="s">
        <v>4</v>
      </c>
      <c r="C86" s="6" t="s">
        <v>125</v>
      </c>
      <c r="D86" s="6"/>
      <c r="E86" s="6" t="s">
        <v>518</v>
      </c>
      <c r="F86" s="6" t="s">
        <v>24</v>
      </c>
      <c r="G86" s="6" t="s">
        <v>34</v>
      </c>
      <c r="H86" s="6">
        <v>700</v>
      </c>
      <c r="I86" s="6">
        <v>397</v>
      </c>
      <c r="J86" s="6">
        <v>1</v>
      </c>
      <c r="K86" s="10">
        <v>0.28000000000000003</v>
      </c>
      <c r="L86" s="6" t="s">
        <v>102</v>
      </c>
      <c r="M86" s="6"/>
      <c r="N86" s="6" t="s">
        <v>54</v>
      </c>
      <c r="O86" s="6" t="s">
        <v>54</v>
      </c>
      <c r="P86" s="6"/>
    </row>
    <row r="87" spans="1:16" ht="30" customHeight="1" x14ac:dyDescent="0.3">
      <c r="A87" s="7">
        <v>45933</v>
      </c>
      <c r="B87" s="6" t="s">
        <v>4</v>
      </c>
      <c r="C87" s="6" t="s">
        <v>125</v>
      </c>
      <c r="D87" s="6"/>
      <c r="E87" s="6" t="s">
        <v>416</v>
      </c>
      <c r="F87" s="6" t="s">
        <v>17</v>
      </c>
      <c r="G87" s="6" t="s">
        <v>34</v>
      </c>
      <c r="H87" s="6">
        <v>470</v>
      </c>
      <c r="I87" s="6">
        <v>447</v>
      </c>
      <c r="J87" s="6">
        <v>1</v>
      </c>
      <c r="K87" s="10">
        <v>0.21</v>
      </c>
      <c r="L87" s="6" t="s">
        <v>75</v>
      </c>
      <c r="M87" s="6"/>
      <c r="N87" s="6" t="s">
        <v>54</v>
      </c>
      <c r="O87" s="6" t="s">
        <v>54</v>
      </c>
      <c r="P87" s="6"/>
    </row>
    <row r="88" spans="1:16" ht="30" customHeight="1" x14ac:dyDescent="0.3">
      <c r="A88" s="7">
        <v>45933</v>
      </c>
      <c r="B88" s="6" t="s">
        <v>4</v>
      </c>
      <c r="C88" s="6" t="s">
        <v>125</v>
      </c>
      <c r="D88" s="6"/>
      <c r="E88" s="6" t="s">
        <v>817</v>
      </c>
      <c r="F88" s="6" t="s">
        <v>17</v>
      </c>
      <c r="G88" s="6" t="s">
        <v>34</v>
      </c>
      <c r="H88" s="6">
        <v>448</v>
      </c>
      <c r="I88" s="6">
        <v>353</v>
      </c>
      <c r="J88" s="6">
        <v>1</v>
      </c>
      <c r="K88" s="10">
        <v>0.16</v>
      </c>
      <c r="L88" s="6" t="s">
        <v>75</v>
      </c>
      <c r="M88" s="6"/>
      <c r="N88" s="6" t="s">
        <v>54</v>
      </c>
      <c r="O88" s="6" t="s">
        <v>54</v>
      </c>
      <c r="P88" s="6"/>
    </row>
    <row r="89" spans="1:16" ht="30" customHeight="1" x14ac:dyDescent="0.3">
      <c r="A89" s="7">
        <v>45933</v>
      </c>
      <c r="B89" s="6" t="s">
        <v>4</v>
      </c>
      <c r="C89" s="6" t="s">
        <v>125</v>
      </c>
      <c r="D89" s="6"/>
      <c r="E89" s="6" t="s">
        <v>262</v>
      </c>
      <c r="F89" s="6" t="s">
        <v>17</v>
      </c>
      <c r="G89" s="6" t="s">
        <v>34</v>
      </c>
      <c r="H89" s="6">
        <v>518</v>
      </c>
      <c r="I89" s="6">
        <v>397</v>
      </c>
      <c r="J89" s="6">
        <v>1</v>
      </c>
      <c r="K89" s="10">
        <v>0.21</v>
      </c>
      <c r="L89" s="6" t="s">
        <v>75</v>
      </c>
      <c r="M89" s="6"/>
      <c r="N89" s="6" t="s">
        <v>54</v>
      </c>
      <c r="O89" s="6" t="s">
        <v>54</v>
      </c>
      <c r="P89" s="6"/>
    </row>
    <row r="90" spans="1:16" ht="30" customHeight="1" x14ac:dyDescent="0.3">
      <c r="A90" s="7">
        <v>45933</v>
      </c>
      <c r="B90" s="6" t="s">
        <v>4</v>
      </c>
      <c r="C90" s="6" t="s">
        <v>125</v>
      </c>
      <c r="D90" s="6"/>
      <c r="E90" s="6" t="s">
        <v>1232</v>
      </c>
      <c r="F90" s="6" t="s">
        <v>17</v>
      </c>
      <c r="G90" s="6" t="s">
        <v>34</v>
      </c>
      <c r="H90" s="6">
        <v>1150</v>
      </c>
      <c r="I90" s="6">
        <v>406</v>
      </c>
      <c r="J90" s="6">
        <v>1</v>
      </c>
      <c r="K90" s="10">
        <v>0.47</v>
      </c>
      <c r="L90" s="6" t="s">
        <v>102</v>
      </c>
      <c r="M90" s="6"/>
      <c r="N90" s="6" t="s">
        <v>54</v>
      </c>
      <c r="O90" s="6" t="s">
        <v>54</v>
      </c>
      <c r="P90" s="6"/>
    </row>
    <row r="91" spans="1:16" ht="30" customHeight="1" x14ac:dyDescent="0.3">
      <c r="A91" s="7">
        <v>45933</v>
      </c>
      <c r="B91" s="6" t="s">
        <v>4</v>
      </c>
      <c r="C91" s="6" t="s">
        <v>125</v>
      </c>
      <c r="D91" s="6"/>
      <c r="E91" s="6" t="s">
        <v>1233</v>
      </c>
      <c r="F91" s="6" t="s">
        <v>17</v>
      </c>
      <c r="G91" s="6" t="s">
        <v>34</v>
      </c>
      <c r="H91" s="6">
        <v>555</v>
      </c>
      <c r="I91" s="6">
        <v>447</v>
      </c>
      <c r="J91" s="6">
        <v>1</v>
      </c>
      <c r="K91" s="10">
        <v>0.25</v>
      </c>
      <c r="L91" s="6" t="s">
        <v>75</v>
      </c>
      <c r="M91" s="6"/>
      <c r="N91" s="6" t="s">
        <v>54</v>
      </c>
      <c r="O91" s="6" t="s">
        <v>54</v>
      </c>
      <c r="P91" s="6"/>
    </row>
    <row r="92" spans="1:16" ht="30" customHeight="1" x14ac:dyDescent="0.3">
      <c r="A92" s="7">
        <v>45933</v>
      </c>
      <c r="B92" s="6" t="s">
        <v>4</v>
      </c>
      <c r="C92" s="6" t="s">
        <v>125</v>
      </c>
      <c r="D92" s="6"/>
      <c r="E92" s="6" t="s">
        <v>1234</v>
      </c>
      <c r="F92" s="6" t="s">
        <v>17</v>
      </c>
      <c r="G92" s="6" t="s">
        <v>34</v>
      </c>
      <c r="H92" s="6">
        <v>446</v>
      </c>
      <c r="I92" s="6">
        <v>211</v>
      </c>
      <c r="J92" s="6">
        <v>1</v>
      </c>
      <c r="K92" s="10">
        <v>0.09</v>
      </c>
      <c r="L92" s="6" t="s">
        <v>75</v>
      </c>
      <c r="M92" s="6"/>
      <c r="N92" s="6" t="s">
        <v>54</v>
      </c>
      <c r="O92" s="6" t="s">
        <v>54</v>
      </c>
      <c r="P92" s="6"/>
    </row>
    <row r="93" spans="1:16" ht="30" customHeight="1" x14ac:dyDescent="0.3">
      <c r="A93" s="7">
        <v>45933</v>
      </c>
      <c r="B93" s="6" t="s">
        <v>4</v>
      </c>
      <c r="C93" s="6" t="s">
        <v>125</v>
      </c>
      <c r="D93" s="6"/>
      <c r="E93" s="6" t="s">
        <v>817</v>
      </c>
      <c r="F93" s="6" t="s">
        <v>17</v>
      </c>
      <c r="G93" s="6" t="s">
        <v>34</v>
      </c>
      <c r="H93" s="6">
        <v>353</v>
      </c>
      <c r="I93" s="6">
        <v>448</v>
      </c>
      <c r="J93" s="6">
        <v>1</v>
      </c>
      <c r="K93" s="10">
        <v>0.16</v>
      </c>
      <c r="L93" s="6" t="s">
        <v>75</v>
      </c>
      <c r="M93" s="6"/>
      <c r="N93" s="6" t="s">
        <v>54</v>
      </c>
      <c r="O93" s="6" t="s">
        <v>54</v>
      </c>
      <c r="P93" s="6"/>
    </row>
    <row r="94" spans="1:16" ht="30" customHeight="1" x14ac:dyDescent="0.3">
      <c r="A94" s="7">
        <v>45933</v>
      </c>
      <c r="B94" s="6" t="s">
        <v>4</v>
      </c>
      <c r="C94" s="6" t="s">
        <v>125</v>
      </c>
      <c r="D94" s="6"/>
      <c r="E94" s="6" t="s">
        <v>1235</v>
      </c>
      <c r="F94" s="6" t="s">
        <v>18</v>
      </c>
      <c r="G94" s="6" t="s">
        <v>34</v>
      </c>
      <c r="H94" s="6">
        <v>2028</v>
      </c>
      <c r="I94" s="6">
        <v>380</v>
      </c>
      <c r="J94" s="6">
        <v>1</v>
      </c>
      <c r="K94" s="10">
        <v>0.77</v>
      </c>
      <c r="L94" s="6" t="s">
        <v>75</v>
      </c>
      <c r="M94" s="6"/>
      <c r="N94" s="6" t="s">
        <v>54</v>
      </c>
      <c r="O94" s="6" t="s">
        <v>54</v>
      </c>
      <c r="P94" s="6"/>
    </row>
    <row r="95" spans="1:16" ht="30" customHeight="1" x14ac:dyDescent="0.3">
      <c r="A95" s="7">
        <v>45933</v>
      </c>
      <c r="B95" s="6" t="s">
        <v>4</v>
      </c>
      <c r="C95" s="6" t="s">
        <v>125</v>
      </c>
      <c r="D95" s="6"/>
      <c r="E95" s="6" t="s">
        <v>1236</v>
      </c>
      <c r="F95" s="6" t="s">
        <v>24</v>
      </c>
      <c r="G95" s="6" t="s">
        <v>34</v>
      </c>
      <c r="H95" s="6">
        <v>900</v>
      </c>
      <c r="I95" s="6">
        <v>600</v>
      </c>
      <c r="J95" s="6">
        <v>1</v>
      </c>
      <c r="K95" s="10">
        <v>0.54</v>
      </c>
      <c r="L95" s="6" t="s">
        <v>75</v>
      </c>
      <c r="M95" s="6"/>
      <c r="N95" s="6" t="s">
        <v>54</v>
      </c>
      <c r="O95" s="6" t="s">
        <v>54</v>
      </c>
      <c r="P95" s="6"/>
    </row>
    <row r="96" spans="1:16" ht="30" customHeight="1" x14ac:dyDescent="0.3">
      <c r="A96" s="7">
        <v>45932.761758796296</v>
      </c>
      <c r="B96" s="6" t="s">
        <v>5</v>
      </c>
      <c r="C96" s="6" t="str">
        <f>VLOOKUP(B96,'Veri doğrulama'!D6:E13,2,0)</f>
        <v>MEHMET ÖZEN</v>
      </c>
      <c r="D96" s="6"/>
      <c r="E96" s="6" t="s">
        <v>1215</v>
      </c>
      <c r="F96" s="6" t="s">
        <v>17</v>
      </c>
      <c r="G96" s="6" t="s">
        <v>34</v>
      </c>
      <c r="H96" s="6">
        <v>1115</v>
      </c>
      <c r="I96" s="6">
        <v>397</v>
      </c>
      <c r="J96" s="6">
        <v>1</v>
      </c>
      <c r="K96" s="10">
        <f t="shared" ref="K96:K127" si="3">H96*I96/1000000*J96</f>
        <v>0.44265500000000002</v>
      </c>
      <c r="L96" s="6" t="s">
        <v>75</v>
      </c>
      <c r="M96" s="6"/>
      <c r="N96" s="6" t="s">
        <v>54</v>
      </c>
      <c r="O96" s="6" t="s">
        <v>54</v>
      </c>
      <c r="P96" s="6"/>
    </row>
    <row r="97" spans="1:16" ht="30" customHeight="1" x14ac:dyDescent="0.3">
      <c r="A97" s="7">
        <v>45932.760220601849</v>
      </c>
      <c r="B97" s="6" t="s">
        <v>5</v>
      </c>
      <c r="C97" s="6" t="str">
        <f>VLOOKUP(B97,'Veri doğrulama'!D6:E13,2,0)</f>
        <v>MEHMET ÖZEN</v>
      </c>
      <c r="D97" s="6" t="s">
        <v>1213</v>
      </c>
      <c r="E97" s="6" t="s">
        <v>1214</v>
      </c>
      <c r="F97" s="6" t="s">
        <v>17</v>
      </c>
      <c r="G97" s="6" t="s">
        <v>34</v>
      </c>
      <c r="H97" s="6">
        <v>1150</v>
      </c>
      <c r="I97" s="6">
        <v>557</v>
      </c>
      <c r="J97" s="6">
        <v>2</v>
      </c>
      <c r="K97" s="10">
        <f t="shared" si="3"/>
        <v>1.2810999999999999</v>
      </c>
      <c r="L97" s="6" t="s">
        <v>75</v>
      </c>
      <c r="M97" s="6"/>
      <c r="N97" s="6" t="s">
        <v>54</v>
      </c>
      <c r="O97" s="6" t="s">
        <v>54</v>
      </c>
      <c r="P97" s="6"/>
    </row>
    <row r="98" spans="1:16" ht="30" customHeight="1" x14ac:dyDescent="0.3">
      <c r="A98" s="7">
        <v>45932.499969328703</v>
      </c>
      <c r="B98" s="6" t="s">
        <v>7</v>
      </c>
      <c r="C98" s="6" t="str">
        <f>VLOOKUP(B98,'Veri doğrulama'!D6:E13,2,0)</f>
        <v>SIDDIK KAPLAN</v>
      </c>
      <c r="D98" s="6"/>
      <c r="E98" s="6" t="s">
        <v>1212</v>
      </c>
      <c r="F98" s="6" t="s">
        <v>18</v>
      </c>
      <c r="G98" s="6" t="s">
        <v>34</v>
      </c>
      <c r="H98" s="6">
        <v>1162</v>
      </c>
      <c r="I98" s="6">
        <v>496</v>
      </c>
      <c r="J98" s="6">
        <v>1</v>
      </c>
      <c r="K98" s="10">
        <f t="shared" si="3"/>
        <v>0.57635199999999998</v>
      </c>
      <c r="L98" s="6" t="s">
        <v>37</v>
      </c>
      <c r="M98" s="6"/>
      <c r="N98" s="6" t="s">
        <v>54</v>
      </c>
      <c r="O98" s="6" t="s">
        <v>54</v>
      </c>
      <c r="P98" s="6"/>
    </row>
    <row r="99" spans="1:16" ht="30" customHeight="1" x14ac:dyDescent="0.3">
      <c r="A99" s="7">
        <v>45932.480339236114</v>
      </c>
      <c r="B99" s="6" t="s">
        <v>5</v>
      </c>
      <c r="C99" s="6" t="str">
        <f>VLOOKUP(B99,'Veri doğrulama'!D6:E13,2,0)</f>
        <v>MEHMET ÖZEN</v>
      </c>
      <c r="D99" s="6" t="s">
        <v>1210</v>
      </c>
      <c r="E99" s="6" t="s">
        <v>1211</v>
      </c>
      <c r="F99" s="6" t="s">
        <v>17</v>
      </c>
      <c r="G99" s="6" t="s">
        <v>34</v>
      </c>
      <c r="H99" s="6">
        <v>1620</v>
      </c>
      <c r="I99" s="6">
        <v>1420</v>
      </c>
      <c r="J99" s="6">
        <v>1</v>
      </c>
      <c r="K99" s="10">
        <f t="shared" si="3"/>
        <v>2.3003999999999998</v>
      </c>
      <c r="L99" s="6" t="s">
        <v>103</v>
      </c>
      <c r="M99" s="6"/>
      <c r="N99" s="6" t="s">
        <v>54</v>
      </c>
      <c r="O99" s="6" t="s">
        <v>54</v>
      </c>
      <c r="P99" s="6"/>
    </row>
    <row r="100" spans="1:16" ht="30" customHeight="1" x14ac:dyDescent="0.3">
      <c r="A100" s="7">
        <v>45932.45229108796</v>
      </c>
      <c r="B100" s="6" t="s">
        <v>5</v>
      </c>
      <c r="C100" s="6" t="str">
        <f>VLOOKUP(B100,'Veri doğrulama'!D6:E13,2,0)</f>
        <v>MEHMET ÖZEN</v>
      </c>
      <c r="D100" s="6"/>
      <c r="E100" s="6" t="s">
        <v>1209</v>
      </c>
      <c r="F100" s="6" t="s">
        <v>18</v>
      </c>
      <c r="G100" s="6" t="s">
        <v>34</v>
      </c>
      <c r="H100" s="6">
        <v>1400</v>
      </c>
      <c r="I100" s="6">
        <v>600</v>
      </c>
      <c r="J100" s="6">
        <v>1</v>
      </c>
      <c r="K100" s="10">
        <f t="shared" si="3"/>
        <v>0.84</v>
      </c>
      <c r="L100" s="6" t="s">
        <v>103</v>
      </c>
      <c r="M100" s="6"/>
      <c r="N100" s="6" t="s">
        <v>54</v>
      </c>
      <c r="O100" s="6" t="s">
        <v>54</v>
      </c>
      <c r="P100" s="6"/>
    </row>
    <row r="101" spans="1:16" ht="30" customHeight="1" x14ac:dyDescent="0.3">
      <c r="A101" s="7">
        <v>45932.359876620372</v>
      </c>
      <c r="B101" s="6" t="s">
        <v>5</v>
      </c>
      <c r="C101" s="6" t="str">
        <f>VLOOKUP(B101,'Veri doğrulama'!D6:E13,2,0)</f>
        <v>MEHMET ÖZEN</v>
      </c>
      <c r="D101" s="6" t="s">
        <v>1206</v>
      </c>
      <c r="E101" s="6" t="s">
        <v>1208</v>
      </c>
      <c r="F101" s="6" t="s">
        <v>16</v>
      </c>
      <c r="G101" s="6" t="s">
        <v>34</v>
      </c>
      <c r="H101" s="6">
        <v>1600</v>
      </c>
      <c r="I101" s="6">
        <v>800</v>
      </c>
      <c r="J101" s="6">
        <v>1</v>
      </c>
      <c r="K101" s="10">
        <f t="shared" si="3"/>
        <v>1.28</v>
      </c>
      <c r="L101" s="6" t="s">
        <v>42</v>
      </c>
      <c r="M101" s="6"/>
      <c r="N101" s="6" t="s">
        <v>54</v>
      </c>
      <c r="O101" s="6" t="s">
        <v>54</v>
      </c>
      <c r="P101" s="6"/>
    </row>
    <row r="102" spans="1:16" ht="30" customHeight="1" x14ac:dyDescent="0.3">
      <c r="A102" s="7">
        <v>45932.354743865741</v>
      </c>
      <c r="B102" s="6" t="s">
        <v>5</v>
      </c>
      <c r="C102" s="6" t="str">
        <f>VLOOKUP(B102,'Veri doğrulama'!D6:E13,2,0)</f>
        <v>MEHMET ÖZEN</v>
      </c>
      <c r="D102" s="6" t="s">
        <v>1206</v>
      </c>
      <c r="E102" s="6" t="s">
        <v>1207</v>
      </c>
      <c r="F102" s="6" t="s">
        <v>16</v>
      </c>
      <c r="G102" s="6" t="s">
        <v>34</v>
      </c>
      <c r="H102" s="6">
        <v>1600</v>
      </c>
      <c r="I102" s="6">
        <v>800</v>
      </c>
      <c r="J102" s="6">
        <v>2</v>
      </c>
      <c r="K102" s="10">
        <f t="shared" si="3"/>
        <v>2.56</v>
      </c>
      <c r="L102" s="6" t="s">
        <v>102</v>
      </c>
      <c r="M102" s="6" t="s">
        <v>1154</v>
      </c>
      <c r="N102" s="6" t="s">
        <v>54</v>
      </c>
      <c r="O102" s="6" t="s">
        <v>54</v>
      </c>
      <c r="P102" s="6"/>
    </row>
    <row r="103" spans="1:16" ht="30" customHeight="1" x14ac:dyDescent="0.3">
      <c r="A103" s="7">
        <v>45931.465818865741</v>
      </c>
      <c r="B103" s="6" t="s">
        <v>7</v>
      </c>
      <c r="C103" s="6" t="str">
        <f>VLOOKUP(B103,'Veri doğrulama'!D6:E13,2,0)</f>
        <v>SIDDIK KAPLAN</v>
      </c>
      <c r="D103" s="6"/>
      <c r="E103" s="6" t="s">
        <v>1205</v>
      </c>
      <c r="F103" s="6" t="s">
        <v>14</v>
      </c>
      <c r="G103" s="6" t="s">
        <v>35</v>
      </c>
      <c r="H103" s="6">
        <v>850</v>
      </c>
      <c r="I103" s="6">
        <v>300</v>
      </c>
      <c r="J103" s="6">
        <v>2</v>
      </c>
      <c r="K103" s="10">
        <f t="shared" si="3"/>
        <v>0.51</v>
      </c>
      <c r="L103" s="6" t="s">
        <v>43</v>
      </c>
      <c r="M103" s="6"/>
      <c r="N103" s="6" t="s">
        <v>54</v>
      </c>
      <c r="O103" s="6" t="s">
        <v>54</v>
      </c>
      <c r="P103" s="6"/>
    </row>
    <row r="104" spans="1:16" ht="30" customHeight="1" x14ac:dyDescent="0.3">
      <c r="A104" s="7">
        <v>45931.464022337961</v>
      </c>
      <c r="B104" s="6" t="s">
        <v>5</v>
      </c>
      <c r="C104" s="6" t="str">
        <f>VLOOKUP(B104,'Veri doğrulama'!D6:E13,2,0)</f>
        <v>MEHMET ÖZEN</v>
      </c>
      <c r="D104" s="6" t="s">
        <v>1202</v>
      </c>
      <c r="E104" s="6" t="s">
        <v>1204</v>
      </c>
      <c r="F104" s="6" t="s">
        <v>16</v>
      </c>
      <c r="G104" s="6" t="s">
        <v>34</v>
      </c>
      <c r="H104" s="6">
        <v>600</v>
      </c>
      <c r="I104" s="6">
        <v>450</v>
      </c>
      <c r="J104" s="6">
        <v>1</v>
      </c>
      <c r="K104" s="10">
        <f t="shared" si="3"/>
        <v>0.27</v>
      </c>
      <c r="L104" s="6" t="s">
        <v>103</v>
      </c>
      <c r="M104" s="6"/>
      <c r="N104" s="6" t="s">
        <v>54</v>
      </c>
      <c r="O104" s="6" t="s">
        <v>54</v>
      </c>
      <c r="P104" s="6"/>
    </row>
    <row r="105" spans="1:16" ht="30" customHeight="1" x14ac:dyDescent="0.3">
      <c r="A105" s="7">
        <v>45931.460807175928</v>
      </c>
      <c r="B105" s="6" t="s">
        <v>5</v>
      </c>
      <c r="C105" s="6" t="str">
        <f>VLOOKUP(B105,'Veri doğrulama'!D6:E13,2,0)</f>
        <v>MEHMET ÖZEN</v>
      </c>
      <c r="D105" s="6"/>
      <c r="E105" s="6" t="s">
        <v>205</v>
      </c>
      <c r="F105" s="6" t="s">
        <v>19</v>
      </c>
      <c r="G105" s="6" t="s">
        <v>34</v>
      </c>
      <c r="H105" s="6">
        <v>2200</v>
      </c>
      <c r="I105" s="6">
        <v>415</v>
      </c>
      <c r="J105" s="6">
        <v>1</v>
      </c>
      <c r="K105" s="10">
        <f t="shared" si="3"/>
        <v>0.91300000000000003</v>
      </c>
      <c r="L105" s="6" t="s">
        <v>42</v>
      </c>
      <c r="M105" s="6"/>
      <c r="N105" s="6" t="s">
        <v>54</v>
      </c>
      <c r="O105" s="6" t="s">
        <v>54</v>
      </c>
      <c r="P105" s="6"/>
    </row>
    <row r="106" spans="1:16" ht="30" customHeight="1" x14ac:dyDescent="0.3">
      <c r="A106" s="7">
        <v>45931.428169444443</v>
      </c>
      <c r="B106" s="6" t="s">
        <v>5</v>
      </c>
      <c r="C106" s="6" t="str">
        <f>VLOOKUP(B106,'Veri doğrulama'!D6:E13,2,0)</f>
        <v>MEHMET ÖZEN</v>
      </c>
      <c r="D106" s="6" t="s">
        <v>1202</v>
      </c>
      <c r="E106" s="6" t="s">
        <v>1203</v>
      </c>
      <c r="F106" s="6" t="s">
        <v>16</v>
      </c>
      <c r="G106" s="6" t="s">
        <v>34</v>
      </c>
      <c r="H106" s="6">
        <v>556</v>
      </c>
      <c r="I106" s="6">
        <v>450</v>
      </c>
      <c r="J106" s="6">
        <v>1</v>
      </c>
      <c r="K106" s="10">
        <f t="shared" si="3"/>
        <v>0.25019999999999998</v>
      </c>
      <c r="L106" s="6" t="s">
        <v>42</v>
      </c>
      <c r="M106" s="6"/>
      <c r="N106" s="6" t="s">
        <v>54</v>
      </c>
      <c r="O106" s="6" t="s">
        <v>54</v>
      </c>
      <c r="P106" s="6"/>
    </row>
    <row r="107" spans="1:16" ht="30" customHeight="1" x14ac:dyDescent="0.3">
      <c r="A107" s="7">
        <v>45931.354772685183</v>
      </c>
      <c r="B107" s="6" t="s">
        <v>5</v>
      </c>
      <c r="C107" s="6" t="str">
        <f>VLOOKUP(B107,'Veri doğrulama'!D6:E13,2,0)</f>
        <v>MEHMET ÖZEN</v>
      </c>
      <c r="D107" s="6"/>
      <c r="E107" s="6" t="s">
        <v>548</v>
      </c>
      <c r="F107" s="6" t="s">
        <v>19</v>
      </c>
      <c r="G107" s="6" t="s">
        <v>34</v>
      </c>
      <c r="H107" s="6">
        <v>1800</v>
      </c>
      <c r="I107" s="6">
        <v>600</v>
      </c>
      <c r="J107" s="6">
        <v>1</v>
      </c>
      <c r="K107" s="10">
        <f t="shared" si="3"/>
        <v>1.08</v>
      </c>
      <c r="L107" s="6" t="s">
        <v>103</v>
      </c>
      <c r="M107" s="6"/>
      <c r="N107" s="6" t="s">
        <v>54</v>
      </c>
      <c r="O107" s="6" t="s">
        <v>54</v>
      </c>
      <c r="P107" s="6"/>
    </row>
    <row r="108" spans="1:16" ht="30" customHeight="1" x14ac:dyDescent="0.3">
      <c r="A108" s="7">
        <v>45930.730542361111</v>
      </c>
      <c r="B108" s="6" t="s">
        <v>4</v>
      </c>
      <c r="C108" s="6" t="str">
        <f>VLOOKUP(B108,'Veri doğrulama'!D6:E13,2,0)</f>
        <v>MEHMET YAZICI</v>
      </c>
      <c r="D108" s="6">
        <v>24795</v>
      </c>
      <c r="E108" s="6" t="s">
        <v>1201</v>
      </c>
      <c r="F108" s="6" t="s">
        <v>26</v>
      </c>
      <c r="G108" s="6" t="s">
        <v>35</v>
      </c>
      <c r="H108" s="6">
        <v>2370</v>
      </c>
      <c r="I108" s="6">
        <v>128</v>
      </c>
      <c r="J108" s="6">
        <v>1</v>
      </c>
      <c r="K108" s="10">
        <f t="shared" si="3"/>
        <v>0.30336000000000002</v>
      </c>
      <c r="L108" s="6" t="s">
        <v>156</v>
      </c>
      <c r="M108" s="6"/>
      <c r="N108" s="6" t="s">
        <v>54</v>
      </c>
      <c r="O108" s="6" t="s">
        <v>54</v>
      </c>
      <c r="P108" s="6"/>
    </row>
    <row r="109" spans="1:16" ht="30" customHeight="1" x14ac:dyDescent="0.3">
      <c r="A109" s="7">
        <v>45930.647556365744</v>
      </c>
      <c r="B109" s="6" t="s">
        <v>5</v>
      </c>
      <c r="C109" s="6" t="str">
        <f>VLOOKUP(B109,'Veri doğrulama'!D6:E13,2,0)</f>
        <v>MEHMET ÖZEN</v>
      </c>
      <c r="D109" s="6" t="s">
        <v>1199</v>
      </c>
      <c r="E109" s="6" t="s">
        <v>1200</v>
      </c>
      <c r="F109" s="6" t="s">
        <v>16</v>
      </c>
      <c r="G109" s="6" t="s">
        <v>34</v>
      </c>
      <c r="H109" s="6">
        <v>1620</v>
      </c>
      <c r="I109" s="6">
        <v>1370</v>
      </c>
      <c r="J109" s="6">
        <v>1</v>
      </c>
      <c r="K109" s="10">
        <f t="shared" si="3"/>
        <v>2.2193999999999998</v>
      </c>
      <c r="L109" s="6" t="s">
        <v>103</v>
      </c>
      <c r="M109" s="6"/>
      <c r="N109" s="6" t="s">
        <v>54</v>
      </c>
      <c r="O109" s="6" t="s">
        <v>54</v>
      </c>
      <c r="P109" s="6"/>
    </row>
    <row r="110" spans="1:16" ht="30" customHeight="1" x14ac:dyDescent="0.3">
      <c r="A110" s="7">
        <v>45930.586346643518</v>
      </c>
      <c r="B110" s="6" t="s">
        <v>5</v>
      </c>
      <c r="C110" s="6" t="str">
        <f>VLOOKUP(B110,'Veri doğrulama'!D6:E13,2,0)</f>
        <v>MEHMET ÖZEN</v>
      </c>
      <c r="D110" s="6"/>
      <c r="E110" s="6" t="s">
        <v>161</v>
      </c>
      <c r="F110" s="6" t="s">
        <v>18</v>
      </c>
      <c r="G110" s="6" t="s">
        <v>34</v>
      </c>
      <c r="H110" s="6">
        <v>1200</v>
      </c>
      <c r="I110" s="6">
        <v>700</v>
      </c>
      <c r="J110" s="6">
        <v>1</v>
      </c>
      <c r="K110" s="10">
        <f t="shared" si="3"/>
        <v>0.84</v>
      </c>
      <c r="L110" s="6" t="s">
        <v>103</v>
      </c>
      <c r="M110" s="6" t="s">
        <v>1154</v>
      </c>
      <c r="N110" s="6" t="s">
        <v>54</v>
      </c>
      <c r="O110" s="6" t="s">
        <v>54</v>
      </c>
      <c r="P110" s="6"/>
    </row>
    <row r="111" spans="1:16" ht="30" customHeight="1" x14ac:dyDescent="0.3">
      <c r="A111" s="7">
        <v>45930.44168009259</v>
      </c>
      <c r="B111" s="6" t="s">
        <v>4</v>
      </c>
      <c r="C111" s="6" t="str">
        <f>VLOOKUP(B111,'Veri doğrulama'!D6:E13,2,0)</f>
        <v>MEHMET YAZICI</v>
      </c>
      <c r="D111" s="6"/>
      <c r="E111" s="6" t="s">
        <v>1198</v>
      </c>
      <c r="F111" s="6" t="s">
        <v>16</v>
      </c>
      <c r="G111" s="6" t="s">
        <v>34</v>
      </c>
      <c r="H111" s="6">
        <v>450</v>
      </c>
      <c r="I111" s="6">
        <v>556</v>
      </c>
      <c r="J111" s="6">
        <v>1</v>
      </c>
      <c r="K111" s="10">
        <f t="shared" si="3"/>
        <v>0.25019999999999998</v>
      </c>
      <c r="L111" s="6" t="s">
        <v>156</v>
      </c>
      <c r="M111" s="6"/>
      <c r="N111" s="6" t="s">
        <v>54</v>
      </c>
      <c r="O111" s="6" t="s">
        <v>54</v>
      </c>
      <c r="P111" s="6"/>
    </row>
    <row r="112" spans="1:16" ht="30" customHeight="1" x14ac:dyDescent="0.3">
      <c r="A112" s="7">
        <v>45930.441130208332</v>
      </c>
      <c r="B112" s="6" t="s">
        <v>4</v>
      </c>
      <c r="C112" s="6" t="str">
        <f>VLOOKUP(B112,'Veri doğrulama'!D6:E13,2,0)</f>
        <v>MEHMET YAZICI</v>
      </c>
      <c r="D112" s="6"/>
      <c r="E112" s="6" t="s">
        <v>1197</v>
      </c>
      <c r="F112" s="6" t="s">
        <v>16</v>
      </c>
      <c r="G112" s="6" t="s">
        <v>34</v>
      </c>
      <c r="H112" s="6">
        <v>1140</v>
      </c>
      <c r="I112" s="6">
        <v>450</v>
      </c>
      <c r="J112" s="6">
        <v>1</v>
      </c>
      <c r="K112" s="10">
        <f t="shared" si="3"/>
        <v>0.51300000000000001</v>
      </c>
      <c r="L112" s="6" t="s">
        <v>75</v>
      </c>
      <c r="M112" s="6"/>
      <c r="N112" s="6" t="s">
        <v>54</v>
      </c>
      <c r="O112" s="6" t="s">
        <v>54</v>
      </c>
      <c r="P112" s="6"/>
    </row>
    <row r="113" spans="1:16" ht="30" customHeight="1" x14ac:dyDescent="0.3">
      <c r="A113" s="7">
        <v>45930.394468634258</v>
      </c>
      <c r="B113" s="6" t="s">
        <v>5</v>
      </c>
      <c r="C113" s="6" t="str">
        <f>VLOOKUP(B113,'Veri doğrulama'!D6:E13,2,0)</f>
        <v>MEHMET ÖZEN</v>
      </c>
      <c r="D113" s="6"/>
      <c r="E113" s="6" t="s">
        <v>1196</v>
      </c>
      <c r="F113" s="6" t="s">
        <v>14</v>
      </c>
      <c r="G113" s="6" t="s">
        <v>35</v>
      </c>
      <c r="H113" s="6">
        <v>714</v>
      </c>
      <c r="I113" s="6">
        <v>549</v>
      </c>
      <c r="J113" s="6">
        <v>8</v>
      </c>
      <c r="K113" s="10">
        <f t="shared" si="3"/>
        <v>3.135888</v>
      </c>
      <c r="L113" s="6" t="s">
        <v>43</v>
      </c>
      <c r="M113" s="6" t="s">
        <v>524</v>
      </c>
      <c r="N113" s="6" t="s">
        <v>54</v>
      </c>
      <c r="O113" s="6" t="s">
        <v>54</v>
      </c>
      <c r="P113" s="6"/>
    </row>
    <row r="114" spans="1:16" ht="30" customHeight="1" x14ac:dyDescent="0.3">
      <c r="A114" s="7">
        <v>45930.39342615741</v>
      </c>
      <c r="B114" s="6" t="s">
        <v>5</v>
      </c>
      <c r="C114" s="6" t="str">
        <f>VLOOKUP(B114,'Veri doğrulama'!D6:E13,2,0)</f>
        <v>MEHMET ÖZEN</v>
      </c>
      <c r="D114" s="6"/>
      <c r="E114" s="6" t="s">
        <v>1195</v>
      </c>
      <c r="F114" s="6" t="s">
        <v>14</v>
      </c>
      <c r="G114" s="6" t="s">
        <v>35</v>
      </c>
      <c r="H114" s="6">
        <v>714</v>
      </c>
      <c r="I114" s="6">
        <v>849</v>
      </c>
      <c r="J114" s="6">
        <v>14</v>
      </c>
      <c r="K114" s="10">
        <f t="shared" si="3"/>
        <v>8.4866039999999998</v>
      </c>
      <c r="L114" s="6" t="s">
        <v>43</v>
      </c>
      <c r="M114" s="6" t="s">
        <v>524</v>
      </c>
      <c r="N114" s="6" t="s">
        <v>54</v>
      </c>
      <c r="O114" s="6" t="s">
        <v>54</v>
      </c>
      <c r="P114" s="6"/>
    </row>
    <row r="115" spans="1:16" ht="30" customHeight="1" x14ac:dyDescent="0.3">
      <c r="A115" s="7">
        <v>45930.372170138886</v>
      </c>
      <c r="B115" s="6" t="s">
        <v>5</v>
      </c>
      <c r="C115" s="6" t="str">
        <f>VLOOKUP(B115,'Veri doğrulama'!D6:E13,2,0)</f>
        <v>MEHMET ÖZEN</v>
      </c>
      <c r="D115" s="6"/>
      <c r="E115" s="6" t="s">
        <v>1194</v>
      </c>
      <c r="F115" s="6" t="s">
        <v>18</v>
      </c>
      <c r="G115" s="6" t="s">
        <v>34</v>
      </c>
      <c r="H115" s="6">
        <v>1400</v>
      </c>
      <c r="I115" s="6">
        <v>800</v>
      </c>
      <c r="J115" s="6">
        <v>1</v>
      </c>
      <c r="K115" s="10">
        <f t="shared" si="3"/>
        <v>1.1200000000000001</v>
      </c>
      <c r="L115" s="6" t="s">
        <v>42</v>
      </c>
      <c r="M115" s="6"/>
      <c r="N115" s="6" t="s">
        <v>54</v>
      </c>
      <c r="O115" s="6" t="s">
        <v>54</v>
      </c>
      <c r="P115" s="6"/>
    </row>
    <row r="116" spans="1:16" ht="30" customHeight="1" x14ac:dyDescent="0.3">
      <c r="A116" s="7">
        <v>45929.61912476852</v>
      </c>
      <c r="B116" s="6" t="s">
        <v>4</v>
      </c>
      <c r="C116" s="6" t="str">
        <f>VLOOKUP(B116,'Veri doğrulama'!D6:E13,2,0)</f>
        <v>MEHMET YAZICI</v>
      </c>
      <c r="D116" s="6"/>
      <c r="E116" s="6" t="s">
        <v>714</v>
      </c>
      <c r="F116" s="6" t="s">
        <v>18</v>
      </c>
      <c r="G116" s="6" t="s">
        <v>34</v>
      </c>
      <c r="H116" s="6">
        <v>539</v>
      </c>
      <c r="I116" s="6">
        <v>556</v>
      </c>
      <c r="J116" s="6">
        <v>1</v>
      </c>
      <c r="K116" s="10">
        <f t="shared" si="3"/>
        <v>0.29968400000000001</v>
      </c>
      <c r="L116" s="6" t="s">
        <v>156</v>
      </c>
      <c r="M116" s="6"/>
      <c r="N116" s="6" t="s">
        <v>54</v>
      </c>
      <c r="O116" s="6" t="s">
        <v>54</v>
      </c>
      <c r="P116" s="6"/>
    </row>
    <row r="117" spans="1:16" ht="30" customHeight="1" x14ac:dyDescent="0.3">
      <c r="A117" s="7">
        <v>45929.606700115743</v>
      </c>
      <c r="B117" s="6" t="s">
        <v>5</v>
      </c>
      <c r="C117" s="6" t="str">
        <f>VLOOKUP(B117,'Veri doğrulama'!D6:E13,2,0)</f>
        <v>MEHMET ÖZEN</v>
      </c>
      <c r="D117" s="6"/>
      <c r="E117" s="6" t="s">
        <v>1193</v>
      </c>
      <c r="F117" s="6" t="s">
        <v>19</v>
      </c>
      <c r="G117" s="6" t="s">
        <v>34</v>
      </c>
      <c r="H117" s="6">
        <v>2220</v>
      </c>
      <c r="I117" s="6">
        <v>970</v>
      </c>
      <c r="J117" s="6">
        <v>1</v>
      </c>
      <c r="K117" s="10">
        <f t="shared" si="3"/>
        <v>2.1534</v>
      </c>
      <c r="L117" s="6" t="s">
        <v>103</v>
      </c>
      <c r="M117" s="6"/>
      <c r="N117" s="6" t="s">
        <v>54</v>
      </c>
      <c r="O117" s="6" t="s">
        <v>54</v>
      </c>
      <c r="P117" s="6"/>
    </row>
    <row r="118" spans="1:16" ht="30" customHeight="1" x14ac:dyDescent="0.3">
      <c r="A118" s="7">
        <v>45929.483294560188</v>
      </c>
      <c r="B118" s="6" t="s">
        <v>5</v>
      </c>
      <c r="C118" s="6" t="str">
        <f>VLOOKUP(B118,'Veri doğrulama'!D6:E13,2,0)</f>
        <v>MEHMET ÖZEN</v>
      </c>
      <c r="D118" s="6"/>
      <c r="E118" s="6" t="s">
        <v>1192</v>
      </c>
      <c r="F118" s="6" t="s">
        <v>18</v>
      </c>
      <c r="G118" s="6" t="s">
        <v>34</v>
      </c>
      <c r="H118" s="6">
        <v>726</v>
      </c>
      <c r="I118" s="6">
        <v>392</v>
      </c>
      <c r="J118" s="6">
        <v>1</v>
      </c>
      <c r="K118" s="10">
        <f t="shared" si="3"/>
        <v>0.28459200000000001</v>
      </c>
      <c r="L118" s="6" t="s">
        <v>42</v>
      </c>
      <c r="M118" s="6"/>
      <c r="N118" s="6" t="s">
        <v>54</v>
      </c>
      <c r="O118" s="6" t="s">
        <v>54</v>
      </c>
      <c r="P118" s="6"/>
    </row>
    <row r="119" spans="1:16" ht="30" customHeight="1" x14ac:dyDescent="0.3">
      <c r="A119" s="7">
        <v>45926.750548263888</v>
      </c>
      <c r="B119" s="6" t="s">
        <v>4</v>
      </c>
      <c r="C119" s="6" t="str">
        <f>VLOOKUP(B119,'Veri doğrulama'!D6:E13,2,0)</f>
        <v>MEHMET YAZICI</v>
      </c>
      <c r="D119" s="6"/>
      <c r="E119" s="6" t="s">
        <v>570</v>
      </c>
      <c r="F119" s="6" t="s">
        <v>14</v>
      </c>
      <c r="G119" s="6" t="s">
        <v>35</v>
      </c>
      <c r="H119" s="6">
        <v>550</v>
      </c>
      <c r="I119" s="6">
        <v>710</v>
      </c>
      <c r="J119" s="6">
        <v>1</v>
      </c>
      <c r="K119" s="10">
        <f t="shared" si="3"/>
        <v>0.39050000000000001</v>
      </c>
      <c r="L119" s="6" t="s">
        <v>103</v>
      </c>
      <c r="M119" s="6"/>
      <c r="N119" s="6" t="s">
        <v>54</v>
      </c>
      <c r="O119" s="6" t="s">
        <v>54</v>
      </c>
      <c r="P119" s="6"/>
    </row>
    <row r="120" spans="1:16" ht="30" customHeight="1" x14ac:dyDescent="0.3">
      <c r="A120" s="7">
        <v>45926.750004513888</v>
      </c>
      <c r="B120" s="6" t="s">
        <v>4</v>
      </c>
      <c r="C120" s="6" t="str">
        <f>VLOOKUP(B120,'Veri doğrulama'!D6:E13,2,0)</f>
        <v>MEHMET YAZICI</v>
      </c>
      <c r="D120" s="6"/>
      <c r="E120" s="6" t="s">
        <v>568</v>
      </c>
      <c r="F120" s="6" t="s">
        <v>15</v>
      </c>
      <c r="G120" s="6" t="s">
        <v>35</v>
      </c>
      <c r="H120" s="6">
        <v>717</v>
      </c>
      <c r="I120" s="6">
        <v>598</v>
      </c>
      <c r="J120" s="6">
        <v>1</v>
      </c>
      <c r="K120" s="10">
        <f t="shared" si="3"/>
        <v>0.42876599999999998</v>
      </c>
      <c r="L120" s="6" t="s">
        <v>75</v>
      </c>
      <c r="M120" s="6"/>
      <c r="N120" s="6" t="s">
        <v>54</v>
      </c>
      <c r="O120" s="6" t="s">
        <v>54</v>
      </c>
      <c r="P120" s="6"/>
    </row>
    <row r="121" spans="1:16" ht="30" customHeight="1" x14ac:dyDescent="0.3">
      <c r="A121" s="7">
        <v>45926.749211689814</v>
      </c>
      <c r="B121" s="6" t="s">
        <v>4</v>
      </c>
      <c r="C121" s="6" t="str">
        <f>VLOOKUP(B121,'Veri doğrulama'!D6:E13,2,0)</f>
        <v>MEHMET YAZICI</v>
      </c>
      <c r="D121" s="6"/>
      <c r="E121" s="6" t="s">
        <v>378</v>
      </c>
      <c r="F121" s="6" t="s">
        <v>17</v>
      </c>
      <c r="G121" s="6" t="s">
        <v>34</v>
      </c>
      <c r="H121" s="6">
        <v>549</v>
      </c>
      <c r="I121" s="6">
        <v>544</v>
      </c>
      <c r="J121" s="6">
        <v>2</v>
      </c>
      <c r="K121" s="10">
        <f t="shared" si="3"/>
        <v>0.59731199999999995</v>
      </c>
      <c r="L121" s="6" t="s">
        <v>42</v>
      </c>
      <c r="M121" s="6"/>
      <c r="N121" s="6" t="s">
        <v>54</v>
      </c>
      <c r="O121" s="6" t="s">
        <v>54</v>
      </c>
      <c r="P121" s="6"/>
    </row>
    <row r="122" spans="1:16" ht="30" customHeight="1" x14ac:dyDescent="0.3">
      <c r="A122" s="7">
        <v>45926.670969444443</v>
      </c>
      <c r="B122" s="6" t="s">
        <v>5</v>
      </c>
      <c r="C122" s="6" t="str">
        <f>VLOOKUP(B122,'Veri doğrulama'!D6:E13,2,0)</f>
        <v>MEHMET ÖZEN</v>
      </c>
      <c r="D122" s="6"/>
      <c r="E122" s="6" t="s">
        <v>1191</v>
      </c>
      <c r="F122" s="6" t="s">
        <v>14</v>
      </c>
      <c r="G122" s="6" t="s">
        <v>35</v>
      </c>
      <c r="H122" s="6">
        <v>1595</v>
      </c>
      <c r="I122" s="6">
        <v>180</v>
      </c>
      <c r="J122" s="6">
        <v>1</v>
      </c>
      <c r="K122" s="10">
        <f t="shared" si="3"/>
        <v>0.28710000000000002</v>
      </c>
      <c r="L122" s="6" t="s">
        <v>42</v>
      </c>
      <c r="M122" s="6"/>
      <c r="N122" s="6" t="s">
        <v>54</v>
      </c>
      <c r="O122" s="6" t="s">
        <v>54</v>
      </c>
      <c r="P122" s="6"/>
    </row>
    <row r="123" spans="1:16" ht="30" customHeight="1" x14ac:dyDescent="0.3">
      <c r="A123" s="7">
        <v>45926.670130787039</v>
      </c>
      <c r="B123" s="6" t="s">
        <v>5</v>
      </c>
      <c r="C123" s="6" t="str">
        <f>VLOOKUP(B123,'Veri doğrulama'!D6:E13,2,0)</f>
        <v>MEHMET ÖZEN</v>
      </c>
      <c r="D123" s="6"/>
      <c r="E123" s="6" t="s">
        <v>1190</v>
      </c>
      <c r="F123" s="6" t="s">
        <v>15</v>
      </c>
      <c r="G123" s="6" t="s">
        <v>35</v>
      </c>
      <c r="H123" s="6">
        <v>1595</v>
      </c>
      <c r="I123" s="6">
        <v>180</v>
      </c>
      <c r="J123" s="6">
        <v>1</v>
      </c>
      <c r="K123" s="10">
        <f t="shared" si="3"/>
        <v>0.28710000000000002</v>
      </c>
      <c r="L123" s="6" t="s">
        <v>42</v>
      </c>
      <c r="M123" s="6"/>
      <c r="N123" s="6" t="s">
        <v>54</v>
      </c>
      <c r="O123" s="6" t="s">
        <v>54</v>
      </c>
      <c r="P123" s="6"/>
    </row>
    <row r="124" spans="1:16" ht="30" customHeight="1" x14ac:dyDescent="0.3">
      <c r="A124" s="7">
        <v>45925.759050462962</v>
      </c>
      <c r="B124" s="6" t="s">
        <v>5</v>
      </c>
      <c r="C124" s="6" t="str">
        <f>VLOOKUP(B124,'Veri doğrulama'!D6:E13,2,0)</f>
        <v>MEHMET ÖZEN</v>
      </c>
      <c r="D124" s="6" t="s">
        <v>1188</v>
      </c>
      <c r="E124" s="6" t="s">
        <v>1189</v>
      </c>
      <c r="F124" s="6" t="s">
        <v>18</v>
      </c>
      <c r="G124" s="6" t="s">
        <v>34</v>
      </c>
      <c r="H124" s="6">
        <v>1142</v>
      </c>
      <c r="I124" s="6">
        <v>450</v>
      </c>
      <c r="J124" s="6">
        <v>1</v>
      </c>
      <c r="K124" s="10">
        <f t="shared" si="3"/>
        <v>0.51390000000000002</v>
      </c>
      <c r="L124" s="6" t="s">
        <v>75</v>
      </c>
      <c r="M124" s="6"/>
      <c r="N124" s="6" t="s">
        <v>54</v>
      </c>
      <c r="O124" s="6" t="s">
        <v>54</v>
      </c>
      <c r="P124" s="6"/>
    </row>
    <row r="125" spans="1:16" ht="30" customHeight="1" x14ac:dyDescent="0.3">
      <c r="A125" s="7">
        <v>45925.657392361114</v>
      </c>
      <c r="B125" s="6" t="s">
        <v>5</v>
      </c>
      <c r="C125" s="6" t="str">
        <f>VLOOKUP(B125,'Veri doğrulama'!D6:E13,2,0)</f>
        <v>MEHMET ÖZEN</v>
      </c>
      <c r="D125" s="6" t="s">
        <v>1187</v>
      </c>
      <c r="E125" s="6" t="s">
        <v>1086</v>
      </c>
      <c r="F125" s="6" t="s">
        <v>19</v>
      </c>
      <c r="G125" s="6" t="s">
        <v>34</v>
      </c>
      <c r="H125" s="6">
        <v>2600</v>
      </c>
      <c r="I125" s="6">
        <v>300</v>
      </c>
      <c r="J125" s="6">
        <v>1</v>
      </c>
      <c r="K125" s="10">
        <f t="shared" si="3"/>
        <v>0.78</v>
      </c>
      <c r="L125" s="6" t="s">
        <v>103</v>
      </c>
      <c r="M125" s="6"/>
      <c r="N125" s="6" t="s">
        <v>54</v>
      </c>
      <c r="O125" s="6" t="s">
        <v>54</v>
      </c>
      <c r="P125" s="6"/>
    </row>
    <row r="126" spans="1:16" ht="30" customHeight="1" x14ac:dyDescent="0.3">
      <c r="A126" s="7">
        <v>45925.647726157411</v>
      </c>
      <c r="B126" s="6" t="s">
        <v>5</v>
      </c>
      <c r="C126" s="6" t="str">
        <f>VLOOKUP(B126,'Veri doğrulama'!D6:E13,2,0)</f>
        <v>MEHMET ÖZEN</v>
      </c>
      <c r="D126" s="6" t="s">
        <v>1186</v>
      </c>
      <c r="E126" s="6" t="s">
        <v>1086</v>
      </c>
      <c r="F126" s="6" t="s">
        <v>18</v>
      </c>
      <c r="G126" s="6" t="s">
        <v>34</v>
      </c>
      <c r="H126" s="6">
        <v>2600</v>
      </c>
      <c r="I126" s="6">
        <v>300</v>
      </c>
      <c r="J126" s="6">
        <v>1</v>
      </c>
      <c r="K126" s="10">
        <f t="shared" si="3"/>
        <v>0.78</v>
      </c>
      <c r="L126" s="6" t="s">
        <v>75</v>
      </c>
      <c r="M126" s="6"/>
      <c r="N126" s="6" t="s">
        <v>54</v>
      </c>
      <c r="O126" s="6" t="s">
        <v>54</v>
      </c>
      <c r="P126" s="6"/>
    </row>
    <row r="127" spans="1:16" ht="30" customHeight="1" x14ac:dyDescent="0.3">
      <c r="A127" s="7">
        <v>45925.646815046297</v>
      </c>
      <c r="B127" s="6" t="s">
        <v>5</v>
      </c>
      <c r="C127" s="6" t="str">
        <f>VLOOKUP(B127,'Veri doğrulama'!D6:E13,2,0)</f>
        <v>MEHMET ÖZEN</v>
      </c>
      <c r="D127" s="6"/>
      <c r="E127" s="6" t="s">
        <v>1185</v>
      </c>
      <c r="F127" s="6" t="s">
        <v>18</v>
      </c>
      <c r="G127" s="6" t="s">
        <v>34</v>
      </c>
      <c r="H127" s="6">
        <v>800</v>
      </c>
      <c r="I127" s="6">
        <v>450</v>
      </c>
      <c r="J127" s="6">
        <v>1</v>
      </c>
      <c r="K127" s="10">
        <f t="shared" si="3"/>
        <v>0.36</v>
      </c>
      <c r="L127" s="6" t="s">
        <v>103</v>
      </c>
      <c r="M127" s="6"/>
      <c r="N127" s="6" t="s">
        <v>54</v>
      </c>
      <c r="O127" s="6" t="s">
        <v>54</v>
      </c>
      <c r="P127" s="6"/>
    </row>
    <row r="128" spans="1:16" ht="30" customHeight="1" x14ac:dyDescent="0.3">
      <c r="A128" s="7">
        <v>45925.637476851851</v>
      </c>
      <c r="B128" s="6" t="s">
        <v>4</v>
      </c>
      <c r="C128" s="6" t="str">
        <f>VLOOKUP(B128,'Veri doğrulama'!D6:E13,2,0)</f>
        <v>MEHMET YAZICI</v>
      </c>
      <c r="D128" s="6"/>
      <c r="E128" s="6" t="s">
        <v>1184</v>
      </c>
      <c r="F128" s="6" t="s">
        <v>16</v>
      </c>
      <c r="G128" s="6" t="s">
        <v>34</v>
      </c>
      <c r="H128" s="6">
        <v>1162</v>
      </c>
      <c r="I128" s="6">
        <v>375</v>
      </c>
      <c r="J128" s="6">
        <v>1</v>
      </c>
      <c r="K128" s="10">
        <f t="shared" ref="K128:K159" si="4">H128*I128/1000000*J128</f>
        <v>0.43575000000000003</v>
      </c>
      <c r="L128" s="6" t="s">
        <v>75</v>
      </c>
      <c r="M128" s="6"/>
      <c r="N128" s="6" t="s">
        <v>54</v>
      </c>
      <c r="O128" s="6" t="s">
        <v>54</v>
      </c>
      <c r="P128" s="6"/>
    </row>
    <row r="129" spans="1:16" ht="30" customHeight="1" x14ac:dyDescent="0.3">
      <c r="A129" s="7">
        <v>45925.636944444443</v>
      </c>
      <c r="B129" s="6" t="s">
        <v>4</v>
      </c>
      <c r="C129" s="6" t="str">
        <f>VLOOKUP(B129,'Veri doğrulama'!D6:E13,2,0)</f>
        <v>MEHMET YAZICI</v>
      </c>
      <c r="D129" s="6"/>
      <c r="E129" s="6" t="s">
        <v>1183</v>
      </c>
      <c r="F129" s="6" t="s">
        <v>16</v>
      </c>
      <c r="G129" s="6" t="s">
        <v>34</v>
      </c>
      <c r="H129" s="6">
        <v>1400</v>
      </c>
      <c r="I129" s="6">
        <v>1200</v>
      </c>
      <c r="J129" s="6">
        <v>2</v>
      </c>
      <c r="K129" s="10">
        <f t="shared" si="4"/>
        <v>3.36</v>
      </c>
      <c r="L129" s="6" t="s">
        <v>75</v>
      </c>
      <c r="M129" s="6"/>
      <c r="N129" s="6" t="s">
        <v>54</v>
      </c>
      <c r="O129" s="6" t="s">
        <v>54</v>
      </c>
      <c r="P129" s="6"/>
    </row>
    <row r="130" spans="1:16" ht="30" customHeight="1" x14ac:dyDescent="0.3">
      <c r="A130" s="7">
        <v>45925.620909606485</v>
      </c>
      <c r="B130" s="6" t="s">
        <v>7</v>
      </c>
      <c r="C130" s="6" t="str">
        <f>VLOOKUP(B130,'Veri doğrulama'!D6:E13,2,0)</f>
        <v>SIDDIK KAPLAN</v>
      </c>
      <c r="D130" s="6"/>
      <c r="E130" s="6" t="s">
        <v>1182</v>
      </c>
      <c r="F130" s="6" t="s">
        <v>146</v>
      </c>
      <c r="G130" s="6" t="s">
        <v>34</v>
      </c>
      <c r="H130" s="6">
        <v>1810</v>
      </c>
      <c r="I130" s="6">
        <v>1010</v>
      </c>
      <c r="J130" s="6">
        <v>1</v>
      </c>
      <c r="K130" s="10">
        <f t="shared" si="4"/>
        <v>1.8281000000000001</v>
      </c>
      <c r="L130" s="6" t="s">
        <v>43</v>
      </c>
      <c r="M130" s="6"/>
      <c r="N130" s="6" t="s">
        <v>54</v>
      </c>
      <c r="O130" s="6" t="s">
        <v>54</v>
      </c>
      <c r="P130" s="6"/>
    </row>
    <row r="131" spans="1:16" ht="30" customHeight="1" x14ac:dyDescent="0.3">
      <c r="A131" s="7">
        <v>45925.617406134261</v>
      </c>
      <c r="B131" s="6" t="s">
        <v>5</v>
      </c>
      <c r="C131" s="6" t="str">
        <f>VLOOKUP(B131,'Veri doğrulama'!D6:E13,2,0)</f>
        <v>MEHMET ÖZEN</v>
      </c>
      <c r="D131" s="6"/>
      <c r="E131" s="6" t="s">
        <v>1181</v>
      </c>
      <c r="F131" s="6" t="s">
        <v>15</v>
      </c>
      <c r="G131" s="6" t="s">
        <v>34</v>
      </c>
      <c r="H131" s="6">
        <v>1410</v>
      </c>
      <c r="I131" s="6">
        <v>1410</v>
      </c>
      <c r="J131" s="6">
        <v>1</v>
      </c>
      <c r="K131" s="10">
        <f t="shared" si="4"/>
        <v>1.9881</v>
      </c>
      <c r="L131" s="6" t="s">
        <v>42</v>
      </c>
      <c r="M131" s="6"/>
      <c r="N131" s="6" t="s">
        <v>54</v>
      </c>
      <c r="O131" s="6" t="s">
        <v>54</v>
      </c>
      <c r="P131" s="6"/>
    </row>
    <row r="132" spans="1:16" ht="30" customHeight="1" x14ac:dyDescent="0.3">
      <c r="A132" s="7">
        <v>45925.584739930557</v>
      </c>
      <c r="B132" s="6" t="s">
        <v>5</v>
      </c>
      <c r="C132" s="6" t="str">
        <f>VLOOKUP(B132,'Veri doğrulama'!D6:E13,2,0)</f>
        <v>MEHMET ÖZEN</v>
      </c>
      <c r="D132" s="6"/>
      <c r="E132" s="6" t="s">
        <v>1180</v>
      </c>
      <c r="F132" s="6" t="s">
        <v>13</v>
      </c>
      <c r="G132" s="6" t="s">
        <v>34</v>
      </c>
      <c r="H132" s="6">
        <v>820</v>
      </c>
      <c r="I132" s="6">
        <v>432</v>
      </c>
      <c r="J132" s="6">
        <v>1</v>
      </c>
      <c r="K132" s="10">
        <f t="shared" si="4"/>
        <v>0.35424</v>
      </c>
      <c r="L132" s="6" t="s">
        <v>42</v>
      </c>
      <c r="M132" s="6"/>
      <c r="N132" s="6" t="s">
        <v>54</v>
      </c>
      <c r="O132" s="6" t="s">
        <v>54</v>
      </c>
      <c r="P132" s="6"/>
    </row>
    <row r="133" spans="1:16" ht="30" customHeight="1" x14ac:dyDescent="0.3">
      <c r="A133" s="7">
        <v>45924.602486111115</v>
      </c>
      <c r="B133" s="6" t="s">
        <v>5</v>
      </c>
      <c r="C133" s="6" t="str">
        <f>VLOOKUP(B133,'Veri doğrulama'!D6:E13,2,0)</f>
        <v>MEHMET ÖZEN</v>
      </c>
      <c r="D133" s="6" t="s">
        <v>1167</v>
      </c>
      <c r="E133" s="6" t="s">
        <v>1179</v>
      </c>
      <c r="F133" s="6" t="s">
        <v>18</v>
      </c>
      <c r="G133" s="6" t="s">
        <v>34</v>
      </c>
      <c r="H133" s="6">
        <v>1400</v>
      </c>
      <c r="I133" s="6">
        <v>800</v>
      </c>
      <c r="J133" s="6">
        <v>1</v>
      </c>
      <c r="K133" s="10">
        <f t="shared" si="4"/>
        <v>1.1200000000000001</v>
      </c>
      <c r="L133" s="6" t="s">
        <v>75</v>
      </c>
      <c r="M133" s="6" t="s">
        <v>1154</v>
      </c>
      <c r="N133" s="6" t="s">
        <v>54</v>
      </c>
      <c r="O133" s="6" t="s">
        <v>54</v>
      </c>
      <c r="P133" s="6"/>
    </row>
    <row r="134" spans="1:16" ht="30" customHeight="1" x14ac:dyDescent="0.3">
      <c r="A134" s="7">
        <v>45924.509391203705</v>
      </c>
      <c r="B134" s="6" t="s">
        <v>4</v>
      </c>
      <c r="C134" s="6" t="str">
        <f>VLOOKUP(B134,'Veri doğrulama'!D6:E13,2,0)</f>
        <v>MEHMET YAZICI</v>
      </c>
      <c r="D134" s="6"/>
      <c r="E134" s="6" t="s">
        <v>1178</v>
      </c>
      <c r="F134" s="6" t="s">
        <v>29</v>
      </c>
      <c r="G134" s="6" t="s">
        <v>34</v>
      </c>
      <c r="H134" s="6">
        <v>1800</v>
      </c>
      <c r="I134" s="6">
        <v>350</v>
      </c>
      <c r="J134" s="6">
        <v>1</v>
      </c>
      <c r="K134" s="10">
        <f t="shared" si="4"/>
        <v>0.63</v>
      </c>
      <c r="L134" s="6" t="s">
        <v>75</v>
      </c>
      <c r="M134" s="6"/>
      <c r="N134" s="6" t="s">
        <v>54</v>
      </c>
      <c r="O134" s="6" t="s">
        <v>54</v>
      </c>
      <c r="P134" s="6"/>
    </row>
    <row r="135" spans="1:16" ht="30" customHeight="1" x14ac:dyDescent="0.3">
      <c r="A135" s="7">
        <v>45924.411195833331</v>
      </c>
      <c r="B135" s="6" t="s">
        <v>5</v>
      </c>
      <c r="C135" s="6" t="str">
        <f>VLOOKUP(B135,'Veri doğrulama'!D6:E13,2,0)</f>
        <v>MEHMET ÖZEN</v>
      </c>
      <c r="D135" s="6"/>
      <c r="E135" s="6" t="s">
        <v>1177</v>
      </c>
      <c r="F135" s="6" t="s">
        <v>27</v>
      </c>
      <c r="G135" s="6" t="s">
        <v>34</v>
      </c>
      <c r="H135" s="6">
        <v>802</v>
      </c>
      <c r="I135" s="6">
        <v>340</v>
      </c>
      <c r="J135" s="6">
        <v>1</v>
      </c>
      <c r="K135" s="10">
        <f t="shared" si="4"/>
        <v>0.27267999999999998</v>
      </c>
      <c r="L135" s="6" t="s">
        <v>75</v>
      </c>
      <c r="M135" s="6"/>
      <c r="N135" s="6" t="s">
        <v>54</v>
      </c>
      <c r="O135" s="6" t="s">
        <v>54</v>
      </c>
      <c r="P135" s="6"/>
    </row>
    <row r="136" spans="1:16" ht="30" customHeight="1" x14ac:dyDescent="0.3">
      <c r="A136" s="7">
        <v>45924.41002048611</v>
      </c>
      <c r="B136" s="6" t="s">
        <v>5</v>
      </c>
      <c r="C136" s="6" t="str">
        <f>VLOOKUP(B136,'Veri doğrulama'!D6:E13,2,0)</f>
        <v>MEHMET ÖZEN</v>
      </c>
      <c r="D136" s="6"/>
      <c r="E136" s="6" t="s">
        <v>1176</v>
      </c>
      <c r="F136" s="6" t="s">
        <v>27</v>
      </c>
      <c r="G136" s="6" t="s">
        <v>35</v>
      </c>
      <c r="H136" s="6">
        <v>1600</v>
      </c>
      <c r="I136" s="6">
        <v>390</v>
      </c>
      <c r="J136" s="6">
        <v>1</v>
      </c>
      <c r="K136" s="10">
        <f t="shared" si="4"/>
        <v>0.624</v>
      </c>
      <c r="L136" s="6" t="s">
        <v>103</v>
      </c>
      <c r="M136" s="6"/>
      <c r="N136" s="6" t="s">
        <v>54</v>
      </c>
      <c r="O136" s="6" t="s">
        <v>54</v>
      </c>
      <c r="P136" s="6"/>
    </row>
    <row r="137" spans="1:16" ht="30" customHeight="1" x14ac:dyDescent="0.3">
      <c r="A137" s="7">
        <v>45923.673657754633</v>
      </c>
      <c r="B137" s="6" t="s">
        <v>5</v>
      </c>
      <c r="C137" s="6" t="str">
        <f>VLOOKUP(B137,'Veri doğrulama'!D6:E13,2,0)</f>
        <v>MEHMET ÖZEN</v>
      </c>
      <c r="D137" s="6" t="s">
        <v>1174</v>
      </c>
      <c r="E137" s="6" t="s">
        <v>1175</v>
      </c>
      <c r="F137" s="6" t="s">
        <v>18</v>
      </c>
      <c r="G137" s="6" t="s">
        <v>34</v>
      </c>
      <c r="H137" s="6">
        <v>800</v>
      </c>
      <c r="I137" s="6">
        <v>550</v>
      </c>
      <c r="J137" s="6">
        <v>1</v>
      </c>
      <c r="K137" s="10">
        <f t="shared" si="4"/>
        <v>0.44</v>
      </c>
      <c r="L137" s="6" t="s">
        <v>156</v>
      </c>
      <c r="M137" s="6" t="s">
        <v>1171</v>
      </c>
      <c r="N137" s="6" t="s">
        <v>54</v>
      </c>
      <c r="O137" s="6" t="s">
        <v>54</v>
      </c>
      <c r="P137" s="6"/>
    </row>
    <row r="138" spans="1:16" ht="30" customHeight="1" x14ac:dyDescent="0.3">
      <c r="A138" s="7">
        <v>45923.645895601854</v>
      </c>
      <c r="B138" s="6" t="s">
        <v>7</v>
      </c>
      <c r="C138" s="6" t="str">
        <f>VLOOKUP(B138,'Veri doğrulama'!D6:E13,2,0)</f>
        <v>SIDDIK KAPLAN</v>
      </c>
      <c r="D138" s="6">
        <v>24626</v>
      </c>
      <c r="E138" s="6" t="s">
        <v>1170</v>
      </c>
      <c r="F138" s="6" t="s">
        <v>18</v>
      </c>
      <c r="G138" s="6" t="s">
        <v>34</v>
      </c>
      <c r="H138" s="6">
        <v>2400</v>
      </c>
      <c r="I138" s="6">
        <v>1100</v>
      </c>
      <c r="J138" s="6">
        <v>1</v>
      </c>
      <c r="K138" s="10">
        <f t="shared" si="4"/>
        <v>2.64</v>
      </c>
      <c r="L138" s="6" t="s">
        <v>43</v>
      </c>
      <c r="M138" s="6"/>
      <c r="N138" s="6" t="s">
        <v>54</v>
      </c>
      <c r="O138" s="6" t="s">
        <v>54</v>
      </c>
      <c r="P138" s="6"/>
    </row>
    <row r="139" spans="1:16" ht="30" customHeight="1" x14ac:dyDescent="0.3">
      <c r="A139" s="7">
        <v>45923.614022222224</v>
      </c>
      <c r="B139" s="6" t="s">
        <v>5</v>
      </c>
      <c r="C139" s="6" t="str">
        <f>VLOOKUP(B139,'Veri doğrulama'!D6:E13,2,0)</f>
        <v>MEHMET ÖZEN</v>
      </c>
      <c r="D139" s="6" t="s">
        <v>1172</v>
      </c>
      <c r="E139" s="6" t="s">
        <v>1173</v>
      </c>
      <c r="F139" s="6" t="s">
        <v>15</v>
      </c>
      <c r="G139" s="6" t="s">
        <v>34</v>
      </c>
      <c r="H139" s="6">
        <v>1410</v>
      </c>
      <c r="I139" s="6">
        <v>1410</v>
      </c>
      <c r="J139" s="6">
        <v>1</v>
      </c>
      <c r="K139" s="10">
        <f t="shared" si="4"/>
        <v>1.9881</v>
      </c>
      <c r="L139" s="6" t="s">
        <v>42</v>
      </c>
      <c r="M139" s="6" t="s">
        <v>310</v>
      </c>
      <c r="N139" s="6" t="s">
        <v>54</v>
      </c>
      <c r="O139" s="6" t="s">
        <v>54</v>
      </c>
      <c r="P139" s="6"/>
    </row>
    <row r="140" spans="1:16" ht="30" customHeight="1" x14ac:dyDescent="0.3">
      <c r="A140" s="7">
        <v>45923.597813657405</v>
      </c>
      <c r="B140" s="6" t="s">
        <v>5</v>
      </c>
      <c r="C140" s="6" t="str">
        <f>VLOOKUP(B140,'Veri doğrulama'!D6:E13,2,0)</f>
        <v>MEHMET ÖZEN</v>
      </c>
      <c r="D140" s="6" t="s">
        <v>1169</v>
      </c>
      <c r="E140" s="6" t="s">
        <v>1170</v>
      </c>
      <c r="F140" s="6" t="s">
        <v>18</v>
      </c>
      <c r="G140" s="6" t="s">
        <v>34</v>
      </c>
      <c r="H140" s="6">
        <v>2400</v>
      </c>
      <c r="I140" s="6">
        <v>1100</v>
      </c>
      <c r="J140" s="6">
        <v>1</v>
      </c>
      <c r="K140" s="10">
        <f t="shared" si="4"/>
        <v>2.64</v>
      </c>
      <c r="L140" s="6" t="s">
        <v>156</v>
      </c>
      <c r="M140" s="6" t="s">
        <v>1171</v>
      </c>
      <c r="N140" s="6" t="s">
        <v>54</v>
      </c>
      <c r="O140" s="6" t="s">
        <v>54</v>
      </c>
      <c r="P140" s="6"/>
    </row>
    <row r="141" spans="1:16" ht="30" customHeight="1" x14ac:dyDescent="0.3">
      <c r="A141" s="7">
        <v>45923.560272685187</v>
      </c>
      <c r="B141" s="6" t="s">
        <v>5</v>
      </c>
      <c r="C141" s="6" t="str">
        <f>VLOOKUP(B141,'Veri doğrulama'!D6:E13,2,0)</f>
        <v>MEHMET ÖZEN</v>
      </c>
      <c r="D141" s="6" t="s">
        <v>1167</v>
      </c>
      <c r="E141" s="6" t="s">
        <v>1168</v>
      </c>
      <c r="F141" s="6" t="s">
        <v>18</v>
      </c>
      <c r="G141" s="6" t="s">
        <v>34</v>
      </c>
      <c r="H141" s="6">
        <v>1400</v>
      </c>
      <c r="I141" s="6">
        <v>800</v>
      </c>
      <c r="J141" s="6">
        <v>1</v>
      </c>
      <c r="K141" s="10">
        <f t="shared" si="4"/>
        <v>1.1200000000000001</v>
      </c>
      <c r="L141" s="6" t="s">
        <v>75</v>
      </c>
      <c r="M141" s="6" t="s">
        <v>1154</v>
      </c>
      <c r="N141" s="6" t="s">
        <v>54</v>
      </c>
      <c r="O141" s="6" t="s">
        <v>54</v>
      </c>
      <c r="P141" s="6"/>
    </row>
    <row r="142" spans="1:16" ht="30" customHeight="1" x14ac:dyDescent="0.3">
      <c r="A142" s="7">
        <v>45923.559161805555</v>
      </c>
      <c r="B142" s="6" t="s">
        <v>5</v>
      </c>
      <c r="C142" s="6" t="str">
        <f>VLOOKUP(B142,'Veri doğrulama'!D6:E13,2,0)</f>
        <v>MEHMET ÖZEN</v>
      </c>
      <c r="D142" s="6" t="s">
        <v>1165</v>
      </c>
      <c r="E142" s="6" t="s">
        <v>1166</v>
      </c>
      <c r="F142" s="6" t="s">
        <v>26</v>
      </c>
      <c r="G142" s="6" t="s">
        <v>34</v>
      </c>
      <c r="H142" s="6">
        <v>2200</v>
      </c>
      <c r="I142" s="6">
        <v>450</v>
      </c>
      <c r="J142" s="6">
        <v>1</v>
      </c>
      <c r="K142" s="10">
        <f t="shared" si="4"/>
        <v>0.99</v>
      </c>
      <c r="L142" s="6" t="s">
        <v>75</v>
      </c>
      <c r="M142" s="6" t="s">
        <v>1154</v>
      </c>
      <c r="N142" s="6" t="s">
        <v>54</v>
      </c>
      <c r="O142" s="6" t="s">
        <v>54</v>
      </c>
      <c r="P142" s="6"/>
    </row>
    <row r="143" spans="1:16" ht="30" customHeight="1" x14ac:dyDescent="0.3">
      <c r="A143" s="7">
        <v>45922.712764699078</v>
      </c>
      <c r="B143" s="6" t="s">
        <v>4</v>
      </c>
      <c r="C143" s="6" t="str">
        <f>VLOOKUP(B143,'Veri doğrulama'!D6:E13,2,0)</f>
        <v>MEHMET YAZICI</v>
      </c>
      <c r="D143" s="6"/>
      <c r="E143" s="6" t="s">
        <v>1163</v>
      </c>
      <c r="F143" s="6" t="s">
        <v>26</v>
      </c>
      <c r="G143" s="6" t="s">
        <v>34</v>
      </c>
      <c r="H143" s="6">
        <v>2200</v>
      </c>
      <c r="I143" s="6">
        <v>450</v>
      </c>
      <c r="J143" s="6">
        <v>1</v>
      </c>
      <c r="K143" s="10">
        <f t="shared" si="4"/>
        <v>0.99</v>
      </c>
      <c r="L143" s="6" t="s">
        <v>42</v>
      </c>
      <c r="M143" s="6" t="s">
        <v>1164</v>
      </c>
      <c r="N143" s="6" t="s">
        <v>54</v>
      </c>
      <c r="O143" s="6" t="s">
        <v>54</v>
      </c>
      <c r="P143" s="6"/>
    </row>
    <row r="144" spans="1:16" ht="30" customHeight="1" x14ac:dyDescent="0.3">
      <c r="A144" s="7">
        <v>45922.592359606482</v>
      </c>
      <c r="B144" s="6" t="s">
        <v>4</v>
      </c>
      <c r="C144" s="6" t="str">
        <f>VLOOKUP(B144,'Veri doğrulama'!D6:E13,2,0)</f>
        <v>MEHMET YAZICI</v>
      </c>
      <c r="D144" s="6"/>
      <c r="E144" s="6" t="s">
        <v>1162</v>
      </c>
      <c r="F144" s="6" t="s">
        <v>15</v>
      </c>
      <c r="G144" s="6" t="s">
        <v>34</v>
      </c>
      <c r="H144" s="6">
        <v>700</v>
      </c>
      <c r="I144" s="6">
        <v>397</v>
      </c>
      <c r="J144" s="6">
        <v>1</v>
      </c>
      <c r="K144" s="10">
        <f t="shared" si="4"/>
        <v>0.27789999999999998</v>
      </c>
      <c r="L144" s="6" t="s">
        <v>103</v>
      </c>
      <c r="M144" s="6"/>
      <c r="N144" s="6" t="s">
        <v>54</v>
      </c>
      <c r="O144" s="6" t="s">
        <v>54</v>
      </c>
      <c r="P144" s="6"/>
    </row>
    <row r="145" spans="1:16" ht="30" customHeight="1" x14ac:dyDescent="0.3">
      <c r="A145" s="7">
        <v>45922.591602083332</v>
      </c>
      <c r="B145" s="6" t="s">
        <v>4</v>
      </c>
      <c r="C145" s="6" t="str">
        <f>VLOOKUP(B145,'Veri doğrulama'!D6:E13,2,0)</f>
        <v>MEHMET YAZICI</v>
      </c>
      <c r="D145" s="6"/>
      <c r="E145" s="6" t="s">
        <v>1161</v>
      </c>
      <c r="F145" s="6" t="s">
        <v>28</v>
      </c>
      <c r="G145" s="6" t="s">
        <v>34</v>
      </c>
      <c r="H145" s="6">
        <v>480</v>
      </c>
      <c r="I145" s="6">
        <v>430</v>
      </c>
      <c r="J145" s="6">
        <v>1</v>
      </c>
      <c r="K145" s="10">
        <f t="shared" si="4"/>
        <v>0.2064</v>
      </c>
      <c r="L145" s="6" t="s">
        <v>103</v>
      </c>
      <c r="M145" s="6"/>
      <c r="N145" s="6" t="s">
        <v>54</v>
      </c>
      <c r="O145" s="6" t="s">
        <v>54</v>
      </c>
      <c r="P145" s="6"/>
    </row>
    <row r="146" spans="1:16" ht="30" customHeight="1" x14ac:dyDescent="0.3">
      <c r="A146" s="7">
        <v>45919.467588888889</v>
      </c>
      <c r="B146" s="6" t="s">
        <v>5</v>
      </c>
      <c r="C146" s="6" t="str">
        <f>VLOOKUP(B146,'Veri doğrulama'!D6:E13,2,0)</f>
        <v>MEHMET ÖZEN</v>
      </c>
      <c r="D146" s="6" t="s">
        <v>1158</v>
      </c>
      <c r="E146" s="6" t="s">
        <v>1159</v>
      </c>
      <c r="F146" s="6" t="s">
        <v>18</v>
      </c>
      <c r="G146" s="6" t="s">
        <v>34</v>
      </c>
      <c r="H146" s="6">
        <v>1800</v>
      </c>
      <c r="I146" s="6">
        <v>600</v>
      </c>
      <c r="J146" s="6">
        <v>3</v>
      </c>
      <c r="K146" s="10">
        <f t="shared" si="4"/>
        <v>3.24</v>
      </c>
      <c r="L146" s="6" t="s">
        <v>103</v>
      </c>
      <c r="M146" s="6" t="s">
        <v>1154</v>
      </c>
      <c r="N146" s="6" t="s">
        <v>54</v>
      </c>
      <c r="O146" s="6" t="s">
        <v>54</v>
      </c>
      <c r="P146" s="6"/>
    </row>
    <row r="147" spans="1:16" ht="30" customHeight="1" x14ac:dyDescent="0.3">
      <c r="A147" s="7">
        <v>45918.663332175929</v>
      </c>
      <c r="B147" s="6" t="s">
        <v>5</v>
      </c>
      <c r="C147" s="6" t="str">
        <f>VLOOKUP(B147,'Veri doğrulama'!D6:E13,2,0)</f>
        <v>MEHMET ÖZEN</v>
      </c>
      <c r="D147" s="6"/>
      <c r="E147" s="6" t="s">
        <v>1160</v>
      </c>
      <c r="F147" s="6" t="s">
        <v>17</v>
      </c>
      <c r="G147" s="6" t="s">
        <v>34</v>
      </c>
      <c r="H147" s="6">
        <v>2200</v>
      </c>
      <c r="I147" s="6">
        <v>450</v>
      </c>
      <c r="J147" s="6">
        <v>1</v>
      </c>
      <c r="K147" s="10">
        <f t="shared" si="4"/>
        <v>0.99</v>
      </c>
      <c r="L147" s="6" t="s">
        <v>103</v>
      </c>
      <c r="M147" s="6"/>
      <c r="N147" s="6" t="s">
        <v>54</v>
      </c>
      <c r="O147" s="6" t="s">
        <v>54</v>
      </c>
      <c r="P147" s="6"/>
    </row>
    <row r="148" spans="1:16" ht="30" customHeight="1" x14ac:dyDescent="0.3">
      <c r="A148" s="7">
        <v>45917.617158564812</v>
      </c>
      <c r="B148" s="6" t="s">
        <v>5</v>
      </c>
      <c r="C148" s="6" t="str">
        <f>VLOOKUP(B148,'Veri doğrulama'!D6:E13,2,0)</f>
        <v>MEHMET ÖZEN</v>
      </c>
      <c r="D148" s="6"/>
      <c r="E148" s="6" t="s">
        <v>1157</v>
      </c>
      <c r="F148" s="6" t="s">
        <v>18</v>
      </c>
      <c r="G148" s="6" t="s">
        <v>34</v>
      </c>
      <c r="H148" s="6">
        <v>1800</v>
      </c>
      <c r="I148" s="6">
        <v>390</v>
      </c>
      <c r="J148" s="6">
        <v>1</v>
      </c>
      <c r="K148" s="10">
        <f t="shared" si="4"/>
        <v>0.70199999999999996</v>
      </c>
      <c r="L148" s="6" t="s">
        <v>43</v>
      </c>
      <c r="M148" s="6" t="s">
        <v>524</v>
      </c>
      <c r="N148" s="6" t="s">
        <v>54</v>
      </c>
      <c r="O148" s="6" t="s">
        <v>54</v>
      </c>
      <c r="P148" s="6"/>
    </row>
    <row r="149" spans="1:16" ht="30" customHeight="1" x14ac:dyDescent="0.3">
      <c r="A149" s="7">
        <v>45917.616243287041</v>
      </c>
      <c r="B149" s="6" t="s">
        <v>5</v>
      </c>
      <c r="C149" s="6" t="str">
        <f>VLOOKUP(B149,'Veri doğrulama'!D6:E13,2,0)</f>
        <v>MEHMET ÖZEN</v>
      </c>
      <c r="D149" s="6"/>
      <c r="E149" s="6" t="s">
        <v>1156</v>
      </c>
      <c r="F149" s="6" t="s">
        <v>19</v>
      </c>
      <c r="G149" s="6" t="s">
        <v>34</v>
      </c>
      <c r="H149" s="6">
        <v>1810</v>
      </c>
      <c r="I149" s="6">
        <v>545</v>
      </c>
      <c r="J149" s="6">
        <v>1</v>
      </c>
      <c r="K149" s="10">
        <f t="shared" si="4"/>
        <v>0.98645000000000005</v>
      </c>
      <c r="L149" s="6" t="s">
        <v>42</v>
      </c>
      <c r="M149" s="6"/>
      <c r="N149" s="6" t="s">
        <v>54</v>
      </c>
      <c r="O149" s="6" t="s">
        <v>54</v>
      </c>
      <c r="P149" s="6"/>
    </row>
    <row r="150" spans="1:16" ht="30" customHeight="1" x14ac:dyDescent="0.3">
      <c r="A150" s="7">
        <v>45917.591812962964</v>
      </c>
      <c r="B150" s="6" t="s">
        <v>7</v>
      </c>
      <c r="C150" s="6" t="str">
        <f>VLOOKUP(B150,'Veri doğrulama'!D6:E13,2,0)</f>
        <v>SIDDIK KAPLAN</v>
      </c>
      <c r="D150" s="6"/>
      <c r="E150" s="6" t="s">
        <v>1155</v>
      </c>
      <c r="F150" s="6" t="s">
        <v>24</v>
      </c>
      <c r="G150" s="6" t="s">
        <v>34</v>
      </c>
      <c r="H150" s="6">
        <v>650</v>
      </c>
      <c r="I150" s="6">
        <v>500</v>
      </c>
      <c r="J150" s="6">
        <v>1</v>
      </c>
      <c r="K150" s="10">
        <f t="shared" si="4"/>
        <v>0.32500000000000001</v>
      </c>
      <c r="L150" s="6" t="s">
        <v>43</v>
      </c>
      <c r="M150" s="6"/>
      <c r="N150" s="6" t="s">
        <v>54</v>
      </c>
      <c r="O150" s="6" t="s">
        <v>54</v>
      </c>
      <c r="P150" s="6"/>
    </row>
    <row r="151" spans="1:16" ht="30" customHeight="1" x14ac:dyDescent="0.3">
      <c r="A151" s="7">
        <v>45917.402098032406</v>
      </c>
      <c r="B151" s="6" t="s">
        <v>5</v>
      </c>
      <c r="C151" s="6" t="str">
        <f>VLOOKUP(B151,'Veri doğrulama'!D6:E13,2,0)</f>
        <v>MEHMET ÖZEN</v>
      </c>
      <c r="D151" s="6" t="s">
        <v>1152</v>
      </c>
      <c r="E151" s="6" t="s">
        <v>1153</v>
      </c>
      <c r="F151" s="6" t="s">
        <v>17</v>
      </c>
      <c r="G151" s="6" t="s">
        <v>34</v>
      </c>
      <c r="H151" s="6">
        <v>2200</v>
      </c>
      <c r="I151" s="6">
        <v>450</v>
      </c>
      <c r="J151" s="6">
        <v>1</v>
      </c>
      <c r="K151" s="10">
        <f t="shared" si="4"/>
        <v>0.99</v>
      </c>
      <c r="L151" s="6" t="s">
        <v>156</v>
      </c>
      <c r="M151" s="6" t="s">
        <v>1154</v>
      </c>
      <c r="N151" s="6" t="s">
        <v>54</v>
      </c>
      <c r="O151" s="6" t="s">
        <v>54</v>
      </c>
      <c r="P151" s="6" t="s">
        <v>54</v>
      </c>
    </row>
    <row r="152" spans="1:16" ht="30" customHeight="1" x14ac:dyDescent="0.3">
      <c r="A152" s="7">
        <v>45917.366260763891</v>
      </c>
      <c r="B152" s="6" t="s">
        <v>5</v>
      </c>
      <c r="C152" s="6" t="str">
        <f>VLOOKUP(B152,'Veri doğrulama'!D6:E13,2,0)</f>
        <v>MEHMET ÖZEN</v>
      </c>
      <c r="D152" s="6" t="s">
        <v>1152</v>
      </c>
      <c r="E152" s="6" t="s">
        <v>1153</v>
      </c>
      <c r="F152" s="6" t="s">
        <v>17</v>
      </c>
      <c r="G152" s="6" t="s">
        <v>34</v>
      </c>
      <c r="H152" s="6">
        <v>575</v>
      </c>
      <c r="I152" s="6">
        <v>410</v>
      </c>
      <c r="J152" s="6">
        <v>1</v>
      </c>
      <c r="K152" s="10">
        <f t="shared" si="4"/>
        <v>0.23574999999999999</v>
      </c>
      <c r="L152" s="6" t="s">
        <v>103</v>
      </c>
      <c r="M152" s="6"/>
      <c r="N152" s="6" t="s">
        <v>54</v>
      </c>
      <c r="O152" s="6" t="s">
        <v>54</v>
      </c>
      <c r="P152" s="6" t="s">
        <v>54</v>
      </c>
    </row>
    <row r="153" spans="1:16" ht="30" customHeight="1" x14ac:dyDescent="0.3">
      <c r="A153" s="7">
        <v>45917.351606481483</v>
      </c>
      <c r="B153" s="6" t="s">
        <v>5</v>
      </c>
      <c r="C153" s="6" t="str">
        <f>VLOOKUP(B153,'Veri doğrulama'!D6:E13,2,0)</f>
        <v>MEHMET ÖZEN</v>
      </c>
      <c r="D153" s="6" t="s">
        <v>1150</v>
      </c>
      <c r="E153" s="6" t="s">
        <v>1151</v>
      </c>
      <c r="F153" s="6" t="s">
        <v>16</v>
      </c>
      <c r="G153" s="6" t="s">
        <v>34</v>
      </c>
      <c r="H153" s="6">
        <v>1600</v>
      </c>
      <c r="I153" s="6">
        <v>800</v>
      </c>
      <c r="J153" s="6">
        <v>1</v>
      </c>
      <c r="K153" s="10">
        <f t="shared" si="4"/>
        <v>1.28</v>
      </c>
      <c r="L153" s="6" t="s">
        <v>102</v>
      </c>
      <c r="M153" s="6"/>
      <c r="N153" s="6" t="s">
        <v>54</v>
      </c>
      <c r="O153" s="6" t="s">
        <v>54</v>
      </c>
      <c r="P153" s="6" t="s">
        <v>54</v>
      </c>
    </row>
    <row r="154" spans="1:16" ht="30" customHeight="1" x14ac:dyDescent="0.3">
      <c r="A154" s="7">
        <v>45916.728095254628</v>
      </c>
      <c r="B154" s="6" t="s">
        <v>4</v>
      </c>
      <c r="C154" s="6" t="str">
        <f>VLOOKUP(B154,'Veri doğrulama'!D6:E13,2,0)</f>
        <v>MEHMET YAZICI</v>
      </c>
      <c r="D154" s="6" t="s">
        <v>1149</v>
      </c>
      <c r="E154" s="6" t="s">
        <v>165</v>
      </c>
      <c r="F154" s="6" t="s">
        <v>16</v>
      </c>
      <c r="G154" s="6" t="s">
        <v>34</v>
      </c>
      <c r="H154" s="6">
        <v>1800</v>
      </c>
      <c r="I154" s="6">
        <v>800</v>
      </c>
      <c r="J154" s="6">
        <v>1</v>
      </c>
      <c r="K154" s="10">
        <f t="shared" si="4"/>
        <v>1.44</v>
      </c>
      <c r="L154" s="6" t="s">
        <v>75</v>
      </c>
      <c r="M154" s="6"/>
      <c r="N154" s="6" t="s">
        <v>54</v>
      </c>
      <c r="O154" s="6" t="s">
        <v>54</v>
      </c>
      <c r="P154" s="6" t="s">
        <v>54</v>
      </c>
    </row>
    <row r="155" spans="1:16" ht="30" customHeight="1" x14ac:dyDescent="0.3">
      <c r="A155" s="7">
        <v>45916.726720370367</v>
      </c>
      <c r="B155" s="6" t="s">
        <v>4</v>
      </c>
      <c r="C155" s="6" t="str">
        <f>VLOOKUP(B155,'Veri doğrulama'!D6:E13,2,0)</f>
        <v>MEHMET YAZICI</v>
      </c>
      <c r="D155" s="6"/>
      <c r="E155" s="6" t="s">
        <v>1148</v>
      </c>
      <c r="F155" s="6" t="s">
        <v>19</v>
      </c>
      <c r="G155" s="6" t="s">
        <v>34</v>
      </c>
      <c r="H155" s="6">
        <v>698</v>
      </c>
      <c r="I155" s="6">
        <v>435</v>
      </c>
      <c r="J155" s="6">
        <v>1</v>
      </c>
      <c r="K155" s="10">
        <f t="shared" si="4"/>
        <v>0.30363000000000001</v>
      </c>
      <c r="L155" s="6" t="s">
        <v>102</v>
      </c>
      <c r="M155" s="6"/>
      <c r="N155" s="6" t="s">
        <v>54</v>
      </c>
      <c r="O155" s="6" t="s">
        <v>54</v>
      </c>
      <c r="P155" s="6" t="s">
        <v>54</v>
      </c>
    </row>
    <row r="156" spans="1:16" ht="30" customHeight="1" x14ac:dyDescent="0.3">
      <c r="A156" s="7">
        <v>45916.726029166668</v>
      </c>
      <c r="B156" s="6" t="s">
        <v>4</v>
      </c>
      <c r="C156" s="6" t="str">
        <f>VLOOKUP(B156,'Veri doğrulama'!D6:E13,2,0)</f>
        <v>MEHMET YAZICI</v>
      </c>
      <c r="D156" s="6"/>
      <c r="E156" s="6" t="s">
        <v>1147</v>
      </c>
      <c r="F156" s="6" t="s">
        <v>15</v>
      </c>
      <c r="G156" s="6" t="s">
        <v>34</v>
      </c>
      <c r="H156" s="6">
        <v>580</v>
      </c>
      <c r="I156" s="6">
        <v>447</v>
      </c>
      <c r="J156" s="6">
        <v>1</v>
      </c>
      <c r="K156" s="10">
        <f t="shared" si="4"/>
        <v>0.25925999999999999</v>
      </c>
      <c r="L156" s="6" t="s">
        <v>75</v>
      </c>
      <c r="M156" s="6"/>
      <c r="N156" s="6" t="s">
        <v>54</v>
      </c>
      <c r="O156" s="6" t="s">
        <v>54</v>
      </c>
      <c r="P156" s="6" t="s">
        <v>54</v>
      </c>
    </row>
    <row r="157" spans="1:16" ht="30" customHeight="1" x14ac:dyDescent="0.3">
      <c r="A157" s="7">
        <v>45916.719215972225</v>
      </c>
      <c r="B157" s="6" t="s">
        <v>4</v>
      </c>
      <c r="C157" s="6" t="str">
        <f>VLOOKUP(B157,'Veri doğrulama'!D6:E13,2,0)</f>
        <v>MEHMET YAZICI</v>
      </c>
      <c r="D157" s="6"/>
      <c r="E157" s="6" t="s">
        <v>1146</v>
      </c>
      <c r="F157" s="6" t="s">
        <v>111</v>
      </c>
      <c r="G157" s="6" t="s">
        <v>34</v>
      </c>
      <c r="H157" s="6">
        <v>200</v>
      </c>
      <c r="I157" s="6">
        <v>535</v>
      </c>
      <c r="J157" s="6">
        <v>1</v>
      </c>
      <c r="K157" s="10">
        <f t="shared" si="4"/>
        <v>0.107</v>
      </c>
      <c r="L157" s="6" t="s">
        <v>75</v>
      </c>
      <c r="M157" s="6"/>
      <c r="N157" s="6" t="s">
        <v>54</v>
      </c>
      <c r="O157" s="6" t="s">
        <v>54</v>
      </c>
      <c r="P157" s="6" t="s">
        <v>54</v>
      </c>
    </row>
    <row r="158" spans="1:16" ht="30" customHeight="1" x14ac:dyDescent="0.3">
      <c r="A158" s="7">
        <v>45916.718459837961</v>
      </c>
      <c r="B158" s="6" t="s">
        <v>4</v>
      </c>
      <c r="C158" s="6" t="str">
        <f>VLOOKUP(B158,'Veri doğrulama'!D6:E13,2,0)</f>
        <v>MEHMET YAZICI</v>
      </c>
      <c r="D158" s="6" t="s">
        <v>1144</v>
      </c>
      <c r="E158" s="6" t="s">
        <v>1145</v>
      </c>
      <c r="F158" s="6" t="s">
        <v>19</v>
      </c>
      <c r="G158" s="6" t="s">
        <v>34</v>
      </c>
      <c r="H158" s="6">
        <v>650</v>
      </c>
      <c r="I158" s="6">
        <v>292</v>
      </c>
      <c r="J158" s="6">
        <v>1</v>
      </c>
      <c r="K158" s="10">
        <f t="shared" si="4"/>
        <v>0.1898</v>
      </c>
      <c r="L158" s="6" t="s">
        <v>102</v>
      </c>
      <c r="M158" s="6"/>
      <c r="N158" s="6" t="s">
        <v>54</v>
      </c>
      <c r="O158" s="6" t="s">
        <v>54</v>
      </c>
      <c r="P158" s="6" t="s">
        <v>54</v>
      </c>
    </row>
    <row r="159" spans="1:16" ht="30" customHeight="1" x14ac:dyDescent="0.3">
      <c r="A159" s="7">
        <v>45916.707969328701</v>
      </c>
      <c r="B159" s="6" t="s">
        <v>5</v>
      </c>
      <c r="C159" s="6" t="str">
        <f>VLOOKUP(B159,'Veri doğrulama'!D6:E13,2,0)</f>
        <v>MEHMET ÖZEN</v>
      </c>
      <c r="D159" s="6">
        <v>24434</v>
      </c>
      <c r="E159" s="6" t="s">
        <v>1143</v>
      </c>
      <c r="F159" s="6" t="s">
        <v>16</v>
      </c>
      <c r="G159" s="6" t="s">
        <v>34</v>
      </c>
      <c r="H159" s="6">
        <v>1800</v>
      </c>
      <c r="I159" s="6">
        <v>800</v>
      </c>
      <c r="J159" s="6">
        <v>1</v>
      </c>
      <c r="K159" s="10">
        <f t="shared" si="4"/>
        <v>1.44</v>
      </c>
      <c r="L159" s="6" t="s">
        <v>103</v>
      </c>
      <c r="M159" s="6"/>
      <c r="N159" s="6" t="s">
        <v>54</v>
      </c>
      <c r="O159" s="6" t="s">
        <v>54</v>
      </c>
      <c r="P159" s="6" t="s">
        <v>54</v>
      </c>
    </row>
    <row r="160" spans="1:16" ht="30" customHeight="1" x14ac:dyDescent="0.3">
      <c r="A160" s="7">
        <v>45916.573272569447</v>
      </c>
      <c r="B160" s="6" t="s">
        <v>81</v>
      </c>
      <c r="C160" s="6" t="str">
        <f>VLOOKUP(B160,'Veri doğrulama'!D6:E13,2,0)</f>
        <v>İBRAHİM ÇELİK</v>
      </c>
      <c r="D160" s="6" t="s">
        <v>988</v>
      </c>
      <c r="E160" s="6" t="s">
        <v>1141</v>
      </c>
      <c r="F160" s="6" t="s">
        <v>16</v>
      </c>
      <c r="G160" s="6" t="s">
        <v>34</v>
      </c>
      <c r="H160" s="6">
        <v>1815</v>
      </c>
      <c r="I160" s="6">
        <v>397</v>
      </c>
      <c r="J160" s="6">
        <v>1</v>
      </c>
      <c r="K160" s="10">
        <f t="shared" ref="K160:K191" si="5">H160*I160/1000000*J160</f>
        <v>0.72055499999999995</v>
      </c>
      <c r="L160" s="6" t="s">
        <v>42</v>
      </c>
      <c r="M160" s="6" t="s">
        <v>1142</v>
      </c>
      <c r="N160" s="6" t="s">
        <v>54</v>
      </c>
      <c r="O160" s="6" t="s">
        <v>54</v>
      </c>
      <c r="P160" s="6" t="s">
        <v>54</v>
      </c>
    </row>
    <row r="161" spans="1:16" ht="30" customHeight="1" x14ac:dyDescent="0.3">
      <c r="A161" s="7">
        <v>45916.50258252315</v>
      </c>
      <c r="B161" s="6" t="s">
        <v>5</v>
      </c>
      <c r="C161" s="6" t="str">
        <f>VLOOKUP(B161,'Veri doğrulama'!D6:E13,2,0)</f>
        <v>MEHMET ÖZEN</v>
      </c>
      <c r="D161" s="6">
        <v>24456</v>
      </c>
      <c r="E161" s="6" t="s">
        <v>700</v>
      </c>
      <c r="F161" s="6" t="s">
        <v>19</v>
      </c>
      <c r="G161" s="6" t="s">
        <v>34</v>
      </c>
      <c r="H161" s="6">
        <v>2000</v>
      </c>
      <c r="I161" s="6">
        <v>900</v>
      </c>
      <c r="J161" s="6">
        <v>1</v>
      </c>
      <c r="K161" s="10">
        <f t="shared" si="5"/>
        <v>1.8</v>
      </c>
      <c r="L161" s="6" t="s">
        <v>102</v>
      </c>
      <c r="M161" s="6"/>
      <c r="N161" s="6" t="s">
        <v>54</v>
      </c>
      <c r="O161" s="6" t="s">
        <v>54</v>
      </c>
      <c r="P161" s="6" t="s">
        <v>54</v>
      </c>
    </row>
    <row r="162" spans="1:16" ht="30" customHeight="1" x14ac:dyDescent="0.3">
      <c r="A162" s="7">
        <v>45915.364513773151</v>
      </c>
      <c r="B162" s="6" t="s">
        <v>4</v>
      </c>
      <c r="C162" s="6" t="str">
        <f>VLOOKUP(B162,'Veri doğrulama'!D6:E13,2,0)</f>
        <v>MEHMET YAZICI</v>
      </c>
      <c r="D162" s="6"/>
      <c r="E162" s="6" t="s">
        <v>213</v>
      </c>
      <c r="F162" s="6" t="s">
        <v>19</v>
      </c>
      <c r="G162" s="6" t="s">
        <v>34</v>
      </c>
      <c r="H162" s="6">
        <v>2386</v>
      </c>
      <c r="I162" s="6">
        <v>350</v>
      </c>
      <c r="J162" s="6">
        <v>1</v>
      </c>
      <c r="K162" s="10">
        <f t="shared" si="5"/>
        <v>0.83509999999999995</v>
      </c>
      <c r="L162" s="6" t="s">
        <v>102</v>
      </c>
      <c r="M162" s="6"/>
      <c r="N162" s="6" t="s">
        <v>54</v>
      </c>
      <c r="O162" s="6" t="s">
        <v>54</v>
      </c>
      <c r="P162" s="6" t="s">
        <v>54</v>
      </c>
    </row>
    <row r="163" spans="1:16" ht="30" customHeight="1" x14ac:dyDescent="0.3">
      <c r="A163" s="7">
        <v>45912.737750231485</v>
      </c>
      <c r="B163" s="6" t="s">
        <v>4</v>
      </c>
      <c r="C163" s="6" t="str">
        <f>VLOOKUP(B163,'Veri doğrulama'!D6:E13,2,0)</f>
        <v>MEHMET YAZICI</v>
      </c>
      <c r="D163" s="6"/>
      <c r="E163" s="6" t="s">
        <v>1140</v>
      </c>
      <c r="F163" s="6" t="s">
        <v>14</v>
      </c>
      <c r="G163" s="6" t="s">
        <v>34</v>
      </c>
      <c r="H163" s="6">
        <v>650</v>
      </c>
      <c r="I163" s="6">
        <v>292</v>
      </c>
      <c r="J163" s="6">
        <v>1</v>
      </c>
      <c r="K163" s="10">
        <f t="shared" si="5"/>
        <v>0.1898</v>
      </c>
      <c r="L163" s="6" t="s">
        <v>75</v>
      </c>
      <c r="M163" s="6"/>
      <c r="N163" s="6" t="s">
        <v>54</v>
      </c>
      <c r="O163" s="6" t="s">
        <v>54</v>
      </c>
      <c r="P163" s="6" t="s">
        <v>54</v>
      </c>
    </row>
    <row r="164" spans="1:16" ht="30" customHeight="1" x14ac:dyDescent="0.3">
      <c r="A164" s="7">
        <v>45912.737202893521</v>
      </c>
      <c r="B164" s="6" t="s">
        <v>4</v>
      </c>
      <c r="C164" s="6" t="str">
        <f>VLOOKUP(B164,'Veri doğrulama'!D6:E13,2,0)</f>
        <v>MEHMET YAZICI</v>
      </c>
      <c r="D164" s="6"/>
      <c r="E164" s="6" t="s">
        <v>1139</v>
      </c>
      <c r="F164" s="6" t="s">
        <v>15</v>
      </c>
      <c r="G164" s="6" t="s">
        <v>34</v>
      </c>
      <c r="H164" s="6">
        <v>1400</v>
      </c>
      <c r="I164" s="6">
        <v>800</v>
      </c>
      <c r="J164" s="6">
        <v>1</v>
      </c>
      <c r="K164" s="10">
        <f t="shared" si="5"/>
        <v>1.1200000000000001</v>
      </c>
      <c r="L164" s="6" t="s">
        <v>103</v>
      </c>
      <c r="M164" s="6"/>
      <c r="N164" s="6" t="s">
        <v>54</v>
      </c>
      <c r="O164" s="6" t="s">
        <v>54</v>
      </c>
      <c r="P164" s="6" t="s">
        <v>54</v>
      </c>
    </row>
    <row r="165" spans="1:16" ht="30" customHeight="1" x14ac:dyDescent="0.3">
      <c r="A165" s="7">
        <v>45912.696839467593</v>
      </c>
      <c r="B165" s="6" t="s">
        <v>81</v>
      </c>
      <c r="C165" s="6" t="str">
        <f>VLOOKUP(B165,'Veri doğrulama'!D6:E13,2,0)</f>
        <v>İBRAHİM ÇELİK</v>
      </c>
      <c r="D165" s="6"/>
      <c r="E165" s="6" t="s">
        <v>1136</v>
      </c>
      <c r="F165" s="6" t="s">
        <v>1137</v>
      </c>
      <c r="G165" s="6" t="s">
        <v>34</v>
      </c>
      <c r="H165" s="6">
        <v>1120</v>
      </c>
      <c r="I165" s="6">
        <v>1120</v>
      </c>
      <c r="J165" s="6">
        <v>1</v>
      </c>
      <c r="K165" s="10">
        <f t="shared" si="5"/>
        <v>1.2544</v>
      </c>
      <c r="L165" s="6" t="s">
        <v>43</v>
      </c>
      <c r="M165" s="6" t="s">
        <v>1138</v>
      </c>
      <c r="N165" s="6" t="s">
        <v>54</v>
      </c>
      <c r="O165" s="6" t="s">
        <v>54</v>
      </c>
      <c r="P165" s="6" t="s">
        <v>54</v>
      </c>
    </row>
    <row r="166" spans="1:16" ht="30" customHeight="1" x14ac:dyDescent="0.3">
      <c r="A166" s="7">
        <v>45912.65090104167</v>
      </c>
      <c r="B166" s="6" t="s">
        <v>5</v>
      </c>
      <c r="C166" s="6" t="str">
        <f>VLOOKUP(B166,'Veri doğrulama'!D6:E13,2,0)</f>
        <v>MEHMET ÖZEN</v>
      </c>
      <c r="D166" s="6"/>
      <c r="E166" s="6" t="s">
        <v>1135</v>
      </c>
      <c r="F166" s="6" t="s">
        <v>19</v>
      </c>
      <c r="G166" s="6" t="s">
        <v>33</v>
      </c>
      <c r="H166" s="6">
        <v>2220</v>
      </c>
      <c r="I166" s="6">
        <v>970</v>
      </c>
      <c r="J166" s="6">
        <v>1</v>
      </c>
      <c r="K166" s="10">
        <f t="shared" si="5"/>
        <v>2.1534</v>
      </c>
      <c r="L166" s="6" t="s">
        <v>42</v>
      </c>
      <c r="M166" s="6"/>
      <c r="N166" s="6" t="s">
        <v>54</v>
      </c>
      <c r="O166" s="6" t="s">
        <v>54</v>
      </c>
      <c r="P166" s="6" t="s">
        <v>54</v>
      </c>
    </row>
    <row r="167" spans="1:16" ht="30" customHeight="1" x14ac:dyDescent="0.3">
      <c r="A167" s="7">
        <v>45912.647043287034</v>
      </c>
      <c r="B167" s="6" t="s">
        <v>5</v>
      </c>
      <c r="C167" s="6" t="str">
        <f>VLOOKUP(B167,'Veri doğrulama'!D6:E13,2,0)</f>
        <v>MEHMET ÖZEN</v>
      </c>
      <c r="D167" s="6"/>
      <c r="E167" s="6" t="s">
        <v>1134</v>
      </c>
      <c r="F167" s="6" t="s">
        <v>19</v>
      </c>
      <c r="G167" s="6" t="s">
        <v>34</v>
      </c>
      <c r="H167" s="6">
        <v>2220</v>
      </c>
      <c r="I167" s="6">
        <v>970</v>
      </c>
      <c r="J167" s="6">
        <v>1</v>
      </c>
      <c r="K167" s="10">
        <f t="shared" si="5"/>
        <v>2.1534</v>
      </c>
      <c r="L167" s="6" t="s">
        <v>43</v>
      </c>
      <c r="M167" s="6" t="s">
        <v>468</v>
      </c>
      <c r="N167" s="6" t="s">
        <v>54</v>
      </c>
      <c r="O167" s="6" t="s">
        <v>54</v>
      </c>
      <c r="P167" s="6" t="s">
        <v>54</v>
      </c>
    </row>
    <row r="168" spans="1:16" ht="30" customHeight="1" x14ac:dyDescent="0.3">
      <c r="A168" s="7">
        <v>45912.349662499997</v>
      </c>
      <c r="B168" s="6" t="s">
        <v>5</v>
      </c>
      <c r="C168" s="6" t="str">
        <f>VLOOKUP(B168,'Veri doğrulama'!D6:E13,2,0)</f>
        <v>MEHMET ÖZEN</v>
      </c>
      <c r="D168" s="6"/>
      <c r="E168" s="6" t="s">
        <v>1133</v>
      </c>
      <c r="F168" s="6" t="s">
        <v>19</v>
      </c>
      <c r="G168" s="6" t="s">
        <v>34</v>
      </c>
      <c r="H168" s="6">
        <v>2386</v>
      </c>
      <c r="I168" s="6">
        <v>350</v>
      </c>
      <c r="J168" s="6">
        <v>1</v>
      </c>
      <c r="K168" s="10">
        <f t="shared" si="5"/>
        <v>0.83509999999999995</v>
      </c>
      <c r="L168" s="6" t="s">
        <v>102</v>
      </c>
      <c r="M168" s="6"/>
      <c r="N168" s="6" t="s">
        <v>54</v>
      </c>
      <c r="O168" s="6" t="s">
        <v>54</v>
      </c>
      <c r="P168" s="6" t="s">
        <v>54</v>
      </c>
    </row>
    <row r="169" spans="1:16" ht="30" customHeight="1" x14ac:dyDescent="0.3">
      <c r="A169" s="7">
        <v>45912.349002546296</v>
      </c>
      <c r="B169" s="6" t="s">
        <v>5</v>
      </c>
      <c r="C169" s="6" t="str">
        <f>VLOOKUP(B169,'Veri doğrulama'!D6:E13,2,0)</f>
        <v>MEHMET ÖZEN</v>
      </c>
      <c r="D169" s="6"/>
      <c r="E169" s="6" t="s">
        <v>1132</v>
      </c>
      <c r="F169" s="6" t="s">
        <v>27</v>
      </c>
      <c r="G169" s="6" t="s">
        <v>34</v>
      </c>
      <c r="H169" s="6">
        <v>2386</v>
      </c>
      <c r="I169" s="6">
        <v>586</v>
      </c>
      <c r="J169" s="6">
        <v>1</v>
      </c>
      <c r="K169" s="10">
        <f t="shared" si="5"/>
        <v>1.398196</v>
      </c>
      <c r="L169" s="6" t="s">
        <v>102</v>
      </c>
      <c r="M169" s="6"/>
      <c r="N169" s="6" t="s">
        <v>54</v>
      </c>
      <c r="O169" s="6" t="s">
        <v>54</v>
      </c>
      <c r="P169" s="6" t="s">
        <v>54</v>
      </c>
    </row>
    <row r="170" spans="1:16" ht="30" customHeight="1" x14ac:dyDescent="0.3">
      <c r="A170" s="7">
        <v>45911.606907754627</v>
      </c>
      <c r="B170" s="6" t="s">
        <v>4</v>
      </c>
      <c r="C170" s="6" t="str">
        <f>VLOOKUP(B170,'Veri doğrulama'!D6:E13,2,0)</f>
        <v>MEHMET YAZICI</v>
      </c>
      <c r="D170" s="6"/>
      <c r="E170" s="6" t="s">
        <v>1131</v>
      </c>
      <c r="F170" s="6" t="s">
        <v>15</v>
      </c>
      <c r="G170" s="6" t="s">
        <v>34</v>
      </c>
      <c r="H170" s="6">
        <v>1600</v>
      </c>
      <c r="I170" s="6">
        <v>1600</v>
      </c>
      <c r="J170" s="6">
        <v>1</v>
      </c>
      <c r="K170" s="10">
        <f t="shared" si="5"/>
        <v>2.56</v>
      </c>
      <c r="L170" s="6" t="s">
        <v>102</v>
      </c>
      <c r="M170" s="6"/>
      <c r="N170" s="6" t="s">
        <v>54</v>
      </c>
      <c r="O170" s="6" t="s">
        <v>54</v>
      </c>
      <c r="P170" s="6" t="s">
        <v>54</v>
      </c>
    </row>
    <row r="171" spans="1:16" ht="30" customHeight="1" x14ac:dyDescent="0.3">
      <c r="A171" s="7">
        <v>45911.579656481481</v>
      </c>
      <c r="B171" s="6" t="s">
        <v>7</v>
      </c>
      <c r="C171" s="6" t="str">
        <f>VLOOKUP(B171,'Veri doğrulama'!D6:E13,2,0)</f>
        <v>SIDDIK KAPLAN</v>
      </c>
      <c r="D171" s="6"/>
      <c r="E171" s="6" t="s">
        <v>1129</v>
      </c>
      <c r="F171" s="6" t="s">
        <v>15</v>
      </c>
      <c r="G171" s="6" t="s">
        <v>34</v>
      </c>
      <c r="H171" s="6">
        <v>1400</v>
      </c>
      <c r="I171" s="6">
        <v>800</v>
      </c>
      <c r="J171" s="6">
        <v>1</v>
      </c>
      <c r="K171" s="10">
        <f t="shared" si="5"/>
        <v>1.1200000000000001</v>
      </c>
      <c r="L171" s="6" t="s">
        <v>43</v>
      </c>
      <c r="M171" s="6" t="s">
        <v>1130</v>
      </c>
      <c r="N171" s="6" t="s">
        <v>54</v>
      </c>
      <c r="O171" s="6" t="s">
        <v>54</v>
      </c>
      <c r="P171" s="6" t="s">
        <v>54</v>
      </c>
    </row>
    <row r="172" spans="1:16" ht="30" customHeight="1" x14ac:dyDescent="0.3">
      <c r="A172" s="7">
        <v>45911.505379745373</v>
      </c>
      <c r="B172" s="6" t="s">
        <v>4</v>
      </c>
      <c r="C172" s="6" t="str">
        <f>VLOOKUP(B172,'Veri doğrulama'!D6:E13,2,0)</f>
        <v>MEHMET YAZICI</v>
      </c>
      <c r="D172" s="6">
        <v>24512</v>
      </c>
      <c r="E172" s="6" t="s">
        <v>1128</v>
      </c>
      <c r="F172" s="6" t="s">
        <v>19</v>
      </c>
      <c r="G172" s="6" t="s">
        <v>34</v>
      </c>
      <c r="H172" s="6">
        <v>695</v>
      </c>
      <c r="I172" s="6">
        <v>447</v>
      </c>
      <c r="J172" s="6">
        <v>1</v>
      </c>
      <c r="K172" s="10">
        <f t="shared" si="5"/>
        <v>0.31066500000000002</v>
      </c>
      <c r="L172" s="6" t="s">
        <v>102</v>
      </c>
      <c r="M172" s="6"/>
      <c r="N172" s="6" t="s">
        <v>54</v>
      </c>
      <c r="O172" s="6" t="s">
        <v>54</v>
      </c>
      <c r="P172" s="6" t="s">
        <v>54</v>
      </c>
    </row>
    <row r="173" spans="1:16" ht="30" customHeight="1" x14ac:dyDescent="0.3">
      <c r="A173" s="7">
        <v>45911.385192708331</v>
      </c>
      <c r="B173" s="6" t="s">
        <v>5</v>
      </c>
      <c r="C173" s="6" t="str">
        <f>VLOOKUP(B173,'Veri doğrulama'!D6:E13,2,0)</f>
        <v>MEHMET ÖZEN</v>
      </c>
      <c r="D173" s="6"/>
      <c r="E173" s="6" t="s">
        <v>116</v>
      </c>
      <c r="F173" s="6" t="s">
        <v>26</v>
      </c>
      <c r="G173" s="6" t="s">
        <v>34</v>
      </c>
      <c r="H173" s="6">
        <v>2600</v>
      </c>
      <c r="I173" s="6">
        <v>600</v>
      </c>
      <c r="J173" s="6">
        <v>1</v>
      </c>
      <c r="K173" s="10">
        <f t="shared" si="5"/>
        <v>1.56</v>
      </c>
      <c r="L173" s="6" t="s">
        <v>37</v>
      </c>
      <c r="M173" s="6"/>
      <c r="N173" s="6" t="s">
        <v>54</v>
      </c>
      <c r="O173" s="6" t="s">
        <v>54</v>
      </c>
      <c r="P173" s="6" t="s">
        <v>54</v>
      </c>
    </row>
    <row r="174" spans="1:16" ht="30" customHeight="1" x14ac:dyDescent="0.3">
      <c r="A174" s="7">
        <v>45910.75408796296</v>
      </c>
      <c r="B174" s="6" t="s">
        <v>4</v>
      </c>
      <c r="C174" s="6" t="str">
        <f>VLOOKUP(B174,'Veri doğrulama'!D6:E13,2,0)</f>
        <v>MEHMET YAZICI</v>
      </c>
      <c r="D174" s="6">
        <v>24482</v>
      </c>
      <c r="E174" s="6" t="s">
        <v>1125</v>
      </c>
      <c r="F174" s="6" t="s">
        <v>13</v>
      </c>
      <c r="G174" s="6" t="s">
        <v>34</v>
      </c>
      <c r="H174" s="6">
        <v>2200</v>
      </c>
      <c r="I174" s="6">
        <v>410</v>
      </c>
      <c r="J174" s="6">
        <v>1</v>
      </c>
      <c r="K174" s="10">
        <f t="shared" si="5"/>
        <v>0.90200000000000002</v>
      </c>
      <c r="L174" s="6" t="s">
        <v>75</v>
      </c>
      <c r="M174" s="6"/>
      <c r="N174" s="6" t="s">
        <v>54</v>
      </c>
      <c r="O174" s="6" t="s">
        <v>54</v>
      </c>
      <c r="P174" s="6" t="s">
        <v>54</v>
      </c>
    </row>
    <row r="175" spans="1:16" ht="30" customHeight="1" x14ac:dyDescent="0.3">
      <c r="A175" s="7">
        <v>45910.696414004633</v>
      </c>
      <c r="B175" s="6" t="s">
        <v>5</v>
      </c>
      <c r="C175" s="6" t="str">
        <f>VLOOKUP(B175,'Veri doğrulama'!D6:E13,2,0)</f>
        <v>MEHMET ÖZEN</v>
      </c>
      <c r="D175" s="6"/>
      <c r="E175" s="6" t="s">
        <v>538</v>
      </c>
      <c r="F175" s="6" t="s">
        <v>18</v>
      </c>
      <c r="G175" s="6" t="s">
        <v>34</v>
      </c>
      <c r="H175" s="6">
        <v>2200</v>
      </c>
      <c r="I175" s="6">
        <v>410</v>
      </c>
      <c r="J175" s="6">
        <v>1</v>
      </c>
      <c r="K175" s="10">
        <f t="shared" si="5"/>
        <v>0.90200000000000002</v>
      </c>
      <c r="L175" s="6" t="s">
        <v>42</v>
      </c>
      <c r="M175" s="6"/>
      <c r="N175" s="6" t="s">
        <v>54</v>
      </c>
      <c r="O175" s="6" t="s">
        <v>54</v>
      </c>
      <c r="P175" s="6" t="s">
        <v>54</v>
      </c>
    </row>
    <row r="176" spans="1:16" ht="30" customHeight="1" x14ac:dyDescent="0.3">
      <c r="A176" s="7">
        <v>45910.695740740739</v>
      </c>
      <c r="B176" s="6" t="s">
        <v>5</v>
      </c>
      <c r="C176" s="6" t="str">
        <f>VLOOKUP(B176,'Veri doğrulama'!D6:E13,2,0)</f>
        <v>MEHMET ÖZEN</v>
      </c>
      <c r="D176" s="6"/>
      <c r="E176" s="6" t="s">
        <v>733</v>
      </c>
      <c r="F176" s="6" t="s">
        <v>18</v>
      </c>
      <c r="G176" s="6" t="s">
        <v>34</v>
      </c>
      <c r="H176" s="6">
        <v>2200</v>
      </c>
      <c r="I176" s="6">
        <v>450</v>
      </c>
      <c r="J176" s="6">
        <v>1</v>
      </c>
      <c r="K176" s="10">
        <f t="shared" si="5"/>
        <v>0.99</v>
      </c>
      <c r="L176" s="6" t="s">
        <v>42</v>
      </c>
      <c r="M176" s="6"/>
      <c r="N176" s="6" t="s">
        <v>54</v>
      </c>
      <c r="O176" s="6" t="s">
        <v>54</v>
      </c>
      <c r="P176" s="6" t="s">
        <v>54</v>
      </c>
    </row>
    <row r="177" spans="1:16" ht="30" customHeight="1" x14ac:dyDescent="0.3">
      <c r="A177" s="7">
        <v>45910.61003541667</v>
      </c>
      <c r="B177" s="6" t="s">
        <v>5</v>
      </c>
      <c r="C177" s="6" t="str">
        <f>VLOOKUP(B177,'Veri doğrulama'!D6:E13,2,0)</f>
        <v>MEHMET ÖZEN</v>
      </c>
      <c r="D177" s="6"/>
      <c r="E177" s="6" t="s">
        <v>1126</v>
      </c>
      <c r="F177" s="6" t="s">
        <v>13</v>
      </c>
      <c r="G177" s="6" t="s">
        <v>34</v>
      </c>
      <c r="H177" s="6">
        <v>1200</v>
      </c>
      <c r="I177" s="6">
        <v>500</v>
      </c>
      <c r="J177" s="6">
        <v>1</v>
      </c>
      <c r="K177" s="10">
        <f t="shared" si="5"/>
        <v>0.6</v>
      </c>
      <c r="L177" s="6" t="s">
        <v>42</v>
      </c>
      <c r="M177" s="6"/>
      <c r="N177" s="6" t="s">
        <v>54</v>
      </c>
      <c r="O177" s="6" t="s">
        <v>54</v>
      </c>
      <c r="P177" s="6" t="s">
        <v>54</v>
      </c>
    </row>
    <row r="178" spans="1:16" ht="30" customHeight="1" x14ac:dyDescent="0.3">
      <c r="A178" s="7">
        <v>45910.608943749998</v>
      </c>
      <c r="B178" s="6" t="s">
        <v>7</v>
      </c>
      <c r="C178" s="6" t="str">
        <f>VLOOKUP(B178,'Veri doğrulama'!D6:E13,2,0)</f>
        <v>SIDDIK KAPLAN</v>
      </c>
      <c r="D178" s="6"/>
      <c r="E178" s="6" t="s">
        <v>1127</v>
      </c>
      <c r="F178" s="6" t="s">
        <v>19</v>
      </c>
      <c r="G178" s="6" t="s">
        <v>34</v>
      </c>
      <c r="H178" s="6">
        <v>1200</v>
      </c>
      <c r="I178" s="6">
        <v>500</v>
      </c>
      <c r="J178" s="6">
        <v>1</v>
      </c>
      <c r="K178" s="10">
        <f t="shared" si="5"/>
        <v>0.6</v>
      </c>
      <c r="L178" s="6" t="s">
        <v>102</v>
      </c>
      <c r="M178" s="6"/>
      <c r="N178" s="6" t="s">
        <v>54</v>
      </c>
      <c r="O178" s="6" t="s">
        <v>54</v>
      </c>
      <c r="P178" s="6" t="s">
        <v>54</v>
      </c>
    </row>
    <row r="179" spans="1:16" ht="30" customHeight="1" x14ac:dyDescent="0.3">
      <c r="A179" s="7">
        <v>45910.504857638887</v>
      </c>
      <c r="B179" s="6" t="s">
        <v>4</v>
      </c>
      <c r="C179" s="6" t="str">
        <f>VLOOKUP(B179,'Veri doğrulama'!D6:E13,2,0)</f>
        <v>MEHMET YAZICI</v>
      </c>
      <c r="D179" s="6">
        <v>24251</v>
      </c>
      <c r="E179" s="6" t="s">
        <v>281</v>
      </c>
      <c r="F179" s="6" t="s">
        <v>29</v>
      </c>
      <c r="G179" s="6" t="s">
        <v>34</v>
      </c>
      <c r="H179" s="6">
        <v>1800</v>
      </c>
      <c r="I179" s="6">
        <v>390</v>
      </c>
      <c r="J179" s="6">
        <v>1</v>
      </c>
      <c r="K179" s="10">
        <f t="shared" si="5"/>
        <v>0.70199999999999996</v>
      </c>
      <c r="L179" s="6" t="s">
        <v>42</v>
      </c>
      <c r="M179" s="6" t="s">
        <v>159</v>
      </c>
      <c r="N179" s="6" t="s">
        <v>54</v>
      </c>
      <c r="O179" s="6" t="s">
        <v>54</v>
      </c>
      <c r="P179" s="6" t="s">
        <v>54</v>
      </c>
    </row>
    <row r="180" spans="1:16" ht="30" customHeight="1" x14ac:dyDescent="0.3">
      <c r="A180" s="7">
        <v>45910.462000925923</v>
      </c>
      <c r="B180" s="6" t="s">
        <v>5</v>
      </c>
      <c r="C180" s="6" t="str">
        <f>VLOOKUP(B180,'Veri doğrulama'!D6:E13,2,0)</f>
        <v>MEHMET ÖZEN</v>
      </c>
      <c r="D180" s="6" t="s">
        <v>1123</v>
      </c>
      <c r="E180" s="6" t="s">
        <v>1124</v>
      </c>
      <c r="F180" s="6" t="s">
        <v>16</v>
      </c>
      <c r="G180" s="6" t="s">
        <v>34</v>
      </c>
      <c r="H180" s="6">
        <v>1800</v>
      </c>
      <c r="I180" s="6">
        <v>800</v>
      </c>
      <c r="J180" s="6">
        <v>1</v>
      </c>
      <c r="K180" s="10">
        <f t="shared" si="5"/>
        <v>1.44</v>
      </c>
      <c r="L180" s="6" t="s">
        <v>102</v>
      </c>
      <c r="M180" s="6"/>
      <c r="N180" s="6" t="s">
        <v>54</v>
      </c>
      <c r="O180" s="6" t="s">
        <v>54</v>
      </c>
      <c r="P180" s="6" t="s">
        <v>54</v>
      </c>
    </row>
    <row r="181" spans="1:16" ht="30" customHeight="1" x14ac:dyDescent="0.3">
      <c r="A181" s="7">
        <v>45909.607757291669</v>
      </c>
      <c r="B181" s="6" t="s">
        <v>5</v>
      </c>
      <c r="C181" s="6" t="str">
        <f>VLOOKUP(B181,'Veri doğrulama'!D6:E13,2,0)</f>
        <v>MEHMET ÖZEN</v>
      </c>
      <c r="D181" s="6" t="s">
        <v>1121</v>
      </c>
      <c r="E181" s="6" t="s">
        <v>1122</v>
      </c>
      <c r="F181" s="6" t="s">
        <v>1010</v>
      </c>
      <c r="G181" s="6" t="s">
        <v>35</v>
      </c>
      <c r="H181" s="6">
        <v>1900</v>
      </c>
      <c r="I181" s="6">
        <v>1380</v>
      </c>
      <c r="J181" s="6">
        <v>1</v>
      </c>
      <c r="K181" s="10">
        <f t="shared" si="5"/>
        <v>2.6219999999999999</v>
      </c>
      <c r="L181" s="6" t="s">
        <v>42</v>
      </c>
      <c r="M181" s="6" t="s">
        <v>853</v>
      </c>
      <c r="N181" s="6" t="s">
        <v>54</v>
      </c>
      <c r="O181" s="6" t="s">
        <v>54</v>
      </c>
      <c r="P181" s="6" t="s">
        <v>54</v>
      </c>
    </row>
    <row r="182" spans="1:16" ht="30" customHeight="1" x14ac:dyDescent="0.3">
      <c r="A182" s="7">
        <v>45909.457169328707</v>
      </c>
      <c r="B182" s="6" t="s">
        <v>5</v>
      </c>
      <c r="C182" s="6" t="str">
        <f>VLOOKUP(B182,'Veri doğrulama'!D6:E13,2,0)</f>
        <v>MEHMET ÖZEN</v>
      </c>
      <c r="D182" s="6"/>
      <c r="E182" s="6" t="s">
        <v>1120</v>
      </c>
      <c r="F182" s="6" t="s">
        <v>16</v>
      </c>
      <c r="G182" s="6" t="s">
        <v>34</v>
      </c>
      <c r="H182" s="6">
        <v>2600</v>
      </c>
      <c r="I182" s="6">
        <v>900</v>
      </c>
      <c r="J182" s="6">
        <v>1</v>
      </c>
      <c r="K182" s="10">
        <f t="shared" si="5"/>
        <v>2.34</v>
      </c>
      <c r="L182" s="6" t="s">
        <v>103</v>
      </c>
      <c r="M182" s="6"/>
      <c r="N182" s="6" t="s">
        <v>54</v>
      </c>
      <c r="O182" s="6" t="s">
        <v>54</v>
      </c>
      <c r="P182" s="6" t="s">
        <v>54</v>
      </c>
    </row>
    <row r="183" spans="1:16" ht="30" customHeight="1" x14ac:dyDescent="0.3">
      <c r="A183" s="7">
        <v>45909.377656712961</v>
      </c>
      <c r="B183" s="6" t="s">
        <v>5</v>
      </c>
      <c r="C183" s="6" t="str">
        <f>VLOOKUP(B183,'Veri doğrulama'!D6:E13,2,0)</f>
        <v>MEHMET ÖZEN</v>
      </c>
      <c r="D183" s="6"/>
      <c r="E183" s="6" t="s">
        <v>1119</v>
      </c>
      <c r="F183" s="6" t="s">
        <v>24</v>
      </c>
      <c r="G183" s="6" t="s">
        <v>34</v>
      </c>
      <c r="H183" s="6">
        <v>1790</v>
      </c>
      <c r="I183" s="6">
        <v>840</v>
      </c>
      <c r="J183" s="6">
        <v>1</v>
      </c>
      <c r="K183" s="10">
        <f t="shared" si="5"/>
        <v>1.5036</v>
      </c>
      <c r="L183" s="6" t="s">
        <v>43</v>
      </c>
      <c r="M183" s="6"/>
      <c r="N183" s="6" t="s">
        <v>54</v>
      </c>
      <c r="O183" s="6" t="s">
        <v>54</v>
      </c>
      <c r="P183" s="6" t="s">
        <v>54</v>
      </c>
    </row>
    <row r="184" spans="1:16" ht="30" customHeight="1" x14ac:dyDescent="0.3">
      <c r="A184" s="7">
        <v>45909.359490740739</v>
      </c>
      <c r="B184" s="6" t="s">
        <v>5</v>
      </c>
      <c r="C184" s="6" t="str">
        <f>VLOOKUP(B184,'Veri doğrulama'!D6:E13,2,0)</f>
        <v>MEHMET ÖZEN</v>
      </c>
      <c r="D184" s="6"/>
      <c r="E184" s="6" t="s">
        <v>1118</v>
      </c>
      <c r="F184" s="6" t="s">
        <v>16</v>
      </c>
      <c r="G184" s="6" t="s">
        <v>34</v>
      </c>
      <c r="H184" s="6">
        <v>2600</v>
      </c>
      <c r="I184" s="6">
        <v>900</v>
      </c>
      <c r="J184" s="6">
        <v>1</v>
      </c>
      <c r="K184" s="10">
        <f t="shared" si="5"/>
        <v>2.34</v>
      </c>
      <c r="L184" s="6" t="s">
        <v>43</v>
      </c>
      <c r="M184" s="6"/>
      <c r="N184" s="6" t="s">
        <v>54</v>
      </c>
      <c r="O184" s="6" t="s">
        <v>54</v>
      </c>
      <c r="P184" s="6" t="s">
        <v>54</v>
      </c>
    </row>
    <row r="185" spans="1:16" ht="30" customHeight="1" x14ac:dyDescent="0.3">
      <c r="A185" s="7">
        <v>45908.688687037036</v>
      </c>
      <c r="B185" s="6" t="s">
        <v>5</v>
      </c>
      <c r="C185" s="6" t="str">
        <f>VLOOKUP(B185,'Veri doğrulama'!D6:E13,2,0)</f>
        <v>MEHMET ÖZEN</v>
      </c>
      <c r="D185" s="6"/>
      <c r="E185" s="6" t="s">
        <v>1117</v>
      </c>
      <c r="F185" s="6" t="s">
        <v>29</v>
      </c>
      <c r="G185" s="6" t="s">
        <v>34</v>
      </c>
      <c r="H185" s="6">
        <v>762</v>
      </c>
      <c r="I185" s="6">
        <v>340</v>
      </c>
      <c r="J185" s="6">
        <v>1</v>
      </c>
      <c r="K185" s="10">
        <f t="shared" si="5"/>
        <v>0.25907999999999998</v>
      </c>
      <c r="L185" s="6" t="s">
        <v>75</v>
      </c>
      <c r="M185" s="6"/>
      <c r="N185" s="6" t="s">
        <v>54</v>
      </c>
      <c r="O185" s="6" t="s">
        <v>54</v>
      </c>
      <c r="P185" s="6" t="s">
        <v>54</v>
      </c>
    </row>
    <row r="186" spans="1:16" ht="30" customHeight="1" x14ac:dyDescent="0.3">
      <c r="A186" s="7">
        <v>45908.68661863426</v>
      </c>
      <c r="B186" s="6" t="s">
        <v>5</v>
      </c>
      <c r="C186" s="6" t="str">
        <f>VLOOKUP(B186,'Veri doğrulama'!D6:E13,2,0)</f>
        <v>MEHMET ÖZEN</v>
      </c>
      <c r="D186" s="6"/>
      <c r="E186" s="6" t="s">
        <v>1116</v>
      </c>
      <c r="F186" s="6" t="s">
        <v>18</v>
      </c>
      <c r="G186" s="6" t="s">
        <v>34</v>
      </c>
      <c r="H186" s="6">
        <v>2600</v>
      </c>
      <c r="I186" s="6">
        <v>300</v>
      </c>
      <c r="J186" s="6">
        <v>2</v>
      </c>
      <c r="K186" s="10">
        <f t="shared" si="5"/>
        <v>1.56</v>
      </c>
      <c r="L186" s="6" t="s">
        <v>75</v>
      </c>
      <c r="M186" s="6"/>
      <c r="N186" s="6" t="s">
        <v>54</v>
      </c>
      <c r="O186" s="6" t="s">
        <v>54</v>
      </c>
      <c r="P186" s="6" t="s">
        <v>54</v>
      </c>
    </row>
    <row r="187" spans="1:16" ht="30" customHeight="1" x14ac:dyDescent="0.3">
      <c r="A187" s="7">
        <v>45908.638197569446</v>
      </c>
      <c r="B187" s="6" t="s">
        <v>5</v>
      </c>
      <c r="C187" s="6" t="str">
        <f>VLOOKUP(B187,'Veri doğrulama'!D6:E13,2,0)</f>
        <v>MEHMET ÖZEN</v>
      </c>
      <c r="D187" s="6"/>
      <c r="E187" s="6" t="s">
        <v>1115</v>
      </c>
      <c r="F187" s="6" t="s">
        <v>18</v>
      </c>
      <c r="G187" s="6" t="s">
        <v>34</v>
      </c>
      <c r="H187" s="6">
        <v>2100</v>
      </c>
      <c r="I187" s="6">
        <v>1200</v>
      </c>
      <c r="J187" s="6">
        <v>1</v>
      </c>
      <c r="K187" s="10">
        <f t="shared" si="5"/>
        <v>2.52</v>
      </c>
      <c r="L187" s="6" t="s">
        <v>103</v>
      </c>
      <c r="M187" s="6"/>
      <c r="N187" s="6" t="s">
        <v>54</v>
      </c>
      <c r="O187" s="6" t="s">
        <v>54</v>
      </c>
      <c r="P187" s="6" t="s">
        <v>54</v>
      </c>
    </row>
    <row r="188" spans="1:16" ht="30" customHeight="1" x14ac:dyDescent="0.3">
      <c r="A188" s="7">
        <v>45908.57124085648</v>
      </c>
      <c r="B188" s="6" t="s">
        <v>5</v>
      </c>
      <c r="C188" s="6" t="str">
        <f>VLOOKUP(B188,'Veri doğrulama'!D6:E13,2,0)</f>
        <v>MEHMET ÖZEN</v>
      </c>
      <c r="D188" s="6"/>
      <c r="E188" s="6" t="s">
        <v>1114</v>
      </c>
      <c r="F188" s="6" t="s">
        <v>16</v>
      </c>
      <c r="G188" s="6" t="s">
        <v>34</v>
      </c>
      <c r="H188" s="6">
        <v>1488</v>
      </c>
      <c r="I188" s="6">
        <v>395</v>
      </c>
      <c r="J188" s="6">
        <v>2</v>
      </c>
      <c r="K188" s="10">
        <f t="shared" si="5"/>
        <v>1.1755199999999999</v>
      </c>
      <c r="L188" s="6" t="s">
        <v>37</v>
      </c>
      <c r="M188" s="6"/>
      <c r="N188" s="6" t="s">
        <v>54</v>
      </c>
      <c r="O188" s="6" t="s">
        <v>54</v>
      </c>
      <c r="P188" s="6" t="s">
        <v>54</v>
      </c>
    </row>
    <row r="189" spans="1:16" ht="30" customHeight="1" x14ac:dyDescent="0.3">
      <c r="A189" s="7">
        <v>45908.506147106484</v>
      </c>
      <c r="B189" s="6" t="s">
        <v>5</v>
      </c>
      <c r="C189" s="6" t="str">
        <f>VLOOKUP(B189,'Veri doğrulama'!D6:E13,2,0)</f>
        <v>MEHMET ÖZEN</v>
      </c>
      <c r="D189" s="6"/>
      <c r="E189" s="6" t="s">
        <v>631</v>
      </c>
      <c r="F189" s="6" t="s">
        <v>26</v>
      </c>
      <c r="G189" s="6" t="s">
        <v>33</v>
      </c>
      <c r="H189" s="6">
        <v>2390</v>
      </c>
      <c r="I189" s="6">
        <v>410</v>
      </c>
      <c r="J189" s="6">
        <v>1</v>
      </c>
      <c r="K189" s="10">
        <f t="shared" si="5"/>
        <v>0.97989999999999999</v>
      </c>
      <c r="L189" s="6" t="s">
        <v>38</v>
      </c>
      <c r="M189" s="6" t="s">
        <v>1113</v>
      </c>
      <c r="N189" s="6" t="s">
        <v>54</v>
      </c>
      <c r="O189" s="6" t="s">
        <v>54</v>
      </c>
      <c r="P189" s="6" t="s">
        <v>54</v>
      </c>
    </row>
    <row r="190" spans="1:16" ht="30" customHeight="1" x14ac:dyDescent="0.3">
      <c r="A190" s="7">
        <v>45908.467055208333</v>
      </c>
      <c r="B190" s="6" t="s">
        <v>4</v>
      </c>
      <c r="C190" s="6" t="str">
        <f>VLOOKUP(B190,'Veri doğrulama'!D6:E13,2,0)</f>
        <v>MEHMET YAZICI</v>
      </c>
      <c r="D190" s="6"/>
      <c r="E190" s="6" t="s">
        <v>80</v>
      </c>
      <c r="F190" s="6" t="s">
        <v>19</v>
      </c>
      <c r="G190" s="6" t="s">
        <v>34</v>
      </c>
      <c r="H190" s="6">
        <v>1400</v>
      </c>
      <c r="I190" s="6">
        <v>800</v>
      </c>
      <c r="J190" s="6">
        <v>1</v>
      </c>
      <c r="K190" s="10">
        <f t="shared" si="5"/>
        <v>1.1200000000000001</v>
      </c>
      <c r="L190" s="6" t="s">
        <v>103</v>
      </c>
      <c r="M190" s="6"/>
      <c r="N190" s="6" t="s">
        <v>54</v>
      </c>
      <c r="O190" s="6" t="s">
        <v>54</v>
      </c>
      <c r="P190" s="6" t="s">
        <v>54</v>
      </c>
    </row>
    <row r="191" spans="1:16" ht="30" customHeight="1" x14ac:dyDescent="0.3">
      <c r="A191" s="7">
        <v>45908.396330902775</v>
      </c>
      <c r="B191" s="6" t="s">
        <v>5</v>
      </c>
      <c r="C191" s="6" t="str">
        <f>VLOOKUP(B191,'Veri doğrulama'!D6:E13,2,0)</f>
        <v>MEHMET ÖZEN</v>
      </c>
      <c r="D191" s="6" t="s">
        <v>1111</v>
      </c>
      <c r="E191" s="6" t="s">
        <v>1112</v>
      </c>
      <c r="F191" s="6" t="s">
        <v>15</v>
      </c>
      <c r="G191" s="6" t="s">
        <v>34</v>
      </c>
      <c r="H191" s="6">
        <v>1600</v>
      </c>
      <c r="I191" s="6">
        <v>1600</v>
      </c>
      <c r="J191" s="6">
        <v>1</v>
      </c>
      <c r="K191" s="10">
        <f t="shared" si="5"/>
        <v>2.56</v>
      </c>
      <c r="L191" s="6" t="s">
        <v>156</v>
      </c>
      <c r="M191" s="6"/>
      <c r="N191" s="6" t="s">
        <v>54</v>
      </c>
      <c r="O191" s="6" t="s">
        <v>54</v>
      </c>
      <c r="P191" s="6" t="s">
        <v>54</v>
      </c>
    </row>
    <row r="192" spans="1:16" ht="30" customHeight="1" x14ac:dyDescent="0.3">
      <c r="A192" s="7">
        <v>45905.663768981482</v>
      </c>
      <c r="B192" s="6" t="s">
        <v>4</v>
      </c>
      <c r="C192" s="6" t="str">
        <f>VLOOKUP(B192,'Veri doğrulama'!D6:E13,2,0)</f>
        <v>MEHMET YAZICI</v>
      </c>
      <c r="D192" s="6"/>
      <c r="E192" s="6" t="s">
        <v>1109</v>
      </c>
      <c r="F192" s="6" t="s">
        <v>16</v>
      </c>
      <c r="G192" s="6" t="s">
        <v>34</v>
      </c>
      <c r="H192" s="6">
        <v>1790</v>
      </c>
      <c r="I192" s="6">
        <v>840</v>
      </c>
      <c r="J192" s="6">
        <v>1</v>
      </c>
      <c r="K192" s="10">
        <f t="shared" ref="K192:K223" si="6">H192*I192/1000000*J192</f>
        <v>1.5036</v>
      </c>
      <c r="L192" s="6" t="s">
        <v>42</v>
      </c>
      <c r="M192" s="6" t="s">
        <v>1110</v>
      </c>
      <c r="N192" s="6" t="s">
        <v>54</v>
      </c>
      <c r="O192" s="6" t="s">
        <v>54</v>
      </c>
      <c r="P192" s="6" t="s">
        <v>54</v>
      </c>
    </row>
    <row r="193" spans="1:16" ht="30" customHeight="1" x14ac:dyDescent="0.3">
      <c r="A193" s="7">
        <v>45905.581993865744</v>
      </c>
      <c r="B193" s="6" t="s">
        <v>5</v>
      </c>
      <c r="C193" s="6" t="str">
        <f>VLOOKUP(B193,'Veri doğrulama'!D6:E13,2,0)</f>
        <v>MEHMET ÖZEN</v>
      </c>
      <c r="D193" s="6"/>
      <c r="E193" s="6" t="s">
        <v>1108</v>
      </c>
      <c r="F193" s="6" t="s">
        <v>15</v>
      </c>
      <c r="G193" s="6" t="s">
        <v>34</v>
      </c>
      <c r="H193" s="6">
        <v>1400</v>
      </c>
      <c r="I193" s="6">
        <v>800</v>
      </c>
      <c r="J193" s="6">
        <v>2</v>
      </c>
      <c r="K193" s="10">
        <f t="shared" si="6"/>
        <v>2.2400000000000002</v>
      </c>
      <c r="L193" s="6" t="s">
        <v>102</v>
      </c>
      <c r="M193" s="6"/>
      <c r="N193" s="6" t="s">
        <v>54</v>
      </c>
      <c r="O193" s="6" t="s">
        <v>54</v>
      </c>
      <c r="P193" s="6" t="s">
        <v>54</v>
      </c>
    </row>
    <row r="194" spans="1:16" ht="30" customHeight="1" x14ac:dyDescent="0.3">
      <c r="A194" s="7">
        <v>45905.577961689814</v>
      </c>
      <c r="B194" s="6" t="s">
        <v>5</v>
      </c>
      <c r="C194" s="6" t="str">
        <f>VLOOKUP(B194,'Veri doğrulama'!D6:E13,2,0)</f>
        <v>MEHMET ÖZEN</v>
      </c>
      <c r="D194" s="6"/>
      <c r="E194" s="6" t="s">
        <v>177</v>
      </c>
      <c r="F194" s="6" t="s">
        <v>15</v>
      </c>
      <c r="G194" s="6" t="s">
        <v>34</v>
      </c>
      <c r="H194" s="6">
        <v>1400</v>
      </c>
      <c r="I194" s="6">
        <v>800</v>
      </c>
      <c r="J194" s="6">
        <v>1</v>
      </c>
      <c r="K194" s="10">
        <f t="shared" si="6"/>
        <v>1.1200000000000001</v>
      </c>
      <c r="L194" s="6" t="s">
        <v>156</v>
      </c>
      <c r="M194" s="6"/>
      <c r="N194" s="6" t="s">
        <v>54</v>
      </c>
      <c r="O194" s="6" t="s">
        <v>54</v>
      </c>
      <c r="P194" s="6" t="s">
        <v>54</v>
      </c>
    </row>
    <row r="195" spans="1:16" ht="30" customHeight="1" x14ac:dyDescent="0.3">
      <c r="A195" s="7">
        <v>45905.44069502315</v>
      </c>
      <c r="B195" s="6" t="s">
        <v>5</v>
      </c>
      <c r="C195" s="6" t="str">
        <f>VLOOKUP(B195,'Veri doğrulama'!D6:E13,2,0)</f>
        <v>MEHMET ÖZEN</v>
      </c>
      <c r="D195" s="6"/>
      <c r="E195" s="6" t="s">
        <v>1107</v>
      </c>
      <c r="F195" s="6" t="s">
        <v>18</v>
      </c>
      <c r="G195" s="6" t="s">
        <v>34</v>
      </c>
      <c r="H195" s="6">
        <v>1900</v>
      </c>
      <c r="I195" s="6">
        <v>1100</v>
      </c>
      <c r="J195" s="6">
        <v>1</v>
      </c>
      <c r="K195" s="10">
        <f t="shared" si="6"/>
        <v>2.09</v>
      </c>
      <c r="L195" s="6" t="s">
        <v>103</v>
      </c>
      <c r="M195" s="6"/>
      <c r="N195" s="6" t="s">
        <v>54</v>
      </c>
      <c r="O195" s="6" t="s">
        <v>54</v>
      </c>
      <c r="P195" s="6" t="s">
        <v>54</v>
      </c>
    </row>
    <row r="196" spans="1:16" ht="30" customHeight="1" x14ac:dyDescent="0.3">
      <c r="A196" s="7">
        <v>45905.379883217596</v>
      </c>
      <c r="B196" s="6" t="s">
        <v>5</v>
      </c>
      <c r="C196" s="6" t="str">
        <f>VLOOKUP(B196,'Veri doğrulama'!D6:E13,2,0)</f>
        <v>MEHMET ÖZEN</v>
      </c>
      <c r="D196" s="6"/>
      <c r="E196" s="6" t="s">
        <v>1106</v>
      </c>
      <c r="F196" s="6" t="s">
        <v>16</v>
      </c>
      <c r="G196" s="6" t="s">
        <v>34</v>
      </c>
      <c r="H196" s="6">
        <v>1600</v>
      </c>
      <c r="I196" s="6">
        <v>800</v>
      </c>
      <c r="J196" s="6">
        <v>1</v>
      </c>
      <c r="K196" s="10">
        <f t="shared" si="6"/>
        <v>1.28</v>
      </c>
      <c r="L196" s="6" t="s">
        <v>75</v>
      </c>
      <c r="M196" s="6"/>
      <c r="N196" s="6" t="s">
        <v>54</v>
      </c>
      <c r="O196" s="6" t="s">
        <v>54</v>
      </c>
      <c r="P196" s="6" t="s">
        <v>54</v>
      </c>
    </row>
    <row r="197" spans="1:16" ht="30" customHeight="1" x14ac:dyDescent="0.3">
      <c r="A197" s="7">
        <v>45905.367407175923</v>
      </c>
      <c r="B197" s="6" t="s">
        <v>5</v>
      </c>
      <c r="C197" s="6" t="str">
        <f>VLOOKUP(B197,'Veri doğrulama'!D6:E13,2,0)</f>
        <v>MEHMET ÖZEN</v>
      </c>
      <c r="D197" s="6"/>
      <c r="E197" s="6" t="s">
        <v>1105</v>
      </c>
      <c r="F197" s="6" t="s">
        <v>19</v>
      </c>
      <c r="G197" s="6" t="s">
        <v>35</v>
      </c>
      <c r="H197" s="6">
        <v>540</v>
      </c>
      <c r="I197" s="6">
        <v>540</v>
      </c>
      <c r="J197" s="6">
        <v>1</v>
      </c>
      <c r="K197" s="10">
        <f t="shared" si="6"/>
        <v>0.29160000000000003</v>
      </c>
      <c r="L197" s="6" t="s">
        <v>103</v>
      </c>
      <c r="M197" s="6"/>
      <c r="N197" s="6" t="s">
        <v>54</v>
      </c>
      <c r="O197" s="6" t="s">
        <v>54</v>
      </c>
      <c r="P197" s="6" t="s">
        <v>54</v>
      </c>
    </row>
    <row r="198" spans="1:16" ht="30" customHeight="1" x14ac:dyDescent="0.3">
      <c r="A198" s="7">
        <v>45905.366338888889</v>
      </c>
      <c r="B198" s="6" t="s">
        <v>5</v>
      </c>
      <c r="C198" s="6" t="str">
        <f>VLOOKUP(B198,'Veri doğrulama'!D6:E13,2,0)</f>
        <v>MEHMET ÖZEN</v>
      </c>
      <c r="D198" s="6"/>
      <c r="E198" s="6" t="s">
        <v>1104</v>
      </c>
      <c r="F198" s="6" t="s">
        <v>19</v>
      </c>
      <c r="G198" s="6" t="s">
        <v>35</v>
      </c>
      <c r="H198" s="6">
        <v>1320</v>
      </c>
      <c r="I198" s="6">
        <v>1320</v>
      </c>
      <c r="J198" s="6">
        <v>1</v>
      </c>
      <c r="K198" s="10">
        <f t="shared" si="6"/>
        <v>1.7423999999999999</v>
      </c>
      <c r="L198" s="6" t="s">
        <v>43</v>
      </c>
      <c r="M198" s="6" t="s">
        <v>468</v>
      </c>
      <c r="N198" s="6" t="s">
        <v>54</v>
      </c>
      <c r="O198" s="6" t="s">
        <v>54</v>
      </c>
      <c r="P198" s="6" t="s">
        <v>54</v>
      </c>
    </row>
    <row r="199" spans="1:16" ht="30" customHeight="1" x14ac:dyDescent="0.3">
      <c r="A199" s="7">
        <v>45904.604721412034</v>
      </c>
      <c r="B199" s="6" t="s">
        <v>5</v>
      </c>
      <c r="C199" s="6" t="str">
        <f>VLOOKUP(B199,'Veri doğrulama'!D6:E13,2,0)</f>
        <v>MEHMET ÖZEN</v>
      </c>
      <c r="D199" s="6"/>
      <c r="E199" s="6" t="s">
        <v>1103</v>
      </c>
      <c r="F199" s="6" t="s">
        <v>16</v>
      </c>
      <c r="G199" s="6" t="s">
        <v>34</v>
      </c>
      <c r="H199" s="6">
        <v>1870</v>
      </c>
      <c r="I199" s="6">
        <v>850</v>
      </c>
      <c r="J199" s="6">
        <v>1</v>
      </c>
      <c r="K199" s="10">
        <f t="shared" si="6"/>
        <v>1.5894999999999999</v>
      </c>
      <c r="L199" s="6" t="s">
        <v>156</v>
      </c>
      <c r="M199" s="6"/>
      <c r="N199" s="6" t="s">
        <v>54</v>
      </c>
      <c r="O199" s="6" t="s">
        <v>54</v>
      </c>
      <c r="P199" s="6" t="s">
        <v>54</v>
      </c>
    </row>
    <row r="200" spans="1:16" ht="30" customHeight="1" x14ac:dyDescent="0.3">
      <c r="A200" s="7">
        <v>45904.604121064818</v>
      </c>
      <c r="B200" s="6" t="s">
        <v>5</v>
      </c>
      <c r="C200" s="6" t="str">
        <f>VLOOKUP(B200,'Veri doğrulama'!D6:E13,2,0)</f>
        <v>MEHMET ÖZEN</v>
      </c>
      <c r="D200" s="6"/>
      <c r="E200" s="6" t="s">
        <v>1102</v>
      </c>
      <c r="F200" s="6" t="s">
        <v>16</v>
      </c>
      <c r="G200" s="6" t="s">
        <v>34</v>
      </c>
      <c r="H200" s="6">
        <v>1750</v>
      </c>
      <c r="I200" s="6">
        <v>850</v>
      </c>
      <c r="J200" s="6">
        <v>2</v>
      </c>
      <c r="K200" s="10">
        <f t="shared" si="6"/>
        <v>2.9750000000000001</v>
      </c>
      <c r="L200" s="6" t="s">
        <v>156</v>
      </c>
      <c r="M200" s="6"/>
      <c r="N200" s="6" t="s">
        <v>54</v>
      </c>
      <c r="O200" s="6" t="s">
        <v>54</v>
      </c>
      <c r="P200" s="6" t="s">
        <v>54</v>
      </c>
    </row>
    <row r="201" spans="1:16" ht="30" customHeight="1" x14ac:dyDescent="0.3">
      <c r="A201" s="7">
        <v>45904.406609837963</v>
      </c>
      <c r="B201" s="6" t="s">
        <v>5</v>
      </c>
      <c r="C201" s="6" t="str">
        <f>VLOOKUP(B201,'Veri doğrulama'!D6:E13,2,0)</f>
        <v>MEHMET ÖZEN</v>
      </c>
      <c r="D201" s="6"/>
      <c r="E201" s="6" t="s">
        <v>1101</v>
      </c>
      <c r="F201" s="6" t="s">
        <v>19</v>
      </c>
      <c r="G201" s="6" t="s">
        <v>35</v>
      </c>
      <c r="H201" s="6">
        <v>540</v>
      </c>
      <c r="I201" s="6">
        <v>540</v>
      </c>
      <c r="J201" s="6">
        <v>1</v>
      </c>
      <c r="K201" s="10">
        <f t="shared" si="6"/>
        <v>0.29160000000000003</v>
      </c>
      <c r="L201" s="6" t="s">
        <v>103</v>
      </c>
      <c r="M201" s="6"/>
      <c r="N201" s="6" t="s">
        <v>54</v>
      </c>
      <c r="O201" s="6" t="s">
        <v>54</v>
      </c>
      <c r="P201" s="6" t="s">
        <v>54</v>
      </c>
    </row>
    <row r="202" spans="1:16" ht="30" customHeight="1" x14ac:dyDescent="0.3">
      <c r="A202" s="7">
        <v>45904.373875925929</v>
      </c>
      <c r="B202" s="6" t="s">
        <v>4</v>
      </c>
      <c r="C202" s="6" t="str">
        <f>VLOOKUP(B202,'Veri doğrulama'!D6:E13,2,0)</f>
        <v>MEHMET YAZICI</v>
      </c>
      <c r="D202" s="6"/>
      <c r="E202" s="6" t="s">
        <v>99</v>
      </c>
      <c r="F202" s="6" t="s">
        <v>15</v>
      </c>
      <c r="G202" s="6" t="s">
        <v>34</v>
      </c>
      <c r="H202" s="6">
        <v>1100</v>
      </c>
      <c r="I202" s="6">
        <v>360</v>
      </c>
      <c r="J202" s="6">
        <v>1</v>
      </c>
      <c r="K202" s="10">
        <f t="shared" si="6"/>
        <v>0.39600000000000002</v>
      </c>
      <c r="L202" s="6" t="s">
        <v>103</v>
      </c>
      <c r="M202" s="6"/>
      <c r="N202" s="6" t="s">
        <v>54</v>
      </c>
      <c r="O202" s="6" t="s">
        <v>54</v>
      </c>
      <c r="P202" s="6" t="s">
        <v>54</v>
      </c>
    </row>
    <row r="203" spans="1:16" ht="30" customHeight="1" x14ac:dyDescent="0.3">
      <c r="A203" s="7">
        <v>45904.373435879628</v>
      </c>
      <c r="B203" s="6" t="s">
        <v>4</v>
      </c>
      <c r="C203" s="6" t="str">
        <f>VLOOKUP(B203,'Veri doğrulama'!D6:E13,2,0)</f>
        <v>MEHMET YAZICI</v>
      </c>
      <c r="D203" s="6"/>
      <c r="E203" s="6" t="s">
        <v>1100</v>
      </c>
      <c r="F203" s="6" t="s">
        <v>26</v>
      </c>
      <c r="G203" s="6" t="s">
        <v>34</v>
      </c>
      <c r="H203" s="6">
        <v>324</v>
      </c>
      <c r="I203" s="6">
        <v>382</v>
      </c>
      <c r="J203" s="6">
        <v>1</v>
      </c>
      <c r="K203" s="10">
        <f t="shared" si="6"/>
        <v>0.123768</v>
      </c>
      <c r="L203" s="6" t="s">
        <v>75</v>
      </c>
      <c r="M203" s="6"/>
      <c r="N203" s="6" t="s">
        <v>54</v>
      </c>
      <c r="O203" s="6" t="s">
        <v>54</v>
      </c>
      <c r="P203" s="6" t="s">
        <v>54</v>
      </c>
    </row>
    <row r="204" spans="1:16" ht="30" customHeight="1" x14ac:dyDescent="0.3">
      <c r="A204" s="7">
        <v>45904.372596180554</v>
      </c>
      <c r="B204" s="6" t="s">
        <v>4</v>
      </c>
      <c r="C204" s="6" t="str">
        <f>VLOOKUP(B204,'Veri doğrulama'!D6:E13,2,0)</f>
        <v>MEHMET YAZICI</v>
      </c>
      <c r="D204" s="6"/>
      <c r="E204" s="6" t="s">
        <v>1099</v>
      </c>
      <c r="F204" s="6" t="s">
        <v>18</v>
      </c>
      <c r="G204" s="6" t="s">
        <v>34</v>
      </c>
      <c r="H204" s="6">
        <v>1600</v>
      </c>
      <c r="I204" s="6">
        <v>1600</v>
      </c>
      <c r="J204" s="6">
        <v>1</v>
      </c>
      <c r="K204" s="10">
        <f t="shared" si="6"/>
        <v>2.56</v>
      </c>
      <c r="L204" s="6" t="s">
        <v>42</v>
      </c>
      <c r="M204" s="6"/>
      <c r="N204" s="6" t="s">
        <v>54</v>
      </c>
      <c r="O204" s="6" t="s">
        <v>54</v>
      </c>
      <c r="P204" s="6" t="s">
        <v>54</v>
      </c>
    </row>
    <row r="205" spans="1:16" ht="30" customHeight="1" x14ac:dyDescent="0.3">
      <c r="A205" s="7">
        <v>45904.36957210648</v>
      </c>
      <c r="B205" s="6" t="s">
        <v>4</v>
      </c>
      <c r="C205" s="6" t="str">
        <f>VLOOKUP(B205,'Veri doğrulama'!D6:E13,2,0)</f>
        <v>MEHMET YAZICI</v>
      </c>
      <c r="D205" s="6"/>
      <c r="E205" s="6" t="s">
        <v>1098</v>
      </c>
      <c r="F205" s="6" t="s">
        <v>20</v>
      </c>
      <c r="G205" s="6" t="s">
        <v>34</v>
      </c>
      <c r="H205" s="6">
        <v>1600</v>
      </c>
      <c r="I205" s="6">
        <v>1600</v>
      </c>
      <c r="J205" s="6">
        <v>1</v>
      </c>
      <c r="K205" s="10">
        <f t="shared" si="6"/>
        <v>2.56</v>
      </c>
      <c r="L205" s="6" t="s">
        <v>103</v>
      </c>
      <c r="M205" s="6"/>
      <c r="N205" s="6" t="s">
        <v>54</v>
      </c>
      <c r="O205" s="6" t="s">
        <v>54</v>
      </c>
      <c r="P205" s="6" t="s">
        <v>54</v>
      </c>
    </row>
    <row r="206" spans="1:16" ht="30" customHeight="1" x14ac:dyDescent="0.3">
      <c r="A206" s="7">
        <v>45903.621305208333</v>
      </c>
      <c r="B206" s="6" t="s">
        <v>5</v>
      </c>
      <c r="C206" s="6" t="str">
        <f>VLOOKUP(B206,'Veri doğrulama'!D6:E13,2,0)</f>
        <v>MEHMET ÖZEN</v>
      </c>
      <c r="D206" s="6"/>
      <c r="E206" s="6" t="s">
        <v>1097</v>
      </c>
      <c r="F206" s="6" t="s">
        <v>15</v>
      </c>
      <c r="G206" s="6" t="s">
        <v>34</v>
      </c>
      <c r="H206" s="6">
        <v>1400</v>
      </c>
      <c r="I206" s="6">
        <v>600</v>
      </c>
      <c r="J206" s="6">
        <v>1</v>
      </c>
      <c r="K206" s="10">
        <f t="shared" si="6"/>
        <v>0.84</v>
      </c>
      <c r="L206" s="6" t="s">
        <v>103</v>
      </c>
      <c r="M206" s="6"/>
      <c r="N206" s="6" t="s">
        <v>54</v>
      </c>
      <c r="O206" s="6" t="s">
        <v>54</v>
      </c>
      <c r="P206" s="6" t="s">
        <v>54</v>
      </c>
    </row>
    <row r="207" spans="1:16" ht="30" customHeight="1" x14ac:dyDescent="0.3">
      <c r="A207" s="7">
        <v>45903.620449074071</v>
      </c>
      <c r="B207" s="6" t="s">
        <v>5</v>
      </c>
      <c r="C207" s="6" t="str">
        <f>VLOOKUP(B207,'Veri doğrulama'!D6:E13,2,0)</f>
        <v>MEHMET ÖZEN</v>
      </c>
      <c r="D207" s="6"/>
      <c r="E207" s="6" t="s">
        <v>1096</v>
      </c>
      <c r="F207" s="6" t="s">
        <v>18</v>
      </c>
      <c r="G207" s="6" t="s">
        <v>34</v>
      </c>
      <c r="H207" s="6">
        <v>2000</v>
      </c>
      <c r="I207" s="6">
        <v>1000</v>
      </c>
      <c r="J207" s="6">
        <v>1</v>
      </c>
      <c r="K207" s="10">
        <f t="shared" si="6"/>
        <v>2</v>
      </c>
      <c r="L207" s="6" t="s">
        <v>43</v>
      </c>
      <c r="M207" s="6"/>
      <c r="N207" s="6" t="s">
        <v>54</v>
      </c>
      <c r="O207" s="6" t="s">
        <v>54</v>
      </c>
      <c r="P207" s="6" t="s">
        <v>54</v>
      </c>
    </row>
    <row r="208" spans="1:16" ht="30" customHeight="1" x14ac:dyDescent="0.3">
      <c r="A208" s="7">
        <v>45903.609189930554</v>
      </c>
      <c r="B208" s="6" t="s">
        <v>5</v>
      </c>
      <c r="C208" s="6" t="str">
        <f>VLOOKUP(B208,'Veri doğrulama'!D6:E13,2,0)</f>
        <v>MEHMET ÖZEN</v>
      </c>
      <c r="D208" s="6"/>
      <c r="E208" s="6" t="s">
        <v>1077</v>
      </c>
      <c r="F208" s="6" t="s">
        <v>19</v>
      </c>
      <c r="G208" s="6" t="s">
        <v>34</v>
      </c>
      <c r="H208" s="6">
        <v>2386</v>
      </c>
      <c r="I208" s="6">
        <v>350</v>
      </c>
      <c r="J208" s="6">
        <v>1</v>
      </c>
      <c r="K208" s="10">
        <f t="shared" si="6"/>
        <v>0.83509999999999995</v>
      </c>
      <c r="L208" s="6" t="s">
        <v>596</v>
      </c>
      <c r="M208" s="6"/>
      <c r="N208" s="6" t="s">
        <v>54</v>
      </c>
      <c r="O208" s="6" t="s">
        <v>54</v>
      </c>
      <c r="P208" s="6" t="s">
        <v>54</v>
      </c>
    </row>
    <row r="209" spans="1:16" ht="30" customHeight="1" x14ac:dyDescent="0.3">
      <c r="A209" s="7">
        <v>45903.592368171296</v>
      </c>
      <c r="B209" s="6" t="s">
        <v>5</v>
      </c>
      <c r="C209" s="6" t="str">
        <f>VLOOKUP(B209,'Veri doğrulama'!D6:E13,2,0)</f>
        <v>MEHMET ÖZEN</v>
      </c>
      <c r="D209" s="6"/>
      <c r="E209" s="6" t="s">
        <v>1095</v>
      </c>
      <c r="F209" s="6" t="s">
        <v>146</v>
      </c>
      <c r="G209" s="6" t="s">
        <v>34</v>
      </c>
      <c r="H209" s="6">
        <v>800</v>
      </c>
      <c r="I209" s="6">
        <v>450</v>
      </c>
      <c r="J209" s="6">
        <v>1</v>
      </c>
      <c r="K209" s="10">
        <f t="shared" si="6"/>
        <v>0.36</v>
      </c>
      <c r="L209" s="6" t="s">
        <v>103</v>
      </c>
      <c r="M209" s="6"/>
      <c r="N209" s="6" t="s">
        <v>54</v>
      </c>
      <c r="O209" s="6" t="s">
        <v>54</v>
      </c>
      <c r="P209" s="6" t="s">
        <v>54</v>
      </c>
    </row>
    <row r="210" spans="1:16" ht="30" customHeight="1" x14ac:dyDescent="0.3">
      <c r="A210" s="7">
        <v>45903.59053587963</v>
      </c>
      <c r="B210" s="6" t="s">
        <v>5</v>
      </c>
      <c r="C210" s="6" t="str">
        <f>VLOOKUP(B210,'Veri doğrulama'!D6:E13,2,0)</f>
        <v>MEHMET ÖZEN</v>
      </c>
      <c r="D210" s="6"/>
      <c r="E210" s="6" t="s">
        <v>1094</v>
      </c>
      <c r="F210" s="6" t="s">
        <v>146</v>
      </c>
      <c r="G210" s="6" t="s">
        <v>34</v>
      </c>
      <c r="H210" s="6">
        <v>2000</v>
      </c>
      <c r="I210" s="6">
        <v>550</v>
      </c>
      <c r="J210" s="6">
        <v>1</v>
      </c>
      <c r="K210" s="10">
        <f t="shared" si="6"/>
        <v>1.1000000000000001</v>
      </c>
      <c r="L210" s="6" t="s">
        <v>38</v>
      </c>
      <c r="M210" s="6"/>
      <c r="N210" s="6" t="s">
        <v>54</v>
      </c>
      <c r="O210" s="6" t="s">
        <v>54</v>
      </c>
      <c r="P210" s="6" t="s">
        <v>54</v>
      </c>
    </row>
    <row r="211" spans="1:16" ht="30" customHeight="1" x14ac:dyDescent="0.3">
      <c r="A211" s="7">
        <v>45903.575306597224</v>
      </c>
      <c r="B211" s="6" t="s">
        <v>4</v>
      </c>
      <c r="C211" s="6" t="str">
        <f>VLOOKUP(B211,'Veri doğrulama'!D6:E13,2,0)</f>
        <v>MEHMET YAZICI</v>
      </c>
      <c r="D211" s="6">
        <v>24347</v>
      </c>
      <c r="E211" s="6" t="s">
        <v>1093</v>
      </c>
      <c r="F211" s="6" t="s">
        <v>15</v>
      </c>
      <c r="G211" s="6" t="s">
        <v>34</v>
      </c>
      <c r="H211" s="6">
        <v>800</v>
      </c>
      <c r="I211" s="6">
        <v>360</v>
      </c>
      <c r="J211" s="6">
        <v>2</v>
      </c>
      <c r="K211" s="10">
        <f t="shared" si="6"/>
        <v>0.57599999999999996</v>
      </c>
      <c r="L211" s="6" t="s">
        <v>43</v>
      </c>
      <c r="M211" s="6"/>
      <c r="N211" s="6" t="s">
        <v>54</v>
      </c>
      <c r="O211" s="6" t="s">
        <v>54</v>
      </c>
      <c r="P211" s="6" t="s">
        <v>54</v>
      </c>
    </row>
    <row r="212" spans="1:16" ht="30" customHeight="1" x14ac:dyDescent="0.3">
      <c r="A212" s="7">
        <v>45903.574449537038</v>
      </c>
      <c r="B212" s="6" t="s">
        <v>4</v>
      </c>
      <c r="C212" s="6" t="str">
        <f>VLOOKUP(B212,'Veri doğrulama'!D6:E13,2,0)</f>
        <v>MEHMET YAZICI</v>
      </c>
      <c r="D212" s="6"/>
      <c r="E212" s="6" t="s">
        <v>1092</v>
      </c>
      <c r="F212" s="6" t="s">
        <v>15</v>
      </c>
      <c r="G212" s="6" t="s">
        <v>34</v>
      </c>
      <c r="H212" s="6">
        <v>110</v>
      </c>
      <c r="I212" s="6">
        <v>360</v>
      </c>
      <c r="J212" s="6">
        <v>1</v>
      </c>
      <c r="K212" s="10">
        <f t="shared" si="6"/>
        <v>3.9600000000000003E-2</v>
      </c>
      <c r="L212" s="6" t="s">
        <v>103</v>
      </c>
      <c r="M212" s="6"/>
      <c r="N212" s="6" t="s">
        <v>54</v>
      </c>
      <c r="O212" s="6" t="s">
        <v>54</v>
      </c>
      <c r="P212" s="6" t="s">
        <v>54</v>
      </c>
    </row>
    <row r="213" spans="1:16" ht="30" customHeight="1" x14ac:dyDescent="0.3">
      <c r="A213" s="7">
        <v>45903.573698379631</v>
      </c>
      <c r="B213" s="6" t="s">
        <v>4</v>
      </c>
      <c r="C213" s="6" t="str">
        <f>VLOOKUP(B213,'Veri doğrulama'!D6:E13,2,0)</f>
        <v>MEHMET YAZICI</v>
      </c>
      <c r="D213" s="6"/>
      <c r="E213" s="6" t="s">
        <v>1091</v>
      </c>
      <c r="F213" s="6" t="s">
        <v>15</v>
      </c>
      <c r="G213" s="6" t="s">
        <v>34</v>
      </c>
      <c r="H213" s="6">
        <v>760</v>
      </c>
      <c r="I213" s="6">
        <v>320</v>
      </c>
      <c r="J213" s="6">
        <v>1</v>
      </c>
      <c r="K213" s="10">
        <f t="shared" si="6"/>
        <v>0.2432</v>
      </c>
      <c r="L213" s="6" t="s">
        <v>43</v>
      </c>
      <c r="M213" s="6" t="s">
        <v>526</v>
      </c>
      <c r="N213" s="6" t="s">
        <v>54</v>
      </c>
      <c r="O213" s="6" t="s">
        <v>54</v>
      </c>
      <c r="P213" s="6" t="s">
        <v>54</v>
      </c>
    </row>
    <row r="214" spans="1:16" ht="30" customHeight="1" x14ac:dyDescent="0.3">
      <c r="A214" s="7">
        <v>45903.568444097225</v>
      </c>
      <c r="B214" s="6" t="s">
        <v>4</v>
      </c>
      <c r="C214" s="6" t="str">
        <f>VLOOKUP(B214,'Veri doğrulama'!D6:E13,2,0)</f>
        <v>MEHMET YAZICI</v>
      </c>
      <c r="D214" s="6"/>
      <c r="E214" s="6" t="s">
        <v>1090</v>
      </c>
      <c r="F214" s="6" t="s">
        <v>15</v>
      </c>
      <c r="G214" s="6" t="s">
        <v>34</v>
      </c>
      <c r="H214" s="6">
        <v>1400</v>
      </c>
      <c r="I214" s="6">
        <v>800</v>
      </c>
      <c r="J214" s="6">
        <v>3</v>
      </c>
      <c r="K214" s="10">
        <f t="shared" si="6"/>
        <v>3.3600000000000003</v>
      </c>
      <c r="L214" s="6" t="s">
        <v>103</v>
      </c>
      <c r="M214" s="6" t="s">
        <v>651</v>
      </c>
      <c r="N214" s="6" t="s">
        <v>54</v>
      </c>
      <c r="O214" s="6" t="s">
        <v>54</v>
      </c>
      <c r="P214" s="6" t="s">
        <v>54</v>
      </c>
    </row>
    <row r="215" spans="1:16" ht="30" customHeight="1" x14ac:dyDescent="0.3">
      <c r="A215" s="7">
        <v>45903.428888425929</v>
      </c>
      <c r="B215" s="6" t="s">
        <v>5</v>
      </c>
      <c r="C215" s="6" t="str">
        <f>VLOOKUP(B215,'Veri doğrulama'!D6:E13,2,0)</f>
        <v>MEHMET ÖZEN</v>
      </c>
      <c r="D215" s="6" t="s">
        <v>1088</v>
      </c>
      <c r="E215" s="6" t="s">
        <v>1089</v>
      </c>
      <c r="F215" s="6" t="s">
        <v>27</v>
      </c>
      <c r="G215" s="6" t="s">
        <v>34</v>
      </c>
      <c r="H215" s="6">
        <v>2420</v>
      </c>
      <c r="I215" s="6">
        <v>1120</v>
      </c>
      <c r="J215" s="6">
        <v>1</v>
      </c>
      <c r="K215" s="10">
        <f t="shared" si="6"/>
        <v>2.7103999999999999</v>
      </c>
      <c r="L215" s="6" t="s">
        <v>42</v>
      </c>
      <c r="M215" s="6" t="s">
        <v>411</v>
      </c>
      <c r="N215" s="6" t="s">
        <v>54</v>
      </c>
      <c r="O215" s="6" t="s">
        <v>54</v>
      </c>
      <c r="P215" s="6" t="s">
        <v>54</v>
      </c>
    </row>
    <row r="216" spans="1:16" ht="30" customHeight="1" x14ac:dyDescent="0.3">
      <c r="A216" s="7">
        <v>45903.33589224537</v>
      </c>
      <c r="B216" s="6" t="s">
        <v>5</v>
      </c>
      <c r="C216" s="6" t="str">
        <f>VLOOKUP(B216,'Veri doğrulama'!D6:E13,2,0)</f>
        <v>MEHMET ÖZEN</v>
      </c>
      <c r="D216" s="6"/>
      <c r="E216" s="6" t="s">
        <v>1087</v>
      </c>
      <c r="F216" s="6" t="s">
        <v>20</v>
      </c>
      <c r="G216" s="6" t="s">
        <v>34</v>
      </c>
      <c r="H216" s="6">
        <v>1600</v>
      </c>
      <c r="I216" s="6">
        <v>1600</v>
      </c>
      <c r="J216" s="6">
        <v>1</v>
      </c>
      <c r="K216" s="10">
        <f t="shared" si="6"/>
        <v>2.56</v>
      </c>
      <c r="L216" s="6" t="s">
        <v>103</v>
      </c>
      <c r="M216" s="6"/>
      <c r="N216" s="6" t="s">
        <v>54</v>
      </c>
      <c r="O216" s="6" t="s">
        <v>54</v>
      </c>
      <c r="P216" s="6" t="s">
        <v>54</v>
      </c>
    </row>
    <row r="217" spans="1:16" ht="30" customHeight="1" x14ac:dyDescent="0.3">
      <c r="A217" s="7">
        <v>45902.68455474537</v>
      </c>
      <c r="B217" s="6" t="s">
        <v>5</v>
      </c>
      <c r="C217" s="6" t="str">
        <f>VLOOKUP(B217,'Veri doğrulama'!D6:E13,2,0)</f>
        <v>MEHMET ÖZEN</v>
      </c>
      <c r="D217" s="6"/>
      <c r="E217" s="6" t="s">
        <v>1086</v>
      </c>
      <c r="F217" s="6" t="s">
        <v>26</v>
      </c>
      <c r="G217" s="6" t="s">
        <v>34</v>
      </c>
      <c r="H217" s="6">
        <v>2600</v>
      </c>
      <c r="I217" s="6">
        <v>600</v>
      </c>
      <c r="J217" s="6">
        <v>1</v>
      </c>
      <c r="K217" s="10">
        <f t="shared" si="6"/>
        <v>1.56</v>
      </c>
      <c r="L217" s="6" t="s">
        <v>596</v>
      </c>
      <c r="M217" s="6"/>
      <c r="N217" s="6" t="s">
        <v>54</v>
      </c>
      <c r="O217" s="6" t="s">
        <v>54</v>
      </c>
      <c r="P217" s="6" t="s">
        <v>54</v>
      </c>
    </row>
    <row r="218" spans="1:16" ht="30" customHeight="1" x14ac:dyDescent="0.3">
      <c r="A218" s="7">
        <v>45902.603749074071</v>
      </c>
      <c r="B218" s="6" t="s">
        <v>5</v>
      </c>
      <c r="C218" s="6" t="str">
        <f>VLOOKUP(B218,'Veri doğrulama'!D6:E13,2,0)</f>
        <v>MEHMET ÖZEN</v>
      </c>
      <c r="D218" s="6"/>
      <c r="E218" s="6" t="s">
        <v>1085</v>
      </c>
      <c r="F218" s="6" t="s">
        <v>19</v>
      </c>
      <c r="G218" s="6" t="s">
        <v>34</v>
      </c>
      <c r="H218" s="6">
        <v>400</v>
      </c>
      <c r="I218" s="6">
        <v>360</v>
      </c>
      <c r="J218" s="6">
        <v>2</v>
      </c>
      <c r="K218" s="10">
        <f t="shared" si="6"/>
        <v>0.28799999999999998</v>
      </c>
      <c r="L218" s="6" t="s">
        <v>75</v>
      </c>
      <c r="M218" s="6"/>
      <c r="N218" s="6" t="s">
        <v>54</v>
      </c>
      <c r="O218" s="6" t="s">
        <v>54</v>
      </c>
      <c r="P218" s="6" t="s">
        <v>54</v>
      </c>
    </row>
    <row r="219" spans="1:16" ht="30" customHeight="1" x14ac:dyDescent="0.3">
      <c r="A219" s="7">
        <v>45902.602862962965</v>
      </c>
      <c r="B219" s="6" t="s">
        <v>5</v>
      </c>
      <c r="C219" s="6" t="str">
        <f>VLOOKUP(B219,'Veri doğrulama'!D6:E13,2,0)</f>
        <v>MEHMET ÖZEN</v>
      </c>
      <c r="D219" s="6"/>
      <c r="E219" s="6" t="s">
        <v>1084</v>
      </c>
      <c r="F219" s="6" t="s">
        <v>16</v>
      </c>
      <c r="G219" s="6" t="s">
        <v>34</v>
      </c>
      <c r="H219" s="6">
        <v>1730</v>
      </c>
      <c r="I219" s="6">
        <v>300</v>
      </c>
      <c r="J219" s="6">
        <v>1</v>
      </c>
      <c r="K219" s="10">
        <f t="shared" si="6"/>
        <v>0.51900000000000002</v>
      </c>
      <c r="L219" s="6" t="s">
        <v>75</v>
      </c>
      <c r="M219" s="6"/>
      <c r="N219" s="6" t="s">
        <v>54</v>
      </c>
      <c r="O219" s="6" t="s">
        <v>54</v>
      </c>
      <c r="P219" s="6" t="s">
        <v>54</v>
      </c>
    </row>
    <row r="220" spans="1:16" ht="30" customHeight="1" x14ac:dyDescent="0.3">
      <c r="A220" s="7">
        <v>45902.602207870368</v>
      </c>
      <c r="B220" s="6" t="s">
        <v>5</v>
      </c>
      <c r="C220" s="6" t="str">
        <f>VLOOKUP(B220,'Veri doğrulama'!D6:E13,2,0)</f>
        <v>MEHMET ÖZEN</v>
      </c>
      <c r="D220" s="6"/>
      <c r="E220" s="6" t="s">
        <v>1083</v>
      </c>
      <c r="F220" s="6" t="s">
        <v>16</v>
      </c>
      <c r="G220" s="6" t="s">
        <v>34</v>
      </c>
      <c r="H220" s="6">
        <v>539</v>
      </c>
      <c r="I220" s="6">
        <v>556</v>
      </c>
      <c r="J220" s="6">
        <v>1</v>
      </c>
      <c r="K220" s="10">
        <f t="shared" si="6"/>
        <v>0.29968400000000001</v>
      </c>
      <c r="L220" s="6" t="s">
        <v>75</v>
      </c>
      <c r="M220" s="6"/>
      <c r="N220" s="6" t="s">
        <v>54</v>
      </c>
      <c r="O220" s="6" t="s">
        <v>54</v>
      </c>
      <c r="P220" s="6" t="s">
        <v>54</v>
      </c>
    </row>
    <row r="221" spans="1:16" ht="30" customHeight="1" x14ac:dyDescent="0.3">
      <c r="A221" s="7">
        <v>45902.600963657409</v>
      </c>
      <c r="B221" s="6" t="s">
        <v>5</v>
      </c>
      <c r="C221" s="6" t="str">
        <f>VLOOKUP(B221,'Veri doğrulama'!D6:E13,2,0)</f>
        <v>MEHMET ÖZEN</v>
      </c>
      <c r="D221" s="6"/>
      <c r="E221" s="6" t="s">
        <v>87</v>
      </c>
      <c r="F221" s="6" t="s">
        <v>15</v>
      </c>
      <c r="G221" s="6" t="s">
        <v>34</v>
      </c>
      <c r="H221" s="6">
        <v>1800</v>
      </c>
      <c r="I221" s="6">
        <v>350</v>
      </c>
      <c r="J221" s="6">
        <v>1</v>
      </c>
      <c r="K221" s="10">
        <f t="shared" si="6"/>
        <v>0.63</v>
      </c>
      <c r="L221" s="6" t="s">
        <v>596</v>
      </c>
      <c r="M221" s="6"/>
      <c r="N221" s="6" t="s">
        <v>54</v>
      </c>
      <c r="O221" s="6" t="s">
        <v>54</v>
      </c>
      <c r="P221" s="6" t="s">
        <v>54</v>
      </c>
    </row>
    <row r="222" spans="1:16" ht="30" customHeight="1" x14ac:dyDescent="0.3">
      <c r="A222" s="7">
        <v>45902.579757638887</v>
      </c>
      <c r="B222" s="6" t="s">
        <v>5</v>
      </c>
      <c r="C222" s="6" t="str">
        <f>VLOOKUP(B222,'Veri doğrulama'!D6:E13,2,0)</f>
        <v>MEHMET ÖZEN</v>
      </c>
      <c r="D222" s="6"/>
      <c r="E222" s="6" t="s">
        <v>1082</v>
      </c>
      <c r="F222" s="6" t="s">
        <v>17</v>
      </c>
      <c r="G222" s="6" t="s">
        <v>35</v>
      </c>
      <c r="H222" s="6">
        <v>2200</v>
      </c>
      <c r="I222" s="6">
        <v>150</v>
      </c>
      <c r="J222" s="6">
        <v>1</v>
      </c>
      <c r="K222" s="10">
        <f t="shared" si="6"/>
        <v>0.33</v>
      </c>
      <c r="L222" s="6" t="s">
        <v>38</v>
      </c>
      <c r="M222" s="6"/>
      <c r="N222" s="6" t="s">
        <v>54</v>
      </c>
      <c r="O222" s="6" t="s">
        <v>54</v>
      </c>
      <c r="P222" s="6" t="s">
        <v>54</v>
      </c>
    </row>
    <row r="223" spans="1:16" ht="30" customHeight="1" x14ac:dyDescent="0.3">
      <c r="A223" s="7">
        <v>45902.509516435188</v>
      </c>
      <c r="B223" s="6" t="s">
        <v>4</v>
      </c>
      <c r="C223" s="6" t="str">
        <f>VLOOKUP(B223,'Veri doğrulama'!D6:E13,2,0)</f>
        <v>MEHMET YAZICI</v>
      </c>
      <c r="D223" s="6"/>
      <c r="E223" s="6" t="s">
        <v>100</v>
      </c>
      <c r="F223" s="6" t="s">
        <v>15</v>
      </c>
      <c r="G223" s="6" t="s">
        <v>34</v>
      </c>
      <c r="H223" s="6">
        <v>735</v>
      </c>
      <c r="I223" s="6">
        <v>397</v>
      </c>
      <c r="J223" s="6">
        <v>1</v>
      </c>
      <c r="K223" s="10">
        <f t="shared" si="6"/>
        <v>0.29179500000000003</v>
      </c>
      <c r="L223" s="6" t="s">
        <v>75</v>
      </c>
      <c r="M223" s="6"/>
      <c r="N223" s="6" t="s">
        <v>54</v>
      </c>
      <c r="O223" s="6" t="s">
        <v>54</v>
      </c>
      <c r="P223" s="6" t="s">
        <v>54</v>
      </c>
    </row>
    <row r="224" spans="1:16" ht="30" customHeight="1" x14ac:dyDescent="0.3">
      <c r="A224" s="7">
        <v>45902.50761458333</v>
      </c>
      <c r="B224" s="6" t="s">
        <v>4</v>
      </c>
      <c r="C224" s="6" t="str">
        <f>VLOOKUP(B224,'Veri doğrulama'!D6:E13,2,0)</f>
        <v>MEHMET YAZICI</v>
      </c>
      <c r="D224" s="6"/>
      <c r="E224" s="6" t="s">
        <v>1081</v>
      </c>
      <c r="F224" s="6" t="s">
        <v>16</v>
      </c>
      <c r="G224" s="6" t="s">
        <v>34</v>
      </c>
      <c r="H224" s="6">
        <v>1500</v>
      </c>
      <c r="I224" s="6">
        <v>250</v>
      </c>
      <c r="J224" s="6">
        <v>1</v>
      </c>
      <c r="K224" s="10">
        <f t="shared" ref="K224:K255" si="7">H224*I224/1000000*J224</f>
        <v>0.375</v>
      </c>
      <c r="L224" s="6" t="s">
        <v>103</v>
      </c>
      <c r="M224" s="6"/>
      <c r="N224" s="6" t="s">
        <v>54</v>
      </c>
      <c r="O224" s="6" t="s">
        <v>54</v>
      </c>
      <c r="P224" s="6" t="s">
        <v>54</v>
      </c>
    </row>
    <row r="225" spans="1:16" ht="30" customHeight="1" x14ac:dyDescent="0.3">
      <c r="A225" s="7">
        <v>45902.507194907404</v>
      </c>
      <c r="B225" s="6" t="s">
        <v>4</v>
      </c>
      <c r="C225" s="6" t="str">
        <f>VLOOKUP(B225,'Veri doğrulama'!D6:E13,2,0)</f>
        <v>MEHMET YAZICI</v>
      </c>
      <c r="D225" s="6"/>
      <c r="E225" s="6" t="s">
        <v>1080</v>
      </c>
      <c r="F225" s="6" t="s">
        <v>16</v>
      </c>
      <c r="G225" s="6" t="s">
        <v>34</v>
      </c>
      <c r="H225" s="6">
        <v>700</v>
      </c>
      <c r="I225" s="6">
        <v>397</v>
      </c>
      <c r="J225" s="6">
        <v>1</v>
      </c>
      <c r="K225" s="10">
        <f t="shared" si="7"/>
        <v>0.27789999999999998</v>
      </c>
      <c r="L225" s="6" t="s">
        <v>103</v>
      </c>
      <c r="M225" s="6"/>
      <c r="N225" s="6" t="s">
        <v>54</v>
      </c>
      <c r="O225" s="6" t="s">
        <v>54</v>
      </c>
      <c r="P225" s="6" t="s">
        <v>54</v>
      </c>
    </row>
    <row r="226" spans="1:16" ht="30" customHeight="1" x14ac:dyDescent="0.3">
      <c r="A226" s="7">
        <v>45902.506715277777</v>
      </c>
      <c r="B226" s="6" t="s">
        <v>4</v>
      </c>
      <c r="C226" s="6" t="str">
        <f>VLOOKUP(B226,'Veri doğrulama'!D6:E13,2,0)</f>
        <v>MEHMET YAZICI</v>
      </c>
      <c r="D226" s="6"/>
      <c r="E226" s="6" t="s">
        <v>773</v>
      </c>
      <c r="F226" s="6" t="s">
        <v>16</v>
      </c>
      <c r="G226" s="6" t="s">
        <v>34</v>
      </c>
      <c r="H226" s="6">
        <v>1400</v>
      </c>
      <c r="I226" s="6">
        <v>800</v>
      </c>
      <c r="J226" s="6">
        <v>1</v>
      </c>
      <c r="K226" s="10">
        <f t="shared" si="7"/>
        <v>1.1200000000000001</v>
      </c>
      <c r="L226" s="6" t="s">
        <v>75</v>
      </c>
      <c r="M226" s="6"/>
      <c r="N226" s="6" t="s">
        <v>54</v>
      </c>
      <c r="O226" s="6" t="s">
        <v>54</v>
      </c>
      <c r="P226" s="6" t="s">
        <v>54</v>
      </c>
    </row>
    <row r="227" spans="1:16" ht="30" customHeight="1" x14ac:dyDescent="0.3">
      <c r="A227" s="7">
        <v>45901.754631249998</v>
      </c>
      <c r="B227" s="6" t="s">
        <v>5</v>
      </c>
      <c r="C227" s="6" t="str">
        <f>VLOOKUP(B227,'Veri doğrulama'!D6:E13,2,0)</f>
        <v>MEHMET ÖZEN</v>
      </c>
      <c r="D227" s="6"/>
      <c r="E227" s="6" t="s">
        <v>1079</v>
      </c>
      <c r="F227" s="6" t="s">
        <v>27</v>
      </c>
      <c r="G227" s="6" t="s">
        <v>35</v>
      </c>
      <c r="H227" s="6">
        <v>1800</v>
      </c>
      <c r="I227" s="6">
        <v>500</v>
      </c>
      <c r="J227" s="6">
        <v>1</v>
      </c>
      <c r="K227" s="10">
        <f t="shared" si="7"/>
        <v>0.9</v>
      </c>
      <c r="L227" s="6" t="s">
        <v>43</v>
      </c>
      <c r="M227" s="6"/>
      <c r="N227" s="6" t="s">
        <v>54</v>
      </c>
      <c r="O227" s="6" t="s">
        <v>54</v>
      </c>
      <c r="P227" s="6" t="s">
        <v>54</v>
      </c>
    </row>
    <row r="228" spans="1:16" ht="30" customHeight="1" x14ac:dyDescent="0.3">
      <c r="A228" s="7">
        <v>45901.67159247685</v>
      </c>
      <c r="B228" s="6" t="s">
        <v>5</v>
      </c>
      <c r="C228" s="6" t="str">
        <f>VLOOKUP(B228,'Veri doğrulama'!D6:E13,2,0)</f>
        <v>MEHMET ÖZEN</v>
      </c>
      <c r="D228" s="6"/>
      <c r="E228" s="6" t="s">
        <v>1077</v>
      </c>
      <c r="F228" s="6" t="s">
        <v>19</v>
      </c>
      <c r="G228" s="6" t="s">
        <v>34</v>
      </c>
      <c r="H228" s="6">
        <v>2386</v>
      </c>
      <c r="I228" s="6">
        <v>350</v>
      </c>
      <c r="J228" s="6">
        <v>1</v>
      </c>
      <c r="K228" s="10">
        <f t="shared" si="7"/>
        <v>0.83509999999999995</v>
      </c>
      <c r="L228" s="6" t="s">
        <v>43</v>
      </c>
      <c r="M228" s="6" t="s">
        <v>1078</v>
      </c>
      <c r="N228" s="6" t="s">
        <v>54</v>
      </c>
      <c r="O228" s="6" t="s">
        <v>54</v>
      </c>
      <c r="P228" s="6" t="s">
        <v>54</v>
      </c>
    </row>
    <row r="229" spans="1:16" ht="30" customHeight="1" x14ac:dyDescent="0.3">
      <c r="A229" s="7">
        <v>45901.650771990739</v>
      </c>
      <c r="B229" s="6" t="s">
        <v>5</v>
      </c>
      <c r="C229" s="6" t="str">
        <f>VLOOKUP(B229,'Veri doğrulama'!D6:E13,2,0)</f>
        <v>MEHMET ÖZEN</v>
      </c>
      <c r="D229" s="6"/>
      <c r="E229" s="6" t="s">
        <v>1076</v>
      </c>
      <c r="F229" s="6" t="s">
        <v>15</v>
      </c>
      <c r="G229" s="6" t="s">
        <v>34</v>
      </c>
      <c r="H229" s="6">
        <v>1200</v>
      </c>
      <c r="I229" s="6">
        <v>700</v>
      </c>
      <c r="J229" s="6">
        <v>1</v>
      </c>
      <c r="K229" s="10">
        <f t="shared" si="7"/>
        <v>0.84</v>
      </c>
      <c r="L229" s="6" t="s">
        <v>103</v>
      </c>
      <c r="M229" s="6"/>
      <c r="N229" s="6" t="s">
        <v>54</v>
      </c>
      <c r="O229" s="6" t="s">
        <v>54</v>
      </c>
      <c r="P229" s="6" t="s">
        <v>54</v>
      </c>
    </row>
    <row r="230" spans="1:16" ht="30" customHeight="1" x14ac:dyDescent="0.3">
      <c r="A230" s="7">
        <v>45901.614808449071</v>
      </c>
      <c r="B230" s="6" t="s">
        <v>5</v>
      </c>
      <c r="C230" s="6" t="str">
        <f>VLOOKUP(B230,'Veri doğrulama'!D6:E13,2,0)</f>
        <v>MEHMET ÖZEN</v>
      </c>
      <c r="D230" s="6"/>
      <c r="E230" s="6" t="s">
        <v>1075</v>
      </c>
      <c r="F230" s="6" t="s">
        <v>16</v>
      </c>
      <c r="G230" s="6" t="s">
        <v>34</v>
      </c>
      <c r="H230" s="6">
        <v>2163</v>
      </c>
      <c r="I230" s="6">
        <v>679</v>
      </c>
      <c r="J230" s="6">
        <v>1</v>
      </c>
      <c r="K230" s="10">
        <f t="shared" si="7"/>
        <v>1.468677</v>
      </c>
      <c r="L230" s="6" t="s">
        <v>103</v>
      </c>
      <c r="M230" s="6"/>
      <c r="N230" s="6" t="s">
        <v>54</v>
      </c>
      <c r="O230" s="6" t="s">
        <v>54</v>
      </c>
      <c r="P230" s="6" t="s">
        <v>54</v>
      </c>
    </row>
    <row r="231" spans="1:16" ht="30" customHeight="1" x14ac:dyDescent="0.3">
      <c r="A231" s="7">
        <v>45901.601407523151</v>
      </c>
      <c r="B231" s="6" t="s">
        <v>5</v>
      </c>
      <c r="C231" s="6" t="str">
        <f>VLOOKUP(B231,'Veri doğrulama'!D6:E13,2,0)</f>
        <v>MEHMET ÖZEN</v>
      </c>
      <c r="D231" s="6"/>
      <c r="E231" s="6" t="s">
        <v>1074</v>
      </c>
      <c r="F231" s="6" t="s">
        <v>18</v>
      </c>
      <c r="G231" s="6" t="s">
        <v>34</v>
      </c>
      <c r="H231" s="6">
        <v>1150</v>
      </c>
      <c r="I231" s="6">
        <v>557</v>
      </c>
      <c r="J231" s="6">
        <v>1</v>
      </c>
      <c r="K231" s="10">
        <f t="shared" si="7"/>
        <v>0.64054999999999995</v>
      </c>
      <c r="L231" s="6" t="s">
        <v>75</v>
      </c>
      <c r="M231" s="6"/>
      <c r="N231" s="6" t="s">
        <v>54</v>
      </c>
      <c r="O231" s="6" t="s">
        <v>54</v>
      </c>
      <c r="P231" s="6" t="s">
        <v>54</v>
      </c>
    </row>
    <row r="232" spans="1:16" ht="30" customHeight="1" x14ac:dyDescent="0.3">
      <c r="A232" s="7">
        <v>45901.498522106478</v>
      </c>
      <c r="B232" s="6" t="s">
        <v>5</v>
      </c>
      <c r="C232" s="6" t="str">
        <f>VLOOKUP(B232,'Veri doğrulama'!D6:E13,2,0)</f>
        <v>MEHMET ÖZEN</v>
      </c>
      <c r="D232" s="6"/>
      <c r="E232" s="6" t="s">
        <v>709</v>
      </c>
      <c r="F232" s="6" t="s">
        <v>15</v>
      </c>
      <c r="G232" s="6" t="s">
        <v>34</v>
      </c>
      <c r="H232" s="6">
        <v>2000</v>
      </c>
      <c r="I232" s="6">
        <v>1000</v>
      </c>
      <c r="J232" s="6">
        <v>1</v>
      </c>
      <c r="K232" s="10">
        <f t="shared" si="7"/>
        <v>2</v>
      </c>
      <c r="L232" s="6" t="s">
        <v>42</v>
      </c>
      <c r="M232" s="6" t="s">
        <v>468</v>
      </c>
      <c r="N232" s="6" t="s">
        <v>54</v>
      </c>
      <c r="O232" s="6" t="s">
        <v>54</v>
      </c>
      <c r="P232" s="6" t="s">
        <v>54</v>
      </c>
    </row>
    <row r="233" spans="1:16" ht="30" customHeight="1" x14ac:dyDescent="0.3">
      <c r="A233" s="7">
        <v>45901.482051967592</v>
      </c>
      <c r="B233" s="6" t="s">
        <v>4</v>
      </c>
      <c r="C233" s="6" t="str">
        <f>VLOOKUP(B233,'Veri doğrulama'!D6:E13,2,0)</f>
        <v>MEHMET YAZICI</v>
      </c>
      <c r="D233" s="6">
        <v>24149</v>
      </c>
      <c r="E233" s="6" t="s">
        <v>165</v>
      </c>
      <c r="F233" s="6" t="s">
        <v>16</v>
      </c>
      <c r="G233" s="6" t="s">
        <v>34</v>
      </c>
      <c r="H233" s="6">
        <v>1400</v>
      </c>
      <c r="I233" s="6">
        <v>800</v>
      </c>
      <c r="J233" s="6">
        <v>1</v>
      </c>
      <c r="K233" s="10">
        <f t="shared" si="7"/>
        <v>1.1200000000000001</v>
      </c>
      <c r="L233" s="6" t="s">
        <v>156</v>
      </c>
      <c r="M233" s="6"/>
      <c r="N233" s="6" t="s">
        <v>54</v>
      </c>
      <c r="O233" s="6" t="s">
        <v>54</v>
      </c>
      <c r="P233" s="6" t="s">
        <v>54</v>
      </c>
    </row>
    <row r="234" spans="1:16" ht="30" customHeight="1" x14ac:dyDescent="0.3">
      <c r="A234" s="7">
        <v>45901.414039930554</v>
      </c>
      <c r="B234" s="6" t="s">
        <v>4</v>
      </c>
      <c r="C234" s="6" t="str">
        <f>VLOOKUP(B234,'Veri doğrulama'!D6:E13,2,0)</f>
        <v>MEHMET YAZICI</v>
      </c>
      <c r="D234" s="6" t="s">
        <v>1073</v>
      </c>
      <c r="E234" s="6" t="s">
        <v>773</v>
      </c>
      <c r="F234" s="6" t="s">
        <v>20</v>
      </c>
      <c r="G234" s="6" t="s">
        <v>34</v>
      </c>
      <c r="H234" s="6">
        <v>1600</v>
      </c>
      <c r="I234" s="6">
        <v>1600</v>
      </c>
      <c r="J234" s="6">
        <v>1</v>
      </c>
      <c r="K234" s="10">
        <f t="shared" si="7"/>
        <v>2.56</v>
      </c>
      <c r="L234" s="6" t="s">
        <v>103</v>
      </c>
      <c r="M234" s="6"/>
      <c r="N234" s="6" t="s">
        <v>54</v>
      </c>
      <c r="O234" s="6" t="s">
        <v>54</v>
      </c>
      <c r="P234" s="6" t="s">
        <v>54</v>
      </c>
    </row>
    <row r="235" spans="1:16" ht="30" customHeight="1" x14ac:dyDescent="0.3">
      <c r="A235" s="7">
        <v>45898.698426273149</v>
      </c>
      <c r="B235" s="6" t="s">
        <v>7</v>
      </c>
      <c r="C235" s="6" t="str">
        <f>VLOOKUP(B235,'Veri doğrulama'!D6:E13,2,0)</f>
        <v>SIDDIK KAPLAN</v>
      </c>
      <c r="D235" s="6"/>
      <c r="E235" s="6" t="s">
        <v>1072</v>
      </c>
      <c r="F235" s="6" t="s">
        <v>15</v>
      </c>
      <c r="G235" s="6" t="s">
        <v>34</v>
      </c>
      <c r="H235" s="6">
        <v>1400</v>
      </c>
      <c r="I235" s="6">
        <v>800</v>
      </c>
      <c r="J235" s="6">
        <v>1</v>
      </c>
      <c r="K235" s="10">
        <f t="shared" si="7"/>
        <v>1.1200000000000001</v>
      </c>
      <c r="L235" s="6" t="s">
        <v>43</v>
      </c>
      <c r="M235" s="6"/>
      <c r="N235" s="6" t="s">
        <v>54</v>
      </c>
      <c r="O235" s="6" t="s">
        <v>54</v>
      </c>
      <c r="P235" s="6" t="s">
        <v>54</v>
      </c>
    </row>
    <row r="236" spans="1:16" ht="30" customHeight="1" x14ac:dyDescent="0.3">
      <c r="A236" s="7">
        <v>45898.687848263886</v>
      </c>
      <c r="B236" s="6" t="s">
        <v>7</v>
      </c>
      <c r="C236" s="6" t="str">
        <f>VLOOKUP(B236,'Veri doğrulama'!D6:E13,2,0)</f>
        <v>SIDDIK KAPLAN</v>
      </c>
      <c r="D236" s="6"/>
      <c r="E236" s="6" t="s">
        <v>271</v>
      </c>
      <c r="F236" s="6" t="s">
        <v>24</v>
      </c>
      <c r="G236" s="6" t="s">
        <v>34</v>
      </c>
      <c r="H236" s="6">
        <v>900</v>
      </c>
      <c r="I236" s="6">
        <v>600</v>
      </c>
      <c r="J236" s="6">
        <v>1</v>
      </c>
      <c r="K236" s="10">
        <f t="shared" si="7"/>
        <v>0.54</v>
      </c>
      <c r="L236" s="6" t="s">
        <v>43</v>
      </c>
      <c r="M236" s="6"/>
      <c r="N236" s="6" t="s">
        <v>54</v>
      </c>
      <c r="O236" s="6" t="s">
        <v>54</v>
      </c>
      <c r="P236" s="6" t="s">
        <v>54</v>
      </c>
    </row>
    <row r="237" spans="1:16" ht="30" customHeight="1" x14ac:dyDescent="0.3">
      <c r="A237" s="7">
        <v>45898.502792361112</v>
      </c>
      <c r="B237" s="6" t="s">
        <v>5</v>
      </c>
      <c r="C237" s="6" t="str">
        <f>VLOOKUP(B237,'Veri doğrulama'!D6:E13,2,0)</f>
        <v>MEHMET ÖZEN</v>
      </c>
      <c r="D237" s="6" t="s">
        <v>1070</v>
      </c>
      <c r="E237" s="6" t="s">
        <v>1071</v>
      </c>
      <c r="F237" s="6" t="s">
        <v>15</v>
      </c>
      <c r="G237" s="6" t="s">
        <v>34</v>
      </c>
      <c r="H237" s="6">
        <v>1410</v>
      </c>
      <c r="I237" s="6">
        <v>1410</v>
      </c>
      <c r="J237" s="6">
        <v>1</v>
      </c>
      <c r="K237" s="10">
        <f t="shared" si="7"/>
        <v>1.9881</v>
      </c>
      <c r="L237" s="6" t="s">
        <v>43</v>
      </c>
      <c r="M237" s="6" t="s">
        <v>468</v>
      </c>
      <c r="N237" s="6" t="s">
        <v>54</v>
      </c>
      <c r="O237" s="6" t="s">
        <v>54</v>
      </c>
      <c r="P237" s="6" t="s">
        <v>54</v>
      </c>
    </row>
    <row r="238" spans="1:16" ht="30" customHeight="1" x14ac:dyDescent="0.3">
      <c r="A238" s="7">
        <v>45897.561651620374</v>
      </c>
      <c r="B238" s="6" t="s">
        <v>7</v>
      </c>
      <c r="C238" s="6" t="str">
        <f>VLOOKUP(B238,'Veri doğrulama'!D6:E13,2,0)</f>
        <v>SIDDIK KAPLAN</v>
      </c>
      <c r="D238" s="6"/>
      <c r="E238" s="6" t="s">
        <v>1068</v>
      </c>
      <c r="F238" s="6" t="s">
        <v>1004</v>
      </c>
      <c r="G238" s="6" t="s">
        <v>34</v>
      </c>
      <c r="H238" s="6">
        <v>1800</v>
      </c>
      <c r="I238" s="6">
        <v>1100</v>
      </c>
      <c r="J238" s="6">
        <v>1</v>
      </c>
      <c r="K238" s="10">
        <f t="shared" si="7"/>
        <v>1.98</v>
      </c>
      <c r="L238" s="6" t="s">
        <v>43</v>
      </c>
      <c r="M238" s="6" t="s">
        <v>1069</v>
      </c>
      <c r="N238" s="6" t="s">
        <v>54</v>
      </c>
      <c r="O238" s="6" t="s">
        <v>54</v>
      </c>
      <c r="P238" s="6" t="s">
        <v>54</v>
      </c>
    </row>
    <row r="239" spans="1:16" ht="30" customHeight="1" x14ac:dyDescent="0.3">
      <c r="A239" s="7">
        <v>45896.656356134263</v>
      </c>
      <c r="B239" s="6" t="s">
        <v>7</v>
      </c>
      <c r="C239" s="6" t="str">
        <f>VLOOKUP(B239,'Veri doğrulama'!D6:E13,2,0)</f>
        <v>SIDDIK KAPLAN</v>
      </c>
      <c r="D239" s="6"/>
      <c r="E239" s="6" t="s">
        <v>1066</v>
      </c>
      <c r="F239" s="6" t="s">
        <v>22</v>
      </c>
      <c r="G239" s="6" t="s">
        <v>34</v>
      </c>
      <c r="H239" s="6">
        <v>470</v>
      </c>
      <c r="I239" s="6">
        <v>470</v>
      </c>
      <c r="J239" s="6">
        <v>7</v>
      </c>
      <c r="K239" s="10">
        <f t="shared" si="7"/>
        <v>1.5463</v>
      </c>
      <c r="L239" s="6" t="s">
        <v>43</v>
      </c>
      <c r="M239" s="6" t="s">
        <v>1067</v>
      </c>
      <c r="N239" s="6" t="s">
        <v>54</v>
      </c>
      <c r="O239" s="6" t="s">
        <v>54</v>
      </c>
      <c r="P239" s="6" t="s">
        <v>54</v>
      </c>
    </row>
    <row r="240" spans="1:16" ht="30" customHeight="1" x14ac:dyDescent="0.3">
      <c r="A240" s="7">
        <v>45895.335122453704</v>
      </c>
      <c r="B240" s="6" t="s">
        <v>5</v>
      </c>
      <c r="C240" s="6" t="str">
        <f>VLOOKUP(B240,'Veri doğrulama'!D6:E13,2,0)</f>
        <v>MEHMET ÖZEN</v>
      </c>
      <c r="D240" s="6"/>
      <c r="E240" s="6" t="s">
        <v>1065</v>
      </c>
      <c r="F240" s="6" t="s">
        <v>24</v>
      </c>
      <c r="G240" s="6" t="s">
        <v>35</v>
      </c>
      <c r="H240" s="6">
        <v>890</v>
      </c>
      <c r="I240" s="6">
        <v>450</v>
      </c>
      <c r="J240" s="6">
        <v>1</v>
      </c>
      <c r="K240" s="10">
        <f t="shared" si="7"/>
        <v>0.40050000000000002</v>
      </c>
      <c r="L240" s="6" t="s">
        <v>75</v>
      </c>
      <c r="M240" s="6"/>
      <c r="N240" s="6" t="s">
        <v>54</v>
      </c>
      <c r="O240" s="6" t="s">
        <v>54</v>
      </c>
      <c r="P240" s="6" t="s">
        <v>54</v>
      </c>
    </row>
    <row r="241" spans="1:16" ht="30" customHeight="1" x14ac:dyDescent="0.3">
      <c r="A241" s="7">
        <v>45891.766255902781</v>
      </c>
      <c r="B241" s="6" t="s">
        <v>4</v>
      </c>
      <c r="C241" s="6" t="str">
        <f>VLOOKUP(B241,'Veri doğrulama'!D6:E13,2,0)</f>
        <v>MEHMET YAZICI</v>
      </c>
      <c r="D241" s="6"/>
      <c r="E241" s="6" t="s">
        <v>1064</v>
      </c>
      <c r="F241" s="6" t="s">
        <v>17</v>
      </c>
      <c r="G241" s="6" t="s">
        <v>34</v>
      </c>
      <c r="H241" s="6">
        <v>1302</v>
      </c>
      <c r="I241" s="6">
        <v>497</v>
      </c>
      <c r="J241" s="6">
        <v>1</v>
      </c>
      <c r="K241" s="10">
        <f t="shared" si="7"/>
        <v>0.64709399999999995</v>
      </c>
      <c r="L241" s="6" t="s">
        <v>102</v>
      </c>
      <c r="M241" s="6"/>
      <c r="N241" s="6" t="s">
        <v>54</v>
      </c>
      <c r="O241" s="6" t="s">
        <v>54</v>
      </c>
      <c r="P241" s="6" t="s">
        <v>54</v>
      </c>
    </row>
    <row r="242" spans="1:16" ht="30" customHeight="1" x14ac:dyDescent="0.3">
      <c r="A242" s="7">
        <v>45891.765666319443</v>
      </c>
      <c r="B242" s="6" t="s">
        <v>4</v>
      </c>
      <c r="C242" s="6" t="str">
        <f>VLOOKUP(B242,'Veri doğrulama'!D6:E13,2,0)</f>
        <v>MEHMET YAZICI</v>
      </c>
      <c r="D242" s="6"/>
      <c r="E242" s="6" t="s">
        <v>1063</v>
      </c>
      <c r="F242" s="6" t="s">
        <v>13</v>
      </c>
      <c r="G242" s="6" t="s">
        <v>34</v>
      </c>
      <c r="H242" s="6">
        <v>447</v>
      </c>
      <c r="I242" s="6">
        <v>470</v>
      </c>
      <c r="J242" s="6">
        <v>1</v>
      </c>
      <c r="K242" s="10">
        <f t="shared" si="7"/>
        <v>0.21009</v>
      </c>
      <c r="L242" s="6" t="s">
        <v>103</v>
      </c>
      <c r="M242" s="6"/>
      <c r="N242" s="6" t="s">
        <v>54</v>
      </c>
      <c r="O242" s="6" t="s">
        <v>54</v>
      </c>
      <c r="P242" s="6" t="s">
        <v>54</v>
      </c>
    </row>
    <row r="243" spans="1:16" ht="30" customHeight="1" x14ac:dyDescent="0.3">
      <c r="A243" s="7">
        <v>45891.76440162037</v>
      </c>
      <c r="B243" s="6" t="s">
        <v>4</v>
      </c>
      <c r="C243" s="6" t="str">
        <f>VLOOKUP(B243,'Veri doğrulama'!D6:E13,2,0)</f>
        <v>MEHMET YAZICI</v>
      </c>
      <c r="D243" s="6"/>
      <c r="E243" s="6" t="s">
        <v>1062</v>
      </c>
      <c r="F243" s="6" t="s">
        <v>18</v>
      </c>
      <c r="G243" s="6" t="s">
        <v>34</v>
      </c>
      <c r="H243" s="6">
        <v>1462</v>
      </c>
      <c r="I243" s="6">
        <v>1888</v>
      </c>
      <c r="J243" s="6">
        <v>1</v>
      </c>
      <c r="K243" s="10">
        <f t="shared" si="7"/>
        <v>2.760256</v>
      </c>
      <c r="L243" s="6" t="s">
        <v>43</v>
      </c>
      <c r="M243" s="6"/>
      <c r="N243" s="6" t="s">
        <v>54</v>
      </c>
      <c r="O243" s="6" t="s">
        <v>54</v>
      </c>
      <c r="P243" s="6" t="s">
        <v>54</v>
      </c>
    </row>
    <row r="244" spans="1:16" ht="30" customHeight="1" x14ac:dyDescent="0.3">
      <c r="A244" s="7">
        <v>45891.333316087963</v>
      </c>
      <c r="B244" s="6" t="s">
        <v>4</v>
      </c>
      <c r="C244" s="6" t="str">
        <f>VLOOKUP(B244,'Veri doğrulama'!D6:E13,2,0)</f>
        <v>MEHMET YAZICI</v>
      </c>
      <c r="D244" s="6"/>
      <c r="E244" s="6" t="s">
        <v>124</v>
      </c>
      <c r="F244" s="6" t="s">
        <v>26</v>
      </c>
      <c r="G244" s="6" t="s">
        <v>34</v>
      </c>
      <c r="H244" s="6">
        <v>684</v>
      </c>
      <c r="I244" s="6">
        <v>350</v>
      </c>
      <c r="J244" s="6">
        <v>1</v>
      </c>
      <c r="K244" s="10">
        <f t="shared" si="7"/>
        <v>0.2394</v>
      </c>
      <c r="L244" s="6" t="s">
        <v>43</v>
      </c>
      <c r="M244" s="6"/>
      <c r="N244" s="6" t="s">
        <v>54</v>
      </c>
      <c r="O244" s="6" t="s">
        <v>54</v>
      </c>
      <c r="P244" s="6" t="s">
        <v>54</v>
      </c>
    </row>
    <row r="245" spans="1:16" ht="30" customHeight="1" x14ac:dyDescent="0.3">
      <c r="A245" s="7">
        <v>45891.332685069443</v>
      </c>
      <c r="B245" s="6" t="s">
        <v>4</v>
      </c>
      <c r="C245" s="6" t="str">
        <f>VLOOKUP(B245,'Veri doğrulama'!D6:E13,2,0)</f>
        <v>MEHMET YAZICI</v>
      </c>
      <c r="D245" s="6"/>
      <c r="E245" s="6" t="s">
        <v>824</v>
      </c>
      <c r="F245" s="6" t="s">
        <v>16</v>
      </c>
      <c r="G245" s="6" t="s">
        <v>34</v>
      </c>
      <c r="H245" s="6">
        <v>1877</v>
      </c>
      <c r="I245" s="6">
        <v>375</v>
      </c>
      <c r="J245" s="6">
        <v>1</v>
      </c>
      <c r="K245" s="10">
        <f t="shared" si="7"/>
        <v>0.70387500000000003</v>
      </c>
      <c r="L245" s="6" t="s">
        <v>103</v>
      </c>
      <c r="M245" s="6"/>
      <c r="N245" s="6" t="s">
        <v>54</v>
      </c>
      <c r="O245" s="6" t="s">
        <v>54</v>
      </c>
      <c r="P245" s="6" t="s">
        <v>54</v>
      </c>
    </row>
    <row r="246" spans="1:16" ht="30" customHeight="1" x14ac:dyDescent="0.3">
      <c r="A246" s="7">
        <v>45890.691748148151</v>
      </c>
      <c r="B246" s="6" t="s">
        <v>4</v>
      </c>
      <c r="C246" s="6" t="str">
        <f>VLOOKUP(B246,'Veri doğrulama'!D6:E13,2,0)</f>
        <v>MEHMET YAZICI</v>
      </c>
      <c r="D246" s="6"/>
      <c r="E246" s="6" t="s">
        <v>117</v>
      </c>
      <c r="F246" s="6" t="s">
        <v>16</v>
      </c>
      <c r="G246" s="6" t="s">
        <v>34</v>
      </c>
      <c r="H246" s="6">
        <v>1962</v>
      </c>
      <c r="I246" s="6">
        <v>324</v>
      </c>
      <c r="J246" s="6">
        <v>1</v>
      </c>
      <c r="K246" s="10">
        <f t="shared" si="7"/>
        <v>0.63568800000000003</v>
      </c>
      <c r="L246" s="6" t="s">
        <v>75</v>
      </c>
      <c r="M246" s="6"/>
      <c r="N246" s="6" t="s">
        <v>54</v>
      </c>
      <c r="O246" s="6" t="s">
        <v>54</v>
      </c>
      <c r="P246" s="6" t="s">
        <v>54</v>
      </c>
    </row>
    <row r="247" spans="1:16" ht="30" customHeight="1" x14ac:dyDescent="0.3">
      <c r="A247" s="7">
        <v>45890.559056365739</v>
      </c>
      <c r="B247" s="6" t="s">
        <v>5</v>
      </c>
      <c r="C247" s="6" t="str">
        <f>VLOOKUP(B247,'Veri doğrulama'!D6:E13,2,0)</f>
        <v>MEHMET ÖZEN</v>
      </c>
      <c r="D247" s="6"/>
      <c r="E247" s="6" t="s">
        <v>1061</v>
      </c>
      <c r="F247" s="6" t="s">
        <v>15</v>
      </c>
      <c r="G247" s="6" t="s">
        <v>34</v>
      </c>
      <c r="H247" s="6">
        <v>940</v>
      </c>
      <c r="I247" s="6">
        <v>680</v>
      </c>
      <c r="J247" s="6">
        <v>4</v>
      </c>
      <c r="K247" s="10">
        <f t="shared" si="7"/>
        <v>2.5568</v>
      </c>
      <c r="L247" s="6" t="s">
        <v>103</v>
      </c>
      <c r="M247" s="6"/>
      <c r="N247" s="6" t="s">
        <v>54</v>
      </c>
      <c r="O247" s="6" t="s">
        <v>54</v>
      </c>
      <c r="P247" s="6" t="s">
        <v>54</v>
      </c>
    </row>
    <row r="248" spans="1:16" ht="30" customHeight="1" x14ac:dyDescent="0.3">
      <c r="A248" s="7">
        <v>45890.393175231482</v>
      </c>
      <c r="B248" s="6" t="s">
        <v>5</v>
      </c>
      <c r="C248" s="6" t="str">
        <f>VLOOKUP(B248,'Veri doğrulama'!D6:E13,2,0)</f>
        <v>MEHMET ÖZEN</v>
      </c>
      <c r="D248" s="6"/>
      <c r="E248" s="6" t="s">
        <v>1060</v>
      </c>
      <c r="F248" s="6" t="s">
        <v>16</v>
      </c>
      <c r="G248" s="6" t="s">
        <v>34</v>
      </c>
      <c r="H248" s="6">
        <v>1400</v>
      </c>
      <c r="I248" s="6">
        <v>800</v>
      </c>
      <c r="J248" s="6">
        <v>1</v>
      </c>
      <c r="K248" s="10">
        <f t="shared" si="7"/>
        <v>1.1200000000000001</v>
      </c>
      <c r="L248" s="6" t="s">
        <v>42</v>
      </c>
      <c r="M248" s="6"/>
      <c r="N248" s="6" t="s">
        <v>54</v>
      </c>
      <c r="O248" s="6" t="s">
        <v>54</v>
      </c>
      <c r="P248" s="6" t="s">
        <v>54</v>
      </c>
    </row>
    <row r="249" spans="1:16" ht="30" customHeight="1" x14ac:dyDescent="0.3">
      <c r="A249" s="7">
        <v>45890.382433101855</v>
      </c>
      <c r="B249" s="6" t="s">
        <v>4</v>
      </c>
      <c r="C249" s="6" t="str">
        <f>VLOOKUP(B249,'Veri doğrulama'!D6:E13,2,0)</f>
        <v>MEHMET YAZICI</v>
      </c>
      <c r="D249" s="6"/>
      <c r="E249" s="6" t="s">
        <v>1059</v>
      </c>
      <c r="F249" s="6" t="s">
        <v>19</v>
      </c>
      <c r="G249" s="6" t="s">
        <v>34</v>
      </c>
      <c r="H249" s="6">
        <v>2600</v>
      </c>
      <c r="I249" s="6">
        <v>300</v>
      </c>
      <c r="J249" s="6">
        <v>4</v>
      </c>
      <c r="K249" s="10">
        <f t="shared" si="7"/>
        <v>3.12</v>
      </c>
      <c r="L249" s="6" t="s">
        <v>103</v>
      </c>
      <c r="M249" s="6"/>
      <c r="N249" s="6" t="s">
        <v>54</v>
      </c>
      <c r="O249" s="6" t="s">
        <v>54</v>
      </c>
      <c r="P249" s="6" t="s">
        <v>54</v>
      </c>
    </row>
    <row r="250" spans="1:16" ht="30" customHeight="1" x14ac:dyDescent="0.3">
      <c r="A250" s="7">
        <v>45890.380089814818</v>
      </c>
      <c r="B250" s="6" t="s">
        <v>4</v>
      </c>
      <c r="C250" s="6" t="str">
        <f>VLOOKUP(B250,'Veri doğrulama'!D6:E13,2,0)</f>
        <v>MEHMET YAZICI</v>
      </c>
      <c r="D250" s="6"/>
      <c r="E250" s="6" t="s">
        <v>921</v>
      </c>
      <c r="F250" s="6" t="s">
        <v>17</v>
      </c>
      <c r="G250" s="6" t="s">
        <v>35</v>
      </c>
      <c r="H250" s="6">
        <v>1800</v>
      </c>
      <c r="I250" s="6">
        <v>150</v>
      </c>
      <c r="J250" s="6">
        <v>1</v>
      </c>
      <c r="K250" s="10">
        <f t="shared" si="7"/>
        <v>0.27</v>
      </c>
      <c r="L250" s="6" t="s">
        <v>75</v>
      </c>
      <c r="M250" s="6"/>
      <c r="N250" s="6" t="s">
        <v>54</v>
      </c>
      <c r="O250" s="6" t="s">
        <v>54</v>
      </c>
      <c r="P250" s="6" t="s">
        <v>54</v>
      </c>
    </row>
    <row r="251" spans="1:16" ht="30" customHeight="1" x14ac:dyDescent="0.3">
      <c r="A251" s="7">
        <v>45889.358266435185</v>
      </c>
      <c r="B251" s="6" t="s">
        <v>4</v>
      </c>
      <c r="C251" s="6" t="str">
        <f>VLOOKUP(B251,'Veri doğrulama'!D6:E13,2,0)</f>
        <v>MEHMET YAZICI</v>
      </c>
      <c r="D251" s="6"/>
      <c r="E251" s="6" t="s">
        <v>1058</v>
      </c>
      <c r="F251" s="6" t="s">
        <v>1010</v>
      </c>
      <c r="G251" s="6" t="s">
        <v>34</v>
      </c>
      <c r="H251" s="6">
        <v>760</v>
      </c>
      <c r="I251" s="6">
        <v>400</v>
      </c>
      <c r="J251" s="6">
        <v>1</v>
      </c>
      <c r="K251" s="10">
        <f t="shared" si="7"/>
        <v>0.30399999999999999</v>
      </c>
      <c r="L251" s="6" t="s">
        <v>103</v>
      </c>
      <c r="M251" s="6"/>
      <c r="N251" s="6" t="s">
        <v>54</v>
      </c>
      <c r="O251" s="6" t="s">
        <v>54</v>
      </c>
      <c r="P251" s="6" t="s">
        <v>54</v>
      </c>
    </row>
    <row r="252" spans="1:16" ht="30" customHeight="1" x14ac:dyDescent="0.3">
      <c r="A252" s="7">
        <v>45889.357500810183</v>
      </c>
      <c r="B252" s="6" t="s">
        <v>4</v>
      </c>
      <c r="C252" s="6" t="str">
        <f>VLOOKUP(B252,'Veri doğrulama'!D6:E13,2,0)</f>
        <v>MEHMET YAZICI</v>
      </c>
      <c r="D252" s="6"/>
      <c r="E252" s="6" t="s">
        <v>1057</v>
      </c>
      <c r="F252" s="6" t="s">
        <v>15</v>
      </c>
      <c r="G252" s="6" t="s">
        <v>34</v>
      </c>
      <c r="H252" s="6">
        <v>569</v>
      </c>
      <c r="I252" s="6">
        <v>426</v>
      </c>
      <c r="J252" s="6">
        <v>3</v>
      </c>
      <c r="K252" s="10">
        <f t="shared" si="7"/>
        <v>0.727182</v>
      </c>
      <c r="L252" s="6" t="s">
        <v>103</v>
      </c>
      <c r="M252" s="6"/>
      <c r="N252" s="6" t="s">
        <v>54</v>
      </c>
      <c r="O252" s="6" t="s">
        <v>54</v>
      </c>
      <c r="P252" s="6" t="s">
        <v>54</v>
      </c>
    </row>
    <row r="253" spans="1:16" ht="30" customHeight="1" x14ac:dyDescent="0.3">
      <c r="A253" s="7">
        <v>45889.356909490743</v>
      </c>
      <c r="B253" s="6" t="s">
        <v>4</v>
      </c>
      <c r="C253" s="6" t="str">
        <f>VLOOKUP(B253,'Veri doğrulama'!D6:E13,2,0)</f>
        <v>MEHMET YAZICI</v>
      </c>
      <c r="D253" s="6"/>
      <c r="E253" s="6" t="s">
        <v>1056</v>
      </c>
      <c r="F253" s="6" t="s">
        <v>15</v>
      </c>
      <c r="G253" s="6" t="s">
        <v>34</v>
      </c>
      <c r="H253" s="6">
        <v>1400</v>
      </c>
      <c r="I253" s="6">
        <v>800</v>
      </c>
      <c r="J253" s="6">
        <v>2</v>
      </c>
      <c r="K253" s="10">
        <f t="shared" si="7"/>
        <v>2.2400000000000002</v>
      </c>
      <c r="L253" s="6" t="s">
        <v>103</v>
      </c>
      <c r="M253" s="6"/>
      <c r="N253" s="6" t="s">
        <v>54</v>
      </c>
      <c r="O253" s="6" t="s">
        <v>54</v>
      </c>
      <c r="P253" s="6" t="s">
        <v>54</v>
      </c>
    </row>
    <row r="254" spans="1:16" ht="30" customHeight="1" x14ac:dyDescent="0.3">
      <c r="A254" s="7">
        <v>45889.356514699073</v>
      </c>
      <c r="B254" s="6" t="s">
        <v>4</v>
      </c>
      <c r="C254" s="6" t="str">
        <f>VLOOKUP(B254,'Veri doğrulama'!D6:E13,2,0)</f>
        <v>MEHMET YAZICI</v>
      </c>
      <c r="D254" s="6"/>
      <c r="E254" s="6" t="s">
        <v>1055</v>
      </c>
      <c r="F254" s="6" t="s">
        <v>15</v>
      </c>
      <c r="G254" s="6" t="s">
        <v>34</v>
      </c>
      <c r="H254" s="6">
        <v>940</v>
      </c>
      <c r="I254" s="6">
        <v>680</v>
      </c>
      <c r="J254" s="6">
        <v>2</v>
      </c>
      <c r="K254" s="10">
        <f t="shared" si="7"/>
        <v>1.2784</v>
      </c>
      <c r="L254" s="6" t="s">
        <v>103</v>
      </c>
      <c r="M254" s="6"/>
      <c r="N254" s="6" t="s">
        <v>54</v>
      </c>
      <c r="O254" s="6" t="s">
        <v>54</v>
      </c>
      <c r="P254" s="6" t="s">
        <v>54</v>
      </c>
    </row>
    <row r="255" spans="1:16" ht="30" customHeight="1" x14ac:dyDescent="0.3">
      <c r="A255" s="7">
        <v>45888.649231828706</v>
      </c>
      <c r="B255" s="6" t="s">
        <v>5</v>
      </c>
      <c r="C255" s="6" t="str">
        <f>VLOOKUP(B255,'Veri doğrulama'!D6:E13,2,0)</f>
        <v>MEHMET ÖZEN</v>
      </c>
      <c r="D255" s="6"/>
      <c r="E255" s="6" t="s">
        <v>1054</v>
      </c>
      <c r="F255" s="6" t="s">
        <v>15</v>
      </c>
      <c r="G255" s="6" t="s">
        <v>35</v>
      </c>
      <c r="H255" s="6">
        <v>620</v>
      </c>
      <c r="I255" s="6">
        <v>620</v>
      </c>
      <c r="J255" s="6">
        <v>1</v>
      </c>
      <c r="K255" s="10">
        <f t="shared" si="7"/>
        <v>0.38440000000000002</v>
      </c>
      <c r="L255" s="6" t="s">
        <v>42</v>
      </c>
      <c r="M255" s="6"/>
      <c r="N255" s="6" t="s">
        <v>54</v>
      </c>
      <c r="O255" s="6" t="s">
        <v>54</v>
      </c>
      <c r="P255" s="6" t="s">
        <v>54</v>
      </c>
    </row>
    <row r="256" spans="1:16" ht="30" customHeight="1" x14ac:dyDescent="0.3">
      <c r="A256" s="7">
        <v>45888.592392708335</v>
      </c>
      <c r="B256" s="6" t="s">
        <v>5</v>
      </c>
      <c r="C256" s="6" t="str">
        <f>VLOOKUP(B256,'Veri doğrulama'!D6:E13,2,0)</f>
        <v>MEHMET ÖZEN</v>
      </c>
      <c r="D256" s="6"/>
      <c r="E256" s="6" t="s">
        <v>1053</v>
      </c>
      <c r="F256" s="6" t="s">
        <v>16</v>
      </c>
      <c r="G256" s="6" t="s">
        <v>34</v>
      </c>
      <c r="H256" s="6">
        <v>1815</v>
      </c>
      <c r="I256" s="6">
        <v>397</v>
      </c>
      <c r="J256" s="6">
        <v>1</v>
      </c>
      <c r="K256" s="10">
        <f t="shared" ref="K256:K269" si="8">H256*I256/1000000*J256</f>
        <v>0.72055499999999995</v>
      </c>
      <c r="L256" s="6" t="s">
        <v>42</v>
      </c>
      <c r="M256" s="6"/>
      <c r="N256" s="6" t="s">
        <v>54</v>
      </c>
      <c r="O256" s="6" t="s">
        <v>54</v>
      </c>
      <c r="P256" s="6" t="s">
        <v>54</v>
      </c>
    </row>
    <row r="257" spans="1:16" ht="30" customHeight="1" x14ac:dyDescent="0.3">
      <c r="A257" s="7">
        <v>45888.475707291669</v>
      </c>
      <c r="B257" s="6" t="s">
        <v>5</v>
      </c>
      <c r="C257" s="6" t="str">
        <f>VLOOKUP(B257,'Veri doğrulama'!D6:E13,2,0)</f>
        <v>MEHMET ÖZEN</v>
      </c>
      <c r="D257" s="6"/>
      <c r="E257" s="6" t="s">
        <v>1052</v>
      </c>
      <c r="F257" s="6" t="s">
        <v>18</v>
      </c>
      <c r="G257" s="6" t="s">
        <v>34</v>
      </c>
      <c r="H257" s="6">
        <v>1400</v>
      </c>
      <c r="I257" s="6">
        <v>1200</v>
      </c>
      <c r="J257" s="6">
        <v>1</v>
      </c>
      <c r="K257" s="10">
        <f t="shared" si="8"/>
        <v>1.68</v>
      </c>
      <c r="L257" s="6" t="s">
        <v>102</v>
      </c>
      <c r="M257" s="6"/>
      <c r="N257" s="6" t="s">
        <v>54</v>
      </c>
      <c r="O257" s="6" t="s">
        <v>54</v>
      </c>
      <c r="P257" s="6" t="s">
        <v>54</v>
      </c>
    </row>
    <row r="258" spans="1:16" ht="30" customHeight="1" x14ac:dyDescent="0.3">
      <c r="A258" s="7">
        <v>45888.386291782408</v>
      </c>
      <c r="B258" s="6" t="s">
        <v>5</v>
      </c>
      <c r="C258" s="6" t="str">
        <f>VLOOKUP(B258,'Veri doğrulama'!D6:E13,2,0)</f>
        <v>MEHMET ÖZEN</v>
      </c>
      <c r="D258" s="6" t="s">
        <v>1050</v>
      </c>
      <c r="E258" s="6" t="s">
        <v>1051</v>
      </c>
      <c r="F258" s="6" t="s">
        <v>146</v>
      </c>
      <c r="G258" s="6" t="s">
        <v>34</v>
      </c>
      <c r="H258" s="6">
        <v>1120</v>
      </c>
      <c r="I258" s="6">
        <v>1120</v>
      </c>
      <c r="J258" s="6">
        <v>1</v>
      </c>
      <c r="K258" s="10">
        <f t="shared" si="8"/>
        <v>1.2544</v>
      </c>
      <c r="L258" s="6" t="s">
        <v>103</v>
      </c>
      <c r="M258" s="6"/>
      <c r="N258" s="6" t="s">
        <v>54</v>
      </c>
      <c r="O258" s="6" t="s">
        <v>54</v>
      </c>
      <c r="P258" s="6" t="s">
        <v>54</v>
      </c>
    </row>
    <row r="259" spans="1:16" ht="30" customHeight="1" x14ac:dyDescent="0.3">
      <c r="A259" s="7">
        <v>45888.381676736113</v>
      </c>
      <c r="B259" s="6" t="s">
        <v>4</v>
      </c>
      <c r="C259" s="6" t="str">
        <f>VLOOKUP(B259,'Veri doğrulama'!D6:E13,2,0)</f>
        <v>MEHMET YAZICI</v>
      </c>
      <c r="D259" s="6"/>
      <c r="E259" s="6" t="s">
        <v>1049</v>
      </c>
      <c r="F259" s="6" t="s">
        <v>18</v>
      </c>
      <c r="G259" s="6" t="s">
        <v>34</v>
      </c>
      <c r="H259" s="6">
        <v>1400</v>
      </c>
      <c r="I259" s="6">
        <v>1200</v>
      </c>
      <c r="J259" s="6">
        <v>2</v>
      </c>
      <c r="K259" s="10">
        <f t="shared" si="8"/>
        <v>3.36</v>
      </c>
      <c r="L259" s="6" t="s">
        <v>75</v>
      </c>
      <c r="M259" s="6"/>
      <c r="N259" s="6" t="s">
        <v>54</v>
      </c>
      <c r="O259" s="6" t="s">
        <v>54</v>
      </c>
      <c r="P259" s="6" t="s">
        <v>54</v>
      </c>
    </row>
    <row r="260" spans="1:16" ht="30" customHeight="1" x14ac:dyDescent="0.3">
      <c r="A260" s="7">
        <v>45888.362191087966</v>
      </c>
      <c r="B260" s="6" t="s">
        <v>4</v>
      </c>
      <c r="C260" s="6" t="str">
        <f>VLOOKUP(B260,'Veri doğrulama'!D6:E13,2,0)</f>
        <v>MEHMET YAZICI</v>
      </c>
      <c r="D260" s="6"/>
      <c r="E260" s="6" t="s">
        <v>1048</v>
      </c>
      <c r="F260" s="6" t="s">
        <v>17</v>
      </c>
      <c r="G260" s="6" t="s">
        <v>34</v>
      </c>
      <c r="H260" s="6">
        <v>318</v>
      </c>
      <c r="I260" s="6">
        <v>295</v>
      </c>
      <c r="J260" s="6">
        <v>1</v>
      </c>
      <c r="K260" s="10">
        <f t="shared" si="8"/>
        <v>9.3810000000000004E-2</v>
      </c>
      <c r="L260" s="6" t="s">
        <v>75</v>
      </c>
      <c r="M260" s="6"/>
      <c r="N260" s="6" t="s">
        <v>54</v>
      </c>
      <c r="O260" s="6" t="s">
        <v>54</v>
      </c>
      <c r="P260" s="6" t="s">
        <v>54</v>
      </c>
    </row>
    <row r="261" spans="1:16" ht="30" customHeight="1" x14ac:dyDescent="0.3">
      <c r="A261" s="7">
        <v>45888.361317361108</v>
      </c>
      <c r="B261" s="6" t="s">
        <v>4</v>
      </c>
      <c r="C261" s="6" t="str">
        <f>VLOOKUP(B261,'Veri doğrulama'!D6:E13,2,0)</f>
        <v>MEHMET YAZICI</v>
      </c>
      <c r="D261" s="6"/>
      <c r="E261" s="6" t="s">
        <v>1047</v>
      </c>
      <c r="F261" s="6" t="s">
        <v>17</v>
      </c>
      <c r="G261" s="6" t="s">
        <v>34</v>
      </c>
      <c r="H261" s="6">
        <v>489</v>
      </c>
      <c r="I261" s="6">
        <v>440</v>
      </c>
      <c r="J261" s="6">
        <v>1</v>
      </c>
      <c r="K261" s="10">
        <f t="shared" si="8"/>
        <v>0.21515999999999999</v>
      </c>
      <c r="L261" s="6" t="s">
        <v>75</v>
      </c>
      <c r="M261" s="6"/>
      <c r="N261" s="6" t="s">
        <v>54</v>
      </c>
      <c r="O261" s="6" t="s">
        <v>54</v>
      </c>
      <c r="P261" s="6" t="s">
        <v>54</v>
      </c>
    </row>
    <row r="262" spans="1:16" ht="30" customHeight="1" x14ac:dyDescent="0.3">
      <c r="A262" s="7">
        <v>45888.360329861112</v>
      </c>
      <c r="B262" s="6" t="s">
        <v>4</v>
      </c>
      <c r="C262" s="6" t="str">
        <f>VLOOKUP(B262,'Veri doğrulama'!D6:E13,2,0)</f>
        <v>MEHMET YAZICI</v>
      </c>
      <c r="D262" s="6"/>
      <c r="E262" s="6" t="s">
        <v>1046</v>
      </c>
      <c r="F262" s="6" t="s">
        <v>17</v>
      </c>
      <c r="G262" s="6" t="s">
        <v>34</v>
      </c>
      <c r="H262" s="6">
        <v>1800</v>
      </c>
      <c r="I262" s="6">
        <v>430</v>
      </c>
      <c r="J262" s="6">
        <v>1</v>
      </c>
      <c r="K262" s="10">
        <f t="shared" si="8"/>
        <v>0.77400000000000002</v>
      </c>
      <c r="L262" s="6" t="s">
        <v>75</v>
      </c>
      <c r="M262" s="6"/>
      <c r="N262" s="6" t="s">
        <v>54</v>
      </c>
      <c r="O262" s="6" t="s">
        <v>54</v>
      </c>
      <c r="P262" s="6" t="s">
        <v>54</v>
      </c>
    </row>
    <row r="263" spans="1:16" ht="30" customHeight="1" x14ac:dyDescent="0.3">
      <c r="A263" s="7">
        <v>45888.359199189814</v>
      </c>
      <c r="B263" s="6" t="s">
        <v>4</v>
      </c>
      <c r="C263" s="6" t="str">
        <f>VLOOKUP(B263,'Veri doğrulama'!D6:E13,2,0)</f>
        <v>MEHMET YAZICI</v>
      </c>
      <c r="D263" s="6"/>
      <c r="E263" s="6" t="s">
        <v>1045</v>
      </c>
      <c r="F263" s="6" t="s">
        <v>16</v>
      </c>
      <c r="G263" s="6" t="s">
        <v>34</v>
      </c>
      <c r="H263" s="6">
        <v>1815</v>
      </c>
      <c r="I263" s="6">
        <v>397</v>
      </c>
      <c r="J263" s="6">
        <v>4</v>
      </c>
      <c r="K263" s="10">
        <f t="shared" si="8"/>
        <v>2.8822199999999998</v>
      </c>
      <c r="L263" s="6" t="s">
        <v>42</v>
      </c>
      <c r="M263" s="6"/>
      <c r="N263" s="6" t="s">
        <v>54</v>
      </c>
      <c r="O263" s="6" t="s">
        <v>54</v>
      </c>
      <c r="P263" s="6" t="s">
        <v>54</v>
      </c>
    </row>
    <row r="264" spans="1:16" ht="30" customHeight="1" x14ac:dyDescent="0.3">
      <c r="A264" s="7">
        <v>45888.358683101855</v>
      </c>
      <c r="B264" s="6" t="s">
        <v>4</v>
      </c>
      <c r="C264" s="6" t="str">
        <f>VLOOKUP(B264,'Veri doğrulama'!D6:E13,2,0)</f>
        <v>MEHMET YAZICI</v>
      </c>
      <c r="D264" s="6"/>
      <c r="E264" s="6" t="s">
        <v>1044</v>
      </c>
      <c r="F264" s="6" t="s">
        <v>16</v>
      </c>
      <c r="G264" s="6" t="s">
        <v>34</v>
      </c>
      <c r="H264" s="6">
        <v>1877</v>
      </c>
      <c r="I264" s="6">
        <v>375</v>
      </c>
      <c r="J264" s="6">
        <v>3</v>
      </c>
      <c r="K264" s="10">
        <f t="shared" si="8"/>
        <v>2.1116250000000001</v>
      </c>
      <c r="L264" s="6" t="s">
        <v>42</v>
      </c>
      <c r="M264" s="6"/>
      <c r="N264" s="6" t="s">
        <v>54</v>
      </c>
      <c r="O264" s="6" t="s">
        <v>54</v>
      </c>
      <c r="P264" s="6" t="s">
        <v>54</v>
      </c>
    </row>
    <row r="265" spans="1:16" ht="30" customHeight="1" x14ac:dyDescent="0.3">
      <c r="A265" s="7">
        <v>45888.356382060185</v>
      </c>
      <c r="B265" s="6" t="s">
        <v>5</v>
      </c>
      <c r="C265" s="6" t="str">
        <f>VLOOKUP(B265,'Veri doğrulama'!D6:E13,2,0)</f>
        <v>MEHMET ÖZEN</v>
      </c>
      <c r="D265" s="6"/>
      <c r="E265" s="6" t="s">
        <v>142</v>
      </c>
      <c r="F265" s="6" t="s">
        <v>16</v>
      </c>
      <c r="G265" s="6" t="s">
        <v>34</v>
      </c>
      <c r="H265" s="6">
        <v>571</v>
      </c>
      <c r="I265" s="6">
        <v>550</v>
      </c>
      <c r="J265" s="6">
        <v>1</v>
      </c>
      <c r="K265" s="10">
        <f t="shared" si="8"/>
        <v>0.31405</v>
      </c>
      <c r="L265" s="6" t="s">
        <v>75</v>
      </c>
      <c r="M265" s="6"/>
      <c r="N265" s="6" t="s">
        <v>54</v>
      </c>
      <c r="O265" s="6" t="s">
        <v>54</v>
      </c>
      <c r="P265" s="6" t="s">
        <v>54</v>
      </c>
    </row>
    <row r="266" spans="1:16" ht="30" customHeight="1" x14ac:dyDescent="0.3">
      <c r="A266" s="7">
        <v>45888.354231018522</v>
      </c>
      <c r="B266" s="6" t="s">
        <v>5</v>
      </c>
      <c r="C266" s="6" t="str">
        <f>VLOOKUP(B266,'Veri doğrulama'!D6:E13,2,0)</f>
        <v>MEHMET ÖZEN</v>
      </c>
      <c r="D266" s="6"/>
      <c r="E266" s="6" t="s">
        <v>1043</v>
      </c>
      <c r="F266" s="6" t="s">
        <v>16</v>
      </c>
      <c r="G266" s="6" t="s">
        <v>34</v>
      </c>
      <c r="H266" s="6">
        <v>550</v>
      </c>
      <c r="I266" s="6">
        <v>478</v>
      </c>
      <c r="J266" s="6">
        <v>1</v>
      </c>
      <c r="K266" s="10">
        <f t="shared" si="8"/>
        <v>0.26290000000000002</v>
      </c>
      <c r="L266" s="6" t="s">
        <v>75</v>
      </c>
      <c r="M266" s="6"/>
      <c r="N266" s="6" t="s">
        <v>54</v>
      </c>
      <c r="O266" s="6" t="s">
        <v>54</v>
      </c>
      <c r="P266" s="6" t="s">
        <v>54</v>
      </c>
    </row>
    <row r="267" spans="1:16" ht="30" customHeight="1" x14ac:dyDescent="0.3">
      <c r="A267" s="7">
        <v>45887.748696759256</v>
      </c>
      <c r="B267" s="6" t="s">
        <v>5</v>
      </c>
      <c r="C267" s="6" t="str">
        <f>VLOOKUP(B267,'Veri doğrulama'!D6:E13,2,0)</f>
        <v>MEHMET ÖZEN</v>
      </c>
      <c r="D267" s="6"/>
      <c r="E267" s="6" t="s">
        <v>1042</v>
      </c>
      <c r="F267" s="6" t="s">
        <v>18</v>
      </c>
      <c r="G267" s="6" t="s">
        <v>34</v>
      </c>
      <c r="H267" s="6">
        <v>1150</v>
      </c>
      <c r="I267" s="6">
        <v>450</v>
      </c>
      <c r="J267" s="6">
        <v>1</v>
      </c>
      <c r="K267" s="10">
        <f t="shared" si="8"/>
        <v>0.51749999999999996</v>
      </c>
      <c r="L267" s="6" t="s">
        <v>75</v>
      </c>
      <c r="M267" s="6"/>
      <c r="N267" s="6" t="s">
        <v>54</v>
      </c>
      <c r="O267" s="6" t="s">
        <v>54</v>
      </c>
      <c r="P267" s="6" t="s">
        <v>54</v>
      </c>
    </row>
    <row r="268" spans="1:16" ht="30" customHeight="1" x14ac:dyDescent="0.3">
      <c r="A268" s="7">
        <v>45887.688402893516</v>
      </c>
      <c r="B268" s="6" t="s">
        <v>5</v>
      </c>
      <c r="C268" s="6" t="str">
        <f>VLOOKUP(B268,'Veri doğrulama'!D6:E13,2,0)</f>
        <v>MEHMET ÖZEN</v>
      </c>
      <c r="D268" s="6"/>
      <c r="E268" s="6" t="s">
        <v>1042</v>
      </c>
      <c r="F268" s="6" t="s">
        <v>18</v>
      </c>
      <c r="G268" s="6" t="s">
        <v>34</v>
      </c>
      <c r="H268" s="6">
        <v>600</v>
      </c>
      <c r="I268" s="6">
        <v>450</v>
      </c>
      <c r="J268" s="6">
        <v>1</v>
      </c>
      <c r="K268" s="10">
        <f t="shared" si="8"/>
        <v>0.27</v>
      </c>
      <c r="L268" s="6" t="s">
        <v>75</v>
      </c>
      <c r="M268" s="6"/>
      <c r="N268" s="6" t="s">
        <v>54</v>
      </c>
      <c r="O268" s="6" t="s">
        <v>54</v>
      </c>
      <c r="P268" s="6" t="s">
        <v>54</v>
      </c>
    </row>
    <row r="269" spans="1:16" ht="30" customHeight="1" x14ac:dyDescent="0.3">
      <c r="A269" s="7">
        <v>45887.685282754632</v>
      </c>
      <c r="B269" s="6" t="s">
        <v>5</v>
      </c>
      <c r="C269" s="6" t="str">
        <f>VLOOKUP(B269,'Veri doğrulama'!D6:E13,2,0)</f>
        <v>MEHMET ÖZEN</v>
      </c>
      <c r="D269" s="6"/>
      <c r="E269" s="6" t="s">
        <v>1041</v>
      </c>
      <c r="F269" s="6" t="s">
        <v>19</v>
      </c>
      <c r="G269" s="6" t="s">
        <v>34</v>
      </c>
      <c r="H269" s="6">
        <v>545</v>
      </c>
      <c r="I269" s="6">
        <v>523</v>
      </c>
      <c r="J269" s="6">
        <v>1</v>
      </c>
      <c r="K269" s="10">
        <f t="shared" si="8"/>
        <v>0.28503499999999998</v>
      </c>
      <c r="L269" s="6" t="s">
        <v>75</v>
      </c>
      <c r="M269" s="6"/>
      <c r="N269" s="6" t="s">
        <v>54</v>
      </c>
      <c r="O269" s="6" t="s">
        <v>54</v>
      </c>
      <c r="P269" s="6" t="s">
        <v>54</v>
      </c>
    </row>
    <row r="270" spans="1:16" ht="30" customHeight="1" x14ac:dyDescent="0.3">
      <c r="A270" s="7">
        <v>45887.564885069442</v>
      </c>
      <c r="B270" s="6" t="s">
        <v>5</v>
      </c>
      <c r="C270" s="6" t="s">
        <v>53</v>
      </c>
      <c r="D270" s="6">
        <v>24100</v>
      </c>
      <c r="E270" s="6" t="s">
        <v>1040</v>
      </c>
      <c r="F270" s="6" t="s">
        <v>16</v>
      </c>
      <c r="G270" s="6" t="s">
        <v>34</v>
      </c>
      <c r="H270" s="6">
        <v>1150</v>
      </c>
      <c r="I270" s="6">
        <v>470</v>
      </c>
      <c r="J270" s="6">
        <v>1</v>
      </c>
      <c r="K270" s="10" t="e">
        <f>#REF!*#REF!/1000000*J270</f>
        <v>#REF!</v>
      </c>
      <c r="L270" s="6" t="s">
        <v>42</v>
      </c>
      <c r="M270" s="6"/>
      <c r="N270" s="6" t="s">
        <v>54</v>
      </c>
      <c r="O270" s="6" t="s">
        <v>54</v>
      </c>
      <c r="P270" s="6" t="s">
        <v>54</v>
      </c>
    </row>
    <row r="271" spans="1:16" ht="30" customHeight="1" x14ac:dyDescent="0.3">
      <c r="A271" s="7">
        <v>45887.563877083332</v>
      </c>
      <c r="B271" s="6" t="s">
        <v>5</v>
      </c>
      <c r="C271" s="6" t="s">
        <v>53</v>
      </c>
      <c r="D271" s="6">
        <v>24100</v>
      </c>
      <c r="E271" s="6" t="s">
        <v>1039</v>
      </c>
      <c r="F271" s="6" t="s">
        <v>16</v>
      </c>
      <c r="G271" s="6" t="s">
        <v>34</v>
      </c>
      <c r="H271" s="6">
        <v>1150</v>
      </c>
      <c r="I271" s="6">
        <v>557</v>
      </c>
      <c r="J271" s="6">
        <v>1</v>
      </c>
      <c r="K271" s="10" t="e">
        <f>#REF!*#REF!/1000000*J271</f>
        <v>#REF!</v>
      </c>
      <c r="L271" s="6" t="s">
        <v>42</v>
      </c>
      <c r="M271" s="6"/>
      <c r="N271" s="6" t="s">
        <v>54</v>
      </c>
      <c r="O271" s="6" t="s">
        <v>54</v>
      </c>
      <c r="P271" s="6" t="s">
        <v>54</v>
      </c>
    </row>
    <row r="272" spans="1:16" ht="30" customHeight="1" x14ac:dyDescent="0.3">
      <c r="A272" s="7">
        <v>45884.756907407405</v>
      </c>
      <c r="B272" s="6" t="s">
        <v>5</v>
      </c>
      <c r="C272" s="6" t="str">
        <f>VLOOKUP(B270,'Veri doğrulama'!D6:E13,2,0)</f>
        <v>MEHMET ÖZEN</v>
      </c>
      <c r="D272" s="6"/>
      <c r="E272" s="6" t="s">
        <v>1037</v>
      </c>
      <c r="F272" s="6" t="s">
        <v>16</v>
      </c>
      <c r="G272" s="6" t="s">
        <v>34</v>
      </c>
      <c r="H272" s="6">
        <v>539</v>
      </c>
      <c r="I272" s="6">
        <v>451</v>
      </c>
      <c r="J272" s="6">
        <v>2</v>
      </c>
      <c r="K272" s="10">
        <f t="shared" ref="K272:K335" si="9">H270*I270/1000000*J272</f>
        <v>1.081</v>
      </c>
      <c r="L272" s="6" t="s">
        <v>75</v>
      </c>
      <c r="M272" s="6"/>
      <c r="N272" s="6" t="s">
        <v>54</v>
      </c>
      <c r="O272" s="6" t="s">
        <v>54</v>
      </c>
      <c r="P272" s="6" t="s">
        <v>54</v>
      </c>
    </row>
    <row r="273" spans="1:16" ht="30" customHeight="1" x14ac:dyDescent="0.3">
      <c r="A273" s="7">
        <v>45884.755031944442</v>
      </c>
      <c r="B273" s="6" t="s">
        <v>5</v>
      </c>
      <c r="C273" s="6" t="str">
        <f>VLOOKUP(B271,'Veri doğrulama'!D6:E13,2,0)</f>
        <v>MEHMET ÖZEN</v>
      </c>
      <c r="D273" s="6"/>
      <c r="E273" s="6" t="s">
        <v>1038</v>
      </c>
      <c r="F273" s="6" t="s">
        <v>16</v>
      </c>
      <c r="G273" s="6" t="s">
        <v>34</v>
      </c>
      <c r="H273" s="6">
        <v>490</v>
      </c>
      <c r="I273" s="6">
        <v>415</v>
      </c>
      <c r="J273" s="6">
        <v>1</v>
      </c>
      <c r="K273" s="10">
        <f t="shared" si="9"/>
        <v>0.64054999999999995</v>
      </c>
      <c r="L273" s="6" t="s">
        <v>75</v>
      </c>
      <c r="M273" s="6"/>
      <c r="N273" s="6" t="s">
        <v>54</v>
      </c>
      <c r="O273" s="6" t="s">
        <v>54</v>
      </c>
      <c r="P273" s="6" t="s">
        <v>54</v>
      </c>
    </row>
    <row r="274" spans="1:16" ht="30" customHeight="1" x14ac:dyDescent="0.3">
      <c r="A274" s="7">
        <v>45884.487794328707</v>
      </c>
      <c r="B274" s="6" t="s">
        <v>5</v>
      </c>
      <c r="C274" s="6" t="str">
        <f>VLOOKUP(B272,'Veri doğrulama'!D6:E13,2,0)</f>
        <v>MEHMET ÖZEN</v>
      </c>
      <c r="D274" s="6"/>
      <c r="E274" s="6" t="s">
        <v>416</v>
      </c>
      <c r="F274" s="6" t="s">
        <v>16</v>
      </c>
      <c r="G274" s="6" t="s">
        <v>34</v>
      </c>
      <c r="H274" s="6">
        <v>470</v>
      </c>
      <c r="I274" s="6">
        <v>447</v>
      </c>
      <c r="J274" s="6">
        <v>1</v>
      </c>
      <c r="K274" s="10">
        <f t="shared" si="9"/>
        <v>0.243089</v>
      </c>
      <c r="L274" s="6" t="s">
        <v>75</v>
      </c>
      <c r="M274" s="6"/>
      <c r="N274" s="6" t="s">
        <v>54</v>
      </c>
      <c r="O274" s="6" t="s">
        <v>54</v>
      </c>
      <c r="P274" s="6" t="s">
        <v>54</v>
      </c>
    </row>
    <row r="275" spans="1:16" ht="30" customHeight="1" x14ac:dyDescent="0.3">
      <c r="A275" s="7">
        <v>45884.465674074076</v>
      </c>
      <c r="B275" s="6" t="s">
        <v>5</v>
      </c>
      <c r="C275" s="6" t="str">
        <f>VLOOKUP(B273,'Veri doğrulama'!D6:E13,2,0)</f>
        <v>MEHMET ÖZEN</v>
      </c>
      <c r="D275" s="6"/>
      <c r="E275" s="6" t="s">
        <v>1037</v>
      </c>
      <c r="F275" s="6" t="s">
        <v>18</v>
      </c>
      <c r="G275" s="6" t="s">
        <v>34</v>
      </c>
      <c r="H275" s="6">
        <v>539</v>
      </c>
      <c r="I275" s="6">
        <v>451</v>
      </c>
      <c r="J275" s="6">
        <v>1</v>
      </c>
      <c r="K275" s="10">
        <f t="shared" si="9"/>
        <v>0.20335</v>
      </c>
      <c r="L275" s="6" t="s">
        <v>103</v>
      </c>
      <c r="M275" s="6"/>
      <c r="N275" s="6" t="s">
        <v>54</v>
      </c>
      <c r="O275" s="6" t="s">
        <v>54</v>
      </c>
      <c r="P275" s="6" t="s">
        <v>54</v>
      </c>
    </row>
    <row r="276" spans="1:16" ht="30" customHeight="1" x14ac:dyDescent="0.3">
      <c r="A276" s="7">
        <v>45884.430430787033</v>
      </c>
      <c r="B276" s="6" t="s">
        <v>5</v>
      </c>
      <c r="C276" s="6" t="str">
        <f>VLOOKUP(B274,'Veri doğrulama'!D6:E13,2,0)</f>
        <v>MEHMET ÖZEN</v>
      </c>
      <c r="D276" s="6"/>
      <c r="E276" s="6" t="s">
        <v>1036</v>
      </c>
      <c r="F276" s="6" t="s">
        <v>16</v>
      </c>
      <c r="G276" s="6" t="s">
        <v>34</v>
      </c>
      <c r="H276" s="6">
        <v>1895</v>
      </c>
      <c r="I276" s="6">
        <v>870</v>
      </c>
      <c r="J276" s="6">
        <v>2</v>
      </c>
      <c r="K276" s="10">
        <f t="shared" si="9"/>
        <v>0.42018</v>
      </c>
      <c r="L276" s="6" t="s">
        <v>75</v>
      </c>
      <c r="M276" s="6"/>
      <c r="N276" s="6" t="s">
        <v>54</v>
      </c>
      <c r="O276" s="6" t="s">
        <v>54</v>
      </c>
      <c r="P276" s="6" t="s">
        <v>54</v>
      </c>
    </row>
    <row r="277" spans="1:16" ht="30" customHeight="1" x14ac:dyDescent="0.3">
      <c r="A277" s="7">
        <v>45884.383465162035</v>
      </c>
      <c r="B277" s="6" t="s">
        <v>5</v>
      </c>
      <c r="C277" s="6" t="str">
        <f>VLOOKUP(B275,'Veri doğrulama'!D6:E13,2,0)</f>
        <v>MEHMET ÖZEN</v>
      </c>
      <c r="D277" s="6"/>
      <c r="E277" s="6" t="s">
        <v>1034</v>
      </c>
      <c r="F277" s="6" t="s">
        <v>18</v>
      </c>
      <c r="G277" s="6" t="s">
        <v>34</v>
      </c>
      <c r="H277" s="6">
        <v>557</v>
      </c>
      <c r="I277" s="6">
        <v>450</v>
      </c>
      <c r="J277" s="6">
        <v>2</v>
      </c>
      <c r="K277" s="10">
        <f t="shared" si="9"/>
        <v>0.486178</v>
      </c>
      <c r="L277" s="6" t="s">
        <v>75</v>
      </c>
      <c r="M277" s="6"/>
      <c r="N277" s="6" t="s">
        <v>54</v>
      </c>
      <c r="O277" s="6" t="s">
        <v>54</v>
      </c>
      <c r="P277" s="6" t="s">
        <v>54</v>
      </c>
    </row>
    <row r="278" spans="1:16" ht="30" customHeight="1" x14ac:dyDescent="0.3">
      <c r="A278" s="7">
        <v>45883.766288425926</v>
      </c>
      <c r="B278" s="6" t="s">
        <v>5</v>
      </c>
      <c r="C278" s="6" t="str">
        <f>VLOOKUP(B276,'Veri doğrulama'!D6:E13,2,0)</f>
        <v>MEHMET ÖZEN</v>
      </c>
      <c r="D278" s="6" t="s">
        <v>1035</v>
      </c>
      <c r="E278" s="6" t="s">
        <v>1033</v>
      </c>
      <c r="F278" s="6" t="s">
        <v>18</v>
      </c>
      <c r="G278" s="6" t="s">
        <v>34</v>
      </c>
      <c r="H278" s="6">
        <v>600</v>
      </c>
      <c r="I278" s="6">
        <v>450</v>
      </c>
      <c r="J278" s="6">
        <v>1</v>
      </c>
      <c r="K278" s="10">
        <f t="shared" si="9"/>
        <v>1.6486499999999999</v>
      </c>
      <c r="L278" s="6" t="s">
        <v>42</v>
      </c>
      <c r="M278" s="6"/>
      <c r="N278" s="6" t="s">
        <v>54</v>
      </c>
      <c r="O278" s="6" t="s">
        <v>54</v>
      </c>
      <c r="P278" s="6" t="s">
        <v>54</v>
      </c>
    </row>
    <row r="279" spans="1:16" ht="30" customHeight="1" x14ac:dyDescent="0.3">
      <c r="A279" s="7">
        <v>45883.647688078701</v>
      </c>
      <c r="B279" s="6" t="s">
        <v>7</v>
      </c>
      <c r="C279" s="6" t="str">
        <f>VLOOKUP(B277,'Veri doğrulama'!D6:E13,2,0)</f>
        <v>MEHMET ÖZEN</v>
      </c>
      <c r="D279" s="6"/>
      <c r="E279" s="6" t="s">
        <v>1032</v>
      </c>
      <c r="F279" s="6" t="s">
        <v>30</v>
      </c>
      <c r="G279" s="6" t="s">
        <v>34</v>
      </c>
      <c r="H279" s="6">
        <v>1000</v>
      </c>
      <c r="I279" s="6">
        <v>500</v>
      </c>
      <c r="J279" s="6">
        <v>1</v>
      </c>
      <c r="K279" s="10">
        <f t="shared" si="9"/>
        <v>0.25064999999999998</v>
      </c>
      <c r="L279" s="6" t="s">
        <v>103</v>
      </c>
      <c r="M279" s="6"/>
      <c r="N279" s="6" t="s">
        <v>54</v>
      </c>
      <c r="O279" s="6" t="s">
        <v>54</v>
      </c>
      <c r="P279" s="6" t="s">
        <v>54</v>
      </c>
    </row>
    <row r="280" spans="1:16" ht="30" customHeight="1" x14ac:dyDescent="0.3">
      <c r="A280" s="7">
        <v>45883.647057291666</v>
      </c>
      <c r="B280" s="6" t="s">
        <v>7</v>
      </c>
      <c r="C280" s="6" t="str">
        <f>VLOOKUP(B278,'Veri doğrulama'!D6:E13,2,0)</f>
        <v>MEHMET ÖZEN</v>
      </c>
      <c r="D280" s="6"/>
      <c r="E280" s="6" t="s">
        <v>1031</v>
      </c>
      <c r="F280" s="6" t="s">
        <v>19</v>
      </c>
      <c r="G280" s="6" t="s">
        <v>34</v>
      </c>
      <c r="H280" s="6">
        <v>2600</v>
      </c>
      <c r="I280" s="6">
        <v>300</v>
      </c>
      <c r="J280" s="6">
        <v>1</v>
      </c>
      <c r="K280" s="10">
        <f t="shared" si="9"/>
        <v>0.27</v>
      </c>
      <c r="L280" s="6" t="s">
        <v>103</v>
      </c>
      <c r="M280" s="6"/>
      <c r="N280" s="6" t="s">
        <v>54</v>
      </c>
      <c r="O280" s="6" t="s">
        <v>54</v>
      </c>
      <c r="P280" s="6" t="s">
        <v>54</v>
      </c>
    </row>
    <row r="281" spans="1:16" ht="30" customHeight="1" x14ac:dyDescent="0.3">
      <c r="A281" s="7">
        <v>45883.604319560189</v>
      </c>
      <c r="B281" s="6" t="s">
        <v>4</v>
      </c>
      <c r="C281" s="6" t="str">
        <f>VLOOKUP(B279,'Veri doğrulama'!D6:E13,2,0)</f>
        <v>SIDDIK KAPLAN</v>
      </c>
      <c r="D281" s="6"/>
      <c r="E281" s="6" t="s">
        <v>80</v>
      </c>
      <c r="F281" s="6" t="s">
        <v>18</v>
      </c>
      <c r="G281" s="6" t="s">
        <v>34</v>
      </c>
      <c r="H281" s="6">
        <v>800</v>
      </c>
      <c r="I281" s="6">
        <v>1400</v>
      </c>
      <c r="J281" s="6">
        <v>1</v>
      </c>
      <c r="K281" s="10">
        <f t="shared" si="9"/>
        <v>0.5</v>
      </c>
      <c r="L281" s="6" t="s">
        <v>43</v>
      </c>
      <c r="M281" s="6"/>
      <c r="N281" s="6" t="s">
        <v>54</v>
      </c>
      <c r="O281" s="6" t="s">
        <v>54</v>
      </c>
      <c r="P281" s="6" t="s">
        <v>54</v>
      </c>
    </row>
    <row r="282" spans="1:16" ht="30" customHeight="1" x14ac:dyDescent="0.3">
      <c r="A282" s="7">
        <v>45883.589804513889</v>
      </c>
      <c r="B282" s="6" t="s">
        <v>5</v>
      </c>
      <c r="C282" s="6" t="str">
        <f>VLOOKUP(B280,'Veri doğrulama'!D6:E13,2,0)</f>
        <v>SIDDIK KAPLAN</v>
      </c>
      <c r="D282" s="6"/>
      <c r="E282" s="6" t="s">
        <v>1030</v>
      </c>
      <c r="F282" s="6" t="s">
        <v>17</v>
      </c>
      <c r="G282" s="6" t="s">
        <v>34</v>
      </c>
      <c r="H282" s="6">
        <v>1600</v>
      </c>
      <c r="I282" s="6">
        <v>406</v>
      </c>
      <c r="J282" s="6">
        <v>1</v>
      </c>
      <c r="K282" s="10">
        <f t="shared" si="9"/>
        <v>0.78</v>
      </c>
      <c r="L282" s="6" t="s">
        <v>43</v>
      </c>
      <c r="M282" s="6"/>
      <c r="N282" s="6" t="s">
        <v>54</v>
      </c>
      <c r="O282" s="6" t="s">
        <v>54</v>
      </c>
      <c r="P282" s="6" t="s">
        <v>54</v>
      </c>
    </row>
    <row r="283" spans="1:16" ht="30" customHeight="1" x14ac:dyDescent="0.3">
      <c r="A283" s="7">
        <v>45883.395464930552</v>
      </c>
      <c r="B283" s="6" t="s">
        <v>5</v>
      </c>
      <c r="C283" s="6" t="str">
        <f>VLOOKUP(B281,'Veri doğrulama'!D6:E13,2,0)</f>
        <v>MEHMET YAZICI</v>
      </c>
      <c r="D283" s="6"/>
      <c r="E283" s="6" t="s">
        <v>1029</v>
      </c>
      <c r="F283" s="6" t="s">
        <v>17</v>
      </c>
      <c r="G283" s="6" t="s">
        <v>34</v>
      </c>
      <c r="H283" s="6">
        <v>1152</v>
      </c>
      <c r="I283" s="6">
        <v>408</v>
      </c>
      <c r="J283" s="6">
        <v>1</v>
      </c>
      <c r="K283" s="10">
        <f t="shared" si="9"/>
        <v>1.1200000000000001</v>
      </c>
      <c r="L283" s="6" t="s">
        <v>102</v>
      </c>
      <c r="M283" s="6"/>
      <c r="N283" s="6" t="s">
        <v>54</v>
      </c>
      <c r="O283" s="6" t="s">
        <v>54</v>
      </c>
      <c r="P283" s="6" t="s">
        <v>54</v>
      </c>
    </row>
    <row r="284" spans="1:16" ht="30" customHeight="1" x14ac:dyDescent="0.3">
      <c r="A284" s="7">
        <v>45883.369972916669</v>
      </c>
      <c r="B284" s="6" t="s">
        <v>5</v>
      </c>
      <c r="C284" s="6" t="str">
        <f>VLOOKUP(B282,'Veri doğrulama'!D6:E13,2,0)</f>
        <v>MEHMET ÖZEN</v>
      </c>
      <c r="D284" s="6"/>
      <c r="E284" s="6" t="s">
        <v>1027</v>
      </c>
      <c r="F284" s="6" t="s">
        <v>17</v>
      </c>
      <c r="G284" s="6" t="s">
        <v>34</v>
      </c>
      <c r="H284" s="6">
        <v>1400</v>
      </c>
      <c r="I284" s="6">
        <v>800</v>
      </c>
      <c r="J284" s="6">
        <v>1</v>
      </c>
      <c r="K284" s="10">
        <f t="shared" si="9"/>
        <v>0.64959999999999996</v>
      </c>
      <c r="L284" s="6" t="s">
        <v>42</v>
      </c>
      <c r="M284" s="6"/>
      <c r="N284" s="6" t="s">
        <v>54</v>
      </c>
      <c r="O284" s="6" t="s">
        <v>54</v>
      </c>
      <c r="P284" s="6" t="s">
        <v>54</v>
      </c>
    </row>
    <row r="285" spans="1:16" ht="30" customHeight="1" x14ac:dyDescent="0.3">
      <c r="A285" s="7">
        <v>45882.505455208331</v>
      </c>
      <c r="B285" s="6" t="s">
        <v>5</v>
      </c>
      <c r="C285" s="6" t="str">
        <f>VLOOKUP(B283,'Veri doğrulama'!D6:E13,2,0)</f>
        <v>MEHMET ÖZEN</v>
      </c>
      <c r="D285" s="6" t="s">
        <v>1028</v>
      </c>
      <c r="E285" s="6" t="s">
        <v>1026</v>
      </c>
      <c r="F285" s="6" t="s">
        <v>18</v>
      </c>
      <c r="G285" s="6" t="s">
        <v>34</v>
      </c>
      <c r="H285" s="6">
        <v>1400</v>
      </c>
      <c r="I285" s="6">
        <v>800</v>
      </c>
      <c r="J285" s="6">
        <v>1</v>
      </c>
      <c r="K285" s="10">
        <f t="shared" si="9"/>
        <v>0.47001599999999999</v>
      </c>
      <c r="L285" s="6" t="s">
        <v>43</v>
      </c>
      <c r="M285" s="6"/>
      <c r="N285" s="6" t="s">
        <v>54</v>
      </c>
      <c r="O285" s="6" t="s">
        <v>54</v>
      </c>
      <c r="P285" s="6" t="s">
        <v>54</v>
      </c>
    </row>
    <row r="286" spans="1:16" ht="30" customHeight="1" x14ac:dyDescent="0.3">
      <c r="A286" s="7">
        <v>45882.350824421294</v>
      </c>
      <c r="B286" s="6" t="s">
        <v>5</v>
      </c>
      <c r="C286" s="6" t="str">
        <f>VLOOKUP(B284,'Veri doğrulama'!D6:E13,2,0)</f>
        <v>MEHMET ÖZEN</v>
      </c>
      <c r="D286" s="6"/>
      <c r="E286" s="6" t="s">
        <v>1025</v>
      </c>
      <c r="F286" s="6" t="s">
        <v>18</v>
      </c>
      <c r="G286" s="6" t="s">
        <v>34</v>
      </c>
      <c r="H286" s="6">
        <v>735</v>
      </c>
      <c r="I286" s="6">
        <v>397</v>
      </c>
      <c r="J286" s="6">
        <v>1</v>
      </c>
      <c r="K286" s="10">
        <f t="shared" si="9"/>
        <v>1.1200000000000001</v>
      </c>
      <c r="L286" s="6" t="s">
        <v>102</v>
      </c>
      <c r="M286" s="6"/>
      <c r="N286" s="6" t="s">
        <v>54</v>
      </c>
      <c r="O286" s="6" t="s">
        <v>54</v>
      </c>
      <c r="P286" s="6" t="s">
        <v>54</v>
      </c>
    </row>
    <row r="287" spans="1:16" ht="30" customHeight="1" x14ac:dyDescent="0.3">
      <c r="A287" s="7">
        <v>45882.349313425926</v>
      </c>
      <c r="B287" s="6" t="s">
        <v>5</v>
      </c>
      <c r="C287" s="6" t="str">
        <f>VLOOKUP(B285,'Veri doğrulama'!D6:E13,2,0)</f>
        <v>MEHMET ÖZEN</v>
      </c>
      <c r="D287" s="6"/>
      <c r="E287" s="6" t="s">
        <v>1024</v>
      </c>
      <c r="F287" s="6" t="s">
        <v>17</v>
      </c>
      <c r="G287" s="6" t="s">
        <v>34</v>
      </c>
      <c r="H287" s="6">
        <v>557</v>
      </c>
      <c r="I287" s="6">
        <v>1150</v>
      </c>
      <c r="J287" s="6">
        <v>1</v>
      </c>
      <c r="K287" s="10">
        <f t="shared" si="9"/>
        <v>1.1200000000000001</v>
      </c>
      <c r="L287" s="6" t="s">
        <v>42</v>
      </c>
      <c r="M287" s="6"/>
      <c r="N287" s="6" t="s">
        <v>54</v>
      </c>
      <c r="O287" s="6" t="s">
        <v>54</v>
      </c>
      <c r="P287" s="6" t="s">
        <v>54</v>
      </c>
    </row>
    <row r="288" spans="1:16" ht="30" customHeight="1" x14ac:dyDescent="0.3">
      <c r="A288" s="7">
        <v>45881.612582175927</v>
      </c>
      <c r="B288" s="6" t="s">
        <v>4</v>
      </c>
      <c r="C288" s="6" t="str">
        <f>VLOOKUP(B286,'Veri doğrulama'!D6:E13,2,0)</f>
        <v>MEHMET ÖZEN</v>
      </c>
      <c r="D288" s="6"/>
      <c r="E288" s="6" t="s">
        <v>1022</v>
      </c>
      <c r="F288" s="6" t="s">
        <v>18</v>
      </c>
      <c r="G288" s="6" t="s">
        <v>34</v>
      </c>
      <c r="H288" s="6">
        <v>800</v>
      </c>
      <c r="I288" s="6">
        <v>360</v>
      </c>
      <c r="J288" s="6">
        <v>1</v>
      </c>
      <c r="K288" s="10">
        <f t="shared" si="9"/>
        <v>0.29179500000000003</v>
      </c>
      <c r="L288" s="6" t="s">
        <v>42</v>
      </c>
      <c r="M288" s="6"/>
      <c r="N288" s="6" t="s">
        <v>54</v>
      </c>
      <c r="O288" s="6" t="s">
        <v>54</v>
      </c>
      <c r="P288" s="6" t="s">
        <v>54</v>
      </c>
    </row>
    <row r="289" spans="1:16" ht="30" customHeight="1" x14ac:dyDescent="0.3">
      <c r="A289" s="7">
        <v>45881.606873379627</v>
      </c>
      <c r="B289" s="6" t="s">
        <v>4</v>
      </c>
      <c r="C289" s="6" t="str">
        <f>VLOOKUP(B287,'Veri doğrulama'!D6:E13,2,0)</f>
        <v>MEHMET ÖZEN</v>
      </c>
      <c r="D289" s="6" t="s">
        <v>1023</v>
      </c>
      <c r="E289" s="6" t="s">
        <v>80</v>
      </c>
      <c r="F289" s="6" t="s">
        <v>20</v>
      </c>
      <c r="G289" s="6" t="s">
        <v>34</v>
      </c>
      <c r="H289" s="6">
        <v>1400</v>
      </c>
      <c r="I289" s="6">
        <v>700</v>
      </c>
      <c r="J289" s="6">
        <v>2</v>
      </c>
      <c r="K289" s="10">
        <f t="shared" si="9"/>
        <v>1.2810999999999999</v>
      </c>
      <c r="L289" s="6" t="s">
        <v>75</v>
      </c>
      <c r="M289" s="6"/>
      <c r="N289" s="6" t="s">
        <v>54</v>
      </c>
      <c r="O289" s="6" t="s">
        <v>54</v>
      </c>
      <c r="P289" s="6" t="s">
        <v>54</v>
      </c>
    </row>
    <row r="290" spans="1:16" ht="30" customHeight="1" x14ac:dyDescent="0.3">
      <c r="A290" s="7">
        <v>45877.762263657409</v>
      </c>
      <c r="B290" s="6" t="s">
        <v>4</v>
      </c>
      <c r="C290" s="6" t="str">
        <f>VLOOKUP(B288,'Veri doğrulama'!D6:E13,2,0)</f>
        <v>MEHMET YAZICI</v>
      </c>
      <c r="D290" s="6"/>
      <c r="E290" s="6" t="s">
        <v>1021</v>
      </c>
      <c r="F290" s="6" t="s">
        <v>20</v>
      </c>
      <c r="G290" s="6" t="s">
        <v>34</v>
      </c>
      <c r="H290" s="6">
        <v>430</v>
      </c>
      <c r="I290" s="6">
        <v>396</v>
      </c>
      <c r="J290" s="6">
        <v>1</v>
      </c>
      <c r="K290" s="10">
        <f t="shared" si="9"/>
        <v>0.28799999999999998</v>
      </c>
      <c r="L290" s="6" t="s">
        <v>103</v>
      </c>
      <c r="M290" s="6"/>
      <c r="N290" s="6" t="s">
        <v>54</v>
      </c>
      <c r="O290" s="6" t="s">
        <v>54</v>
      </c>
      <c r="P290" s="6" t="s">
        <v>54</v>
      </c>
    </row>
    <row r="291" spans="1:16" ht="30" customHeight="1" x14ac:dyDescent="0.3">
      <c r="A291" s="7">
        <v>45876.75229340278</v>
      </c>
      <c r="B291" s="6" t="s">
        <v>4</v>
      </c>
      <c r="C291" s="6" t="str">
        <f>VLOOKUP(B289,'Veri doğrulama'!D6:E13,2,0)</f>
        <v>MEHMET YAZICI</v>
      </c>
      <c r="D291" s="6"/>
      <c r="E291" s="6" t="s">
        <v>1020</v>
      </c>
      <c r="F291" s="6" t="s">
        <v>20</v>
      </c>
      <c r="G291" s="6" t="s">
        <v>34</v>
      </c>
      <c r="H291" s="6">
        <v>450</v>
      </c>
      <c r="I291" s="6">
        <v>396</v>
      </c>
      <c r="J291" s="6">
        <v>2</v>
      </c>
      <c r="K291" s="10">
        <f t="shared" si="9"/>
        <v>1.96</v>
      </c>
      <c r="L291" s="6" t="s">
        <v>103</v>
      </c>
      <c r="M291" s="6"/>
      <c r="N291" s="6" t="s">
        <v>54</v>
      </c>
      <c r="O291" s="6" t="s">
        <v>54</v>
      </c>
      <c r="P291" s="6" t="s">
        <v>54</v>
      </c>
    </row>
    <row r="292" spans="1:16" ht="30" customHeight="1" x14ac:dyDescent="0.3">
      <c r="A292" s="7">
        <v>45876.751728240743</v>
      </c>
      <c r="B292" s="6" t="s">
        <v>5</v>
      </c>
      <c r="C292" s="6" t="str">
        <f>VLOOKUP(B290,'Veri doğrulama'!D6:E13,2,0)</f>
        <v>MEHMET YAZICI</v>
      </c>
      <c r="D292" s="6"/>
      <c r="E292" s="6" t="s">
        <v>1019</v>
      </c>
      <c r="F292" s="6" t="s">
        <v>26</v>
      </c>
      <c r="G292" s="6" t="s">
        <v>34</v>
      </c>
      <c r="H292" s="6">
        <v>1400</v>
      </c>
      <c r="I292" s="6">
        <v>1200</v>
      </c>
      <c r="J292" s="6">
        <v>1</v>
      </c>
      <c r="K292" s="10">
        <f t="shared" si="9"/>
        <v>0.17027999999999999</v>
      </c>
      <c r="L292" s="6" t="s">
        <v>103</v>
      </c>
      <c r="M292" s="6"/>
      <c r="N292" s="6" t="s">
        <v>54</v>
      </c>
      <c r="O292" s="6" t="s">
        <v>54</v>
      </c>
      <c r="P292" s="6" t="s">
        <v>54</v>
      </c>
    </row>
    <row r="293" spans="1:16" ht="30" customHeight="1" x14ac:dyDescent="0.3">
      <c r="A293" s="7">
        <v>45876.751290509259</v>
      </c>
      <c r="B293" s="6" t="s">
        <v>5</v>
      </c>
      <c r="C293" s="6" t="str">
        <f>VLOOKUP(B291,'Veri doğrulama'!D6:E13,2,0)</f>
        <v>MEHMET YAZICI</v>
      </c>
      <c r="D293" s="6"/>
      <c r="E293" s="6" t="s">
        <v>1017</v>
      </c>
      <c r="F293" s="6" t="s">
        <v>18</v>
      </c>
      <c r="G293" s="6" t="s">
        <v>34</v>
      </c>
      <c r="H293" s="6">
        <v>1400</v>
      </c>
      <c r="I293" s="6">
        <v>1200</v>
      </c>
      <c r="J293" s="6">
        <v>1</v>
      </c>
      <c r="K293" s="10">
        <f t="shared" si="9"/>
        <v>0.1782</v>
      </c>
      <c r="L293" s="6" t="s">
        <v>103</v>
      </c>
      <c r="M293" s="6"/>
      <c r="N293" s="6" t="s">
        <v>54</v>
      </c>
      <c r="O293" s="6" t="s">
        <v>54</v>
      </c>
      <c r="P293" s="6" t="s">
        <v>54</v>
      </c>
    </row>
    <row r="294" spans="1:16" ht="30" customHeight="1" x14ac:dyDescent="0.3">
      <c r="A294" s="7">
        <v>45876.656882407406</v>
      </c>
      <c r="B294" s="6" t="s">
        <v>4</v>
      </c>
      <c r="C294" s="6" t="str">
        <f>VLOOKUP(B292,'Veri doğrulama'!D6:E13,2,0)</f>
        <v>MEHMET ÖZEN</v>
      </c>
      <c r="D294" s="6" t="s">
        <v>1018</v>
      </c>
      <c r="E294" s="6" t="s">
        <v>1016</v>
      </c>
      <c r="F294" s="6" t="s">
        <v>18</v>
      </c>
      <c r="G294" s="6" t="s">
        <v>34</v>
      </c>
      <c r="H294" s="6">
        <v>1930</v>
      </c>
      <c r="I294" s="6">
        <v>300</v>
      </c>
      <c r="J294" s="6">
        <v>1</v>
      </c>
      <c r="K294" s="10">
        <f t="shared" si="9"/>
        <v>1.68</v>
      </c>
      <c r="L294" s="6" t="s">
        <v>103</v>
      </c>
      <c r="M294" s="6"/>
      <c r="N294" s="6" t="s">
        <v>54</v>
      </c>
      <c r="O294" s="6" t="s">
        <v>54</v>
      </c>
      <c r="P294" s="6" t="s">
        <v>54</v>
      </c>
    </row>
    <row r="295" spans="1:16" ht="30" customHeight="1" x14ac:dyDescent="0.3">
      <c r="A295" s="7">
        <v>45876.35379212963</v>
      </c>
      <c r="B295" s="6" t="s">
        <v>4</v>
      </c>
      <c r="C295" s="6" t="str">
        <f>VLOOKUP(B293,'Veri doğrulama'!D6:E13,2,0)</f>
        <v>MEHMET ÖZEN</v>
      </c>
      <c r="D295" s="6"/>
      <c r="E295" s="6" t="s">
        <v>1015</v>
      </c>
      <c r="F295" s="6" t="s">
        <v>15</v>
      </c>
      <c r="G295" s="6" t="s">
        <v>34</v>
      </c>
      <c r="H295" s="6">
        <v>762</v>
      </c>
      <c r="I295" s="6">
        <v>340</v>
      </c>
      <c r="J295" s="6">
        <v>1</v>
      </c>
      <c r="K295" s="10">
        <f t="shared" si="9"/>
        <v>1.68</v>
      </c>
      <c r="L295" s="6" t="s">
        <v>102</v>
      </c>
      <c r="M295" s="6"/>
      <c r="N295" s="6" t="s">
        <v>54</v>
      </c>
      <c r="O295" s="6" t="s">
        <v>54</v>
      </c>
      <c r="P295" s="6" t="s">
        <v>54</v>
      </c>
    </row>
    <row r="296" spans="1:16" ht="30" customHeight="1" x14ac:dyDescent="0.3">
      <c r="A296" s="7">
        <v>45875.659939351855</v>
      </c>
      <c r="B296" s="6" t="s">
        <v>4</v>
      </c>
      <c r="C296" s="6" t="str">
        <f>VLOOKUP(B294,'Veri doğrulama'!D6:E13,2,0)</f>
        <v>MEHMET YAZICI</v>
      </c>
      <c r="D296" s="6">
        <v>23926</v>
      </c>
      <c r="E296" s="6" t="s">
        <v>1014</v>
      </c>
      <c r="F296" s="6" t="s">
        <v>18</v>
      </c>
      <c r="G296" s="6" t="s">
        <v>34</v>
      </c>
      <c r="H296" s="6">
        <v>2600</v>
      </c>
      <c r="I296" s="6">
        <v>300</v>
      </c>
      <c r="J296" s="6">
        <v>1</v>
      </c>
      <c r="K296" s="10">
        <f t="shared" si="9"/>
        <v>0.57899999999999996</v>
      </c>
      <c r="L296" s="6" t="s">
        <v>103</v>
      </c>
      <c r="M296" s="6"/>
      <c r="N296" s="6" t="s">
        <v>54</v>
      </c>
      <c r="O296" s="6" t="s">
        <v>54</v>
      </c>
      <c r="P296" s="6" t="s">
        <v>54</v>
      </c>
    </row>
    <row r="297" spans="1:16" ht="30" customHeight="1" x14ac:dyDescent="0.3">
      <c r="A297" s="7">
        <v>45875.485901504631</v>
      </c>
      <c r="B297" s="6" t="s">
        <v>4</v>
      </c>
      <c r="C297" s="6" t="str">
        <f>VLOOKUP(B295,'Veri doğrulama'!D6:E13,2,0)</f>
        <v>MEHMET YAZICI</v>
      </c>
      <c r="D297" s="6"/>
      <c r="E297" s="6" t="s">
        <v>1013</v>
      </c>
      <c r="F297" s="6" t="s">
        <v>24</v>
      </c>
      <c r="G297" s="6" t="s">
        <v>34</v>
      </c>
      <c r="H297" s="6">
        <v>1962</v>
      </c>
      <c r="I297" s="6">
        <v>324</v>
      </c>
      <c r="J297" s="6">
        <v>1</v>
      </c>
      <c r="K297" s="10">
        <f t="shared" si="9"/>
        <v>0.25907999999999998</v>
      </c>
      <c r="L297" s="6" t="s">
        <v>75</v>
      </c>
      <c r="M297" s="6"/>
      <c r="N297" s="6" t="s">
        <v>54</v>
      </c>
      <c r="O297" s="6" t="s">
        <v>54</v>
      </c>
      <c r="P297" s="6" t="s">
        <v>54</v>
      </c>
    </row>
    <row r="298" spans="1:16" ht="30" customHeight="1" x14ac:dyDescent="0.3">
      <c r="A298" s="7">
        <v>45874.71873148148</v>
      </c>
      <c r="B298" s="6" t="s">
        <v>4</v>
      </c>
      <c r="C298" s="6" t="str">
        <f>VLOOKUP(B296,'Veri doğrulama'!D6:E13,2,0)</f>
        <v>MEHMET YAZICI</v>
      </c>
      <c r="D298" s="6">
        <v>23926</v>
      </c>
      <c r="E298" s="6" t="s">
        <v>1012</v>
      </c>
      <c r="F298" s="6" t="s">
        <v>15</v>
      </c>
      <c r="G298" s="6" t="s">
        <v>34</v>
      </c>
      <c r="H298" s="6">
        <v>1100</v>
      </c>
      <c r="I298" s="6">
        <v>360</v>
      </c>
      <c r="J298" s="6">
        <v>1</v>
      </c>
      <c r="K298" s="10">
        <f t="shared" si="9"/>
        <v>0.78</v>
      </c>
      <c r="L298" s="6" t="s">
        <v>43</v>
      </c>
      <c r="M298" s="6"/>
      <c r="N298" s="6" t="s">
        <v>54</v>
      </c>
      <c r="O298" s="6" t="s">
        <v>54</v>
      </c>
      <c r="P298" s="6" t="s">
        <v>54</v>
      </c>
    </row>
    <row r="299" spans="1:16" ht="30" customHeight="1" x14ac:dyDescent="0.3">
      <c r="A299" s="7">
        <v>45874.718128703702</v>
      </c>
      <c r="B299" s="6" t="s">
        <v>4</v>
      </c>
      <c r="C299" s="6" t="str">
        <f>VLOOKUP(B297,'Veri doğrulama'!D6:E13,2,0)</f>
        <v>MEHMET YAZICI</v>
      </c>
      <c r="D299" s="6">
        <v>23926</v>
      </c>
      <c r="E299" s="6" t="s">
        <v>165</v>
      </c>
      <c r="F299" s="6" t="s">
        <v>15</v>
      </c>
      <c r="G299" s="6" t="s">
        <v>34</v>
      </c>
      <c r="H299" s="6">
        <v>1400</v>
      </c>
      <c r="I299" s="6">
        <v>800</v>
      </c>
      <c r="J299" s="6">
        <v>1</v>
      </c>
      <c r="K299" s="10">
        <f t="shared" si="9"/>
        <v>0.63568800000000003</v>
      </c>
      <c r="L299" s="6" t="s">
        <v>75</v>
      </c>
      <c r="M299" s="6"/>
      <c r="N299" s="6" t="s">
        <v>54</v>
      </c>
      <c r="O299" s="6" t="s">
        <v>54</v>
      </c>
      <c r="P299" s="6" t="s">
        <v>54</v>
      </c>
    </row>
    <row r="300" spans="1:16" ht="30" customHeight="1" x14ac:dyDescent="0.3">
      <c r="A300" s="7">
        <v>45874.717174189813</v>
      </c>
      <c r="B300" s="6" t="s">
        <v>4</v>
      </c>
      <c r="C300" s="6" t="str">
        <f>VLOOKUP(B298,'Veri doğrulama'!D6:E13,2,0)</f>
        <v>MEHMET YAZICI</v>
      </c>
      <c r="D300" s="6">
        <v>23926</v>
      </c>
      <c r="E300" s="6" t="s">
        <v>1011</v>
      </c>
      <c r="F300" s="6" t="s">
        <v>15</v>
      </c>
      <c r="G300" s="6" t="s">
        <v>34</v>
      </c>
      <c r="H300" s="6">
        <v>762</v>
      </c>
      <c r="I300" s="6">
        <v>320</v>
      </c>
      <c r="J300" s="6">
        <v>1</v>
      </c>
      <c r="K300" s="10">
        <f t="shared" si="9"/>
        <v>0.39600000000000002</v>
      </c>
      <c r="L300" s="6" t="s">
        <v>156</v>
      </c>
      <c r="M300" s="6"/>
      <c r="N300" s="6" t="s">
        <v>54</v>
      </c>
      <c r="O300" s="6" t="s">
        <v>54</v>
      </c>
      <c r="P300" s="6" t="s">
        <v>54</v>
      </c>
    </row>
    <row r="301" spans="1:16" ht="30" customHeight="1" x14ac:dyDescent="0.3">
      <c r="A301" s="7">
        <v>45874.469306828702</v>
      </c>
      <c r="B301" s="6" t="s">
        <v>5</v>
      </c>
      <c r="C301" s="6" t="str">
        <f>VLOOKUP(B299,'Veri doğrulama'!D6:E13,2,0)</f>
        <v>MEHMET YAZICI</v>
      </c>
      <c r="D301" s="6">
        <v>23926</v>
      </c>
      <c r="E301" s="6" t="s">
        <v>1008</v>
      </c>
      <c r="F301" s="6" t="s">
        <v>1010</v>
      </c>
      <c r="G301" s="6" t="s">
        <v>34</v>
      </c>
      <c r="H301" s="6">
        <v>1420</v>
      </c>
      <c r="I301" s="6">
        <v>1420</v>
      </c>
      <c r="J301" s="6">
        <v>1</v>
      </c>
      <c r="K301" s="10">
        <f t="shared" si="9"/>
        <v>1.1200000000000001</v>
      </c>
      <c r="L301" s="6" t="s">
        <v>75</v>
      </c>
      <c r="M301" s="6" t="s">
        <v>468</v>
      </c>
      <c r="N301" s="6" t="s">
        <v>54</v>
      </c>
      <c r="O301" s="6" t="s">
        <v>54</v>
      </c>
      <c r="P301" s="6" t="s">
        <v>54</v>
      </c>
    </row>
    <row r="302" spans="1:16" ht="30" customHeight="1" x14ac:dyDescent="0.3">
      <c r="A302" s="7">
        <v>45874.468806365738</v>
      </c>
      <c r="B302" s="6" t="s">
        <v>4</v>
      </c>
      <c r="C302" s="6" t="str">
        <f>VLOOKUP(B300,'Veri doğrulama'!D6:E13,2,0)</f>
        <v>MEHMET YAZICI</v>
      </c>
      <c r="D302" s="6">
        <v>23926</v>
      </c>
      <c r="E302" s="6" t="s">
        <v>1007</v>
      </c>
      <c r="F302" s="6" t="s">
        <v>111</v>
      </c>
      <c r="G302" s="6" t="s">
        <v>34</v>
      </c>
      <c r="H302" s="6">
        <v>1920</v>
      </c>
      <c r="I302" s="6">
        <v>762</v>
      </c>
      <c r="J302" s="6">
        <v>2</v>
      </c>
      <c r="K302" s="10">
        <f t="shared" si="9"/>
        <v>0.48768</v>
      </c>
      <c r="L302" s="6" t="s">
        <v>75</v>
      </c>
      <c r="M302" s="6"/>
      <c r="N302" s="6" t="s">
        <v>54</v>
      </c>
      <c r="O302" s="6" t="s">
        <v>54</v>
      </c>
      <c r="P302" s="6" t="s">
        <v>54</v>
      </c>
    </row>
    <row r="303" spans="1:16" ht="30" customHeight="1" x14ac:dyDescent="0.3">
      <c r="A303" s="7">
        <v>45873.498607986112</v>
      </c>
      <c r="B303" s="6" t="s">
        <v>7</v>
      </c>
      <c r="C303" s="6" t="str">
        <f>VLOOKUP(B301,'Veri doğrulama'!D6:E13,2,0)</f>
        <v>MEHMET ÖZEN</v>
      </c>
      <c r="D303" s="6" t="s">
        <v>1009</v>
      </c>
      <c r="E303" s="6" t="s">
        <v>1005</v>
      </c>
      <c r="F303" s="6" t="s">
        <v>16</v>
      </c>
      <c r="G303" s="6" t="s">
        <v>34</v>
      </c>
      <c r="H303" s="6">
        <v>1800</v>
      </c>
      <c r="I303" s="6">
        <v>1600</v>
      </c>
      <c r="J303" s="6">
        <v>1</v>
      </c>
      <c r="K303" s="10">
        <f t="shared" si="9"/>
        <v>2.0164</v>
      </c>
      <c r="L303" s="6" t="s">
        <v>43</v>
      </c>
      <c r="M303" s="6" t="s">
        <v>1006</v>
      </c>
      <c r="N303" s="6" t="s">
        <v>54</v>
      </c>
      <c r="O303" s="6" t="s">
        <v>54</v>
      </c>
      <c r="P303" s="6" t="s">
        <v>54</v>
      </c>
    </row>
    <row r="304" spans="1:16" ht="30" customHeight="1" x14ac:dyDescent="0.3">
      <c r="A304" s="7">
        <v>45873.491765625004</v>
      </c>
      <c r="B304" s="6" t="s">
        <v>5</v>
      </c>
      <c r="C304" s="6" t="str">
        <f>VLOOKUP(B302,'Veri doğrulama'!D6:E13,2,0)</f>
        <v>MEHMET YAZICI</v>
      </c>
      <c r="D304" s="6"/>
      <c r="E304" s="6" t="s">
        <v>1002</v>
      </c>
      <c r="F304" s="6" t="s">
        <v>15</v>
      </c>
      <c r="G304" s="6" t="s">
        <v>34</v>
      </c>
      <c r="H304" s="6">
        <v>1570</v>
      </c>
      <c r="I304" s="6">
        <v>910</v>
      </c>
      <c r="J304" s="6">
        <v>1</v>
      </c>
      <c r="K304" s="10">
        <f t="shared" si="9"/>
        <v>1.4630399999999999</v>
      </c>
      <c r="L304" s="6" t="s">
        <v>156</v>
      </c>
      <c r="M304" s="6" t="s">
        <v>1003</v>
      </c>
      <c r="N304" s="6" t="s">
        <v>54</v>
      </c>
      <c r="O304" s="6" t="s">
        <v>54</v>
      </c>
      <c r="P304" s="6" t="s">
        <v>54</v>
      </c>
    </row>
    <row r="305" spans="1:16" ht="30" customHeight="1" x14ac:dyDescent="0.3">
      <c r="A305" s="7">
        <v>45870.587662268517</v>
      </c>
      <c r="B305" s="6" t="s">
        <v>5</v>
      </c>
      <c r="C305" s="6" t="str">
        <f>VLOOKUP(B303,'Veri doğrulama'!D6:E13,2,0)</f>
        <v>SIDDIK KAPLAN</v>
      </c>
      <c r="D305" s="6"/>
      <c r="E305" s="6" t="s">
        <v>1001</v>
      </c>
      <c r="F305" s="6" t="s">
        <v>15</v>
      </c>
      <c r="G305" s="6" t="s">
        <v>34</v>
      </c>
      <c r="H305" s="6">
        <v>1400</v>
      </c>
      <c r="I305" s="6">
        <v>1400</v>
      </c>
      <c r="J305" s="6">
        <v>1</v>
      </c>
      <c r="K305" s="10">
        <f t="shared" si="9"/>
        <v>2.88</v>
      </c>
      <c r="L305" s="6" t="s">
        <v>43</v>
      </c>
      <c r="M305" s="6" t="s">
        <v>712</v>
      </c>
      <c r="N305" s="6" t="s">
        <v>54</v>
      </c>
      <c r="O305" s="6" t="s">
        <v>54</v>
      </c>
      <c r="P305" s="6" t="s">
        <v>54</v>
      </c>
    </row>
    <row r="306" spans="1:16" ht="30" customHeight="1" x14ac:dyDescent="0.3">
      <c r="A306" s="7">
        <v>45870.410283101854</v>
      </c>
      <c r="B306" s="6" t="s">
        <v>4</v>
      </c>
      <c r="C306" s="6" t="str">
        <f>VLOOKUP(B304,'Veri doğrulama'!D6:E13,2,0)</f>
        <v>MEHMET ÖZEN</v>
      </c>
      <c r="D306" s="6"/>
      <c r="E306" s="6" t="s">
        <v>709</v>
      </c>
      <c r="F306" s="6" t="s">
        <v>16</v>
      </c>
      <c r="G306" s="6" t="s">
        <v>34</v>
      </c>
      <c r="H306" s="6">
        <v>1600</v>
      </c>
      <c r="I306" s="6">
        <v>800</v>
      </c>
      <c r="J306" s="6">
        <v>3</v>
      </c>
      <c r="K306" s="10">
        <f t="shared" si="9"/>
        <v>4.2861000000000002</v>
      </c>
      <c r="L306" s="6" t="s">
        <v>252</v>
      </c>
      <c r="M306" s="6"/>
      <c r="N306" s="6" t="s">
        <v>54</v>
      </c>
      <c r="O306" s="6" t="s">
        <v>54</v>
      </c>
      <c r="P306" s="6" t="s">
        <v>54</v>
      </c>
    </row>
    <row r="307" spans="1:16" ht="30" customHeight="1" x14ac:dyDescent="0.3">
      <c r="A307" s="7">
        <v>45869.359262615741</v>
      </c>
      <c r="B307" s="6" t="s">
        <v>4</v>
      </c>
      <c r="C307" s="6" t="str">
        <f>VLOOKUP(B305,'Veri doğrulama'!D6:E13,2,0)</f>
        <v>MEHMET ÖZEN</v>
      </c>
      <c r="D307" s="6"/>
      <c r="E307" s="6" t="s">
        <v>1000</v>
      </c>
      <c r="F307" s="6" t="s">
        <v>16</v>
      </c>
      <c r="G307" s="6" t="s">
        <v>34</v>
      </c>
      <c r="H307" s="6">
        <v>539</v>
      </c>
      <c r="I307" s="6">
        <v>581</v>
      </c>
      <c r="J307" s="6">
        <v>1</v>
      </c>
      <c r="K307" s="10">
        <f t="shared" si="9"/>
        <v>1.96</v>
      </c>
      <c r="L307" s="6" t="s">
        <v>103</v>
      </c>
      <c r="M307" s="6"/>
      <c r="N307" s="6" t="s">
        <v>54</v>
      </c>
      <c r="O307" s="6" t="s">
        <v>54</v>
      </c>
      <c r="P307" s="6" t="s">
        <v>54</v>
      </c>
    </row>
    <row r="308" spans="1:16" ht="30" customHeight="1" x14ac:dyDescent="0.3">
      <c r="A308" s="7">
        <v>45868.707007407407</v>
      </c>
      <c r="B308" s="6" t="s">
        <v>5</v>
      </c>
      <c r="C308" s="6" t="str">
        <f>VLOOKUP(B306,'Veri doğrulama'!D6:E13,2,0)</f>
        <v>MEHMET YAZICI</v>
      </c>
      <c r="D308" s="6">
        <v>23875</v>
      </c>
      <c r="E308" s="6" t="s">
        <v>999</v>
      </c>
      <c r="F308" s="6" t="s">
        <v>16</v>
      </c>
      <c r="G308" s="6" t="s">
        <v>34</v>
      </c>
      <c r="H308" s="6">
        <v>2260</v>
      </c>
      <c r="I308" s="6">
        <v>497</v>
      </c>
      <c r="J308" s="6">
        <v>1</v>
      </c>
      <c r="K308" s="10">
        <f t="shared" si="9"/>
        <v>1.28</v>
      </c>
      <c r="L308" s="6" t="s">
        <v>75</v>
      </c>
      <c r="M308" s="6"/>
      <c r="N308" s="6" t="s">
        <v>54</v>
      </c>
      <c r="O308" s="6" t="s">
        <v>54</v>
      </c>
      <c r="P308" s="6" t="s">
        <v>54</v>
      </c>
    </row>
    <row r="309" spans="1:16" ht="30" customHeight="1" x14ac:dyDescent="0.3">
      <c r="A309" s="7">
        <v>45868.706509143522</v>
      </c>
      <c r="B309" s="6" t="s">
        <v>4</v>
      </c>
      <c r="C309" s="6" t="str">
        <f>VLOOKUP(B307,'Veri doğrulama'!D6:E13,2,0)</f>
        <v>MEHMET YAZICI</v>
      </c>
      <c r="D309" s="6">
        <v>23875</v>
      </c>
      <c r="E309" s="6" t="s">
        <v>998</v>
      </c>
      <c r="F309" s="6" t="s">
        <v>19</v>
      </c>
      <c r="G309" s="6" t="s">
        <v>34</v>
      </c>
      <c r="H309" s="6">
        <v>730</v>
      </c>
      <c r="I309" s="6">
        <v>252</v>
      </c>
      <c r="J309" s="6">
        <v>1</v>
      </c>
      <c r="K309" s="10">
        <f t="shared" si="9"/>
        <v>0.31315900000000002</v>
      </c>
      <c r="L309" s="6" t="s">
        <v>75</v>
      </c>
      <c r="M309" s="6"/>
      <c r="N309" s="6" t="s">
        <v>54</v>
      </c>
      <c r="O309" s="6" t="s">
        <v>54</v>
      </c>
      <c r="P309" s="6" t="s">
        <v>54</v>
      </c>
    </row>
    <row r="310" spans="1:16" ht="30" customHeight="1" x14ac:dyDescent="0.3">
      <c r="A310" s="7">
        <v>45868.576559374997</v>
      </c>
      <c r="B310" s="6" t="s">
        <v>5</v>
      </c>
      <c r="C310" s="6" t="str">
        <f>VLOOKUP(B308,'Veri doğrulama'!D6:E13,2,0)</f>
        <v>MEHMET ÖZEN</v>
      </c>
      <c r="D310" s="6">
        <v>23813</v>
      </c>
      <c r="E310" s="6" t="s">
        <v>864</v>
      </c>
      <c r="F310" s="6" t="s">
        <v>16</v>
      </c>
      <c r="G310" s="6" t="s">
        <v>34</v>
      </c>
      <c r="H310" s="6">
        <v>1810</v>
      </c>
      <c r="I310" s="6">
        <v>545</v>
      </c>
      <c r="J310" s="6">
        <v>1</v>
      </c>
      <c r="K310" s="10">
        <f t="shared" si="9"/>
        <v>1.1232200000000001</v>
      </c>
      <c r="L310" s="6" t="s">
        <v>42</v>
      </c>
      <c r="M310" s="6"/>
      <c r="N310" s="6" t="s">
        <v>54</v>
      </c>
      <c r="O310" s="6" t="s">
        <v>54</v>
      </c>
      <c r="P310" s="6" t="s">
        <v>54</v>
      </c>
    </row>
    <row r="311" spans="1:16" ht="30" customHeight="1" x14ac:dyDescent="0.3">
      <c r="A311" s="7">
        <v>45868.559888657408</v>
      </c>
      <c r="B311" s="6" t="s">
        <v>5</v>
      </c>
      <c r="C311" s="6" t="str">
        <f>VLOOKUP(B309,'Veri doğrulama'!D6:E13,2,0)</f>
        <v>MEHMET YAZICI</v>
      </c>
      <c r="D311" s="6">
        <v>23823</v>
      </c>
      <c r="E311" s="6" t="s">
        <v>996</v>
      </c>
      <c r="F311" s="6" t="s">
        <v>18</v>
      </c>
      <c r="G311" s="6" t="s">
        <v>34</v>
      </c>
      <c r="H311" s="6">
        <v>2220</v>
      </c>
      <c r="I311" s="6">
        <v>970</v>
      </c>
      <c r="J311" s="6">
        <v>1</v>
      </c>
      <c r="K311" s="10">
        <f t="shared" si="9"/>
        <v>0.18396000000000001</v>
      </c>
      <c r="L311" s="6" t="s">
        <v>103</v>
      </c>
      <c r="M311" s="6"/>
      <c r="N311" s="6" t="s">
        <v>54</v>
      </c>
      <c r="O311" s="6" t="s">
        <v>54</v>
      </c>
      <c r="P311" s="6" t="s">
        <v>54</v>
      </c>
    </row>
    <row r="312" spans="1:16" ht="30" customHeight="1" x14ac:dyDescent="0.3">
      <c r="A312" s="7">
        <v>45868.373799074077</v>
      </c>
      <c r="B312" s="6" t="s">
        <v>4</v>
      </c>
      <c r="C312" s="6" t="str">
        <f>VLOOKUP(B310,'Veri doğrulama'!D6:E13,2,0)</f>
        <v>MEHMET ÖZEN</v>
      </c>
      <c r="D312" s="6" t="s">
        <v>997</v>
      </c>
      <c r="E312" s="6" t="s">
        <v>995</v>
      </c>
      <c r="F312" s="6" t="s">
        <v>16</v>
      </c>
      <c r="G312" s="6" t="s">
        <v>34</v>
      </c>
      <c r="H312" s="6">
        <v>580</v>
      </c>
      <c r="I312" s="6">
        <v>1200</v>
      </c>
      <c r="J312" s="6">
        <v>1</v>
      </c>
      <c r="K312" s="10">
        <f t="shared" si="9"/>
        <v>0.98645000000000005</v>
      </c>
      <c r="L312" s="6" t="s">
        <v>42</v>
      </c>
      <c r="M312" s="6"/>
      <c r="N312" s="6" t="s">
        <v>54</v>
      </c>
      <c r="O312" s="6" t="s">
        <v>54</v>
      </c>
      <c r="P312" s="6" t="s">
        <v>54</v>
      </c>
    </row>
    <row r="313" spans="1:16" ht="30" customHeight="1" x14ac:dyDescent="0.3">
      <c r="A313" s="7">
        <v>45868.371447685182</v>
      </c>
      <c r="B313" s="6" t="s">
        <v>4</v>
      </c>
      <c r="C313" s="6" t="str">
        <f>VLOOKUP(B311,'Veri doğrulama'!D6:E13,2,0)</f>
        <v>MEHMET ÖZEN</v>
      </c>
      <c r="D313" s="6"/>
      <c r="E313" s="6" t="s">
        <v>993</v>
      </c>
      <c r="F313" s="6" t="s">
        <v>16</v>
      </c>
      <c r="G313" s="6" t="s">
        <v>34</v>
      </c>
      <c r="H313" s="6">
        <v>375</v>
      </c>
      <c r="I313" s="6">
        <v>762</v>
      </c>
      <c r="J313" s="6">
        <v>1</v>
      </c>
      <c r="K313" s="10">
        <f t="shared" si="9"/>
        <v>2.1534</v>
      </c>
      <c r="L313" s="6" t="s">
        <v>42</v>
      </c>
      <c r="M313" s="6"/>
      <c r="N313" s="6" t="s">
        <v>54</v>
      </c>
      <c r="O313" s="6" t="s">
        <v>54</v>
      </c>
      <c r="P313" s="6" t="s">
        <v>54</v>
      </c>
    </row>
    <row r="314" spans="1:16" ht="30" customHeight="1" x14ac:dyDescent="0.3">
      <c r="A314" s="7">
        <v>45867.77033078704</v>
      </c>
      <c r="B314" s="6" t="s">
        <v>4</v>
      </c>
      <c r="C314" s="6" t="str">
        <f>VLOOKUP(B312,'Veri doğrulama'!D6:E13,2,0)</f>
        <v>MEHMET YAZICI</v>
      </c>
      <c r="D314" s="6" t="s">
        <v>994</v>
      </c>
      <c r="E314" s="6" t="s">
        <v>991</v>
      </c>
      <c r="F314" s="6" t="s">
        <v>16</v>
      </c>
      <c r="G314" s="6" t="s">
        <v>34</v>
      </c>
      <c r="H314" s="6">
        <v>546</v>
      </c>
      <c r="I314" s="6">
        <v>496</v>
      </c>
      <c r="J314" s="6">
        <v>1</v>
      </c>
      <c r="K314" s="10">
        <f t="shared" si="9"/>
        <v>0.69599999999999995</v>
      </c>
      <c r="L314" s="6" t="s">
        <v>75</v>
      </c>
      <c r="M314" s="6"/>
      <c r="N314" s="6" t="s">
        <v>54</v>
      </c>
      <c r="O314" s="6" t="s">
        <v>54</v>
      </c>
      <c r="P314" s="6" t="s">
        <v>54</v>
      </c>
    </row>
    <row r="315" spans="1:16" ht="30" customHeight="1" x14ac:dyDescent="0.3">
      <c r="A315" s="7">
        <v>45867.767872222219</v>
      </c>
      <c r="B315" s="6" t="s">
        <v>4</v>
      </c>
      <c r="C315" s="6" t="str">
        <f>VLOOKUP(B313,'Veri doğrulama'!D6:E13,2,0)</f>
        <v>MEHMET YAZICI</v>
      </c>
      <c r="D315" s="6" t="s">
        <v>992</v>
      </c>
      <c r="E315" s="6" t="s">
        <v>989</v>
      </c>
      <c r="F315" s="6" t="s">
        <v>16</v>
      </c>
      <c r="G315" s="6" t="s">
        <v>34</v>
      </c>
      <c r="H315" s="6">
        <v>543</v>
      </c>
      <c r="I315" s="6">
        <v>200</v>
      </c>
      <c r="J315" s="6">
        <v>1</v>
      </c>
      <c r="K315" s="10">
        <f t="shared" si="9"/>
        <v>0.28575</v>
      </c>
      <c r="L315" s="6" t="s">
        <v>75</v>
      </c>
      <c r="M315" s="6"/>
      <c r="N315" s="6" t="s">
        <v>54</v>
      </c>
      <c r="O315" s="6" t="s">
        <v>54</v>
      </c>
      <c r="P315" s="6" t="s">
        <v>54</v>
      </c>
    </row>
    <row r="316" spans="1:16" ht="30" customHeight="1" x14ac:dyDescent="0.3">
      <c r="A316" s="7">
        <v>45867.766956134263</v>
      </c>
      <c r="B316" s="6" t="s">
        <v>4</v>
      </c>
      <c r="C316" s="6" t="str">
        <f>VLOOKUP(B314,'Veri doğrulama'!D6:E13,2,0)</f>
        <v>MEHMET YAZICI</v>
      </c>
      <c r="D316" s="6" t="s">
        <v>990</v>
      </c>
      <c r="E316" s="6" t="s">
        <v>264</v>
      </c>
      <c r="F316" s="6" t="s">
        <v>24</v>
      </c>
      <c r="G316" s="6" t="s">
        <v>34</v>
      </c>
      <c r="H316" s="6">
        <v>2200</v>
      </c>
      <c r="I316" s="6">
        <v>445</v>
      </c>
      <c r="J316" s="6">
        <v>2</v>
      </c>
      <c r="K316" s="10">
        <f t="shared" si="9"/>
        <v>0.541632</v>
      </c>
      <c r="L316" s="6" t="s">
        <v>75</v>
      </c>
      <c r="M316" s="6"/>
      <c r="N316" s="6" t="s">
        <v>54</v>
      </c>
      <c r="O316" s="6" t="s">
        <v>54</v>
      </c>
      <c r="P316" s="6" t="s">
        <v>54</v>
      </c>
    </row>
    <row r="317" spans="1:16" ht="30" customHeight="1" x14ac:dyDescent="0.3">
      <c r="A317" s="7">
        <v>45867.766005324076</v>
      </c>
      <c r="B317" s="6" t="s">
        <v>5</v>
      </c>
      <c r="C317" s="6" t="str">
        <f>VLOOKUP(B315,'Veri doğrulama'!D6:E13,2,0)</f>
        <v>MEHMET YAZICI</v>
      </c>
      <c r="D317" s="6" t="s">
        <v>988</v>
      </c>
      <c r="E317" s="6" t="s">
        <v>985</v>
      </c>
      <c r="F317" s="6" t="s">
        <v>15</v>
      </c>
      <c r="G317" s="6" t="s">
        <v>35</v>
      </c>
      <c r="H317" s="6">
        <v>1115</v>
      </c>
      <c r="I317" s="6">
        <v>397</v>
      </c>
      <c r="J317" s="6">
        <v>1</v>
      </c>
      <c r="K317" s="10">
        <f t="shared" si="9"/>
        <v>0.1086</v>
      </c>
      <c r="L317" s="6" t="s">
        <v>42</v>
      </c>
      <c r="M317" s="6"/>
      <c r="N317" s="6" t="s">
        <v>54</v>
      </c>
      <c r="O317" s="6" t="s">
        <v>54</v>
      </c>
      <c r="P317" s="6" t="s">
        <v>54</v>
      </c>
    </row>
    <row r="318" spans="1:16" ht="30" customHeight="1" x14ac:dyDescent="0.3">
      <c r="A318" s="7">
        <v>45867.76437384259</v>
      </c>
      <c r="B318" s="6" t="s">
        <v>4</v>
      </c>
      <c r="C318" s="6" t="str">
        <f>VLOOKUP(B316,'Veri doğrulama'!D6:E13,2,0)</f>
        <v>MEHMET YAZICI</v>
      </c>
      <c r="D318" s="6">
        <v>23824</v>
      </c>
      <c r="E318" s="6" t="s">
        <v>987</v>
      </c>
      <c r="F318" s="6" t="s">
        <v>18</v>
      </c>
      <c r="G318" s="6" t="s">
        <v>34</v>
      </c>
      <c r="H318" s="6">
        <v>682</v>
      </c>
      <c r="I318" s="6">
        <v>412</v>
      </c>
      <c r="J318" s="6">
        <v>1</v>
      </c>
      <c r="K318" s="10">
        <f t="shared" si="9"/>
        <v>0.97899999999999998</v>
      </c>
      <c r="L318" s="6" t="s">
        <v>103</v>
      </c>
      <c r="M318" s="6"/>
      <c r="N318" s="6" t="s">
        <v>54</v>
      </c>
      <c r="O318" s="6" t="s">
        <v>54</v>
      </c>
      <c r="P318" s="6" t="s">
        <v>54</v>
      </c>
    </row>
    <row r="319" spans="1:16" ht="30" customHeight="1" x14ac:dyDescent="0.3">
      <c r="A319" s="7">
        <v>45867.691495601852</v>
      </c>
      <c r="B319" s="6" t="s">
        <v>4</v>
      </c>
      <c r="C319" s="6" t="str">
        <f>VLOOKUP(B317,'Veri doğrulama'!D6:E13,2,0)</f>
        <v>MEHMET ÖZEN</v>
      </c>
      <c r="D319" s="6"/>
      <c r="E319" s="6" t="s">
        <v>986</v>
      </c>
      <c r="F319" s="6" t="s">
        <v>18</v>
      </c>
      <c r="G319" s="6" t="s">
        <v>34</v>
      </c>
      <c r="H319" s="6">
        <v>333</v>
      </c>
      <c r="I319" s="6">
        <v>373</v>
      </c>
      <c r="J319" s="6">
        <v>1</v>
      </c>
      <c r="K319" s="10">
        <f t="shared" si="9"/>
        <v>0.44265500000000002</v>
      </c>
      <c r="L319" s="6" t="s">
        <v>75</v>
      </c>
      <c r="M319" s="6"/>
      <c r="N319" s="6" t="s">
        <v>54</v>
      </c>
      <c r="O319" s="6" t="s">
        <v>54</v>
      </c>
      <c r="P319" s="6" t="s">
        <v>54</v>
      </c>
    </row>
    <row r="320" spans="1:16" ht="30" customHeight="1" x14ac:dyDescent="0.3">
      <c r="A320" s="7">
        <v>45866.46821053241</v>
      </c>
      <c r="B320" s="6" t="s">
        <v>7</v>
      </c>
      <c r="C320" s="6" t="str">
        <f>VLOOKUP(B318,'Veri doğrulama'!D6:E13,2,0)</f>
        <v>MEHMET YAZICI</v>
      </c>
      <c r="D320" s="6"/>
      <c r="E320" s="6" t="s">
        <v>985</v>
      </c>
      <c r="F320" s="6" t="s">
        <v>15</v>
      </c>
      <c r="G320" s="6" t="s">
        <v>34</v>
      </c>
      <c r="H320" s="6">
        <v>1115</v>
      </c>
      <c r="I320" s="6">
        <v>397</v>
      </c>
      <c r="J320" s="6">
        <v>1</v>
      </c>
      <c r="K320" s="10">
        <f t="shared" si="9"/>
        <v>0.28098400000000001</v>
      </c>
      <c r="L320" s="6" t="s">
        <v>75</v>
      </c>
      <c r="M320" s="6"/>
      <c r="N320" s="6" t="s">
        <v>54</v>
      </c>
      <c r="O320" s="6" t="s">
        <v>54</v>
      </c>
      <c r="P320" s="6" t="s">
        <v>54</v>
      </c>
    </row>
    <row r="321" spans="1:16" ht="30" customHeight="1" x14ac:dyDescent="0.3">
      <c r="A321" s="7">
        <v>45866.467606944447</v>
      </c>
      <c r="B321" s="6" t="s">
        <v>4</v>
      </c>
      <c r="C321" s="6" t="str">
        <f>VLOOKUP(B319,'Veri doğrulama'!D6:E13,2,0)</f>
        <v>MEHMET YAZICI</v>
      </c>
      <c r="D321" s="6">
        <v>23802</v>
      </c>
      <c r="E321" s="6" t="s">
        <v>984</v>
      </c>
      <c r="F321" s="6" t="s">
        <v>20</v>
      </c>
      <c r="G321" s="6" t="s">
        <v>34</v>
      </c>
      <c r="H321" s="6">
        <v>1191</v>
      </c>
      <c r="I321" s="6">
        <v>690</v>
      </c>
      <c r="J321" s="6">
        <v>1</v>
      </c>
      <c r="K321" s="10">
        <f t="shared" si="9"/>
        <v>0.124209</v>
      </c>
      <c r="L321" s="6" t="s">
        <v>75</v>
      </c>
      <c r="M321" s="6"/>
      <c r="N321" s="6" t="s">
        <v>54</v>
      </c>
      <c r="O321" s="6" t="s">
        <v>54</v>
      </c>
      <c r="P321" s="6" t="s">
        <v>54</v>
      </c>
    </row>
    <row r="322" spans="1:16" ht="30" customHeight="1" x14ac:dyDescent="0.3">
      <c r="A322" s="7">
        <v>45866.339695949071</v>
      </c>
      <c r="B322" s="6" t="s">
        <v>4</v>
      </c>
      <c r="C322" s="6" t="str">
        <f>VLOOKUP(B320,'Veri doğrulama'!D6:E13,2,0)</f>
        <v>SIDDIK KAPLAN</v>
      </c>
      <c r="D322" s="6"/>
      <c r="E322" s="6" t="s">
        <v>982</v>
      </c>
      <c r="F322" s="6" t="s">
        <v>29</v>
      </c>
      <c r="G322" s="6" t="s">
        <v>34</v>
      </c>
      <c r="H322" s="6">
        <v>1990</v>
      </c>
      <c r="I322" s="6">
        <v>840</v>
      </c>
      <c r="J322" s="6">
        <v>1</v>
      </c>
      <c r="K322" s="10">
        <f t="shared" si="9"/>
        <v>0.44265500000000002</v>
      </c>
      <c r="L322" s="6" t="s">
        <v>43</v>
      </c>
      <c r="M322" s="6"/>
      <c r="N322" s="6" t="s">
        <v>54</v>
      </c>
      <c r="O322" s="6" t="s">
        <v>54</v>
      </c>
      <c r="P322" s="6" t="s">
        <v>54</v>
      </c>
    </row>
    <row r="323" spans="1:16" ht="30" customHeight="1" x14ac:dyDescent="0.3">
      <c r="A323" s="7">
        <v>45863.728963888891</v>
      </c>
      <c r="B323" s="6" t="s">
        <v>4</v>
      </c>
      <c r="C323" s="6" t="str">
        <f>VLOOKUP(B321,'Veri doğrulama'!D6:E13,2,0)</f>
        <v>MEHMET YAZICI</v>
      </c>
      <c r="D323" s="6" t="s">
        <v>983</v>
      </c>
      <c r="E323" s="6" t="s">
        <v>980</v>
      </c>
      <c r="F323" s="6" t="s">
        <v>15</v>
      </c>
      <c r="G323" s="6" t="s">
        <v>34</v>
      </c>
      <c r="H323" s="6">
        <v>1402</v>
      </c>
      <c r="I323" s="6">
        <v>1402</v>
      </c>
      <c r="J323" s="6">
        <v>1</v>
      </c>
      <c r="K323" s="10">
        <f t="shared" si="9"/>
        <v>0.82179000000000002</v>
      </c>
      <c r="L323" s="6" t="s">
        <v>156</v>
      </c>
      <c r="M323" s="6"/>
      <c r="N323" s="6" t="s">
        <v>54</v>
      </c>
      <c r="O323" s="6" t="s">
        <v>54</v>
      </c>
      <c r="P323" s="6" t="s">
        <v>54</v>
      </c>
    </row>
    <row r="324" spans="1:16" ht="30" customHeight="1" x14ac:dyDescent="0.3">
      <c r="A324" s="7">
        <v>45863.72836238426</v>
      </c>
      <c r="B324" s="6" t="s">
        <v>7</v>
      </c>
      <c r="C324" s="6" t="str">
        <f>VLOOKUP(B322,'Veri doğrulama'!D6:E13,2,0)</f>
        <v>MEHMET YAZICI</v>
      </c>
      <c r="D324" s="6" t="s">
        <v>981</v>
      </c>
      <c r="E324" s="6" t="s">
        <v>978</v>
      </c>
      <c r="F324" s="6" t="s">
        <v>18</v>
      </c>
      <c r="G324" s="6" t="s">
        <v>34</v>
      </c>
      <c r="H324" s="6">
        <v>900</v>
      </c>
      <c r="I324" s="6">
        <v>450</v>
      </c>
      <c r="J324" s="6">
        <v>1</v>
      </c>
      <c r="K324" s="10">
        <f t="shared" si="9"/>
        <v>1.6716</v>
      </c>
      <c r="L324" s="6" t="s">
        <v>103</v>
      </c>
      <c r="M324" s="6"/>
      <c r="N324" s="6" t="s">
        <v>54</v>
      </c>
      <c r="O324" s="6" t="s">
        <v>54</v>
      </c>
      <c r="P324" s="6" t="s">
        <v>54</v>
      </c>
    </row>
    <row r="325" spans="1:16" ht="30" customHeight="1" x14ac:dyDescent="0.3">
      <c r="A325" s="7">
        <v>45863.727124884259</v>
      </c>
      <c r="B325" s="6" t="s">
        <v>4</v>
      </c>
      <c r="C325" s="6" t="str">
        <f>VLOOKUP(B323,'Veri doğrulama'!D6:E13,2,0)</f>
        <v>MEHMET YAZICI</v>
      </c>
      <c r="D325" s="6" t="s">
        <v>979</v>
      </c>
      <c r="E325" s="6" t="s">
        <v>72</v>
      </c>
      <c r="F325" s="6" t="s">
        <v>24</v>
      </c>
      <c r="G325" s="6" t="s">
        <v>34</v>
      </c>
      <c r="H325" s="6">
        <v>1500</v>
      </c>
      <c r="I325" s="6">
        <v>500</v>
      </c>
      <c r="J325" s="6">
        <v>6</v>
      </c>
      <c r="K325" s="10">
        <f t="shared" si="9"/>
        <v>11.793623999999999</v>
      </c>
      <c r="L325" s="6" t="s">
        <v>596</v>
      </c>
      <c r="M325" s="6"/>
      <c r="N325" s="6" t="s">
        <v>54</v>
      </c>
      <c r="O325" s="6" t="s">
        <v>54</v>
      </c>
      <c r="P325" s="6" t="s">
        <v>54</v>
      </c>
    </row>
    <row r="326" spans="1:16" ht="30" customHeight="1" x14ac:dyDescent="0.3">
      <c r="A326" s="7">
        <v>45863.706771064812</v>
      </c>
      <c r="B326" s="6" t="s">
        <v>4</v>
      </c>
      <c r="C326" s="6" t="str">
        <f>VLOOKUP(B324,'Veri doğrulama'!D6:E13,2,0)</f>
        <v>SIDDIK KAPLAN</v>
      </c>
      <c r="D326" s="6"/>
      <c r="E326" s="6" t="s">
        <v>976</v>
      </c>
      <c r="F326" s="6" t="s">
        <v>15</v>
      </c>
      <c r="G326" s="6" t="s">
        <v>34</v>
      </c>
      <c r="H326" s="6">
        <v>1638</v>
      </c>
      <c r="I326" s="6">
        <v>450</v>
      </c>
      <c r="J326" s="6">
        <v>1</v>
      </c>
      <c r="K326" s="10">
        <f t="shared" si="9"/>
        <v>0.40500000000000003</v>
      </c>
      <c r="L326" s="6" t="s">
        <v>43</v>
      </c>
      <c r="M326" s="6"/>
      <c r="N326" s="6" t="s">
        <v>54</v>
      </c>
      <c r="O326" s="6" t="s">
        <v>54</v>
      </c>
      <c r="P326" s="6" t="s">
        <v>54</v>
      </c>
    </row>
    <row r="327" spans="1:16" ht="30" customHeight="1" x14ac:dyDescent="0.3">
      <c r="A327" s="7">
        <v>45863.356786111108</v>
      </c>
      <c r="B327" s="6" t="s">
        <v>5</v>
      </c>
      <c r="C327" s="6" t="str">
        <f>VLOOKUP(B325,'Veri doğrulama'!D6:E13,2,0)</f>
        <v>MEHMET YAZICI</v>
      </c>
      <c r="D327" s="6" t="s">
        <v>977</v>
      </c>
      <c r="E327" s="6" t="s">
        <v>975</v>
      </c>
      <c r="F327" s="6" t="s">
        <v>18</v>
      </c>
      <c r="G327" s="6" t="s">
        <v>34</v>
      </c>
      <c r="H327" s="6">
        <v>2035</v>
      </c>
      <c r="I327" s="6">
        <v>585</v>
      </c>
      <c r="J327" s="6">
        <v>1</v>
      </c>
      <c r="K327" s="10">
        <f t="shared" si="9"/>
        <v>0.75</v>
      </c>
      <c r="L327" s="6" t="s">
        <v>103</v>
      </c>
      <c r="M327" s="6"/>
      <c r="N327" s="6" t="s">
        <v>54</v>
      </c>
      <c r="O327" s="6" t="s">
        <v>54</v>
      </c>
      <c r="P327" s="6" t="s">
        <v>54</v>
      </c>
    </row>
    <row r="328" spans="1:16" ht="30" customHeight="1" x14ac:dyDescent="0.3">
      <c r="A328" s="7">
        <v>45862.76028865741</v>
      </c>
      <c r="B328" s="6" t="s">
        <v>5</v>
      </c>
      <c r="C328" s="6" t="str">
        <f>VLOOKUP(B326,'Veri doğrulama'!D6:E13,2,0)</f>
        <v>MEHMET YAZICI</v>
      </c>
      <c r="D328" s="6"/>
      <c r="E328" s="6" t="s">
        <v>974</v>
      </c>
      <c r="F328" s="6" t="s">
        <v>13</v>
      </c>
      <c r="G328" s="6" t="s">
        <v>34</v>
      </c>
      <c r="H328" s="6">
        <v>2410</v>
      </c>
      <c r="I328" s="6">
        <v>1210</v>
      </c>
      <c r="J328" s="6">
        <v>1</v>
      </c>
      <c r="K328" s="10">
        <f t="shared" si="9"/>
        <v>0.73709999999999998</v>
      </c>
      <c r="L328" s="6" t="s">
        <v>39</v>
      </c>
      <c r="M328" s="6"/>
      <c r="N328" s="6" t="s">
        <v>54</v>
      </c>
      <c r="O328" s="6" t="s">
        <v>54</v>
      </c>
      <c r="P328" s="6" t="s">
        <v>54</v>
      </c>
    </row>
    <row r="329" spans="1:16" ht="30" customHeight="1" x14ac:dyDescent="0.3">
      <c r="A329" s="7">
        <v>45862.740533449076</v>
      </c>
      <c r="B329" s="6" t="s">
        <v>5</v>
      </c>
      <c r="C329" s="6" t="str">
        <f>VLOOKUP(B327,'Veri doğrulama'!D6:E13,2,0)</f>
        <v>MEHMET ÖZEN</v>
      </c>
      <c r="D329" s="6">
        <v>23748</v>
      </c>
      <c r="E329" s="6" t="s">
        <v>973</v>
      </c>
      <c r="F329" s="6" t="s">
        <v>17</v>
      </c>
      <c r="G329" s="6" t="s">
        <v>34</v>
      </c>
      <c r="H329" s="6">
        <v>1465</v>
      </c>
      <c r="I329" s="6">
        <v>460</v>
      </c>
      <c r="J329" s="6">
        <v>1</v>
      </c>
      <c r="K329" s="10">
        <f t="shared" si="9"/>
        <v>1.1904749999999999</v>
      </c>
      <c r="L329" s="6" t="s">
        <v>43</v>
      </c>
      <c r="M329" s="6"/>
      <c r="N329" s="6" t="s">
        <v>54</v>
      </c>
      <c r="O329" s="6" t="s">
        <v>54</v>
      </c>
      <c r="P329" s="6" t="s">
        <v>54</v>
      </c>
    </row>
    <row r="330" spans="1:16" ht="30" customHeight="1" x14ac:dyDescent="0.3">
      <c r="A330" s="7">
        <v>45862.623439814815</v>
      </c>
      <c r="B330" s="6" t="s">
        <v>5</v>
      </c>
      <c r="C330" s="6" t="str">
        <f>VLOOKUP(B328,'Veri doğrulama'!D6:E13,2,0)</f>
        <v>MEHMET ÖZEN</v>
      </c>
      <c r="D330" s="6"/>
      <c r="E330" s="6" t="s">
        <v>303</v>
      </c>
      <c r="F330" s="6" t="s">
        <v>17</v>
      </c>
      <c r="G330" s="6" t="s">
        <v>34</v>
      </c>
      <c r="H330" s="6">
        <v>698</v>
      </c>
      <c r="I330" s="6">
        <v>435</v>
      </c>
      <c r="J330" s="6">
        <v>1</v>
      </c>
      <c r="K330" s="10">
        <f t="shared" si="9"/>
        <v>2.9161000000000001</v>
      </c>
      <c r="L330" s="6" t="s">
        <v>42</v>
      </c>
      <c r="M330" s="6"/>
      <c r="N330" s="6" t="s">
        <v>54</v>
      </c>
      <c r="O330" s="6" t="s">
        <v>54</v>
      </c>
      <c r="P330" s="6" t="s">
        <v>54</v>
      </c>
    </row>
    <row r="331" spans="1:16" ht="30" customHeight="1" x14ac:dyDescent="0.3">
      <c r="A331" s="7">
        <v>45862.615326736108</v>
      </c>
      <c r="B331" s="6" t="s">
        <v>5</v>
      </c>
      <c r="C331" s="6" t="str">
        <f>VLOOKUP(B329,'Veri doğrulama'!D6:E13,2,0)</f>
        <v>MEHMET ÖZEN</v>
      </c>
      <c r="D331" s="6"/>
      <c r="E331" s="6" t="s">
        <v>434</v>
      </c>
      <c r="F331" s="6" t="s">
        <v>20</v>
      </c>
      <c r="G331" s="6" t="s">
        <v>34</v>
      </c>
      <c r="H331" s="6">
        <v>699</v>
      </c>
      <c r="I331" s="6">
        <v>2163</v>
      </c>
      <c r="J331" s="6">
        <v>1</v>
      </c>
      <c r="K331" s="10">
        <f t="shared" si="9"/>
        <v>0.67390000000000005</v>
      </c>
      <c r="L331" s="6" t="s">
        <v>75</v>
      </c>
      <c r="M331" s="6"/>
      <c r="N331" s="6" t="s">
        <v>54</v>
      </c>
      <c r="O331" s="6" t="s">
        <v>54</v>
      </c>
      <c r="P331" s="6" t="s">
        <v>54</v>
      </c>
    </row>
    <row r="332" spans="1:16" ht="30" customHeight="1" x14ac:dyDescent="0.3">
      <c r="A332" s="7">
        <v>45862.613601273151</v>
      </c>
      <c r="B332" s="6" t="s">
        <v>5</v>
      </c>
      <c r="C332" s="6" t="str">
        <f>VLOOKUP(B330,'Veri doğrulama'!D6:E13,2,0)</f>
        <v>MEHMET ÖZEN</v>
      </c>
      <c r="D332" s="6" t="s">
        <v>972</v>
      </c>
      <c r="E332" s="6" t="s">
        <v>115</v>
      </c>
      <c r="F332" s="6" t="s">
        <v>27</v>
      </c>
      <c r="G332" s="6" t="s">
        <v>35</v>
      </c>
      <c r="H332" s="6">
        <v>900</v>
      </c>
      <c r="I332" s="6">
        <v>600</v>
      </c>
      <c r="J332" s="6">
        <v>1</v>
      </c>
      <c r="K332" s="10">
        <f t="shared" si="9"/>
        <v>0.30363000000000001</v>
      </c>
      <c r="L332" s="6" t="s">
        <v>102</v>
      </c>
      <c r="M332" s="6"/>
      <c r="N332" s="6" t="s">
        <v>54</v>
      </c>
      <c r="O332" s="6" t="s">
        <v>54</v>
      </c>
      <c r="P332" s="6" t="s">
        <v>54</v>
      </c>
    </row>
    <row r="333" spans="1:16" ht="30" customHeight="1" x14ac:dyDescent="0.3">
      <c r="A333" s="7">
        <v>45862.593916087964</v>
      </c>
      <c r="B333" s="6" t="s">
        <v>4</v>
      </c>
      <c r="C333" s="6" t="str">
        <f>VLOOKUP(B331,'Veri doğrulama'!D6:E13,2,0)</f>
        <v>MEHMET ÖZEN</v>
      </c>
      <c r="D333" s="6">
        <v>23751</v>
      </c>
      <c r="E333" s="6" t="s">
        <v>971</v>
      </c>
      <c r="F333" s="6" t="s">
        <v>18</v>
      </c>
      <c r="G333" s="6" t="s">
        <v>35</v>
      </c>
      <c r="H333" s="6">
        <v>2000</v>
      </c>
      <c r="I333" s="6">
        <v>590</v>
      </c>
      <c r="J333" s="6">
        <v>1</v>
      </c>
      <c r="K333" s="10">
        <f t="shared" si="9"/>
        <v>1.5119370000000001</v>
      </c>
      <c r="L333" s="6" t="s">
        <v>43</v>
      </c>
      <c r="M333" s="6"/>
      <c r="N333" s="6" t="s">
        <v>54</v>
      </c>
      <c r="O333" s="6" t="s">
        <v>54</v>
      </c>
      <c r="P333" s="6" t="s">
        <v>54</v>
      </c>
    </row>
    <row r="334" spans="1:16" ht="30" customHeight="1" x14ac:dyDescent="0.3">
      <c r="A334" s="7">
        <v>45862.559049537034</v>
      </c>
      <c r="B334" s="6" t="s">
        <v>81</v>
      </c>
      <c r="C334" s="6" t="str">
        <f>VLOOKUP(B332,'Veri doğrulama'!D6:E13,2,0)</f>
        <v>MEHMET ÖZEN</v>
      </c>
      <c r="D334" s="6"/>
      <c r="E334" s="6" t="s">
        <v>964</v>
      </c>
      <c r="F334" s="6" t="s">
        <v>16</v>
      </c>
      <c r="G334" s="6" t="s">
        <v>34</v>
      </c>
      <c r="H334" s="6">
        <v>449</v>
      </c>
      <c r="I334" s="6">
        <v>358</v>
      </c>
      <c r="J334" s="6">
        <v>1</v>
      </c>
      <c r="K334" s="10">
        <f t="shared" si="9"/>
        <v>0.54</v>
      </c>
      <c r="L334" s="6" t="s">
        <v>103</v>
      </c>
      <c r="M334" s="6" t="s">
        <v>970</v>
      </c>
      <c r="N334" s="6" t="s">
        <v>54</v>
      </c>
      <c r="O334" s="6" t="s">
        <v>54</v>
      </c>
      <c r="P334" s="6" t="s">
        <v>54</v>
      </c>
    </row>
    <row r="335" spans="1:16" ht="30" customHeight="1" x14ac:dyDescent="0.3">
      <c r="A335" s="7">
        <v>45862.500335648147</v>
      </c>
      <c r="B335" s="6" t="s">
        <v>81</v>
      </c>
      <c r="C335" s="6" t="str">
        <f>VLOOKUP(B333,'Veri doğrulama'!D6:E13,2,0)</f>
        <v>MEHMET YAZICI</v>
      </c>
      <c r="D335" s="6"/>
      <c r="E335" s="6" t="s">
        <v>964</v>
      </c>
      <c r="F335" s="6" t="s">
        <v>16</v>
      </c>
      <c r="G335" s="6" t="s">
        <v>34</v>
      </c>
      <c r="H335" s="6">
        <v>434</v>
      </c>
      <c r="I335" s="6">
        <v>582</v>
      </c>
      <c r="J335" s="6">
        <v>1</v>
      </c>
      <c r="K335" s="10">
        <f t="shared" si="9"/>
        <v>1.18</v>
      </c>
      <c r="L335" s="6" t="s">
        <v>75</v>
      </c>
      <c r="M335" s="6" t="s">
        <v>970</v>
      </c>
      <c r="N335" s="6" t="s">
        <v>54</v>
      </c>
      <c r="O335" s="6" t="s">
        <v>54</v>
      </c>
      <c r="P335" s="6" t="s">
        <v>54</v>
      </c>
    </row>
    <row r="336" spans="1:16" ht="30" customHeight="1" x14ac:dyDescent="0.3">
      <c r="A336" s="7">
        <v>45861.604674652779</v>
      </c>
      <c r="B336" s="6" t="s">
        <v>81</v>
      </c>
      <c r="C336" s="6" t="str">
        <f>VLOOKUP(B334,'Veri doğrulama'!D6:E13,2,0)</f>
        <v>İBRAHİM ÇELİK</v>
      </c>
      <c r="D336" s="6"/>
      <c r="E336" s="6" t="s">
        <v>969</v>
      </c>
      <c r="F336" s="6" t="s">
        <v>16</v>
      </c>
      <c r="G336" s="6" t="s">
        <v>34</v>
      </c>
      <c r="H336" s="6">
        <v>902</v>
      </c>
      <c r="I336" s="6">
        <v>582</v>
      </c>
      <c r="J336" s="6">
        <v>1</v>
      </c>
      <c r="K336" s="10">
        <f t="shared" ref="K336:K399" si="10">H334*I334/1000000*J336</f>
        <v>0.160742</v>
      </c>
      <c r="L336" s="6" t="s">
        <v>43</v>
      </c>
      <c r="M336" s="6" t="s">
        <v>970</v>
      </c>
      <c r="N336" s="6" t="s">
        <v>54</v>
      </c>
      <c r="O336" s="6" t="s">
        <v>54</v>
      </c>
      <c r="P336" s="6" t="s">
        <v>54</v>
      </c>
    </row>
    <row r="337" spans="1:16" ht="30" customHeight="1" x14ac:dyDescent="0.3">
      <c r="A337" s="7">
        <v>45861.603811458335</v>
      </c>
      <c r="B337" s="6" t="s">
        <v>5</v>
      </c>
      <c r="C337" s="6" t="str">
        <f>VLOOKUP(B335,'Veri doğrulama'!D6:E13,2,0)</f>
        <v>İBRAHİM ÇELİK</v>
      </c>
      <c r="D337" s="6"/>
      <c r="E337" s="6" t="s">
        <v>968</v>
      </c>
      <c r="F337" s="6" t="s">
        <v>22</v>
      </c>
      <c r="G337" s="6" t="s">
        <v>34</v>
      </c>
      <c r="H337" s="6">
        <v>1500</v>
      </c>
      <c r="I337" s="6">
        <v>700</v>
      </c>
      <c r="J337" s="6">
        <v>1</v>
      </c>
      <c r="K337" s="10">
        <f t="shared" si="10"/>
        <v>0.25258799999999998</v>
      </c>
      <c r="L337" s="6" t="s">
        <v>43</v>
      </c>
      <c r="M337" s="6"/>
      <c r="N337" s="6" t="s">
        <v>54</v>
      </c>
      <c r="O337" s="6" t="s">
        <v>54</v>
      </c>
      <c r="P337" s="6" t="s">
        <v>54</v>
      </c>
    </row>
    <row r="338" spans="1:16" ht="30" customHeight="1" x14ac:dyDescent="0.3">
      <c r="A338" s="7">
        <v>45861.602745138887</v>
      </c>
      <c r="B338" s="6" t="s">
        <v>4</v>
      </c>
      <c r="C338" s="6" t="str">
        <f>VLOOKUP(B336,'Veri doğrulama'!D6:E13,2,0)</f>
        <v>İBRAHİM ÇELİK</v>
      </c>
      <c r="D338" s="6"/>
      <c r="E338" s="6" t="s">
        <v>967</v>
      </c>
      <c r="F338" s="6" t="s">
        <v>13</v>
      </c>
      <c r="G338" s="6" t="s">
        <v>34</v>
      </c>
      <c r="H338" s="6">
        <v>470</v>
      </c>
      <c r="I338" s="6">
        <v>400</v>
      </c>
      <c r="J338" s="6">
        <v>1</v>
      </c>
      <c r="K338" s="10">
        <f t="shared" si="10"/>
        <v>0.52496399999999999</v>
      </c>
      <c r="L338" s="6" t="s">
        <v>43</v>
      </c>
      <c r="M338" s="6" t="s">
        <v>339</v>
      </c>
      <c r="N338" s="6" t="s">
        <v>54</v>
      </c>
      <c r="O338" s="6" t="s">
        <v>54</v>
      </c>
      <c r="P338" s="6" t="s">
        <v>54</v>
      </c>
    </row>
    <row r="339" spans="1:16" ht="30" customHeight="1" x14ac:dyDescent="0.3">
      <c r="A339" s="7">
        <v>45861.374258449076</v>
      </c>
      <c r="B339" s="6" t="s">
        <v>6</v>
      </c>
      <c r="C339" s="6" t="str">
        <f>VLOOKUP(B337,'Veri doğrulama'!D6:E13,2,0)</f>
        <v>MEHMET ÖZEN</v>
      </c>
      <c r="D339" s="6"/>
      <c r="E339" s="6" t="s">
        <v>964</v>
      </c>
      <c r="F339" s="6" t="s">
        <v>16</v>
      </c>
      <c r="G339" s="6" t="s">
        <v>34</v>
      </c>
      <c r="H339" s="6">
        <v>900</v>
      </c>
      <c r="I339" s="6">
        <v>580</v>
      </c>
      <c r="J339" s="6">
        <v>1</v>
      </c>
      <c r="K339" s="10">
        <f t="shared" si="10"/>
        <v>1.05</v>
      </c>
      <c r="L339" s="6" t="s">
        <v>103</v>
      </c>
      <c r="M339" s="6" t="s">
        <v>965</v>
      </c>
      <c r="N339" s="6" t="s">
        <v>54</v>
      </c>
      <c r="O339" s="6" t="s">
        <v>54</v>
      </c>
      <c r="P339" s="6" t="s">
        <v>54</v>
      </c>
    </row>
    <row r="340" spans="1:16" ht="30" customHeight="1" x14ac:dyDescent="0.3">
      <c r="A340" s="7">
        <v>45860.64413310185</v>
      </c>
      <c r="B340" s="6" t="s">
        <v>7</v>
      </c>
      <c r="C340" s="6" t="str">
        <f>VLOOKUP(B338,'Veri doğrulama'!D6:E13,2,0)</f>
        <v>MEHMET YAZICI</v>
      </c>
      <c r="D340" s="6" t="s">
        <v>966</v>
      </c>
      <c r="E340" s="6" t="s">
        <v>151</v>
      </c>
      <c r="F340" s="6" t="s">
        <v>13</v>
      </c>
      <c r="G340" s="6" t="s">
        <v>34</v>
      </c>
      <c r="H340" s="6">
        <v>2000</v>
      </c>
      <c r="I340" s="6">
        <v>900</v>
      </c>
      <c r="J340" s="6">
        <v>1</v>
      </c>
      <c r="K340" s="10">
        <f t="shared" si="10"/>
        <v>0.188</v>
      </c>
      <c r="L340" s="6" t="s">
        <v>103</v>
      </c>
      <c r="M340" s="6"/>
      <c r="N340" s="6" t="s">
        <v>54</v>
      </c>
      <c r="O340" s="6" t="s">
        <v>54</v>
      </c>
      <c r="P340" s="6" t="s">
        <v>54</v>
      </c>
    </row>
    <row r="341" spans="1:16" ht="30" customHeight="1" x14ac:dyDescent="0.3">
      <c r="A341" s="7">
        <v>45860.572310648146</v>
      </c>
      <c r="B341" s="6" t="s">
        <v>7</v>
      </c>
      <c r="C341" s="6" t="str">
        <f>VLOOKUP(B339,'Veri doğrulama'!D6:E13,2,0)</f>
        <v>SERVET KAPLAN</v>
      </c>
      <c r="D341" s="6"/>
      <c r="E341" s="6" t="s">
        <v>963</v>
      </c>
      <c r="F341" s="6" t="s">
        <v>27</v>
      </c>
      <c r="G341" s="6" t="s">
        <v>34</v>
      </c>
      <c r="H341" s="6">
        <v>693</v>
      </c>
      <c r="I341" s="6">
        <v>549</v>
      </c>
      <c r="J341" s="6">
        <v>1</v>
      </c>
      <c r="K341" s="10">
        <f t="shared" si="10"/>
        <v>0.52200000000000002</v>
      </c>
      <c r="L341" s="6" t="s">
        <v>43</v>
      </c>
      <c r="M341" s="6"/>
      <c r="N341" s="6" t="s">
        <v>54</v>
      </c>
      <c r="O341" s="6" t="s">
        <v>54</v>
      </c>
      <c r="P341" s="6" t="s">
        <v>54</v>
      </c>
    </row>
    <row r="342" spans="1:16" ht="30" customHeight="1" x14ac:dyDescent="0.3">
      <c r="A342" s="7">
        <v>45859.71101770833</v>
      </c>
      <c r="B342" s="6" t="s">
        <v>6</v>
      </c>
      <c r="C342" s="6" t="str">
        <f>VLOOKUP(B340,'Veri doğrulama'!D6:E13,2,0)</f>
        <v>SIDDIK KAPLAN</v>
      </c>
      <c r="D342" s="6"/>
      <c r="E342" s="6" t="s">
        <v>855</v>
      </c>
      <c r="F342" s="6" t="s">
        <v>13</v>
      </c>
      <c r="G342" s="6" t="s">
        <v>35</v>
      </c>
      <c r="H342" s="6">
        <v>1800</v>
      </c>
      <c r="I342" s="6">
        <v>800</v>
      </c>
      <c r="J342" s="6">
        <v>1</v>
      </c>
      <c r="K342" s="10">
        <f t="shared" si="10"/>
        <v>1.8</v>
      </c>
      <c r="L342" s="6" t="s">
        <v>43</v>
      </c>
      <c r="M342" s="6"/>
      <c r="N342" s="6" t="s">
        <v>54</v>
      </c>
      <c r="O342" s="6" t="s">
        <v>54</v>
      </c>
      <c r="P342" s="6" t="s">
        <v>54</v>
      </c>
    </row>
    <row r="343" spans="1:16" ht="30" customHeight="1" x14ac:dyDescent="0.3">
      <c r="A343" s="7">
        <v>45859.374546643521</v>
      </c>
      <c r="B343" s="6" t="s">
        <v>4</v>
      </c>
      <c r="C343" s="6" t="str">
        <f>VLOOKUP(B341,'Veri doğrulama'!D6:E13,2,0)</f>
        <v>SIDDIK KAPLAN</v>
      </c>
      <c r="D343" s="6"/>
      <c r="E343" s="6" t="s">
        <v>962</v>
      </c>
      <c r="F343" s="6" t="s">
        <v>17</v>
      </c>
      <c r="G343" s="6" t="s">
        <v>35</v>
      </c>
      <c r="H343" s="6">
        <v>1100</v>
      </c>
      <c r="I343" s="6">
        <v>360</v>
      </c>
      <c r="J343" s="6">
        <v>2</v>
      </c>
      <c r="K343" s="10">
        <f t="shared" si="10"/>
        <v>0.76091399999999998</v>
      </c>
      <c r="L343" s="6" t="s">
        <v>43</v>
      </c>
      <c r="M343" s="6"/>
      <c r="N343" s="6" t="s">
        <v>54</v>
      </c>
      <c r="O343" s="6" t="s">
        <v>54</v>
      </c>
      <c r="P343" s="6" t="s">
        <v>54</v>
      </c>
    </row>
    <row r="344" spans="1:16" ht="30" customHeight="1" x14ac:dyDescent="0.3">
      <c r="A344" s="7">
        <v>45856.569742013889</v>
      </c>
      <c r="B344" s="6" t="s">
        <v>5</v>
      </c>
      <c r="C344" s="6" t="str">
        <f>VLOOKUP(B342,'Veri doğrulama'!D6:E13,2,0)</f>
        <v>SERVET KAPLAN</v>
      </c>
      <c r="D344" s="6"/>
      <c r="E344" s="6" t="s">
        <v>961</v>
      </c>
      <c r="F344" s="6" t="s">
        <v>15</v>
      </c>
      <c r="G344" s="6" t="s">
        <v>34</v>
      </c>
      <c r="H344" s="6">
        <v>1363</v>
      </c>
      <c r="I344" s="6">
        <v>679</v>
      </c>
      <c r="J344" s="6">
        <v>1</v>
      </c>
      <c r="K344" s="10">
        <f t="shared" si="10"/>
        <v>1.44</v>
      </c>
      <c r="L344" s="6" t="s">
        <v>75</v>
      </c>
      <c r="M344" s="6"/>
      <c r="N344" s="6" t="s">
        <v>54</v>
      </c>
      <c r="O344" s="6" t="s">
        <v>54</v>
      </c>
      <c r="P344" s="6" t="s">
        <v>54</v>
      </c>
    </row>
    <row r="345" spans="1:16" ht="30" customHeight="1" x14ac:dyDescent="0.3">
      <c r="A345" s="7">
        <v>45856.486176157407</v>
      </c>
      <c r="B345" s="6" t="s">
        <v>4</v>
      </c>
      <c r="C345" s="6" t="str">
        <f>VLOOKUP(B343,'Veri doğrulama'!D6:E13,2,0)</f>
        <v>MEHMET YAZICI</v>
      </c>
      <c r="D345" s="6"/>
      <c r="E345" s="6" t="s">
        <v>960</v>
      </c>
      <c r="F345" s="6" t="s">
        <v>16</v>
      </c>
      <c r="G345" s="6" t="s">
        <v>34</v>
      </c>
      <c r="H345" s="6">
        <v>800</v>
      </c>
      <c r="I345" s="6">
        <v>375</v>
      </c>
      <c r="J345" s="6">
        <v>1</v>
      </c>
      <c r="K345" s="10">
        <f t="shared" si="10"/>
        <v>0.39600000000000002</v>
      </c>
      <c r="L345" s="6" t="s">
        <v>75</v>
      </c>
      <c r="M345" s="6"/>
      <c r="N345" s="6" t="s">
        <v>54</v>
      </c>
      <c r="O345" s="6" t="s">
        <v>54</v>
      </c>
      <c r="P345" s="6" t="s">
        <v>54</v>
      </c>
    </row>
    <row r="346" spans="1:16" ht="30" customHeight="1" x14ac:dyDescent="0.3">
      <c r="A346" s="7">
        <v>45856.474863194446</v>
      </c>
      <c r="B346" s="6" t="s">
        <v>4</v>
      </c>
      <c r="C346" s="6" t="str">
        <f>VLOOKUP(B344,'Veri doğrulama'!D6:E13,2,0)</f>
        <v>MEHMET ÖZEN</v>
      </c>
      <c r="D346" s="6"/>
      <c r="E346" s="6" t="s">
        <v>959</v>
      </c>
      <c r="F346" s="6" t="s">
        <v>16</v>
      </c>
      <c r="G346" s="6" t="s">
        <v>34</v>
      </c>
      <c r="H346" s="6">
        <v>1815</v>
      </c>
      <c r="I346" s="6">
        <v>397</v>
      </c>
      <c r="J346" s="6">
        <v>1</v>
      </c>
      <c r="K346" s="10">
        <f t="shared" si="10"/>
        <v>0.92547699999999999</v>
      </c>
      <c r="L346" s="6" t="s">
        <v>103</v>
      </c>
      <c r="M346" s="6"/>
      <c r="N346" s="6" t="s">
        <v>54</v>
      </c>
      <c r="O346" s="6" t="s">
        <v>54</v>
      </c>
      <c r="P346" s="6" t="s">
        <v>54</v>
      </c>
    </row>
    <row r="347" spans="1:16" ht="30" customHeight="1" x14ac:dyDescent="0.3">
      <c r="A347" s="7">
        <v>45856.364190046297</v>
      </c>
      <c r="B347" s="6" t="s">
        <v>5</v>
      </c>
      <c r="C347" s="6" t="str">
        <f>VLOOKUP(B345,'Veri doğrulama'!D6:E13,2,0)</f>
        <v>MEHMET YAZICI</v>
      </c>
      <c r="D347" s="6"/>
      <c r="E347" s="6" t="s">
        <v>958</v>
      </c>
      <c r="F347" s="6" t="s">
        <v>16</v>
      </c>
      <c r="G347" s="6" t="s">
        <v>34</v>
      </c>
      <c r="H347" s="6">
        <v>900</v>
      </c>
      <c r="I347" s="6">
        <v>600</v>
      </c>
      <c r="J347" s="6">
        <v>1</v>
      </c>
      <c r="K347" s="10">
        <f t="shared" si="10"/>
        <v>0.3</v>
      </c>
      <c r="L347" s="6" t="s">
        <v>75</v>
      </c>
      <c r="M347" s="6"/>
      <c r="N347" s="6" t="s">
        <v>54</v>
      </c>
      <c r="O347" s="6" t="s">
        <v>54</v>
      </c>
      <c r="P347" s="6" t="s">
        <v>54</v>
      </c>
    </row>
    <row r="348" spans="1:16" ht="30" customHeight="1" x14ac:dyDescent="0.3">
      <c r="A348" s="7">
        <v>45855.647404513889</v>
      </c>
      <c r="B348" s="6" t="s">
        <v>4</v>
      </c>
      <c r="C348" s="6" t="str">
        <f>VLOOKUP(B346,'Veri doğrulama'!D6:E13,2,0)</f>
        <v>MEHMET YAZICI</v>
      </c>
      <c r="D348" s="6"/>
      <c r="E348" s="6" t="s">
        <v>446</v>
      </c>
      <c r="F348" s="6" t="s">
        <v>19</v>
      </c>
      <c r="G348" s="6" t="s">
        <v>35</v>
      </c>
      <c r="H348" s="6">
        <v>1400</v>
      </c>
      <c r="I348" s="6">
        <v>500</v>
      </c>
      <c r="J348" s="6">
        <v>1</v>
      </c>
      <c r="K348" s="10">
        <f t="shared" si="10"/>
        <v>0.72055499999999995</v>
      </c>
      <c r="L348" s="6" t="s">
        <v>75</v>
      </c>
      <c r="M348" s="6" t="s">
        <v>339</v>
      </c>
      <c r="N348" s="6" t="s">
        <v>54</v>
      </c>
      <c r="O348" s="6" t="s">
        <v>54</v>
      </c>
      <c r="P348" s="6" t="s">
        <v>54</v>
      </c>
    </row>
    <row r="349" spans="1:16" ht="30" customHeight="1" x14ac:dyDescent="0.3">
      <c r="A349" s="7">
        <v>45855.509433796295</v>
      </c>
      <c r="B349" s="6" t="s">
        <v>4</v>
      </c>
      <c r="C349" s="6" t="str">
        <f>VLOOKUP(B347,'Veri doğrulama'!D6:E13,2,0)</f>
        <v>MEHMET ÖZEN</v>
      </c>
      <c r="D349" s="6"/>
      <c r="E349" s="6" t="s">
        <v>957</v>
      </c>
      <c r="F349" s="6" t="s">
        <v>16</v>
      </c>
      <c r="G349" s="6" t="s">
        <v>35</v>
      </c>
      <c r="H349" s="6">
        <v>1815</v>
      </c>
      <c r="I349" s="6">
        <v>397</v>
      </c>
      <c r="J349" s="6">
        <v>1</v>
      </c>
      <c r="K349" s="10">
        <f t="shared" si="10"/>
        <v>0.54</v>
      </c>
      <c r="L349" s="6" t="s">
        <v>102</v>
      </c>
      <c r="M349" s="6"/>
      <c r="N349" s="6" t="s">
        <v>54</v>
      </c>
      <c r="O349" s="6" t="s">
        <v>54</v>
      </c>
      <c r="P349" s="6" t="s">
        <v>54</v>
      </c>
    </row>
    <row r="350" spans="1:16" ht="30" customHeight="1" x14ac:dyDescent="0.3">
      <c r="A350" s="7">
        <v>45855.440658680556</v>
      </c>
      <c r="B350" s="6" t="s">
        <v>5</v>
      </c>
      <c r="C350" s="6" t="str">
        <f>VLOOKUP(B348,'Veri doğrulama'!D6:E13,2,0)</f>
        <v>MEHMET YAZICI</v>
      </c>
      <c r="D350" s="6"/>
      <c r="E350" s="6" t="s">
        <v>955</v>
      </c>
      <c r="F350" s="6" t="s">
        <v>19</v>
      </c>
      <c r="G350" s="6" t="s">
        <v>34</v>
      </c>
      <c r="H350" s="6">
        <v>1562</v>
      </c>
      <c r="I350" s="6">
        <v>340</v>
      </c>
      <c r="J350" s="6">
        <v>1</v>
      </c>
      <c r="K350" s="10">
        <f t="shared" si="10"/>
        <v>0.7</v>
      </c>
      <c r="L350" s="6" t="s">
        <v>102</v>
      </c>
      <c r="M350" s="6"/>
      <c r="N350" s="6" t="s">
        <v>54</v>
      </c>
      <c r="O350" s="6" t="s">
        <v>54</v>
      </c>
      <c r="P350" s="6" t="s">
        <v>54</v>
      </c>
    </row>
    <row r="351" spans="1:16" ht="30" customHeight="1" x14ac:dyDescent="0.3">
      <c r="A351" s="7">
        <v>45854.738069791667</v>
      </c>
      <c r="B351" s="6" t="s">
        <v>5</v>
      </c>
      <c r="C351" s="6" t="str">
        <f>VLOOKUP(B349,'Veri doğrulama'!D6:E13,2,0)</f>
        <v>MEHMET YAZICI</v>
      </c>
      <c r="D351" s="6" t="s">
        <v>956</v>
      </c>
      <c r="E351" s="6" t="s">
        <v>954</v>
      </c>
      <c r="F351" s="6" t="s">
        <v>19</v>
      </c>
      <c r="G351" s="6" t="s">
        <v>34</v>
      </c>
      <c r="H351" s="6">
        <v>1400</v>
      </c>
      <c r="I351" s="6">
        <v>500</v>
      </c>
      <c r="J351" s="6">
        <v>1</v>
      </c>
      <c r="K351" s="10">
        <f t="shared" si="10"/>
        <v>0.72055499999999995</v>
      </c>
      <c r="L351" s="6" t="s">
        <v>103</v>
      </c>
      <c r="M351" s="6"/>
      <c r="N351" s="6" t="s">
        <v>54</v>
      </c>
      <c r="O351" s="6" t="s">
        <v>54</v>
      </c>
      <c r="P351" s="6" t="s">
        <v>54</v>
      </c>
    </row>
    <row r="352" spans="1:16" ht="30" customHeight="1" x14ac:dyDescent="0.3">
      <c r="A352" s="7">
        <v>45854.642125694445</v>
      </c>
      <c r="B352" s="6" t="s">
        <v>5</v>
      </c>
      <c r="C352" s="6" t="str">
        <f>VLOOKUP(B350,'Veri doğrulama'!D6:E13,2,0)</f>
        <v>MEHMET ÖZEN</v>
      </c>
      <c r="D352" s="6"/>
      <c r="E352" s="6" t="s">
        <v>953</v>
      </c>
      <c r="F352" s="6" t="s">
        <v>22</v>
      </c>
      <c r="G352" s="6" t="s">
        <v>35</v>
      </c>
      <c r="H352" s="6">
        <v>2220</v>
      </c>
      <c r="I352" s="6">
        <v>970</v>
      </c>
      <c r="J352" s="6">
        <v>1</v>
      </c>
      <c r="K352" s="10">
        <f t="shared" si="10"/>
        <v>0.53108</v>
      </c>
      <c r="L352" s="6" t="s">
        <v>42</v>
      </c>
      <c r="M352" s="6" t="s">
        <v>411</v>
      </c>
      <c r="N352" s="6" t="s">
        <v>54</v>
      </c>
      <c r="O352" s="6" t="s">
        <v>54</v>
      </c>
      <c r="P352" s="6" t="s">
        <v>54</v>
      </c>
    </row>
    <row r="353" spans="1:16" ht="30" customHeight="1" x14ac:dyDescent="0.3">
      <c r="A353" s="7">
        <v>45854.596476273146</v>
      </c>
      <c r="B353" s="6" t="s">
        <v>5</v>
      </c>
      <c r="C353" s="6" t="str">
        <f>VLOOKUP(B351,'Veri doğrulama'!D6:E13,2,0)</f>
        <v>MEHMET ÖZEN</v>
      </c>
      <c r="D353" s="6"/>
      <c r="E353" s="6" t="s">
        <v>952</v>
      </c>
      <c r="F353" s="6" t="s">
        <v>18</v>
      </c>
      <c r="G353" s="6" t="s">
        <v>34</v>
      </c>
      <c r="H353" s="6">
        <v>2110</v>
      </c>
      <c r="I353" s="6">
        <v>1510</v>
      </c>
      <c r="J353" s="6">
        <v>1</v>
      </c>
      <c r="K353" s="10">
        <f t="shared" si="10"/>
        <v>0.7</v>
      </c>
      <c r="L353" s="6" t="s">
        <v>75</v>
      </c>
      <c r="M353" s="6" t="s">
        <v>411</v>
      </c>
      <c r="N353" s="6" t="s">
        <v>54</v>
      </c>
      <c r="O353" s="6" t="s">
        <v>54</v>
      </c>
      <c r="P353" s="6" t="s">
        <v>54</v>
      </c>
    </row>
    <row r="354" spans="1:16" ht="30" customHeight="1" x14ac:dyDescent="0.3">
      <c r="A354" s="7">
        <v>45854.510124305554</v>
      </c>
      <c r="B354" s="6" t="s">
        <v>4</v>
      </c>
      <c r="C354" s="6" t="str">
        <f>VLOOKUP(B352,'Veri doğrulama'!D6:E13,2,0)</f>
        <v>MEHMET ÖZEN</v>
      </c>
      <c r="D354" s="6"/>
      <c r="E354" s="6" t="s">
        <v>951</v>
      </c>
      <c r="F354" s="6" t="s">
        <v>16</v>
      </c>
      <c r="G354" s="6" t="s">
        <v>34</v>
      </c>
      <c r="H354" s="6">
        <v>1800</v>
      </c>
      <c r="I354" s="6">
        <v>150</v>
      </c>
      <c r="J354" s="6">
        <v>1</v>
      </c>
      <c r="K354" s="10">
        <f t="shared" si="10"/>
        <v>2.1534</v>
      </c>
      <c r="L354" s="6" t="s">
        <v>43</v>
      </c>
      <c r="M354" s="6"/>
      <c r="N354" s="6" t="s">
        <v>54</v>
      </c>
      <c r="O354" s="6" t="s">
        <v>54</v>
      </c>
      <c r="P354" s="6" t="s">
        <v>54</v>
      </c>
    </row>
    <row r="355" spans="1:16" ht="30" customHeight="1" x14ac:dyDescent="0.3">
      <c r="A355" s="7">
        <v>45854.401847337962</v>
      </c>
      <c r="B355" s="6" t="s">
        <v>5</v>
      </c>
      <c r="C355" s="6" t="str">
        <f>VLOOKUP(B353,'Veri doğrulama'!D6:E13,2,0)</f>
        <v>MEHMET ÖZEN</v>
      </c>
      <c r="D355" s="6"/>
      <c r="E355" s="6" t="s">
        <v>949</v>
      </c>
      <c r="F355" s="6" t="s">
        <v>17</v>
      </c>
      <c r="G355" s="6" t="s">
        <v>35</v>
      </c>
      <c r="H355" s="6">
        <v>1596</v>
      </c>
      <c r="I355" s="6">
        <v>450</v>
      </c>
      <c r="J355" s="6">
        <v>1</v>
      </c>
      <c r="K355" s="10">
        <f t="shared" si="10"/>
        <v>3.1861000000000002</v>
      </c>
      <c r="L355" s="6" t="s">
        <v>42</v>
      </c>
      <c r="M355" s="6" t="s">
        <v>712</v>
      </c>
      <c r="N355" s="6" t="s">
        <v>54</v>
      </c>
      <c r="O355" s="6" t="s">
        <v>54</v>
      </c>
      <c r="P355" s="6" t="s">
        <v>54</v>
      </c>
    </row>
    <row r="356" spans="1:16" ht="30" customHeight="1" x14ac:dyDescent="0.3">
      <c r="A356" s="7">
        <v>45854.365617476855</v>
      </c>
      <c r="B356" s="6" t="s">
        <v>5</v>
      </c>
      <c r="C356" s="6" t="str">
        <f>VLOOKUP(B354,'Veri doğrulama'!D6:E13,2,0)</f>
        <v>MEHMET YAZICI</v>
      </c>
      <c r="D356" s="6" t="s">
        <v>950</v>
      </c>
      <c r="E356" s="6" t="s">
        <v>948</v>
      </c>
      <c r="F356" s="6" t="s">
        <v>18</v>
      </c>
      <c r="G356" s="6" t="s">
        <v>34</v>
      </c>
      <c r="H356" s="6">
        <v>2220</v>
      </c>
      <c r="I356" s="6">
        <v>970</v>
      </c>
      <c r="J356" s="6">
        <v>1</v>
      </c>
      <c r="K356" s="10">
        <f t="shared" si="10"/>
        <v>0.27</v>
      </c>
      <c r="L356" s="6" t="s">
        <v>75</v>
      </c>
      <c r="M356" s="6" t="s">
        <v>411</v>
      </c>
      <c r="N356" s="6" t="s">
        <v>54</v>
      </c>
      <c r="O356" s="6" t="s">
        <v>54</v>
      </c>
      <c r="P356" s="6" t="s">
        <v>54</v>
      </c>
    </row>
    <row r="357" spans="1:16" ht="30" customHeight="1" x14ac:dyDescent="0.3">
      <c r="A357" s="7">
        <v>45852.684380208331</v>
      </c>
      <c r="B357" s="6" t="s">
        <v>5</v>
      </c>
      <c r="C357" s="6" t="str">
        <f>VLOOKUP(B355,'Veri doğrulama'!D6:E13,2,0)</f>
        <v>MEHMET ÖZEN</v>
      </c>
      <c r="D357" s="6"/>
      <c r="E357" s="6" t="s">
        <v>946</v>
      </c>
      <c r="F357" s="6" t="s">
        <v>22</v>
      </c>
      <c r="G357" s="6" t="s">
        <v>34</v>
      </c>
      <c r="H357" s="6">
        <v>620</v>
      </c>
      <c r="I357" s="6">
        <v>520</v>
      </c>
      <c r="J357" s="6">
        <v>1</v>
      </c>
      <c r="K357" s="10">
        <f t="shared" si="10"/>
        <v>0.71819999999999995</v>
      </c>
      <c r="L357" s="6" t="s">
        <v>43</v>
      </c>
      <c r="M357" s="6" t="s">
        <v>468</v>
      </c>
      <c r="N357" s="6" t="s">
        <v>54</v>
      </c>
      <c r="O357" s="6" t="s">
        <v>54</v>
      </c>
      <c r="P357" s="6" t="s">
        <v>54</v>
      </c>
    </row>
    <row r="358" spans="1:16" ht="30" customHeight="1" x14ac:dyDescent="0.3">
      <c r="A358" s="7">
        <v>45852.594100347225</v>
      </c>
      <c r="B358" s="6" t="s">
        <v>5</v>
      </c>
      <c r="C358" s="6" t="str">
        <f>VLOOKUP(B356,'Veri doğrulama'!D6:E13,2,0)</f>
        <v>MEHMET ÖZEN</v>
      </c>
      <c r="D358" s="6" t="s">
        <v>947</v>
      </c>
      <c r="E358" s="6" t="s">
        <v>945</v>
      </c>
      <c r="F358" s="6" t="s">
        <v>22</v>
      </c>
      <c r="G358" s="6" t="s">
        <v>34</v>
      </c>
      <c r="H358" s="6">
        <v>1520</v>
      </c>
      <c r="I358" s="6">
        <v>1070</v>
      </c>
      <c r="J358" s="6">
        <v>1</v>
      </c>
      <c r="K358" s="10">
        <f t="shared" si="10"/>
        <v>2.1534</v>
      </c>
      <c r="L358" s="6" t="s">
        <v>103</v>
      </c>
      <c r="M358" s="6" t="s">
        <v>468</v>
      </c>
      <c r="N358" s="6" t="s">
        <v>54</v>
      </c>
      <c r="O358" s="6" t="s">
        <v>54</v>
      </c>
      <c r="P358" s="6" t="s">
        <v>54</v>
      </c>
    </row>
    <row r="359" spans="1:16" ht="30" customHeight="1" x14ac:dyDescent="0.3">
      <c r="A359" s="7">
        <v>45852.59311076389</v>
      </c>
      <c r="B359" s="6" t="s">
        <v>5</v>
      </c>
      <c r="C359" s="6" t="str">
        <f>VLOOKUP(B357,'Veri doğrulama'!D6:E13,2,0)</f>
        <v>MEHMET ÖZEN</v>
      </c>
      <c r="D359" s="6"/>
      <c r="E359" s="6" t="s">
        <v>944</v>
      </c>
      <c r="F359" s="6" t="s">
        <v>19</v>
      </c>
      <c r="G359" s="6" t="s">
        <v>34</v>
      </c>
      <c r="H359" s="6">
        <v>1800</v>
      </c>
      <c r="I359" s="6">
        <v>800</v>
      </c>
      <c r="J359" s="6">
        <v>1</v>
      </c>
      <c r="K359" s="10">
        <f t="shared" si="10"/>
        <v>0.32240000000000002</v>
      </c>
      <c r="L359" s="6" t="s">
        <v>103</v>
      </c>
      <c r="M359" s="6" t="s">
        <v>468</v>
      </c>
      <c r="N359" s="6" t="s">
        <v>54</v>
      </c>
      <c r="O359" s="6" t="s">
        <v>54</v>
      </c>
      <c r="P359" s="6" t="s">
        <v>54</v>
      </c>
    </row>
    <row r="360" spans="1:16" ht="30" customHeight="1" x14ac:dyDescent="0.3">
      <c r="A360" s="7">
        <v>45852.592450925928</v>
      </c>
      <c r="B360" s="6" t="s">
        <v>7</v>
      </c>
      <c r="C360" s="6" t="str">
        <f>VLOOKUP(B358,'Veri doğrulama'!D6:E13,2,0)</f>
        <v>MEHMET ÖZEN</v>
      </c>
      <c r="D360" s="6"/>
      <c r="E360" s="6" t="s">
        <v>943</v>
      </c>
      <c r="F360" s="6" t="s">
        <v>16</v>
      </c>
      <c r="G360" s="6" t="s">
        <v>35</v>
      </c>
      <c r="H360" s="6">
        <v>1620</v>
      </c>
      <c r="I360" s="6">
        <v>1420</v>
      </c>
      <c r="J360" s="6">
        <v>1</v>
      </c>
      <c r="K360" s="10">
        <f t="shared" si="10"/>
        <v>1.6264000000000001</v>
      </c>
      <c r="L360" s="6" t="s">
        <v>103</v>
      </c>
      <c r="M360" s="6"/>
      <c r="N360" s="6" t="s">
        <v>54</v>
      </c>
      <c r="O360" s="6" t="s">
        <v>54</v>
      </c>
      <c r="P360" s="6" t="s">
        <v>54</v>
      </c>
    </row>
    <row r="361" spans="1:16" ht="30" customHeight="1" x14ac:dyDescent="0.3">
      <c r="A361" s="7">
        <v>45852.580105324072</v>
      </c>
      <c r="B361" s="6" t="s">
        <v>7</v>
      </c>
      <c r="C361" s="6" t="str">
        <f>VLOOKUP(B359,'Veri doğrulama'!D6:E13,2,0)</f>
        <v>MEHMET ÖZEN</v>
      </c>
      <c r="D361" s="6"/>
      <c r="E361" s="6" t="s">
        <v>908</v>
      </c>
      <c r="F361" s="6" t="s">
        <v>15</v>
      </c>
      <c r="G361" s="6" t="s">
        <v>34</v>
      </c>
      <c r="H361" s="6">
        <v>1400</v>
      </c>
      <c r="I361" s="6">
        <v>940</v>
      </c>
      <c r="J361" s="6">
        <v>1</v>
      </c>
      <c r="K361" s="10">
        <f t="shared" si="10"/>
        <v>1.44</v>
      </c>
      <c r="L361" s="6" t="s">
        <v>42</v>
      </c>
      <c r="M361" s="6"/>
      <c r="N361" s="6" t="s">
        <v>54</v>
      </c>
      <c r="O361" s="6" t="s">
        <v>54</v>
      </c>
      <c r="P361" s="6" t="s">
        <v>54</v>
      </c>
    </row>
    <row r="362" spans="1:16" ht="30" customHeight="1" x14ac:dyDescent="0.3">
      <c r="A362" s="7">
        <v>45852.579188425923</v>
      </c>
      <c r="B362" s="6" t="s">
        <v>5</v>
      </c>
      <c r="C362" s="6" t="str">
        <f>VLOOKUP(B360,'Veri doğrulama'!D6:E13,2,0)</f>
        <v>SIDDIK KAPLAN</v>
      </c>
      <c r="D362" s="6"/>
      <c r="E362" s="6" t="s">
        <v>941</v>
      </c>
      <c r="F362" s="6" t="s">
        <v>16</v>
      </c>
      <c r="G362" s="6" t="s">
        <v>34</v>
      </c>
      <c r="H362" s="6">
        <v>1620</v>
      </c>
      <c r="I362" s="6">
        <v>1420</v>
      </c>
      <c r="J362" s="6">
        <v>1</v>
      </c>
      <c r="K362" s="10">
        <f t="shared" si="10"/>
        <v>2.3003999999999998</v>
      </c>
      <c r="L362" s="6" t="s">
        <v>43</v>
      </c>
      <c r="M362" s="6" t="s">
        <v>942</v>
      </c>
      <c r="N362" s="6" t="s">
        <v>54</v>
      </c>
      <c r="O362" s="6" t="s">
        <v>54</v>
      </c>
      <c r="P362" s="6" t="s">
        <v>54</v>
      </c>
    </row>
    <row r="363" spans="1:16" ht="30" customHeight="1" x14ac:dyDescent="0.3">
      <c r="A363" s="7">
        <v>45852.480215856478</v>
      </c>
      <c r="B363" s="6" t="s">
        <v>5</v>
      </c>
      <c r="C363" s="6" t="str">
        <f>VLOOKUP(B361,'Veri doğrulama'!D6:E13,2,0)</f>
        <v>SIDDIK KAPLAN</v>
      </c>
      <c r="D363" s="6"/>
      <c r="E363" s="6" t="s">
        <v>939</v>
      </c>
      <c r="F363" s="6" t="s">
        <v>27</v>
      </c>
      <c r="G363" s="6" t="s">
        <v>34</v>
      </c>
      <c r="H363" s="6">
        <v>800</v>
      </c>
      <c r="I363" s="6">
        <v>550</v>
      </c>
      <c r="J363" s="6">
        <v>1</v>
      </c>
      <c r="K363" s="10">
        <f t="shared" si="10"/>
        <v>1.3160000000000001</v>
      </c>
      <c r="L363" s="6" t="s">
        <v>43</v>
      </c>
      <c r="M363" s="6"/>
      <c r="N363" s="6" t="s">
        <v>54</v>
      </c>
      <c r="O363" s="6" t="s">
        <v>54</v>
      </c>
      <c r="P363" s="6" t="s">
        <v>54</v>
      </c>
    </row>
    <row r="364" spans="1:16" ht="30" customHeight="1" x14ac:dyDescent="0.3">
      <c r="A364" s="7">
        <v>45849.719342013886</v>
      </c>
      <c r="B364" s="6" t="s">
        <v>5</v>
      </c>
      <c r="C364" s="6" t="str">
        <f>VLOOKUP(B362,'Veri doğrulama'!D6:E13,2,0)</f>
        <v>MEHMET ÖZEN</v>
      </c>
      <c r="D364" s="6"/>
      <c r="E364" s="6" t="s">
        <v>938</v>
      </c>
      <c r="F364" s="6" t="s">
        <v>30</v>
      </c>
      <c r="G364" s="6" t="s">
        <v>35</v>
      </c>
      <c r="H364" s="6">
        <v>1320</v>
      </c>
      <c r="I364" s="6">
        <v>1320</v>
      </c>
      <c r="J364" s="6">
        <v>1</v>
      </c>
      <c r="K364" s="10">
        <f t="shared" si="10"/>
        <v>2.3003999999999998</v>
      </c>
      <c r="L364" s="6" t="s">
        <v>42</v>
      </c>
      <c r="M364" s="6"/>
      <c r="N364" s="6" t="s">
        <v>54</v>
      </c>
      <c r="O364" s="6" t="s">
        <v>54</v>
      </c>
      <c r="P364" s="6" t="s">
        <v>54</v>
      </c>
    </row>
    <row r="365" spans="1:16" ht="30" customHeight="1" x14ac:dyDescent="0.3">
      <c r="A365" s="7">
        <v>45849.675110185184</v>
      </c>
      <c r="B365" s="6" t="s">
        <v>5</v>
      </c>
      <c r="C365" s="6" t="str">
        <f>VLOOKUP(B363,'Veri doğrulama'!D6:E13,2,0)</f>
        <v>MEHMET ÖZEN</v>
      </c>
      <c r="D365" s="6" t="s">
        <v>940</v>
      </c>
      <c r="E365" s="6" t="s">
        <v>937</v>
      </c>
      <c r="F365" s="6" t="s">
        <v>16</v>
      </c>
      <c r="G365" s="6" t="s">
        <v>35</v>
      </c>
      <c r="H365" s="6">
        <v>1815</v>
      </c>
      <c r="I365" s="6">
        <v>397</v>
      </c>
      <c r="J365" s="6">
        <v>1</v>
      </c>
      <c r="K365" s="10">
        <f t="shared" si="10"/>
        <v>0.44</v>
      </c>
      <c r="L365" s="6" t="s">
        <v>103</v>
      </c>
      <c r="M365" s="6"/>
      <c r="N365" s="6" t="s">
        <v>54</v>
      </c>
      <c r="O365" s="6" t="s">
        <v>54</v>
      </c>
      <c r="P365" s="6" t="s">
        <v>54</v>
      </c>
    </row>
    <row r="366" spans="1:16" ht="30" customHeight="1" x14ac:dyDescent="0.3">
      <c r="A366" s="7">
        <v>45848.609015046299</v>
      </c>
      <c r="B366" s="6" t="s">
        <v>81</v>
      </c>
      <c r="C366" s="6" t="str">
        <f>VLOOKUP(B364,'Veri doğrulama'!D6:E13,2,0)</f>
        <v>MEHMET ÖZEN</v>
      </c>
      <c r="D366" s="6"/>
      <c r="E366" s="6" t="s">
        <v>937</v>
      </c>
      <c r="F366" s="6" t="s">
        <v>16</v>
      </c>
      <c r="G366" s="6" t="s">
        <v>34</v>
      </c>
      <c r="H366" s="6">
        <v>1815</v>
      </c>
      <c r="I366" s="6">
        <v>397</v>
      </c>
      <c r="J366" s="6">
        <v>1</v>
      </c>
      <c r="K366" s="10">
        <f t="shared" si="10"/>
        <v>1.7423999999999999</v>
      </c>
      <c r="L366" s="6" t="s">
        <v>42</v>
      </c>
      <c r="M366" s="6"/>
      <c r="N366" s="6" t="s">
        <v>54</v>
      </c>
      <c r="O366" s="6" t="s">
        <v>54</v>
      </c>
      <c r="P366" s="6" t="s">
        <v>54</v>
      </c>
    </row>
    <row r="367" spans="1:16" ht="30" customHeight="1" x14ac:dyDescent="0.3">
      <c r="A367" s="7">
        <v>45848.608330439813</v>
      </c>
      <c r="B367" s="6" t="s">
        <v>4</v>
      </c>
      <c r="C367" s="6" t="str">
        <f>VLOOKUP(B365,'Veri doğrulama'!D6:E13,2,0)</f>
        <v>MEHMET ÖZEN</v>
      </c>
      <c r="D367" s="6"/>
      <c r="E367" s="6" t="s">
        <v>936</v>
      </c>
      <c r="F367" s="6" t="s">
        <v>17</v>
      </c>
      <c r="G367" s="6" t="s">
        <v>34</v>
      </c>
      <c r="H367" s="6">
        <v>561</v>
      </c>
      <c r="I367" s="6">
        <v>453</v>
      </c>
      <c r="J367" s="6">
        <v>2</v>
      </c>
      <c r="K367" s="10">
        <f t="shared" si="10"/>
        <v>1.4411099999999999</v>
      </c>
      <c r="L367" s="6" t="s">
        <v>42</v>
      </c>
      <c r="M367" s="6"/>
      <c r="N367" s="6" t="s">
        <v>54</v>
      </c>
      <c r="O367" s="6" t="s">
        <v>54</v>
      </c>
      <c r="P367" s="6" t="s">
        <v>54</v>
      </c>
    </row>
    <row r="368" spans="1:16" ht="30" customHeight="1" x14ac:dyDescent="0.3">
      <c r="A368" s="7">
        <v>45848.594787499998</v>
      </c>
      <c r="B368" s="6" t="s">
        <v>5</v>
      </c>
      <c r="C368" s="6" t="str">
        <f>VLOOKUP(B366,'Veri doğrulama'!D6:E13,2,0)</f>
        <v>İBRAHİM ÇELİK</v>
      </c>
      <c r="D368" s="6"/>
      <c r="E368" s="6" t="s">
        <v>126</v>
      </c>
      <c r="F368" s="6" t="s">
        <v>27</v>
      </c>
      <c r="G368" s="6" t="s">
        <v>34</v>
      </c>
      <c r="H368" s="6">
        <v>2120</v>
      </c>
      <c r="I368" s="6">
        <v>1520</v>
      </c>
      <c r="J368" s="6">
        <v>3</v>
      </c>
      <c r="K368" s="10">
        <f t="shared" si="10"/>
        <v>2.1616649999999997</v>
      </c>
      <c r="L368" s="6" t="s">
        <v>156</v>
      </c>
      <c r="M368" s="6"/>
      <c r="N368" s="6" t="s">
        <v>54</v>
      </c>
      <c r="O368" s="6" t="s">
        <v>54</v>
      </c>
      <c r="P368" s="6" t="s">
        <v>54</v>
      </c>
    </row>
    <row r="369" spans="1:16" ht="30" customHeight="1" x14ac:dyDescent="0.3">
      <c r="A369" s="7">
        <v>45848.497725231478</v>
      </c>
      <c r="B369" s="6" t="s">
        <v>5</v>
      </c>
      <c r="C369" s="6" t="str">
        <f>VLOOKUP(B367,'Veri doğrulama'!D6:E13,2,0)</f>
        <v>MEHMET YAZICI</v>
      </c>
      <c r="D369" s="6">
        <v>23548</v>
      </c>
      <c r="E369" s="6" t="s">
        <v>934</v>
      </c>
      <c r="F369" s="6" t="s">
        <v>29</v>
      </c>
      <c r="G369" s="6" t="s">
        <v>34</v>
      </c>
      <c r="H369" s="6">
        <v>2410</v>
      </c>
      <c r="I369" s="6">
        <v>1210</v>
      </c>
      <c r="J369" s="6">
        <v>1</v>
      </c>
      <c r="K369" s="10">
        <f t="shared" si="10"/>
        <v>0.254133</v>
      </c>
      <c r="L369" s="6" t="s">
        <v>156</v>
      </c>
      <c r="M369" s="6" t="s">
        <v>468</v>
      </c>
      <c r="N369" s="6" t="s">
        <v>54</v>
      </c>
      <c r="O369" s="6" t="s">
        <v>54</v>
      </c>
      <c r="P369" s="6" t="s">
        <v>54</v>
      </c>
    </row>
    <row r="370" spans="1:16" ht="30" customHeight="1" x14ac:dyDescent="0.3">
      <c r="A370" s="7">
        <v>45847.489534490742</v>
      </c>
      <c r="B370" s="6" t="s">
        <v>5</v>
      </c>
      <c r="C370" s="6" t="str">
        <f>VLOOKUP(B368,'Veri doğrulama'!D6:E13,2,0)</f>
        <v>MEHMET ÖZEN</v>
      </c>
      <c r="D370" s="6"/>
      <c r="E370" s="6" t="s">
        <v>932</v>
      </c>
      <c r="F370" s="6" t="s">
        <v>16</v>
      </c>
      <c r="G370" s="6" t="s">
        <v>34</v>
      </c>
      <c r="H370" s="6">
        <v>1800</v>
      </c>
      <c r="I370" s="6">
        <v>800</v>
      </c>
      <c r="J370" s="6">
        <v>1</v>
      </c>
      <c r="K370" s="10">
        <f t="shared" si="10"/>
        <v>3.2223999999999999</v>
      </c>
      <c r="L370" s="6" t="s">
        <v>42</v>
      </c>
      <c r="M370" s="6"/>
      <c r="N370" s="6" t="s">
        <v>54</v>
      </c>
      <c r="O370" s="6" t="s">
        <v>54</v>
      </c>
      <c r="P370" s="6" t="s">
        <v>54</v>
      </c>
    </row>
    <row r="371" spans="1:16" ht="30" customHeight="1" x14ac:dyDescent="0.3">
      <c r="A371" s="7">
        <v>45847.480765162036</v>
      </c>
      <c r="B371" s="6" t="s">
        <v>5</v>
      </c>
      <c r="C371" s="6" t="str">
        <f>VLOOKUP(B369,'Veri doğrulama'!D6:E13,2,0)</f>
        <v>MEHMET ÖZEN</v>
      </c>
      <c r="D371" s="6" t="s">
        <v>933</v>
      </c>
      <c r="E371" s="6" t="s">
        <v>931</v>
      </c>
      <c r="F371" s="6" t="s">
        <v>28</v>
      </c>
      <c r="G371" s="6" t="s">
        <v>34</v>
      </c>
      <c r="H371" s="6">
        <v>1990</v>
      </c>
      <c r="I371" s="6">
        <v>840</v>
      </c>
      <c r="J371" s="6">
        <v>1</v>
      </c>
      <c r="K371" s="10">
        <f t="shared" si="10"/>
        <v>2.9161000000000001</v>
      </c>
      <c r="L371" s="6" t="s">
        <v>43</v>
      </c>
      <c r="M371" s="6"/>
      <c r="N371" s="6" t="s">
        <v>54</v>
      </c>
      <c r="O371" s="6" t="s">
        <v>54</v>
      </c>
      <c r="P371" s="6" t="s">
        <v>54</v>
      </c>
    </row>
    <row r="372" spans="1:16" ht="30" customHeight="1" x14ac:dyDescent="0.3">
      <c r="A372" s="7">
        <v>45847.470885879629</v>
      </c>
      <c r="B372" s="6" t="s">
        <v>7</v>
      </c>
      <c r="C372" s="6" t="str">
        <f>VLOOKUP(B370,'Veri doğrulama'!D6:E13,2,0)</f>
        <v>MEHMET ÖZEN</v>
      </c>
      <c r="D372" s="6">
        <v>0</v>
      </c>
      <c r="E372" s="6" t="s">
        <v>930</v>
      </c>
      <c r="F372" s="6" t="s">
        <v>14</v>
      </c>
      <c r="G372" s="6" t="s">
        <v>34</v>
      </c>
      <c r="H372" s="6">
        <v>820</v>
      </c>
      <c r="I372" s="6">
        <v>432</v>
      </c>
      <c r="J372" s="6">
        <v>1</v>
      </c>
      <c r="K372" s="10">
        <f t="shared" si="10"/>
        <v>1.44</v>
      </c>
      <c r="L372" s="6" t="s">
        <v>43</v>
      </c>
      <c r="M372" s="6"/>
      <c r="N372" s="6" t="s">
        <v>54</v>
      </c>
      <c r="O372" s="6" t="s">
        <v>54</v>
      </c>
      <c r="P372" s="6" t="s">
        <v>54</v>
      </c>
    </row>
    <row r="373" spans="1:16" ht="30" customHeight="1" x14ac:dyDescent="0.3">
      <c r="A373" s="7">
        <v>45847.400628819443</v>
      </c>
      <c r="B373" s="6" t="s">
        <v>4</v>
      </c>
      <c r="C373" s="6" t="str">
        <f>VLOOKUP(B371,'Veri doğrulama'!D6:E13,2,0)</f>
        <v>MEHMET ÖZEN</v>
      </c>
      <c r="D373" s="6">
        <v>0</v>
      </c>
      <c r="E373" s="6" t="s">
        <v>935</v>
      </c>
      <c r="F373" s="6" t="s">
        <v>27</v>
      </c>
      <c r="G373" s="6" t="s">
        <v>34</v>
      </c>
      <c r="H373" s="6">
        <v>1130</v>
      </c>
      <c r="I373" s="6">
        <v>397</v>
      </c>
      <c r="J373" s="6">
        <v>1</v>
      </c>
      <c r="K373" s="10">
        <f t="shared" si="10"/>
        <v>1.6716</v>
      </c>
      <c r="L373" s="6" t="s">
        <v>38</v>
      </c>
      <c r="M373" s="6" t="s">
        <v>651</v>
      </c>
      <c r="N373" s="6" t="s">
        <v>54</v>
      </c>
      <c r="O373" s="6" t="s">
        <v>54</v>
      </c>
      <c r="P373" s="6" t="s">
        <v>54</v>
      </c>
    </row>
    <row r="374" spans="1:16" ht="30" customHeight="1" x14ac:dyDescent="0.3">
      <c r="A374" s="7">
        <v>45847.396043402776</v>
      </c>
      <c r="B374" s="6" t="s">
        <v>4</v>
      </c>
      <c r="C374" s="6" t="str">
        <f>VLOOKUP(B372,'Veri doğrulama'!D6:E13,2,0)</f>
        <v>SIDDIK KAPLAN</v>
      </c>
      <c r="D374" s="6"/>
      <c r="E374" s="6" t="s">
        <v>929</v>
      </c>
      <c r="F374" s="6" t="s">
        <v>27</v>
      </c>
      <c r="G374" s="6" t="s">
        <v>34</v>
      </c>
      <c r="H374" s="6">
        <v>700</v>
      </c>
      <c r="I374" s="6">
        <v>500</v>
      </c>
      <c r="J374" s="6">
        <v>2</v>
      </c>
      <c r="K374" s="10">
        <f t="shared" si="10"/>
        <v>0.70848</v>
      </c>
      <c r="L374" s="6" t="s">
        <v>43</v>
      </c>
      <c r="M374" s="6" t="s">
        <v>494</v>
      </c>
      <c r="N374" s="6" t="s">
        <v>54</v>
      </c>
      <c r="O374" s="6" t="s">
        <v>54</v>
      </c>
      <c r="P374" s="6" t="s">
        <v>54</v>
      </c>
    </row>
    <row r="375" spans="1:16" ht="30" customHeight="1" x14ac:dyDescent="0.3">
      <c r="A375" s="7">
        <v>45847.395324189813</v>
      </c>
      <c r="B375" s="6" t="s">
        <v>5</v>
      </c>
      <c r="C375" s="6" t="str">
        <f>VLOOKUP(B373,'Veri doğrulama'!D6:E13,2,0)</f>
        <v>MEHMET YAZICI</v>
      </c>
      <c r="D375" s="6"/>
      <c r="E375" s="6" t="s">
        <v>928</v>
      </c>
      <c r="F375" s="6" t="s">
        <v>15</v>
      </c>
      <c r="G375" s="6" t="s">
        <v>35</v>
      </c>
      <c r="H375" s="6">
        <v>1200</v>
      </c>
      <c r="I375" s="6">
        <v>1400</v>
      </c>
      <c r="J375" s="6">
        <v>1</v>
      </c>
      <c r="K375" s="10">
        <f t="shared" si="10"/>
        <v>0.44861000000000001</v>
      </c>
      <c r="L375" s="6" t="s">
        <v>75</v>
      </c>
      <c r="M375" s="6"/>
      <c r="N375" s="6" t="s">
        <v>54</v>
      </c>
      <c r="O375" s="6" t="s">
        <v>54</v>
      </c>
      <c r="P375" s="6" t="s">
        <v>54</v>
      </c>
    </row>
    <row r="376" spans="1:16" ht="30" customHeight="1" x14ac:dyDescent="0.3">
      <c r="A376" s="7">
        <v>45847.370535879629</v>
      </c>
      <c r="B376" s="6" t="s">
        <v>4</v>
      </c>
      <c r="C376" s="6" t="str">
        <f>VLOOKUP(B374,'Veri doğrulama'!D6:E13,2,0)</f>
        <v>MEHMET YAZICI</v>
      </c>
      <c r="D376" s="6"/>
      <c r="E376" s="6" t="s">
        <v>927</v>
      </c>
      <c r="F376" s="6" t="s">
        <v>17</v>
      </c>
      <c r="G376" s="6" t="s">
        <v>34</v>
      </c>
      <c r="H376" s="6">
        <v>1596</v>
      </c>
      <c r="I376" s="6">
        <v>564</v>
      </c>
      <c r="J376" s="6">
        <v>3</v>
      </c>
      <c r="K376" s="10">
        <f t="shared" si="10"/>
        <v>1.0499999999999998</v>
      </c>
      <c r="L376" s="6" t="s">
        <v>103</v>
      </c>
      <c r="M376" s="6"/>
      <c r="N376" s="6" t="s">
        <v>54</v>
      </c>
      <c r="O376" s="6" t="s">
        <v>54</v>
      </c>
      <c r="P376" s="6" t="s">
        <v>54</v>
      </c>
    </row>
    <row r="377" spans="1:16" ht="30" customHeight="1" x14ac:dyDescent="0.3">
      <c r="A377" s="7">
        <v>45847.359998495369</v>
      </c>
      <c r="B377" s="6" t="s">
        <v>4</v>
      </c>
      <c r="C377" s="6" t="str">
        <f>VLOOKUP(B375,'Veri doğrulama'!D6:E13,2,0)</f>
        <v>MEHMET ÖZEN</v>
      </c>
      <c r="D377" s="6">
        <v>23489</v>
      </c>
      <c r="E377" s="6" t="s">
        <v>926</v>
      </c>
      <c r="F377" s="6" t="s">
        <v>17</v>
      </c>
      <c r="G377" s="6" t="s">
        <v>34</v>
      </c>
      <c r="H377" s="6">
        <v>1970</v>
      </c>
      <c r="I377" s="6">
        <v>410</v>
      </c>
      <c r="J377" s="6">
        <v>3</v>
      </c>
      <c r="K377" s="10">
        <f t="shared" si="10"/>
        <v>5.04</v>
      </c>
      <c r="L377" s="6" t="s">
        <v>43</v>
      </c>
      <c r="M377" s="6"/>
      <c r="N377" s="6" t="s">
        <v>54</v>
      </c>
      <c r="O377" s="6" t="s">
        <v>54</v>
      </c>
      <c r="P377" s="6" t="s">
        <v>54</v>
      </c>
    </row>
    <row r="378" spans="1:16" ht="30" customHeight="1" x14ac:dyDescent="0.3">
      <c r="A378" s="7">
        <v>45847.359570486115</v>
      </c>
      <c r="B378" s="6" t="s">
        <v>5</v>
      </c>
      <c r="C378" s="6" t="str">
        <f>VLOOKUP(B376,'Veri doğrulama'!D6:E13,2,0)</f>
        <v>MEHMET YAZICI</v>
      </c>
      <c r="D378" s="6"/>
      <c r="E378" s="6" t="s">
        <v>122</v>
      </c>
      <c r="F378" s="6" t="s">
        <v>14</v>
      </c>
      <c r="G378" s="6" t="s">
        <v>34</v>
      </c>
      <c r="H378" s="6">
        <v>820</v>
      </c>
      <c r="I378" s="6">
        <v>432</v>
      </c>
      <c r="J378" s="6">
        <v>1</v>
      </c>
      <c r="K378" s="10">
        <f t="shared" si="10"/>
        <v>0.90014400000000006</v>
      </c>
      <c r="L378" s="6" t="s">
        <v>75</v>
      </c>
      <c r="M378" s="6"/>
      <c r="N378" s="6" t="s">
        <v>54</v>
      </c>
      <c r="O378" s="6" t="s">
        <v>54</v>
      </c>
      <c r="P378" s="6" t="s">
        <v>54</v>
      </c>
    </row>
    <row r="379" spans="1:16" ht="30" customHeight="1" x14ac:dyDescent="0.3">
      <c r="A379" s="7">
        <v>45847.346469560187</v>
      </c>
      <c r="B379" s="6" t="s">
        <v>5</v>
      </c>
      <c r="C379" s="6" t="str">
        <f>VLOOKUP(B377,'Veri doğrulama'!D6:E13,2,0)</f>
        <v>MEHMET YAZICI</v>
      </c>
      <c r="D379" s="6"/>
      <c r="E379" s="6" t="s">
        <v>925</v>
      </c>
      <c r="F379" s="6" t="s">
        <v>27</v>
      </c>
      <c r="G379" s="6" t="s">
        <v>34</v>
      </c>
      <c r="H379" s="6">
        <v>1887</v>
      </c>
      <c r="I379" s="6">
        <v>360</v>
      </c>
      <c r="J379" s="6">
        <v>1</v>
      </c>
      <c r="K379" s="10">
        <f t="shared" si="10"/>
        <v>0.80769999999999997</v>
      </c>
      <c r="L379" s="6" t="s">
        <v>102</v>
      </c>
      <c r="M379" s="6"/>
      <c r="N379" s="6" t="s">
        <v>54</v>
      </c>
      <c r="O379" s="6" t="s">
        <v>54</v>
      </c>
      <c r="P379" s="6" t="s">
        <v>54</v>
      </c>
    </row>
    <row r="380" spans="1:16" ht="30" customHeight="1" x14ac:dyDescent="0.3">
      <c r="A380" s="7">
        <v>45846.693274884259</v>
      </c>
      <c r="B380" s="6" t="s">
        <v>4</v>
      </c>
      <c r="C380" s="6" t="str">
        <f>VLOOKUP(B378,'Veri doğrulama'!D6:E13,2,0)</f>
        <v>MEHMET ÖZEN</v>
      </c>
      <c r="D380" s="6"/>
      <c r="E380" s="6" t="s">
        <v>351</v>
      </c>
      <c r="F380" s="6" t="s">
        <v>19</v>
      </c>
      <c r="G380" s="6" t="s">
        <v>34</v>
      </c>
      <c r="H380" s="6">
        <v>339</v>
      </c>
      <c r="I380" s="6">
        <v>320</v>
      </c>
      <c r="J380" s="6">
        <v>4</v>
      </c>
      <c r="K380" s="10">
        <f t="shared" si="10"/>
        <v>1.41696</v>
      </c>
      <c r="L380" s="6" t="s">
        <v>75</v>
      </c>
      <c r="M380" s="6"/>
      <c r="N380" s="6" t="s">
        <v>54</v>
      </c>
      <c r="O380" s="6" t="s">
        <v>54</v>
      </c>
      <c r="P380" s="6" t="s">
        <v>54</v>
      </c>
    </row>
    <row r="381" spans="1:16" ht="30" customHeight="1" x14ac:dyDescent="0.3">
      <c r="A381" s="7">
        <v>45846.452500578707</v>
      </c>
      <c r="B381" s="6" t="s">
        <v>5</v>
      </c>
      <c r="C381" s="6" t="str">
        <f>VLOOKUP(B379,'Veri doğrulama'!D6:E13,2,0)</f>
        <v>MEHMET ÖZEN</v>
      </c>
      <c r="D381" s="6"/>
      <c r="E381" s="6" t="s">
        <v>924</v>
      </c>
      <c r="F381" s="6" t="s">
        <v>16</v>
      </c>
      <c r="G381" s="6" t="s">
        <v>34</v>
      </c>
      <c r="H381" s="6">
        <v>1800</v>
      </c>
      <c r="I381" s="6">
        <v>800</v>
      </c>
      <c r="J381" s="6">
        <v>1</v>
      </c>
      <c r="K381" s="10">
        <f t="shared" si="10"/>
        <v>0.67932000000000003</v>
      </c>
      <c r="L381" s="6" t="s">
        <v>103</v>
      </c>
      <c r="M381" s="6"/>
      <c r="N381" s="6" t="s">
        <v>54</v>
      </c>
      <c r="O381" s="6" t="s">
        <v>54</v>
      </c>
      <c r="P381" s="6" t="s">
        <v>54</v>
      </c>
    </row>
    <row r="382" spans="1:16" ht="30" customHeight="1" x14ac:dyDescent="0.3">
      <c r="A382" s="7">
        <v>45846.451754745372</v>
      </c>
      <c r="B382" s="6" t="s">
        <v>4</v>
      </c>
      <c r="C382" s="6" t="str">
        <f>VLOOKUP(B380,'Veri doğrulama'!D6:E13,2,0)</f>
        <v>MEHMET YAZICI</v>
      </c>
      <c r="D382" s="6">
        <v>23549</v>
      </c>
      <c r="E382" s="6" t="s">
        <v>94</v>
      </c>
      <c r="F382" s="6" t="s">
        <v>13</v>
      </c>
      <c r="G382" s="6" t="s">
        <v>34</v>
      </c>
      <c r="H382" s="6">
        <v>2000</v>
      </c>
      <c r="I382" s="6">
        <v>900</v>
      </c>
      <c r="J382" s="6">
        <v>1</v>
      </c>
      <c r="K382" s="10">
        <f t="shared" si="10"/>
        <v>0.10847999999999999</v>
      </c>
      <c r="L382" s="6" t="s">
        <v>102</v>
      </c>
      <c r="M382" s="6"/>
      <c r="N382" s="6" t="s">
        <v>54</v>
      </c>
      <c r="O382" s="6" t="s">
        <v>54</v>
      </c>
      <c r="P382" s="6" t="s">
        <v>54</v>
      </c>
    </row>
    <row r="383" spans="1:16" ht="30" customHeight="1" x14ac:dyDescent="0.3">
      <c r="A383" s="7">
        <v>45846.383576736109</v>
      </c>
      <c r="B383" s="6" t="s">
        <v>4</v>
      </c>
      <c r="C383" s="6" t="str">
        <f>VLOOKUP(B381,'Veri doğrulama'!D6:E13,2,0)</f>
        <v>MEHMET ÖZEN</v>
      </c>
      <c r="D383" s="6"/>
      <c r="E383" s="6" t="s">
        <v>132</v>
      </c>
      <c r="F383" s="6" t="s">
        <v>27</v>
      </c>
      <c r="G383" s="6" t="s">
        <v>34</v>
      </c>
      <c r="H383" s="6">
        <v>740</v>
      </c>
      <c r="I383" s="6">
        <v>512</v>
      </c>
      <c r="J383" s="6">
        <v>2</v>
      </c>
      <c r="K383" s="10">
        <f t="shared" si="10"/>
        <v>2.88</v>
      </c>
      <c r="L383" s="6" t="s">
        <v>103</v>
      </c>
      <c r="M383" s="6"/>
      <c r="N383" s="6" t="s">
        <v>54</v>
      </c>
      <c r="O383" s="6" t="s">
        <v>54</v>
      </c>
      <c r="P383" s="6" t="s">
        <v>54</v>
      </c>
    </row>
    <row r="384" spans="1:16" ht="30" customHeight="1" x14ac:dyDescent="0.3">
      <c r="A384" s="7">
        <v>45845.767847222225</v>
      </c>
      <c r="B384" s="6" t="s">
        <v>4</v>
      </c>
      <c r="C384" s="6" t="str">
        <f>VLOOKUP(B382,'Veri doğrulama'!D6:E13,2,0)</f>
        <v>MEHMET YAZICI</v>
      </c>
      <c r="D384" s="6">
        <v>23475</v>
      </c>
      <c r="E384" s="6" t="s">
        <v>139</v>
      </c>
      <c r="F384" s="6" t="s">
        <v>27</v>
      </c>
      <c r="G384" s="6" t="s">
        <v>34</v>
      </c>
      <c r="H384" s="6">
        <v>757</v>
      </c>
      <c r="I384" s="6">
        <v>694</v>
      </c>
      <c r="J384" s="6">
        <v>1</v>
      </c>
      <c r="K384" s="10">
        <f t="shared" si="10"/>
        <v>1.8</v>
      </c>
      <c r="L384" s="6" t="s">
        <v>103</v>
      </c>
      <c r="M384" s="6"/>
      <c r="N384" s="6" t="s">
        <v>54</v>
      </c>
      <c r="O384" s="6" t="s">
        <v>54</v>
      </c>
      <c r="P384" s="6" t="s">
        <v>54</v>
      </c>
    </row>
    <row r="385" spans="1:16" ht="30" customHeight="1" x14ac:dyDescent="0.3">
      <c r="A385" s="7">
        <v>45845.767228009259</v>
      </c>
      <c r="B385" s="6" t="s">
        <v>4</v>
      </c>
      <c r="C385" s="6" t="str">
        <f>VLOOKUP(B383,'Veri doğrulama'!D6:E13,2,0)</f>
        <v>MEHMET YAZICI</v>
      </c>
      <c r="D385" s="6"/>
      <c r="E385" s="6" t="s">
        <v>923</v>
      </c>
      <c r="F385" s="6" t="s">
        <v>20</v>
      </c>
      <c r="G385" s="6" t="s">
        <v>35</v>
      </c>
      <c r="H385" s="6">
        <v>1400</v>
      </c>
      <c r="I385" s="6">
        <v>800</v>
      </c>
      <c r="J385" s="6">
        <v>1</v>
      </c>
      <c r="K385" s="10">
        <f t="shared" si="10"/>
        <v>0.37887999999999999</v>
      </c>
      <c r="L385" s="6" t="s">
        <v>103</v>
      </c>
      <c r="M385" s="6"/>
      <c r="N385" s="6" t="s">
        <v>54</v>
      </c>
      <c r="O385" s="6" t="s">
        <v>54</v>
      </c>
      <c r="P385" s="6" t="s">
        <v>54</v>
      </c>
    </row>
    <row r="386" spans="1:16" ht="30" customHeight="1" x14ac:dyDescent="0.3">
      <c r="A386" s="7">
        <v>45845.766573611108</v>
      </c>
      <c r="B386" s="6" t="s">
        <v>4</v>
      </c>
      <c r="C386" s="6" t="str">
        <f>VLOOKUP(B384,'Veri doğrulama'!D6:E13,2,0)</f>
        <v>MEHMET YAZICI</v>
      </c>
      <c r="D386" s="6"/>
      <c r="E386" s="6" t="s">
        <v>922</v>
      </c>
      <c r="F386" s="6" t="s">
        <v>16</v>
      </c>
      <c r="G386" s="6" t="s">
        <v>35</v>
      </c>
      <c r="H386" s="6">
        <v>1800</v>
      </c>
      <c r="I386" s="6">
        <v>800</v>
      </c>
      <c r="J386" s="6">
        <v>1</v>
      </c>
      <c r="K386" s="10">
        <f t="shared" si="10"/>
        <v>0.52535799999999999</v>
      </c>
      <c r="L386" s="6" t="s">
        <v>103</v>
      </c>
      <c r="M386" s="6"/>
      <c r="N386" s="6" t="s">
        <v>54</v>
      </c>
      <c r="O386" s="6" t="s">
        <v>54</v>
      </c>
      <c r="P386" s="6" t="s">
        <v>54</v>
      </c>
    </row>
    <row r="387" spans="1:16" ht="30" customHeight="1" x14ac:dyDescent="0.3">
      <c r="A387" s="7">
        <v>45845.55698483796</v>
      </c>
      <c r="B387" s="6" t="s">
        <v>4</v>
      </c>
      <c r="C387" s="6" t="str">
        <f>VLOOKUP(B385,'Veri doğrulama'!D6:E13,2,0)</f>
        <v>MEHMET YAZICI</v>
      </c>
      <c r="D387" s="6"/>
      <c r="E387" s="6" t="s">
        <v>641</v>
      </c>
      <c r="F387" s="6" t="s">
        <v>16</v>
      </c>
      <c r="G387" s="6" t="s">
        <v>34</v>
      </c>
      <c r="H387" s="6">
        <v>1800</v>
      </c>
      <c r="I387" s="6">
        <v>800</v>
      </c>
      <c r="J387" s="6">
        <v>1</v>
      </c>
      <c r="K387" s="10">
        <f t="shared" si="10"/>
        <v>1.1200000000000001</v>
      </c>
      <c r="L387" s="6" t="s">
        <v>103</v>
      </c>
      <c r="M387" s="6"/>
      <c r="N387" s="6" t="s">
        <v>54</v>
      </c>
      <c r="O387" s="6" t="s">
        <v>54</v>
      </c>
      <c r="P387" s="6" t="s">
        <v>54</v>
      </c>
    </row>
    <row r="388" spans="1:16" ht="30" customHeight="1" x14ac:dyDescent="0.3">
      <c r="A388" s="7">
        <v>45845.55635648148</v>
      </c>
      <c r="B388" s="6" t="s">
        <v>4</v>
      </c>
      <c r="C388" s="6" t="str">
        <f>VLOOKUP(B386,'Veri doğrulama'!D6:E13,2,0)</f>
        <v>MEHMET YAZICI</v>
      </c>
      <c r="D388" s="6"/>
      <c r="E388" s="6" t="s">
        <v>921</v>
      </c>
      <c r="F388" s="6" t="s">
        <v>17</v>
      </c>
      <c r="G388" s="6" t="s">
        <v>34</v>
      </c>
      <c r="H388" s="6">
        <v>1400</v>
      </c>
      <c r="I388" s="6">
        <v>150</v>
      </c>
      <c r="J388" s="6">
        <v>1</v>
      </c>
      <c r="K388" s="10">
        <f t="shared" si="10"/>
        <v>1.44</v>
      </c>
      <c r="L388" s="6" t="s">
        <v>103</v>
      </c>
      <c r="M388" s="6"/>
      <c r="N388" s="6" t="s">
        <v>54</v>
      </c>
      <c r="O388" s="6" t="s">
        <v>54</v>
      </c>
      <c r="P388" s="6" t="s">
        <v>54</v>
      </c>
    </row>
    <row r="389" spans="1:16" ht="30" customHeight="1" x14ac:dyDescent="0.3">
      <c r="A389" s="7">
        <v>45845.555564351853</v>
      </c>
      <c r="B389" s="6" t="s">
        <v>4</v>
      </c>
      <c r="C389" s="6" t="str">
        <f>VLOOKUP(B387,'Veri doğrulama'!D6:E13,2,0)</f>
        <v>MEHMET YAZICI</v>
      </c>
      <c r="D389" s="6"/>
      <c r="E389" s="6" t="s">
        <v>122</v>
      </c>
      <c r="F389" s="6" t="s">
        <v>14</v>
      </c>
      <c r="G389" s="6" t="s">
        <v>35</v>
      </c>
      <c r="H389" s="6">
        <v>822</v>
      </c>
      <c r="I389" s="6">
        <v>434</v>
      </c>
      <c r="J389" s="6">
        <v>1</v>
      </c>
      <c r="K389" s="10">
        <f t="shared" si="10"/>
        <v>1.44</v>
      </c>
      <c r="L389" s="6" t="s">
        <v>103</v>
      </c>
      <c r="M389" s="6"/>
      <c r="N389" s="6" t="s">
        <v>54</v>
      </c>
      <c r="O389" s="6" t="s">
        <v>54</v>
      </c>
      <c r="P389" s="6" t="s">
        <v>54</v>
      </c>
    </row>
    <row r="390" spans="1:16" ht="30" customHeight="1" x14ac:dyDescent="0.3">
      <c r="A390" s="7">
        <v>45845.553792824074</v>
      </c>
      <c r="B390" s="6" t="s">
        <v>4</v>
      </c>
      <c r="C390" s="6" t="str">
        <f>VLOOKUP(B388,'Veri doğrulama'!D6:E13,2,0)</f>
        <v>MEHMET YAZICI</v>
      </c>
      <c r="D390" s="6"/>
      <c r="E390" s="6" t="s">
        <v>561</v>
      </c>
      <c r="F390" s="6" t="s">
        <v>27</v>
      </c>
      <c r="G390" s="6" t="s">
        <v>34</v>
      </c>
      <c r="H390" s="6">
        <v>1740</v>
      </c>
      <c r="I390" s="6">
        <v>362</v>
      </c>
      <c r="J390" s="6">
        <v>3</v>
      </c>
      <c r="K390" s="10">
        <f t="shared" si="10"/>
        <v>0.63</v>
      </c>
      <c r="L390" s="6" t="s">
        <v>102</v>
      </c>
      <c r="M390" s="6"/>
      <c r="N390" s="6" t="s">
        <v>54</v>
      </c>
      <c r="O390" s="6" t="s">
        <v>54</v>
      </c>
      <c r="P390" s="6" t="s">
        <v>54</v>
      </c>
    </row>
    <row r="391" spans="1:16" ht="30" customHeight="1" x14ac:dyDescent="0.3">
      <c r="A391" s="7">
        <v>45845.553272569443</v>
      </c>
      <c r="B391" s="6" t="s">
        <v>7</v>
      </c>
      <c r="C391" s="6" t="str">
        <f>VLOOKUP(B389,'Veri doğrulama'!D6:E13,2,0)</f>
        <v>MEHMET YAZICI</v>
      </c>
      <c r="D391" s="6"/>
      <c r="E391" s="6" t="s">
        <v>265</v>
      </c>
      <c r="F391" s="6" t="s">
        <v>18</v>
      </c>
      <c r="G391" s="6" t="s">
        <v>34</v>
      </c>
      <c r="H391" s="6">
        <v>960</v>
      </c>
      <c r="I391" s="6">
        <v>770</v>
      </c>
      <c r="J391" s="6">
        <v>6</v>
      </c>
      <c r="K391" s="10">
        <f t="shared" si="10"/>
        <v>2.1404879999999999</v>
      </c>
      <c r="L391" s="6" t="s">
        <v>102</v>
      </c>
      <c r="M391" s="6"/>
      <c r="N391" s="6" t="s">
        <v>54</v>
      </c>
      <c r="O391" s="6" t="s">
        <v>54</v>
      </c>
      <c r="P391" s="6" t="s">
        <v>54</v>
      </c>
    </row>
    <row r="392" spans="1:16" ht="30" customHeight="1" x14ac:dyDescent="0.3">
      <c r="A392" s="7">
        <v>45845.365964583332</v>
      </c>
      <c r="B392" s="6" t="s">
        <v>5</v>
      </c>
      <c r="C392" s="6" t="str">
        <f>VLOOKUP(B390,'Veri doğrulama'!D6:E13,2,0)</f>
        <v>MEHMET YAZICI</v>
      </c>
      <c r="D392" s="6"/>
      <c r="E392" s="6" t="s">
        <v>126</v>
      </c>
      <c r="F392" s="6" t="s">
        <v>19</v>
      </c>
      <c r="G392" s="6" t="s">
        <v>34</v>
      </c>
      <c r="H392" s="6">
        <v>2810</v>
      </c>
      <c r="I392" s="6">
        <v>1210</v>
      </c>
      <c r="J392" s="6">
        <v>3</v>
      </c>
      <c r="K392" s="10">
        <f t="shared" si="10"/>
        <v>1.88964</v>
      </c>
      <c r="L392" s="6" t="s">
        <v>103</v>
      </c>
      <c r="M392" s="6"/>
      <c r="N392" s="6" t="s">
        <v>54</v>
      </c>
      <c r="O392" s="6" t="s">
        <v>54</v>
      </c>
      <c r="P392" s="6" t="s">
        <v>54</v>
      </c>
    </row>
    <row r="393" spans="1:16" ht="30" customHeight="1" x14ac:dyDescent="0.3">
      <c r="A393" s="7">
        <v>45845.362531018516</v>
      </c>
      <c r="B393" s="6" t="s">
        <v>7</v>
      </c>
      <c r="C393" s="6" t="str">
        <f>VLOOKUP(B391,'Veri doğrulama'!D6:E13,2,0)</f>
        <v>SIDDIK KAPLAN</v>
      </c>
      <c r="D393" s="6"/>
      <c r="E393" s="6" t="s">
        <v>265</v>
      </c>
      <c r="F393" s="6" t="s">
        <v>18</v>
      </c>
      <c r="G393" s="6" t="s">
        <v>34</v>
      </c>
      <c r="H393" s="6">
        <v>770</v>
      </c>
      <c r="I393" s="6">
        <v>960</v>
      </c>
      <c r="J393" s="6">
        <v>1</v>
      </c>
      <c r="K393" s="10">
        <f t="shared" si="10"/>
        <v>0.73919999999999997</v>
      </c>
      <c r="L393" s="6" t="s">
        <v>42</v>
      </c>
      <c r="M393" s="6"/>
      <c r="N393" s="6" t="s">
        <v>54</v>
      </c>
      <c r="O393" s="6" t="s">
        <v>54</v>
      </c>
      <c r="P393" s="6" t="s">
        <v>54</v>
      </c>
    </row>
    <row r="394" spans="1:16" ht="30" customHeight="1" x14ac:dyDescent="0.3">
      <c r="A394" s="7">
        <v>45845.359966782409</v>
      </c>
      <c r="B394" s="6" t="s">
        <v>5</v>
      </c>
      <c r="C394" s="6" t="s">
        <v>53</v>
      </c>
      <c r="D394" s="6"/>
      <c r="E394" s="6" t="s">
        <v>920</v>
      </c>
      <c r="F394" s="6" t="s">
        <v>16</v>
      </c>
      <c r="G394" s="6" t="s">
        <v>34</v>
      </c>
      <c r="H394" s="6">
        <v>1600</v>
      </c>
      <c r="I394" s="6">
        <v>800</v>
      </c>
      <c r="J394" s="6">
        <v>1</v>
      </c>
      <c r="K394" s="10">
        <f t="shared" si="10"/>
        <v>3.4001000000000001</v>
      </c>
      <c r="L394" s="6" t="s">
        <v>42</v>
      </c>
      <c r="M394" s="6"/>
      <c r="N394" s="6" t="s">
        <v>54</v>
      </c>
      <c r="O394" s="6" t="s">
        <v>54</v>
      </c>
      <c r="P394" s="6" t="s">
        <v>54</v>
      </c>
    </row>
    <row r="395" spans="1:16" ht="30" customHeight="1" x14ac:dyDescent="0.3">
      <c r="A395" s="7">
        <v>45845.35717210648</v>
      </c>
      <c r="B395" s="6" t="s">
        <v>5</v>
      </c>
      <c r="C395" s="6" t="str">
        <f>VLOOKUP(B393,'Veri doğrulama'!D6:E13,2,0)</f>
        <v>SIDDIK KAPLAN</v>
      </c>
      <c r="D395" s="6"/>
      <c r="E395" s="6" t="s">
        <v>68</v>
      </c>
      <c r="F395" s="6" t="s">
        <v>15</v>
      </c>
      <c r="G395" s="6" t="s">
        <v>34</v>
      </c>
      <c r="H395" s="6">
        <v>1600</v>
      </c>
      <c r="I395" s="6">
        <v>1600</v>
      </c>
      <c r="J395" s="6">
        <v>1</v>
      </c>
      <c r="K395" s="10">
        <f t="shared" si="10"/>
        <v>0.73919999999999997</v>
      </c>
      <c r="L395" s="6" t="s">
        <v>43</v>
      </c>
      <c r="M395" s="6"/>
      <c r="N395" s="6" t="s">
        <v>54</v>
      </c>
      <c r="O395" s="6" t="s">
        <v>54</v>
      </c>
      <c r="P395" s="6" t="s">
        <v>54</v>
      </c>
    </row>
    <row r="396" spans="1:16" ht="30" customHeight="1" x14ac:dyDescent="0.3">
      <c r="A396" s="7">
        <v>45845.35660590278</v>
      </c>
      <c r="B396" s="6" t="s">
        <v>4</v>
      </c>
      <c r="C396" s="6" t="str">
        <f>VLOOKUP(B394,'Veri doğrulama'!D6:E13,2,0)</f>
        <v>MEHMET ÖZEN</v>
      </c>
      <c r="D396" s="6"/>
      <c r="E396" s="6" t="s">
        <v>270</v>
      </c>
      <c r="F396" s="6" t="s">
        <v>18</v>
      </c>
      <c r="G396" s="6" t="s">
        <v>34</v>
      </c>
      <c r="H396" s="6">
        <v>1990</v>
      </c>
      <c r="I396" s="6">
        <v>840</v>
      </c>
      <c r="J396" s="6">
        <v>1</v>
      </c>
      <c r="K396" s="10">
        <f t="shared" si="10"/>
        <v>1.28</v>
      </c>
      <c r="L396" s="6" t="s">
        <v>103</v>
      </c>
      <c r="M396" s="6" t="s">
        <v>526</v>
      </c>
      <c r="N396" s="6" t="s">
        <v>54</v>
      </c>
      <c r="O396" s="6" t="s">
        <v>54</v>
      </c>
      <c r="P396" s="6" t="s">
        <v>54</v>
      </c>
    </row>
    <row r="397" spans="1:16" ht="30" customHeight="1" x14ac:dyDescent="0.3">
      <c r="A397" s="7">
        <v>45845.344516087964</v>
      </c>
      <c r="B397" s="6" t="s">
        <v>4</v>
      </c>
      <c r="C397" s="6" t="str">
        <f>VLOOKUP(B395,'Veri doğrulama'!D6:E13,2,0)</f>
        <v>MEHMET ÖZEN</v>
      </c>
      <c r="D397" s="6"/>
      <c r="E397" s="6" t="s">
        <v>919</v>
      </c>
      <c r="F397" s="6" t="s">
        <v>27</v>
      </c>
      <c r="G397" s="6" t="s">
        <v>34</v>
      </c>
      <c r="H397" s="6">
        <v>802</v>
      </c>
      <c r="I397" s="6">
        <v>387</v>
      </c>
      <c r="J397" s="6">
        <v>2</v>
      </c>
      <c r="K397" s="10">
        <f t="shared" si="10"/>
        <v>5.12</v>
      </c>
      <c r="L397" s="6" t="s">
        <v>103</v>
      </c>
      <c r="M397" s="6" t="s">
        <v>494</v>
      </c>
      <c r="N397" s="6" t="s">
        <v>54</v>
      </c>
      <c r="O397" s="6" t="s">
        <v>54</v>
      </c>
      <c r="P397" s="6" t="s">
        <v>54</v>
      </c>
    </row>
    <row r="398" spans="1:16" ht="30" customHeight="1" x14ac:dyDescent="0.3">
      <c r="A398" s="7">
        <v>45845.343571064812</v>
      </c>
      <c r="B398" s="6" t="s">
        <v>4</v>
      </c>
      <c r="C398" s="6" t="str">
        <f>VLOOKUP(B396,'Veri doğrulama'!D6:E13,2,0)</f>
        <v>MEHMET YAZICI</v>
      </c>
      <c r="D398" s="6"/>
      <c r="E398" s="6" t="s">
        <v>918</v>
      </c>
      <c r="F398" s="6" t="s">
        <v>27</v>
      </c>
      <c r="G398" s="6" t="s">
        <v>34</v>
      </c>
      <c r="H398" s="6">
        <v>1132</v>
      </c>
      <c r="I398" s="6">
        <v>399</v>
      </c>
      <c r="J398" s="6">
        <v>1</v>
      </c>
      <c r="K398" s="10">
        <f t="shared" si="10"/>
        <v>1.6716</v>
      </c>
      <c r="L398" s="6" t="s">
        <v>102</v>
      </c>
      <c r="M398" s="6" t="s">
        <v>494</v>
      </c>
      <c r="N398" s="6" t="s">
        <v>54</v>
      </c>
      <c r="O398" s="6" t="s">
        <v>54</v>
      </c>
      <c r="P398" s="6" t="s">
        <v>54</v>
      </c>
    </row>
    <row r="399" spans="1:16" ht="30" customHeight="1" x14ac:dyDescent="0.3">
      <c r="A399" s="7">
        <v>45845.342648032405</v>
      </c>
      <c r="B399" s="6" t="s">
        <v>4</v>
      </c>
      <c r="C399" s="6" t="str">
        <f>VLOOKUP(B397,'Veri doğrulama'!D6:E13,2,0)</f>
        <v>MEHMET YAZICI</v>
      </c>
      <c r="D399" s="6"/>
      <c r="E399" s="6" t="s">
        <v>917</v>
      </c>
      <c r="F399" s="6" t="s">
        <v>27</v>
      </c>
      <c r="G399" s="6" t="s">
        <v>34</v>
      </c>
      <c r="H399" s="6">
        <v>1741</v>
      </c>
      <c r="I399" s="6">
        <v>402</v>
      </c>
      <c r="J399" s="6">
        <v>1</v>
      </c>
      <c r="K399" s="10">
        <f t="shared" si="10"/>
        <v>0.31037399999999998</v>
      </c>
      <c r="L399" s="6" t="s">
        <v>103</v>
      </c>
      <c r="M399" s="6" t="s">
        <v>651</v>
      </c>
      <c r="N399" s="6" t="s">
        <v>54</v>
      </c>
      <c r="O399" s="6" t="s">
        <v>54</v>
      </c>
      <c r="P399" s="6" t="s">
        <v>54</v>
      </c>
    </row>
    <row r="400" spans="1:16" ht="30" customHeight="1" x14ac:dyDescent="0.3">
      <c r="A400" s="7">
        <v>45845.341690162037</v>
      </c>
      <c r="B400" s="6" t="s">
        <v>4</v>
      </c>
      <c r="C400" s="6" t="str">
        <f>VLOOKUP(B398,'Veri doğrulama'!D6:E13,2,0)</f>
        <v>MEHMET YAZICI</v>
      </c>
      <c r="D400" s="6"/>
      <c r="E400" s="6" t="s">
        <v>915</v>
      </c>
      <c r="F400" s="6" t="s">
        <v>27</v>
      </c>
      <c r="G400" s="6" t="s">
        <v>34</v>
      </c>
      <c r="H400" s="6">
        <v>1402</v>
      </c>
      <c r="I400" s="6">
        <v>802</v>
      </c>
      <c r="J400" s="6">
        <v>1</v>
      </c>
      <c r="K400" s="10">
        <f t="shared" ref="K400:K463" si="11">H398*I398/1000000*J400</f>
        <v>0.45166800000000001</v>
      </c>
      <c r="L400" s="6" t="s">
        <v>103</v>
      </c>
      <c r="M400" s="6" t="s">
        <v>916</v>
      </c>
      <c r="N400" s="6" t="s">
        <v>54</v>
      </c>
      <c r="O400" s="6" t="s">
        <v>54</v>
      </c>
      <c r="P400" s="6" t="s">
        <v>54</v>
      </c>
    </row>
    <row r="401" spans="1:16" ht="30" customHeight="1" x14ac:dyDescent="0.3">
      <c r="A401" s="7">
        <v>45845.340744675923</v>
      </c>
      <c r="B401" s="6" t="s">
        <v>5</v>
      </c>
      <c r="C401" s="6" t="str">
        <f>VLOOKUP(B399,'Veri doğrulama'!D6:E13,2,0)</f>
        <v>MEHMET YAZICI</v>
      </c>
      <c r="D401" s="6"/>
      <c r="E401" s="6" t="s">
        <v>914</v>
      </c>
      <c r="F401" s="6" t="s">
        <v>17</v>
      </c>
      <c r="G401" s="6" t="s">
        <v>35</v>
      </c>
      <c r="H401" s="6">
        <v>1800</v>
      </c>
      <c r="I401" s="6">
        <v>150</v>
      </c>
      <c r="J401" s="6">
        <v>3</v>
      </c>
      <c r="K401" s="10">
        <f t="shared" si="11"/>
        <v>2.0996459999999999</v>
      </c>
      <c r="L401" s="6" t="s">
        <v>103</v>
      </c>
      <c r="M401" s="6"/>
      <c r="N401" s="6" t="s">
        <v>54</v>
      </c>
      <c r="O401" s="6" t="s">
        <v>54</v>
      </c>
      <c r="P401" s="6" t="s">
        <v>54</v>
      </c>
    </row>
    <row r="402" spans="1:16" ht="30" customHeight="1" x14ac:dyDescent="0.3">
      <c r="A402" s="7">
        <v>45842.696151504628</v>
      </c>
      <c r="B402" s="6" t="s">
        <v>5</v>
      </c>
      <c r="C402" s="6" t="str">
        <f>VLOOKUP(B400,'Veri doğrulama'!D6:E13,2,0)</f>
        <v>MEHMET YAZICI</v>
      </c>
      <c r="D402" s="6"/>
      <c r="E402" s="6" t="s">
        <v>913</v>
      </c>
      <c r="F402" s="6" t="s">
        <v>18</v>
      </c>
      <c r="G402" s="6" t="s">
        <v>35</v>
      </c>
      <c r="H402" s="6">
        <v>2200</v>
      </c>
      <c r="I402" s="6">
        <v>150</v>
      </c>
      <c r="J402" s="6">
        <v>2</v>
      </c>
      <c r="K402" s="10">
        <f t="shared" si="11"/>
        <v>2.2488079999999999</v>
      </c>
      <c r="L402" s="6" t="s">
        <v>103</v>
      </c>
      <c r="M402" s="6"/>
      <c r="N402" s="6" t="s">
        <v>54</v>
      </c>
      <c r="O402" s="6" t="s">
        <v>54</v>
      </c>
      <c r="P402" s="6" t="s">
        <v>54</v>
      </c>
    </row>
    <row r="403" spans="1:16" ht="30" customHeight="1" x14ac:dyDescent="0.3">
      <c r="A403" s="7">
        <v>45842.695680555553</v>
      </c>
      <c r="B403" s="6" t="s">
        <v>5</v>
      </c>
      <c r="C403" s="6" t="str">
        <f>VLOOKUP(B401,'Veri doğrulama'!D6:E13,2,0)</f>
        <v>MEHMET ÖZEN</v>
      </c>
      <c r="D403" s="6"/>
      <c r="E403" s="6" t="s">
        <v>912</v>
      </c>
      <c r="F403" s="6" t="s">
        <v>16</v>
      </c>
      <c r="G403" s="6" t="s">
        <v>35</v>
      </c>
      <c r="H403" s="6">
        <v>698</v>
      </c>
      <c r="I403" s="6">
        <v>434</v>
      </c>
      <c r="J403" s="6">
        <v>1</v>
      </c>
      <c r="K403" s="10">
        <f t="shared" si="11"/>
        <v>0.27</v>
      </c>
      <c r="L403" s="6" t="s">
        <v>156</v>
      </c>
      <c r="M403" s="6"/>
      <c r="N403" s="6" t="s">
        <v>54</v>
      </c>
      <c r="O403" s="6" t="s">
        <v>54</v>
      </c>
      <c r="P403" s="6" t="s">
        <v>54</v>
      </c>
    </row>
    <row r="404" spans="1:16" ht="30" customHeight="1" x14ac:dyDescent="0.3">
      <c r="A404" s="7">
        <v>45842.563087499999</v>
      </c>
      <c r="B404" s="6" t="s">
        <v>5</v>
      </c>
      <c r="C404" s="6" t="str">
        <f>VLOOKUP(B402,'Veri doğrulama'!D6:E13,2,0)</f>
        <v>MEHMET ÖZEN</v>
      </c>
      <c r="D404" s="6"/>
      <c r="E404" s="6" t="s">
        <v>98</v>
      </c>
      <c r="F404" s="6" t="s">
        <v>18</v>
      </c>
      <c r="G404" s="6" t="s">
        <v>34</v>
      </c>
      <c r="H404" s="6">
        <v>698</v>
      </c>
      <c r="I404" s="6">
        <v>430</v>
      </c>
      <c r="J404" s="6">
        <v>2</v>
      </c>
      <c r="K404" s="10">
        <f t="shared" si="11"/>
        <v>0.66</v>
      </c>
      <c r="L404" s="6" t="s">
        <v>156</v>
      </c>
      <c r="M404" s="6"/>
      <c r="N404" s="6" t="s">
        <v>54</v>
      </c>
      <c r="O404" s="6" t="s">
        <v>54</v>
      </c>
      <c r="P404" s="6" t="s">
        <v>54</v>
      </c>
    </row>
    <row r="405" spans="1:16" ht="30" customHeight="1" x14ac:dyDescent="0.3">
      <c r="A405" s="7">
        <v>45842.562486111114</v>
      </c>
      <c r="B405" s="6" t="s">
        <v>7</v>
      </c>
      <c r="C405" s="6" t="str">
        <f>VLOOKUP(B403,'Veri doğrulama'!D6:E13,2,0)</f>
        <v>MEHMET ÖZEN</v>
      </c>
      <c r="D405" s="6"/>
      <c r="E405" s="6" t="s">
        <v>911</v>
      </c>
      <c r="F405" s="6" t="s">
        <v>18</v>
      </c>
      <c r="G405" s="6" t="s">
        <v>34</v>
      </c>
      <c r="H405" s="6">
        <v>1990</v>
      </c>
      <c r="I405" s="6">
        <v>840</v>
      </c>
      <c r="J405" s="6">
        <v>2</v>
      </c>
      <c r="K405" s="10">
        <f t="shared" si="11"/>
        <v>0.60586399999999996</v>
      </c>
      <c r="L405" s="6" t="s">
        <v>37</v>
      </c>
      <c r="M405" s="6"/>
      <c r="N405" s="6" t="s">
        <v>54</v>
      </c>
      <c r="O405" s="6" t="s">
        <v>54</v>
      </c>
      <c r="P405" s="6" t="s">
        <v>54</v>
      </c>
    </row>
    <row r="406" spans="1:16" ht="30" customHeight="1" x14ac:dyDescent="0.3">
      <c r="A406" s="7">
        <v>45841.765526967596</v>
      </c>
      <c r="B406" s="6" t="s">
        <v>4</v>
      </c>
      <c r="C406" s="6" t="str">
        <f>VLOOKUP(B404,'Veri doğrulama'!D6:E13,2,0)</f>
        <v>MEHMET ÖZEN</v>
      </c>
      <c r="D406" s="6"/>
      <c r="E406" s="6" t="s">
        <v>910</v>
      </c>
      <c r="F406" s="6" t="s">
        <v>17</v>
      </c>
      <c r="G406" s="6" t="s">
        <v>34</v>
      </c>
      <c r="H406" s="6">
        <v>1763</v>
      </c>
      <c r="I406" s="6">
        <v>679</v>
      </c>
      <c r="J406" s="6">
        <v>2</v>
      </c>
      <c r="K406" s="10">
        <f t="shared" si="11"/>
        <v>0.60028000000000004</v>
      </c>
      <c r="L406" s="6" t="s">
        <v>103</v>
      </c>
      <c r="M406" s="6"/>
      <c r="N406" s="6" t="s">
        <v>54</v>
      </c>
      <c r="O406" s="6" t="s">
        <v>54</v>
      </c>
      <c r="P406" s="6" t="s">
        <v>54</v>
      </c>
    </row>
    <row r="407" spans="1:16" ht="30" customHeight="1" x14ac:dyDescent="0.3">
      <c r="A407" s="7">
        <v>45841.647411226855</v>
      </c>
      <c r="B407" s="6" t="s">
        <v>4</v>
      </c>
      <c r="C407" s="6" t="str">
        <f>VLOOKUP(B405,'Veri doğrulama'!D6:E13,2,0)</f>
        <v>SIDDIK KAPLAN</v>
      </c>
      <c r="D407" s="6"/>
      <c r="E407" s="6" t="s">
        <v>909</v>
      </c>
      <c r="F407" s="6" t="s">
        <v>16</v>
      </c>
      <c r="G407" s="6" t="s">
        <v>34</v>
      </c>
      <c r="H407" s="6">
        <v>1815</v>
      </c>
      <c r="I407" s="6">
        <v>397</v>
      </c>
      <c r="J407" s="6">
        <v>1</v>
      </c>
      <c r="K407" s="10">
        <f t="shared" si="11"/>
        <v>1.6716</v>
      </c>
      <c r="L407" s="6" t="s">
        <v>43</v>
      </c>
      <c r="M407" s="6"/>
      <c r="N407" s="6" t="s">
        <v>54</v>
      </c>
      <c r="O407" s="6" t="s">
        <v>54</v>
      </c>
      <c r="P407" s="6" t="s">
        <v>54</v>
      </c>
    </row>
    <row r="408" spans="1:16" ht="30" customHeight="1" x14ac:dyDescent="0.3">
      <c r="A408" s="7">
        <v>45841.505415162035</v>
      </c>
      <c r="B408" s="6" t="s">
        <v>4</v>
      </c>
      <c r="C408" s="6" t="str">
        <f>VLOOKUP(B406,'Veri doğrulama'!D6:E13,2,0)</f>
        <v>MEHMET YAZICI</v>
      </c>
      <c r="D408" s="6"/>
      <c r="E408" s="6" t="s">
        <v>908</v>
      </c>
      <c r="F408" s="6" t="s">
        <v>17</v>
      </c>
      <c r="G408" s="6" t="s">
        <v>34</v>
      </c>
      <c r="H408" s="6">
        <v>1400</v>
      </c>
      <c r="I408" s="6">
        <v>940</v>
      </c>
      <c r="J408" s="6">
        <v>1</v>
      </c>
      <c r="K408" s="10">
        <f t="shared" si="11"/>
        <v>1.1970769999999999</v>
      </c>
      <c r="L408" s="6" t="s">
        <v>102</v>
      </c>
      <c r="M408" s="6"/>
      <c r="N408" s="6" t="s">
        <v>54</v>
      </c>
      <c r="O408" s="6" t="s">
        <v>54</v>
      </c>
      <c r="P408" s="6" t="s">
        <v>54</v>
      </c>
    </row>
    <row r="409" spans="1:16" ht="30" customHeight="1" x14ac:dyDescent="0.3">
      <c r="A409" s="7">
        <v>45841.392547685187</v>
      </c>
      <c r="B409" s="6" t="s">
        <v>4</v>
      </c>
      <c r="C409" s="6" t="str">
        <f>VLOOKUP(B407,'Veri doğrulama'!D6:E13,2,0)</f>
        <v>MEHMET YAZICI</v>
      </c>
      <c r="D409" s="6"/>
      <c r="E409" s="6" t="s">
        <v>422</v>
      </c>
      <c r="F409" s="6" t="s">
        <v>16</v>
      </c>
      <c r="G409" s="6" t="s">
        <v>34</v>
      </c>
      <c r="H409" s="6">
        <v>1600</v>
      </c>
      <c r="I409" s="6">
        <v>800</v>
      </c>
      <c r="J409" s="6">
        <v>2</v>
      </c>
      <c r="K409" s="10">
        <f t="shared" si="11"/>
        <v>1.4411099999999999</v>
      </c>
      <c r="L409" s="6" t="s">
        <v>103</v>
      </c>
      <c r="M409" s="6"/>
      <c r="N409" s="6" t="s">
        <v>54</v>
      </c>
      <c r="O409" s="6" t="s">
        <v>54</v>
      </c>
      <c r="P409" s="6" t="s">
        <v>54</v>
      </c>
    </row>
    <row r="410" spans="1:16" ht="30" customHeight="1" x14ac:dyDescent="0.3">
      <c r="A410" s="7">
        <v>45840.740901504629</v>
      </c>
      <c r="B410" s="6" t="s">
        <v>4</v>
      </c>
      <c r="C410" s="6" t="str">
        <f>VLOOKUP(B408,'Veri doğrulama'!D6:E13,2,0)</f>
        <v>MEHMET YAZICI</v>
      </c>
      <c r="D410" s="6"/>
      <c r="E410" s="6" t="s">
        <v>123</v>
      </c>
      <c r="F410" s="6" t="s">
        <v>16</v>
      </c>
      <c r="G410" s="6" t="s">
        <v>34</v>
      </c>
      <c r="H410" s="6">
        <v>1400</v>
      </c>
      <c r="I410" s="6">
        <v>1400</v>
      </c>
      <c r="J410" s="6">
        <v>1</v>
      </c>
      <c r="K410" s="10">
        <f t="shared" si="11"/>
        <v>1.3160000000000001</v>
      </c>
      <c r="L410" s="6" t="s">
        <v>75</v>
      </c>
      <c r="M410" s="6"/>
      <c r="N410" s="6" t="s">
        <v>54</v>
      </c>
      <c r="O410" s="6" t="s">
        <v>54</v>
      </c>
      <c r="P410" s="6" t="s">
        <v>54</v>
      </c>
    </row>
    <row r="411" spans="1:16" ht="30" customHeight="1" x14ac:dyDescent="0.3">
      <c r="A411" s="7">
        <v>45839.75023020833</v>
      </c>
      <c r="B411" s="6" t="s">
        <v>4</v>
      </c>
      <c r="C411" s="6" t="str">
        <f>VLOOKUP(B409,'Veri doğrulama'!D6:E13,2,0)</f>
        <v>MEHMET YAZICI</v>
      </c>
      <c r="D411" s="6"/>
      <c r="E411" s="6" t="s">
        <v>907</v>
      </c>
      <c r="F411" s="6" t="s">
        <v>17</v>
      </c>
      <c r="G411" s="6" t="s">
        <v>34</v>
      </c>
      <c r="H411" s="6">
        <v>2163</v>
      </c>
      <c r="I411" s="6">
        <v>150</v>
      </c>
      <c r="J411" s="6">
        <v>2</v>
      </c>
      <c r="K411" s="10">
        <f t="shared" si="11"/>
        <v>2.56</v>
      </c>
      <c r="L411" s="6" t="s">
        <v>42</v>
      </c>
      <c r="M411" s="6"/>
      <c r="N411" s="6" t="s">
        <v>54</v>
      </c>
      <c r="O411" s="6" t="s">
        <v>54</v>
      </c>
      <c r="P411" s="6" t="s">
        <v>54</v>
      </c>
    </row>
    <row r="412" spans="1:16" ht="30" customHeight="1" x14ac:dyDescent="0.3">
      <c r="A412" s="7">
        <v>45839.646209953702</v>
      </c>
      <c r="B412" s="6" t="s">
        <v>4</v>
      </c>
      <c r="C412" s="6" t="str">
        <f>VLOOKUP(B410,'Veri doğrulama'!D6:E13,2,0)</f>
        <v>MEHMET YAZICI</v>
      </c>
      <c r="D412" s="6"/>
      <c r="E412" s="6" t="s">
        <v>404</v>
      </c>
      <c r="F412" s="6" t="s">
        <v>15</v>
      </c>
      <c r="G412" s="6" t="s">
        <v>34</v>
      </c>
      <c r="H412" s="6">
        <v>1800</v>
      </c>
      <c r="I412" s="6">
        <v>940</v>
      </c>
      <c r="J412" s="6">
        <v>1</v>
      </c>
      <c r="K412" s="10">
        <f t="shared" si="11"/>
        <v>1.96</v>
      </c>
      <c r="L412" s="6" t="s">
        <v>75</v>
      </c>
      <c r="M412" s="6"/>
      <c r="N412" s="6" t="s">
        <v>54</v>
      </c>
      <c r="O412" s="6" t="s">
        <v>54</v>
      </c>
      <c r="P412" s="6" t="s">
        <v>54</v>
      </c>
    </row>
    <row r="413" spans="1:16" ht="30" customHeight="1" x14ac:dyDescent="0.3">
      <c r="A413" s="7">
        <v>45839.64296041667</v>
      </c>
      <c r="B413" s="6" t="s">
        <v>4</v>
      </c>
      <c r="C413" s="6" t="str">
        <f>VLOOKUP(B411,'Veri doğrulama'!D6:E13,2,0)</f>
        <v>MEHMET YAZICI</v>
      </c>
      <c r="D413" s="6"/>
      <c r="E413" s="6" t="s">
        <v>906</v>
      </c>
      <c r="F413" s="6" t="s">
        <v>16</v>
      </c>
      <c r="G413" s="6" t="s">
        <v>34</v>
      </c>
      <c r="H413" s="6">
        <v>1817</v>
      </c>
      <c r="I413" s="6">
        <v>399</v>
      </c>
      <c r="J413" s="6">
        <v>1</v>
      </c>
      <c r="K413" s="10">
        <f t="shared" si="11"/>
        <v>0.32445000000000002</v>
      </c>
      <c r="L413" s="6" t="s">
        <v>75</v>
      </c>
      <c r="M413" s="6"/>
      <c r="N413" s="6" t="s">
        <v>54</v>
      </c>
      <c r="O413" s="6" t="s">
        <v>54</v>
      </c>
      <c r="P413" s="6" t="s">
        <v>54</v>
      </c>
    </row>
    <row r="414" spans="1:16" ht="30" customHeight="1" x14ac:dyDescent="0.3">
      <c r="A414" s="7">
        <v>45839.334205439816</v>
      </c>
      <c r="B414" s="6" t="s">
        <v>4</v>
      </c>
      <c r="C414" s="6" t="str">
        <f>VLOOKUP(B412,'Veri doğrulama'!D6:E13,2,0)</f>
        <v>MEHMET YAZICI</v>
      </c>
      <c r="D414" s="6"/>
      <c r="E414" s="6" t="s">
        <v>905</v>
      </c>
      <c r="F414" s="6" t="s">
        <v>16</v>
      </c>
      <c r="G414" s="6" t="s">
        <v>34</v>
      </c>
      <c r="H414" s="6">
        <v>564</v>
      </c>
      <c r="I414" s="6">
        <v>397</v>
      </c>
      <c r="J414" s="6">
        <v>1</v>
      </c>
      <c r="K414" s="10">
        <f t="shared" si="11"/>
        <v>1.6919999999999999</v>
      </c>
      <c r="L414" s="6" t="s">
        <v>156</v>
      </c>
      <c r="M414" s="6"/>
      <c r="N414" s="6" t="s">
        <v>54</v>
      </c>
      <c r="O414" s="6" t="s">
        <v>54</v>
      </c>
      <c r="P414" s="6" t="s">
        <v>54</v>
      </c>
    </row>
    <row r="415" spans="1:16" ht="30" customHeight="1" x14ac:dyDescent="0.3">
      <c r="A415" s="7">
        <v>45839.333702199074</v>
      </c>
      <c r="B415" s="6" t="s">
        <v>4</v>
      </c>
      <c r="C415" s="6" t="str">
        <f>VLOOKUP(B413,'Veri doğrulama'!D6:E13,2,0)</f>
        <v>MEHMET YAZICI</v>
      </c>
      <c r="D415" s="6"/>
      <c r="E415" s="6" t="s">
        <v>904</v>
      </c>
      <c r="F415" s="6" t="s">
        <v>16</v>
      </c>
      <c r="G415" s="6" t="s">
        <v>34</v>
      </c>
      <c r="H415" s="6">
        <v>802</v>
      </c>
      <c r="I415" s="6">
        <v>402</v>
      </c>
      <c r="J415" s="6">
        <v>5</v>
      </c>
      <c r="K415" s="10">
        <f t="shared" si="11"/>
        <v>3.6249150000000001</v>
      </c>
      <c r="L415" s="6" t="s">
        <v>103</v>
      </c>
      <c r="M415" s="6"/>
      <c r="N415" s="6" t="s">
        <v>54</v>
      </c>
      <c r="O415" s="6" t="s">
        <v>54</v>
      </c>
      <c r="P415" s="6" t="s">
        <v>54</v>
      </c>
    </row>
    <row r="416" spans="1:16" ht="30" customHeight="1" x14ac:dyDescent="0.3">
      <c r="A416" s="7">
        <v>45839.333173379629</v>
      </c>
      <c r="B416" s="6" t="s">
        <v>4</v>
      </c>
      <c r="C416" s="6" t="str">
        <f>VLOOKUP(B414,'Veri doğrulama'!D6:E13,2,0)</f>
        <v>MEHMET YAZICI</v>
      </c>
      <c r="D416" s="6"/>
      <c r="E416" s="6" t="s">
        <v>903</v>
      </c>
      <c r="F416" s="6" t="s">
        <v>16</v>
      </c>
      <c r="G416" s="6" t="s">
        <v>34</v>
      </c>
      <c r="H416" s="6">
        <v>779</v>
      </c>
      <c r="I416" s="6">
        <v>377</v>
      </c>
      <c r="J416" s="6">
        <v>1</v>
      </c>
      <c r="K416" s="10">
        <f t="shared" si="11"/>
        <v>0.223908</v>
      </c>
      <c r="L416" s="6" t="s">
        <v>103</v>
      </c>
      <c r="M416" s="6"/>
      <c r="N416" s="6" t="s">
        <v>54</v>
      </c>
      <c r="O416" s="6" t="s">
        <v>54</v>
      </c>
      <c r="P416" s="6" t="s">
        <v>54</v>
      </c>
    </row>
    <row r="417" spans="1:16" ht="30" customHeight="1" x14ac:dyDescent="0.3">
      <c r="A417" s="7">
        <v>45839.332575810186</v>
      </c>
      <c r="B417" s="6" t="s">
        <v>4</v>
      </c>
      <c r="C417" s="6" t="str">
        <f>VLOOKUP(B415,'Veri doğrulama'!D6:E13,2,0)</f>
        <v>MEHMET YAZICI</v>
      </c>
      <c r="D417" s="6"/>
      <c r="E417" s="6" t="s">
        <v>839</v>
      </c>
      <c r="F417" s="6" t="s">
        <v>16</v>
      </c>
      <c r="G417" s="6" t="s">
        <v>34</v>
      </c>
      <c r="H417" s="6">
        <v>698</v>
      </c>
      <c r="I417" s="6">
        <v>435</v>
      </c>
      <c r="J417" s="6">
        <v>1</v>
      </c>
      <c r="K417" s="10">
        <f t="shared" si="11"/>
        <v>0.32240400000000002</v>
      </c>
      <c r="L417" s="6" t="s">
        <v>103</v>
      </c>
      <c r="M417" s="6" t="s">
        <v>494</v>
      </c>
      <c r="N417" s="6" t="s">
        <v>54</v>
      </c>
      <c r="O417" s="6" t="s">
        <v>54</v>
      </c>
      <c r="P417" s="6" t="s">
        <v>54</v>
      </c>
    </row>
    <row r="418" spans="1:16" ht="30" customHeight="1" x14ac:dyDescent="0.3">
      <c r="A418" s="7">
        <v>45838.765893518517</v>
      </c>
      <c r="B418" s="6" t="s">
        <v>4</v>
      </c>
      <c r="C418" s="6" t="str">
        <f>VLOOKUP(B416,'Veri doğrulama'!D6:E13,2,0)</f>
        <v>MEHMET YAZICI</v>
      </c>
      <c r="D418" s="6"/>
      <c r="E418" s="6" t="s">
        <v>250</v>
      </c>
      <c r="F418" s="6" t="s">
        <v>18</v>
      </c>
      <c r="G418" s="6" t="s">
        <v>34</v>
      </c>
      <c r="H418" s="6">
        <v>1800</v>
      </c>
      <c r="I418" s="6">
        <v>390</v>
      </c>
      <c r="J418" s="6">
        <v>3</v>
      </c>
      <c r="K418" s="10">
        <f t="shared" si="11"/>
        <v>0.88104900000000008</v>
      </c>
      <c r="L418" s="6" t="s">
        <v>103</v>
      </c>
      <c r="M418" s="6"/>
      <c r="N418" s="6" t="s">
        <v>54</v>
      </c>
      <c r="O418" s="6" t="s">
        <v>54</v>
      </c>
      <c r="P418" s="6" t="s">
        <v>54</v>
      </c>
    </row>
    <row r="419" spans="1:16" ht="30" customHeight="1" x14ac:dyDescent="0.3">
      <c r="A419" s="7">
        <v>45838.566036689816</v>
      </c>
      <c r="B419" s="6" t="s">
        <v>7</v>
      </c>
      <c r="C419" s="6" t="str">
        <f>VLOOKUP(B417,'Veri doğrulama'!D6:E13,2,0)</f>
        <v>MEHMET YAZICI</v>
      </c>
      <c r="D419" s="6"/>
      <c r="E419" s="6" t="s">
        <v>901</v>
      </c>
      <c r="F419" s="6" t="s">
        <v>24</v>
      </c>
      <c r="G419" s="6" t="s">
        <v>34</v>
      </c>
      <c r="H419" s="6">
        <v>1600</v>
      </c>
      <c r="I419" s="6">
        <v>800</v>
      </c>
      <c r="J419" s="6">
        <v>1</v>
      </c>
      <c r="K419" s="10">
        <f t="shared" si="11"/>
        <v>0.30363000000000001</v>
      </c>
      <c r="L419" s="6" t="s">
        <v>103</v>
      </c>
      <c r="M419" s="6"/>
      <c r="N419" s="6" t="s">
        <v>54</v>
      </c>
      <c r="O419" s="6" t="s">
        <v>54</v>
      </c>
      <c r="P419" s="6" t="s">
        <v>54</v>
      </c>
    </row>
    <row r="420" spans="1:16" ht="30" customHeight="1" x14ac:dyDescent="0.3">
      <c r="A420" s="7">
        <v>45835.488778587962</v>
      </c>
      <c r="B420" s="6" t="s">
        <v>5</v>
      </c>
      <c r="C420" s="6" t="str">
        <f>VLOOKUP(B418,'Veri doğrulama'!D6:E13,2,0)</f>
        <v>MEHMET YAZICI</v>
      </c>
      <c r="D420" s="6" t="s">
        <v>902</v>
      </c>
      <c r="E420" s="6" t="s">
        <v>855</v>
      </c>
      <c r="F420" s="6" t="s">
        <v>19</v>
      </c>
      <c r="G420" s="6" t="s">
        <v>34</v>
      </c>
      <c r="H420" s="6">
        <v>1800</v>
      </c>
      <c r="I420" s="6">
        <v>800</v>
      </c>
      <c r="J420" s="6">
        <v>1</v>
      </c>
      <c r="K420" s="10">
        <f t="shared" si="11"/>
        <v>0.70199999999999996</v>
      </c>
      <c r="L420" s="6" t="s">
        <v>75</v>
      </c>
      <c r="M420" s="6"/>
      <c r="N420" s="6" t="s">
        <v>54</v>
      </c>
      <c r="O420" s="6" t="s">
        <v>54</v>
      </c>
      <c r="P420" s="6" t="s">
        <v>54</v>
      </c>
    </row>
    <row r="421" spans="1:16" ht="30" customHeight="1" x14ac:dyDescent="0.3">
      <c r="A421" s="7">
        <v>45834.394708101849</v>
      </c>
      <c r="B421" s="6" t="s">
        <v>5</v>
      </c>
      <c r="C421" s="6" t="str">
        <f>VLOOKUP(B419,'Veri doğrulama'!D6:E13,2,0)</f>
        <v>SIDDIK KAPLAN</v>
      </c>
      <c r="D421" s="6"/>
      <c r="E421" s="6" t="s">
        <v>900</v>
      </c>
      <c r="F421" s="6" t="s">
        <v>146</v>
      </c>
      <c r="G421" s="6" t="s">
        <v>35</v>
      </c>
      <c r="H421" s="6">
        <v>1420</v>
      </c>
      <c r="I421" s="6">
        <v>1420</v>
      </c>
      <c r="J421" s="6">
        <v>1</v>
      </c>
      <c r="K421" s="10">
        <f t="shared" si="11"/>
        <v>1.28</v>
      </c>
      <c r="L421" s="6" t="s">
        <v>43</v>
      </c>
      <c r="M421" s="6"/>
      <c r="N421" s="6" t="s">
        <v>54</v>
      </c>
      <c r="O421" s="6" t="s">
        <v>54</v>
      </c>
      <c r="P421" s="6" t="s">
        <v>54</v>
      </c>
    </row>
    <row r="422" spans="1:16" ht="30" customHeight="1" x14ac:dyDescent="0.3">
      <c r="A422" s="7">
        <v>45834.394187268517</v>
      </c>
      <c r="B422" s="6" t="s">
        <v>5</v>
      </c>
      <c r="C422" s="6" t="str">
        <f>VLOOKUP(B420,'Veri doğrulama'!D6:E13,2,0)</f>
        <v>MEHMET ÖZEN</v>
      </c>
      <c r="D422" s="6"/>
      <c r="E422" s="6" t="s">
        <v>899</v>
      </c>
      <c r="F422" s="6" t="s">
        <v>22</v>
      </c>
      <c r="G422" s="6" t="s">
        <v>34</v>
      </c>
      <c r="H422" s="6">
        <v>1040</v>
      </c>
      <c r="I422" s="6">
        <v>1100</v>
      </c>
      <c r="J422" s="6">
        <v>1</v>
      </c>
      <c r="K422" s="10">
        <f t="shared" si="11"/>
        <v>1.44</v>
      </c>
      <c r="L422" s="6" t="s">
        <v>75</v>
      </c>
      <c r="M422" s="6"/>
      <c r="N422" s="6" t="s">
        <v>54</v>
      </c>
      <c r="O422" s="6" t="s">
        <v>54</v>
      </c>
      <c r="P422" s="6" t="s">
        <v>54</v>
      </c>
    </row>
    <row r="423" spans="1:16" ht="30" customHeight="1" x14ac:dyDescent="0.3">
      <c r="A423" s="7">
        <v>45834.393541087964</v>
      </c>
      <c r="B423" s="6" t="s">
        <v>4</v>
      </c>
      <c r="C423" s="6" t="str">
        <f>VLOOKUP(B421,'Veri doğrulama'!D6:E13,2,0)</f>
        <v>MEHMET ÖZEN</v>
      </c>
      <c r="D423" s="6"/>
      <c r="E423" s="6" t="s">
        <v>124</v>
      </c>
      <c r="F423" s="6" t="s">
        <v>30</v>
      </c>
      <c r="G423" s="6" t="s">
        <v>34</v>
      </c>
      <c r="H423" s="6">
        <v>684</v>
      </c>
      <c r="I423" s="6">
        <v>350</v>
      </c>
      <c r="J423" s="6">
        <v>1</v>
      </c>
      <c r="K423" s="10">
        <f t="shared" si="11"/>
        <v>2.0164</v>
      </c>
      <c r="L423" s="6" t="s">
        <v>103</v>
      </c>
      <c r="M423" s="6"/>
      <c r="N423" s="6" t="s">
        <v>54</v>
      </c>
      <c r="O423" s="6" t="s">
        <v>54</v>
      </c>
      <c r="P423" s="6" t="s">
        <v>54</v>
      </c>
    </row>
    <row r="424" spans="1:16" ht="30" customHeight="1" x14ac:dyDescent="0.3">
      <c r="A424" s="7">
        <v>45834.337664583334</v>
      </c>
      <c r="B424" s="6" t="s">
        <v>4</v>
      </c>
      <c r="C424" s="6" t="str">
        <f>VLOOKUP(B422,'Veri doğrulama'!D6:E13,2,0)</f>
        <v>MEHMET ÖZEN</v>
      </c>
      <c r="D424" s="6"/>
      <c r="E424" s="6" t="s">
        <v>725</v>
      </c>
      <c r="F424" s="6" t="s">
        <v>28</v>
      </c>
      <c r="G424" s="6" t="s">
        <v>34</v>
      </c>
      <c r="H424" s="6">
        <v>1400</v>
      </c>
      <c r="I424" s="6">
        <v>800</v>
      </c>
      <c r="J424" s="6">
        <v>1</v>
      </c>
      <c r="K424" s="10">
        <f t="shared" si="11"/>
        <v>1.1439999999999999</v>
      </c>
      <c r="L424" s="6" t="s">
        <v>103</v>
      </c>
      <c r="M424" s="6" t="s">
        <v>339</v>
      </c>
      <c r="N424" s="6" t="s">
        <v>54</v>
      </c>
      <c r="O424" s="6" t="s">
        <v>54</v>
      </c>
      <c r="P424" s="6" t="s">
        <v>54</v>
      </c>
    </row>
    <row r="425" spans="1:16" ht="30" customHeight="1" x14ac:dyDescent="0.3">
      <c r="A425" s="7">
        <v>45833.659940972226</v>
      </c>
      <c r="B425" s="6" t="s">
        <v>4</v>
      </c>
      <c r="C425" s="6" t="str">
        <f>VLOOKUP(B423,'Veri doğrulama'!D6:E13,2,0)</f>
        <v>MEHMET YAZICI</v>
      </c>
      <c r="D425" s="6" t="s">
        <v>898</v>
      </c>
      <c r="E425" s="6" t="s">
        <v>895</v>
      </c>
      <c r="F425" s="6" t="s">
        <v>18</v>
      </c>
      <c r="G425" s="6" t="s">
        <v>34</v>
      </c>
      <c r="H425" s="6">
        <v>700</v>
      </c>
      <c r="I425" s="6">
        <v>437</v>
      </c>
      <c r="J425" s="6">
        <v>1</v>
      </c>
      <c r="K425" s="10">
        <f t="shared" si="11"/>
        <v>0.2394</v>
      </c>
      <c r="L425" s="6" t="s">
        <v>103</v>
      </c>
      <c r="M425" s="6" t="s">
        <v>896</v>
      </c>
      <c r="N425" s="6" t="s">
        <v>54</v>
      </c>
      <c r="O425" s="6" t="s">
        <v>54</v>
      </c>
      <c r="P425" s="6" t="s">
        <v>54</v>
      </c>
    </row>
    <row r="426" spans="1:16" ht="30" customHeight="1" x14ac:dyDescent="0.3">
      <c r="A426" s="7">
        <v>45833.590765856483</v>
      </c>
      <c r="B426" s="6" t="s">
        <v>4</v>
      </c>
      <c r="C426" s="6" t="str">
        <f>VLOOKUP(B424,'Veri doğrulama'!D6:E13,2,0)</f>
        <v>MEHMET YAZICI</v>
      </c>
      <c r="D426" s="6" t="s">
        <v>897</v>
      </c>
      <c r="E426" s="6" t="s">
        <v>894</v>
      </c>
      <c r="F426" s="6" t="s">
        <v>18</v>
      </c>
      <c r="G426" s="6" t="s">
        <v>34</v>
      </c>
      <c r="H426" s="6">
        <v>1152</v>
      </c>
      <c r="I426" s="6">
        <v>408</v>
      </c>
      <c r="J426" s="6">
        <v>1</v>
      </c>
      <c r="K426" s="10">
        <f t="shared" si="11"/>
        <v>1.1200000000000001</v>
      </c>
      <c r="L426" s="6" t="s">
        <v>156</v>
      </c>
      <c r="M426" s="6" t="s">
        <v>494</v>
      </c>
      <c r="N426" s="6" t="s">
        <v>54</v>
      </c>
      <c r="O426" s="6" t="s">
        <v>54</v>
      </c>
      <c r="P426" s="6" t="s">
        <v>54</v>
      </c>
    </row>
    <row r="427" spans="1:16" ht="30" customHeight="1" x14ac:dyDescent="0.3">
      <c r="A427" s="7">
        <v>45833.589979050928</v>
      </c>
      <c r="B427" s="6" t="s">
        <v>4</v>
      </c>
      <c r="C427" s="6" t="str">
        <f>VLOOKUP(B425,'Veri doğrulama'!D6:E13,2,0)</f>
        <v>MEHMET YAZICI</v>
      </c>
      <c r="D427" s="6"/>
      <c r="E427" s="6" t="s">
        <v>893</v>
      </c>
      <c r="F427" s="6" t="s">
        <v>18</v>
      </c>
      <c r="G427" s="6" t="s">
        <v>34</v>
      </c>
      <c r="H427" s="6">
        <v>556</v>
      </c>
      <c r="I427" s="6">
        <v>449</v>
      </c>
      <c r="J427" s="6">
        <v>1</v>
      </c>
      <c r="K427" s="10">
        <f t="shared" si="11"/>
        <v>0.30590000000000001</v>
      </c>
      <c r="L427" s="6" t="s">
        <v>103</v>
      </c>
      <c r="M427" s="6" t="s">
        <v>651</v>
      </c>
      <c r="N427" s="6" t="s">
        <v>54</v>
      </c>
      <c r="O427" s="6" t="s">
        <v>54</v>
      </c>
      <c r="P427" s="6" t="s">
        <v>54</v>
      </c>
    </row>
    <row r="428" spans="1:16" ht="30" customHeight="1" x14ac:dyDescent="0.3">
      <c r="A428" s="7">
        <v>45833.589173495369</v>
      </c>
      <c r="B428" s="6" t="s">
        <v>4</v>
      </c>
      <c r="C428" s="6" t="str">
        <f>VLOOKUP(B426,'Veri doğrulama'!D6:E13,2,0)</f>
        <v>MEHMET YAZICI</v>
      </c>
      <c r="D428" s="6"/>
      <c r="E428" s="6" t="s">
        <v>892</v>
      </c>
      <c r="F428" s="6" t="s">
        <v>18</v>
      </c>
      <c r="G428" s="6" t="s">
        <v>34</v>
      </c>
      <c r="H428" s="6">
        <v>541</v>
      </c>
      <c r="I428" s="6">
        <v>408</v>
      </c>
      <c r="J428" s="6">
        <v>1</v>
      </c>
      <c r="K428" s="10">
        <f t="shared" si="11"/>
        <v>0.47001599999999999</v>
      </c>
      <c r="L428" s="6" t="s">
        <v>103</v>
      </c>
      <c r="M428" s="6" t="s">
        <v>494</v>
      </c>
      <c r="N428" s="6" t="s">
        <v>54</v>
      </c>
      <c r="O428" s="6" t="s">
        <v>54</v>
      </c>
      <c r="P428" s="6" t="s">
        <v>54</v>
      </c>
    </row>
    <row r="429" spans="1:16" ht="30" customHeight="1" x14ac:dyDescent="0.3">
      <c r="A429" s="7">
        <v>45833.588350115744</v>
      </c>
      <c r="B429" s="6" t="s">
        <v>4</v>
      </c>
      <c r="C429" s="6" t="str">
        <f>VLOOKUP(B427,'Veri doğrulama'!D6:E13,2,0)</f>
        <v>MEHMET YAZICI</v>
      </c>
      <c r="D429" s="6"/>
      <c r="E429" s="6" t="s">
        <v>891</v>
      </c>
      <c r="F429" s="6" t="s">
        <v>18</v>
      </c>
      <c r="G429" s="6" t="s">
        <v>34</v>
      </c>
      <c r="H429" s="6">
        <v>452</v>
      </c>
      <c r="I429" s="6">
        <v>558</v>
      </c>
      <c r="J429" s="6">
        <v>2</v>
      </c>
      <c r="K429" s="10">
        <f t="shared" si="11"/>
        <v>0.49928800000000001</v>
      </c>
      <c r="L429" s="6" t="s">
        <v>103</v>
      </c>
      <c r="M429" s="6" t="s">
        <v>494</v>
      </c>
      <c r="N429" s="6" t="s">
        <v>54</v>
      </c>
      <c r="O429" s="6" t="s">
        <v>54</v>
      </c>
      <c r="P429" s="6" t="s">
        <v>54</v>
      </c>
    </row>
    <row r="430" spans="1:16" ht="30" customHeight="1" x14ac:dyDescent="0.3">
      <c r="A430" s="7">
        <v>45833.587419444448</v>
      </c>
      <c r="B430" s="6" t="s">
        <v>4</v>
      </c>
      <c r="C430" s="6" t="str">
        <f>VLOOKUP(B428,'Veri doğrulama'!D6:E13,2,0)</f>
        <v>MEHMET YAZICI</v>
      </c>
      <c r="D430" s="6"/>
      <c r="E430" s="6" t="s">
        <v>890</v>
      </c>
      <c r="F430" s="6" t="s">
        <v>18</v>
      </c>
      <c r="G430" s="6" t="s">
        <v>34</v>
      </c>
      <c r="H430" s="6">
        <v>355</v>
      </c>
      <c r="I430" s="6">
        <v>450</v>
      </c>
      <c r="J430" s="6">
        <v>3</v>
      </c>
      <c r="K430" s="10">
        <f t="shared" si="11"/>
        <v>0.66218399999999999</v>
      </c>
      <c r="L430" s="6" t="s">
        <v>103</v>
      </c>
      <c r="M430" s="6" t="s">
        <v>494</v>
      </c>
      <c r="N430" s="6" t="s">
        <v>54</v>
      </c>
      <c r="O430" s="6" t="s">
        <v>54</v>
      </c>
      <c r="P430" s="6" t="s">
        <v>54</v>
      </c>
    </row>
    <row r="431" spans="1:16" ht="30" customHeight="1" x14ac:dyDescent="0.3">
      <c r="A431" s="7">
        <v>45833.586413194447</v>
      </c>
      <c r="B431" s="6" t="s">
        <v>4</v>
      </c>
      <c r="C431" s="6" t="str">
        <f>VLOOKUP(B429,'Veri doğrulama'!D6:E13,2,0)</f>
        <v>MEHMET YAZICI</v>
      </c>
      <c r="D431" s="6"/>
      <c r="E431" s="6" t="s">
        <v>889</v>
      </c>
      <c r="F431" s="6" t="s">
        <v>18</v>
      </c>
      <c r="G431" s="6" t="s">
        <v>34</v>
      </c>
      <c r="H431" s="6">
        <v>541</v>
      </c>
      <c r="I431" s="6">
        <v>558</v>
      </c>
      <c r="J431" s="6">
        <v>4</v>
      </c>
      <c r="K431" s="10">
        <f t="shared" si="11"/>
        <v>1.008864</v>
      </c>
      <c r="L431" s="6" t="s">
        <v>103</v>
      </c>
      <c r="M431" s="6" t="s">
        <v>494</v>
      </c>
      <c r="N431" s="6" t="s">
        <v>54</v>
      </c>
      <c r="O431" s="6" t="s">
        <v>54</v>
      </c>
      <c r="P431" s="6" t="s">
        <v>54</v>
      </c>
    </row>
    <row r="432" spans="1:16" ht="30" customHeight="1" x14ac:dyDescent="0.3">
      <c r="A432" s="7">
        <v>45833.585319097219</v>
      </c>
      <c r="B432" s="6" t="s">
        <v>4</v>
      </c>
      <c r="C432" s="6" t="str">
        <f>VLOOKUP(B430,'Veri doğrulama'!D6:E13,2,0)</f>
        <v>MEHMET YAZICI</v>
      </c>
      <c r="D432" s="6"/>
      <c r="E432" s="6" t="s">
        <v>99</v>
      </c>
      <c r="F432" s="6" t="s">
        <v>18</v>
      </c>
      <c r="G432" s="6" t="s">
        <v>34</v>
      </c>
      <c r="H432" s="6">
        <v>691</v>
      </c>
      <c r="I432" s="6">
        <v>362</v>
      </c>
      <c r="J432" s="6">
        <v>1</v>
      </c>
      <c r="K432" s="10">
        <f t="shared" si="11"/>
        <v>0.15975</v>
      </c>
      <c r="L432" s="6" t="s">
        <v>103</v>
      </c>
      <c r="M432" s="6" t="s">
        <v>494</v>
      </c>
      <c r="N432" s="6" t="s">
        <v>54</v>
      </c>
      <c r="O432" s="6" t="s">
        <v>54</v>
      </c>
      <c r="P432" s="6" t="s">
        <v>54</v>
      </c>
    </row>
    <row r="433" spans="1:16" ht="30" customHeight="1" x14ac:dyDescent="0.3">
      <c r="A433" s="7">
        <v>45833.583836921294</v>
      </c>
      <c r="B433" s="6" t="s">
        <v>4</v>
      </c>
      <c r="C433" s="6" t="str">
        <f>VLOOKUP(B431,'Veri doğrulama'!D6:E13,2,0)</f>
        <v>MEHMET YAZICI</v>
      </c>
      <c r="D433" s="6"/>
      <c r="E433" s="6" t="s">
        <v>100</v>
      </c>
      <c r="F433" s="6" t="s">
        <v>18</v>
      </c>
      <c r="G433" s="6" t="s">
        <v>34</v>
      </c>
      <c r="H433" s="6">
        <v>706</v>
      </c>
      <c r="I433" s="6">
        <v>399</v>
      </c>
      <c r="J433" s="6">
        <v>8</v>
      </c>
      <c r="K433" s="10">
        <f t="shared" si="11"/>
        <v>2.4150239999999998</v>
      </c>
      <c r="L433" s="6" t="s">
        <v>103</v>
      </c>
      <c r="M433" s="6" t="s">
        <v>888</v>
      </c>
      <c r="N433" s="6" t="s">
        <v>54</v>
      </c>
      <c r="O433" s="6" t="s">
        <v>54</v>
      </c>
      <c r="P433" s="6" t="s">
        <v>54</v>
      </c>
    </row>
    <row r="434" spans="1:16" ht="30" customHeight="1" x14ac:dyDescent="0.3">
      <c r="A434" s="7">
        <v>45833.582646296294</v>
      </c>
      <c r="B434" s="6" t="s">
        <v>5</v>
      </c>
      <c r="C434" s="6" t="str">
        <f>VLOOKUP(B432,'Veri doğrulama'!D6:E13,2,0)</f>
        <v>MEHMET YAZICI</v>
      </c>
      <c r="D434" s="6"/>
      <c r="E434" s="6" t="s">
        <v>887</v>
      </c>
      <c r="F434" s="6" t="s">
        <v>16</v>
      </c>
      <c r="G434" s="6" t="s">
        <v>34</v>
      </c>
      <c r="H434" s="6">
        <v>720</v>
      </c>
      <c r="I434" s="6">
        <v>570</v>
      </c>
      <c r="J434" s="6">
        <v>4</v>
      </c>
      <c r="K434" s="10">
        <f t="shared" si="11"/>
        <v>1.0005679999999999</v>
      </c>
      <c r="L434" s="6" t="s">
        <v>103</v>
      </c>
      <c r="M434" s="6" t="s">
        <v>411</v>
      </c>
      <c r="N434" s="6" t="s">
        <v>54</v>
      </c>
      <c r="O434" s="6" t="s">
        <v>54</v>
      </c>
      <c r="P434" s="6" t="s">
        <v>54</v>
      </c>
    </row>
    <row r="435" spans="1:16" ht="30" customHeight="1" x14ac:dyDescent="0.3">
      <c r="A435" s="7">
        <v>45833.435347569444</v>
      </c>
      <c r="B435" s="6" t="s">
        <v>5</v>
      </c>
      <c r="C435" s="6" t="str">
        <f>VLOOKUP(B433,'Veri doğrulama'!D6:E13,2,0)</f>
        <v>MEHMET YAZICI</v>
      </c>
      <c r="D435" s="6"/>
      <c r="E435" s="6" t="s">
        <v>866</v>
      </c>
      <c r="F435" s="6" t="s">
        <v>16</v>
      </c>
      <c r="G435" s="6" t="s">
        <v>34</v>
      </c>
      <c r="H435" s="6">
        <v>1620</v>
      </c>
      <c r="I435" s="6">
        <v>1420</v>
      </c>
      <c r="J435" s="6">
        <v>2</v>
      </c>
      <c r="K435" s="10">
        <f t="shared" si="11"/>
        <v>0.563388</v>
      </c>
      <c r="L435" s="6" t="s">
        <v>103</v>
      </c>
      <c r="M435" s="6" t="s">
        <v>411</v>
      </c>
      <c r="N435" s="6" t="s">
        <v>54</v>
      </c>
      <c r="O435" s="6" t="s">
        <v>54</v>
      </c>
      <c r="P435" s="6" t="s">
        <v>54</v>
      </c>
    </row>
    <row r="436" spans="1:16" ht="30" customHeight="1" x14ac:dyDescent="0.3">
      <c r="A436" s="7">
        <v>45833.433409375</v>
      </c>
      <c r="B436" s="6" t="s">
        <v>4</v>
      </c>
      <c r="C436" s="6" t="str">
        <f>VLOOKUP(B434,'Veri doğrulama'!D6:E13,2,0)</f>
        <v>MEHMET ÖZEN</v>
      </c>
      <c r="D436" s="6"/>
      <c r="E436" s="6" t="s">
        <v>885</v>
      </c>
      <c r="F436" s="6" t="s">
        <v>19</v>
      </c>
      <c r="G436" s="6" t="s">
        <v>34</v>
      </c>
      <c r="H436" s="6">
        <v>1150</v>
      </c>
      <c r="I436" s="6">
        <v>470</v>
      </c>
      <c r="J436" s="6">
        <v>1</v>
      </c>
      <c r="K436" s="10">
        <f t="shared" si="11"/>
        <v>0.41039999999999999</v>
      </c>
      <c r="L436" s="6" t="s">
        <v>43</v>
      </c>
      <c r="M436" s="6"/>
      <c r="N436" s="6" t="s">
        <v>54</v>
      </c>
      <c r="O436" s="6" t="s">
        <v>54</v>
      </c>
      <c r="P436" s="6" t="s">
        <v>54</v>
      </c>
    </row>
    <row r="437" spans="1:16" ht="30" customHeight="1" x14ac:dyDescent="0.3">
      <c r="A437" s="7">
        <v>45833.347152199072</v>
      </c>
      <c r="B437" s="6" t="s">
        <v>4</v>
      </c>
      <c r="C437" s="6" t="str">
        <f>VLOOKUP(B435,'Veri doğrulama'!D6:E13,2,0)</f>
        <v>MEHMET ÖZEN</v>
      </c>
      <c r="D437" s="6" t="s">
        <v>886</v>
      </c>
      <c r="E437" s="6" t="s">
        <v>884</v>
      </c>
      <c r="F437" s="6" t="s">
        <v>19</v>
      </c>
      <c r="G437" s="6" t="s">
        <v>34</v>
      </c>
      <c r="H437" s="6">
        <v>539</v>
      </c>
      <c r="I437" s="6">
        <v>250</v>
      </c>
      <c r="J437" s="6">
        <v>1</v>
      </c>
      <c r="K437" s="10">
        <f t="shared" si="11"/>
        <v>2.3003999999999998</v>
      </c>
      <c r="L437" s="6" t="s">
        <v>103</v>
      </c>
      <c r="M437" s="6"/>
      <c r="N437" s="6" t="s">
        <v>54</v>
      </c>
      <c r="O437" s="6" t="s">
        <v>54</v>
      </c>
      <c r="P437" s="6" t="s">
        <v>54</v>
      </c>
    </row>
    <row r="438" spans="1:16" ht="30" customHeight="1" x14ac:dyDescent="0.3">
      <c r="A438" s="7">
        <v>45833.346613078706</v>
      </c>
      <c r="B438" s="6" t="s">
        <v>5</v>
      </c>
      <c r="C438" s="6" t="str">
        <f>VLOOKUP(B436,'Veri doğrulama'!D6:E13,2,0)</f>
        <v>MEHMET YAZICI</v>
      </c>
      <c r="D438" s="6"/>
      <c r="E438" s="6" t="s">
        <v>882</v>
      </c>
      <c r="F438" s="6" t="s">
        <v>24</v>
      </c>
      <c r="G438" s="6" t="s">
        <v>34</v>
      </c>
      <c r="H438" s="6">
        <v>705</v>
      </c>
      <c r="I438" s="6">
        <v>420</v>
      </c>
      <c r="J438" s="6">
        <v>1</v>
      </c>
      <c r="K438" s="10">
        <f t="shared" si="11"/>
        <v>0.54049999999999998</v>
      </c>
      <c r="L438" s="6" t="s">
        <v>102</v>
      </c>
      <c r="M438" s="6"/>
      <c r="N438" s="6" t="s">
        <v>54</v>
      </c>
      <c r="O438" s="6" t="s">
        <v>54</v>
      </c>
      <c r="P438" s="6" t="s">
        <v>54</v>
      </c>
    </row>
    <row r="439" spans="1:16" ht="30" customHeight="1" x14ac:dyDescent="0.3">
      <c r="A439" s="7">
        <v>45832.644916319441</v>
      </c>
      <c r="B439" s="6" t="s">
        <v>5</v>
      </c>
      <c r="C439" s="6" t="str">
        <f>VLOOKUP(B437,'Veri doğrulama'!D6:E13,2,0)</f>
        <v>MEHMET YAZICI</v>
      </c>
      <c r="D439" s="6" t="s">
        <v>883</v>
      </c>
      <c r="E439" s="6" t="s">
        <v>880</v>
      </c>
      <c r="F439" s="6" t="s">
        <v>24</v>
      </c>
      <c r="G439" s="6" t="s">
        <v>34</v>
      </c>
      <c r="H439" s="6">
        <v>2000</v>
      </c>
      <c r="I439" s="6">
        <v>600</v>
      </c>
      <c r="J439" s="6">
        <v>1</v>
      </c>
      <c r="K439" s="10">
        <f t="shared" si="11"/>
        <v>0.13475000000000001</v>
      </c>
      <c r="L439" s="6" t="s">
        <v>102</v>
      </c>
      <c r="M439" s="6" t="s">
        <v>881</v>
      </c>
      <c r="N439" s="6" t="s">
        <v>54</v>
      </c>
      <c r="O439" s="6" t="s">
        <v>54</v>
      </c>
      <c r="P439" s="6" t="s">
        <v>54</v>
      </c>
    </row>
    <row r="440" spans="1:16" ht="30" customHeight="1" x14ac:dyDescent="0.3">
      <c r="A440" s="7">
        <v>45832.600476736108</v>
      </c>
      <c r="B440" s="6" t="s">
        <v>4</v>
      </c>
      <c r="C440" s="6" t="str">
        <f>VLOOKUP(B438,'Veri doğrulama'!D6:E13,2,0)</f>
        <v>MEHMET ÖZEN</v>
      </c>
      <c r="D440" s="6" t="s">
        <v>878</v>
      </c>
      <c r="E440" s="6" t="s">
        <v>879</v>
      </c>
      <c r="F440" s="6" t="s">
        <v>26</v>
      </c>
      <c r="G440" s="6" t="s">
        <v>34</v>
      </c>
      <c r="H440" s="6">
        <v>2370</v>
      </c>
      <c r="I440" s="6">
        <v>128</v>
      </c>
      <c r="J440" s="6">
        <v>1</v>
      </c>
      <c r="K440" s="10">
        <f t="shared" si="11"/>
        <v>0.29609999999999997</v>
      </c>
      <c r="L440" s="6" t="s">
        <v>42</v>
      </c>
      <c r="M440" s="6"/>
      <c r="N440" s="6" t="s">
        <v>54</v>
      </c>
      <c r="O440" s="6" t="s">
        <v>54</v>
      </c>
      <c r="P440" s="6" t="s">
        <v>54</v>
      </c>
    </row>
    <row r="441" spans="1:16" ht="30" customHeight="1" x14ac:dyDescent="0.3">
      <c r="A441" s="7">
        <v>45832.460525000002</v>
      </c>
      <c r="B441" s="6" t="s">
        <v>4</v>
      </c>
      <c r="C441" s="6" t="str">
        <f>VLOOKUP(B439,'Veri doğrulama'!D6:E13,2,0)</f>
        <v>MEHMET ÖZEN</v>
      </c>
      <c r="D441" s="6" t="s">
        <v>878</v>
      </c>
      <c r="E441" s="6" t="s">
        <v>143</v>
      </c>
      <c r="F441" s="6" t="s">
        <v>24</v>
      </c>
      <c r="G441" s="6" t="s">
        <v>35</v>
      </c>
      <c r="H441" s="6">
        <v>2000</v>
      </c>
      <c r="I441" s="6">
        <v>600</v>
      </c>
      <c r="J441" s="6">
        <v>1</v>
      </c>
      <c r="K441" s="10">
        <f t="shared" si="11"/>
        <v>1.2</v>
      </c>
      <c r="L441" s="6" t="s">
        <v>43</v>
      </c>
      <c r="M441" s="6"/>
      <c r="N441" s="6" t="s">
        <v>54</v>
      </c>
      <c r="O441" s="6" t="s">
        <v>54</v>
      </c>
      <c r="P441" s="6" t="s">
        <v>54</v>
      </c>
    </row>
    <row r="442" spans="1:16" ht="30" customHeight="1" x14ac:dyDescent="0.3">
      <c r="A442" s="7">
        <v>45832.453333217592</v>
      </c>
      <c r="B442" s="6" t="s">
        <v>5</v>
      </c>
      <c r="C442" s="6" t="str">
        <f>VLOOKUP(B440,'Veri doğrulama'!D6:E13,2,0)</f>
        <v>MEHMET YAZICI</v>
      </c>
      <c r="D442" s="6"/>
      <c r="E442" s="6" t="s">
        <v>877</v>
      </c>
      <c r="F442" s="6" t="s">
        <v>26</v>
      </c>
      <c r="G442" s="6" t="s">
        <v>34</v>
      </c>
      <c r="H442" s="6">
        <v>1802</v>
      </c>
      <c r="I442" s="6">
        <v>502</v>
      </c>
      <c r="J442" s="6">
        <v>1</v>
      </c>
      <c r="K442" s="10">
        <f t="shared" si="11"/>
        <v>0.30336000000000002</v>
      </c>
      <c r="L442" s="6" t="s">
        <v>156</v>
      </c>
      <c r="M442" s="6"/>
      <c r="N442" s="6" t="s">
        <v>54</v>
      </c>
      <c r="O442" s="6" t="s">
        <v>54</v>
      </c>
      <c r="P442" s="6" t="s">
        <v>54</v>
      </c>
    </row>
    <row r="443" spans="1:16" ht="30" customHeight="1" x14ac:dyDescent="0.3">
      <c r="A443" s="7">
        <v>45832.440853819448</v>
      </c>
      <c r="B443" s="6" t="s">
        <v>4</v>
      </c>
      <c r="C443" s="6" t="str">
        <f>VLOOKUP(B441,'Veri doğrulama'!D6:E13,2,0)</f>
        <v>MEHMET YAZICI</v>
      </c>
      <c r="D443" s="6" t="s">
        <v>878</v>
      </c>
      <c r="E443" s="6" t="s">
        <v>876</v>
      </c>
      <c r="F443" s="6" t="s">
        <v>18</v>
      </c>
      <c r="G443" s="6" t="s">
        <v>35</v>
      </c>
      <c r="H443" s="6">
        <v>1800</v>
      </c>
      <c r="I443" s="6">
        <v>940</v>
      </c>
      <c r="J443" s="6">
        <v>1</v>
      </c>
      <c r="K443" s="10">
        <f t="shared" si="11"/>
        <v>1.2</v>
      </c>
      <c r="L443" s="6" t="s">
        <v>42</v>
      </c>
      <c r="M443" s="6"/>
      <c r="N443" s="6" t="s">
        <v>54</v>
      </c>
      <c r="O443" s="6" t="s">
        <v>54</v>
      </c>
      <c r="P443" s="6" t="s">
        <v>54</v>
      </c>
    </row>
    <row r="444" spans="1:16" ht="30" customHeight="1" x14ac:dyDescent="0.3">
      <c r="A444" s="7">
        <v>45832.38495162037</v>
      </c>
      <c r="B444" s="6" t="s">
        <v>5</v>
      </c>
      <c r="C444" s="6" t="str">
        <f>VLOOKUP(B442,'Veri doğrulama'!D6:E13,2,0)</f>
        <v>MEHMET ÖZEN</v>
      </c>
      <c r="D444" s="6"/>
      <c r="E444" s="6" t="s">
        <v>875</v>
      </c>
      <c r="F444" s="6" t="s">
        <v>146</v>
      </c>
      <c r="G444" s="6" t="s">
        <v>34</v>
      </c>
      <c r="H444" s="6">
        <v>1420</v>
      </c>
      <c r="I444" s="6">
        <v>1420</v>
      </c>
      <c r="J444" s="6">
        <v>1</v>
      </c>
      <c r="K444" s="10">
        <f t="shared" si="11"/>
        <v>0.90460399999999996</v>
      </c>
      <c r="L444" s="6" t="s">
        <v>42</v>
      </c>
      <c r="M444" s="6" t="s">
        <v>411</v>
      </c>
      <c r="N444" s="6" t="s">
        <v>54</v>
      </c>
      <c r="O444" s="6" t="s">
        <v>54</v>
      </c>
      <c r="P444" s="6" t="s">
        <v>54</v>
      </c>
    </row>
    <row r="445" spans="1:16" ht="30" customHeight="1" x14ac:dyDescent="0.3">
      <c r="A445" s="7">
        <v>45831.658576504633</v>
      </c>
      <c r="B445" s="6" t="s">
        <v>5</v>
      </c>
      <c r="C445" s="6" t="str">
        <f>VLOOKUP(B443,'Veri doğrulama'!D6:E13,2,0)</f>
        <v>MEHMET YAZICI</v>
      </c>
      <c r="D445" s="6"/>
      <c r="E445" s="6" t="s">
        <v>873</v>
      </c>
      <c r="F445" s="6" t="s">
        <v>24</v>
      </c>
      <c r="G445" s="6" t="s">
        <v>34</v>
      </c>
      <c r="H445" s="6">
        <v>499</v>
      </c>
      <c r="I445" s="6">
        <v>264</v>
      </c>
      <c r="J445" s="6">
        <v>1</v>
      </c>
      <c r="K445" s="10">
        <f t="shared" si="11"/>
        <v>1.6919999999999999</v>
      </c>
      <c r="L445" s="6" t="s">
        <v>103</v>
      </c>
      <c r="M445" s="6"/>
      <c r="N445" s="6" t="s">
        <v>54</v>
      </c>
      <c r="O445" s="6" t="s">
        <v>54</v>
      </c>
      <c r="P445" s="6" t="s">
        <v>54</v>
      </c>
    </row>
    <row r="446" spans="1:16" ht="30" customHeight="1" x14ac:dyDescent="0.3">
      <c r="A446" s="7">
        <v>45831.649819560182</v>
      </c>
      <c r="B446" s="6" t="s">
        <v>5</v>
      </c>
      <c r="C446" s="6" t="str">
        <f>VLOOKUP(B444,'Veri doğrulama'!D6:E13,2,0)</f>
        <v>MEHMET ÖZEN</v>
      </c>
      <c r="D446" s="6" t="s">
        <v>874</v>
      </c>
      <c r="E446" s="6" t="s">
        <v>870</v>
      </c>
      <c r="F446" s="6" t="s">
        <v>22</v>
      </c>
      <c r="G446" s="6" t="s">
        <v>34</v>
      </c>
      <c r="H446" s="6">
        <v>1040</v>
      </c>
      <c r="I446" s="6">
        <v>1100</v>
      </c>
      <c r="J446" s="6">
        <v>1</v>
      </c>
      <c r="K446" s="10">
        <f t="shared" si="11"/>
        <v>2.0164</v>
      </c>
      <c r="L446" s="6" t="s">
        <v>42</v>
      </c>
      <c r="M446" s="6" t="s">
        <v>871</v>
      </c>
      <c r="N446" s="6" t="s">
        <v>54</v>
      </c>
      <c r="O446" s="6" t="s">
        <v>54</v>
      </c>
      <c r="P446" s="6" t="s">
        <v>54</v>
      </c>
    </row>
    <row r="447" spans="1:16" ht="30" customHeight="1" x14ac:dyDescent="0.3">
      <c r="A447" s="7">
        <v>45831.618547569444</v>
      </c>
      <c r="B447" s="6" t="s">
        <v>5</v>
      </c>
      <c r="C447" s="6" t="str">
        <f>VLOOKUP(B445,'Veri doğrulama'!D6:E13,2,0)</f>
        <v>MEHMET ÖZEN</v>
      </c>
      <c r="D447" s="6" t="s">
        <v>872</v>
      </c>
      <c r="E447" s="6" t="s">
        <v>869</v>
      </c>
      <c r="F447" s="6" t="s">
        <v>18</v>
      </c>
      <c r="G447" s="6" t="s">
        <v>34</v>
      </c>
      <c r="H447" s="6">
        <v>2386</v>
      </c>
      <c r="I447" s="6">
        <v>350</v>
      </c>
      <c r="J447" s="6">
        <v>1</v>
      </c>
      <c r="K447" s="10">
        <f t="shared" si="11"/>
        <v>0.13173599999999999</v>
      </c>
      <c r="L447" s="6" t="s">
        <v>42</v>
      </c>
      <c r="M447" s="6"/>
      <c r="N447" s="6" t="s">
        <v>54</v>
      </c>
      <c r="O447" s="6" t="s">
        <v>54</v>
      </c>
      <c r="P447" s="6" t="s">
        <v>54</v>
      </c>
    </row>
    <row r="448" spans="1:16" ht="30" customHeight="1" x14ac:dyDescent="0.3">
      <c r="A448" s="7">
        <v>45831.610110995367</v>
      </c>
      <c r="B448" s="6" t="s">
        <v>5</v>
      </c>
      <c r="C448" s="6" t="str">
        <f>VLOOKUP(B446,'Veri doğrulama'!D6:E13,2,0)</f>
        <v>MEHMET ÖZEN</v>
      </c>
      <c r="D448" s="6"/>
      <c r="E448" s="6" t="s">
        <v>867</v>
      </c>
      <c r="F448" s="6" t="s">
        <v>26</v>
      </c>
      <c r="G448" s="6" t="s">
        <v>34</v>
      </c>
      <c r="H448" s="6">
        <v>410</v>
      </c>
      <c r="I448" s="6">
        <v>599</v>
      </c>
      <c r="J448" s="6">
        <v>1</v>
      </c>
      <c r="K448" s="10">
        <f t="shared" si="11"/>
        <v>1.1439999999999999</v>
      </c>
      <c r="L448" s="6" t="s">
        <v>103</v>
      </c>
      <c r="M448" s="6"/>
      <c r="N448" s="6" t="s">
        <v>54</v>
      </c>
      <c r="O448" s="6" t="s">
        <v>54</v>
      </c>
      <c r="P448" s="6" t="s">
        <v>54</v>
      </c>
    </row>
    <row r="449" spans="1:16" ht="30" customHeight="1" x14ac:dyDescent="0.3">
      <c r="A449" s="7">
        <v>45831.562573148149</v>
      </c>
      <c r="B449" s="6" t="s">
        <v>4</v>
      </c>
      <c r="C449" s="6" t="str">
        <f>VLOOKUP(B447,'Veri doğrulama'!D6:E13,2,0)</f>
        <v>MEHMET ÖZEN</v>
      </c>
      <c r="D449" s="6" t="s">
        <v>868</v>
      </c>
      <c r="E449" s="6" t="s">
        <v>131</v>
      </c>
      <c r="F449" s="6" t="s">
        <v>18</v>
      </c>
      <c r="G449" s="6" t="s">
        <v>35</v>
      </c>
      <c r="H449" s="6">
        <v>546</v>
      </c>
      <c r="I449" s="6">
        <v>546</v>
      </c>
      <c r="J449" s="6">
        <v>1</v>
      </c>
      <c r="K449" s="10">
        <f t="shared" si="11"/>
        <v>0.83509999999999995</v>
      </c>
      <c r="L449" s="6" t="s">
        <v>103</v>
      </c>
      <c r="M449" s="6"/>
      <c r="N449" s="6" t="s">
        <v>54</v>
      </c>
      <c r="O449" s="6" t="s">
        <v>54</v>
      </c>
      <c r="P449" s="6" t="s">
        <v>54</v>
      </c>
    </row>
    <row r="450" spans="1:16" ht="30" customHeight="1" x14ac:dyDescent="0.3">
      <c r="A450" s="7">
        <v>45831.559455208335</v>
      </c>
      <c r="B450" s="6" t="s">
        <v>4</v>
      </c>
      <c r="C450" s="6" t="str">
        <f>VLOOKUP(B448,'Veri doğrulama'!D6:E13,2,0)</f>
        <v>MEHMET ÖZEN</v>
      </c>
      <c r="D450" s="6"/>
      <c r="E450" s="6" t="s">
        <v>131</v>
      </c>
      <c r="F450" s="6" t="s">
        <v>18</v>
      </c>
      <c r="G450" s="6" t="s">
        <v>34</v>
      </c>
      <c r="H450" s="6">
        <v>546</v>
      </c>
      <c r="I450" s="6">
        <v>523</v>
      </c>
      <c r="J450" s="6">
        <v>1</v>
      </c>
      <c r="K450" s="10">
        <f t="shared" si="11"/>
        <v>0.24559</v>
      </c>
      <c r="L450" s="6" t="s">
        <v>103</v>
      </c>
      <c r="M450" s="6"/>
      <c r="N450" s="6" t="s">
        <v>54</v>
      </c>
      <c r="O450" s="6" t="s">
        <v>54</v>
      </c>
      <c r="P450" s="6" t="s">
        <v>54</v>
      </c>
    </row>
    <row r="451" spans="1:16" ht="30" customHeight="1" x14ac:dyDescent="0.3">
      <c r="A451" s="7">
        <v>45831.556557407406</v>
      </c>
      <c r="B451" s="6" t="s">
        <v>5</v>
      </c>
      <c r="C451" s="6" t="str">
        <f>VLOOKUP(B449,'Veri doğrulama'!D6:E13,2,0)</f>
        <v>MEHMET YAZICI</v>
      </c>
      <c r="D451" s="6"/>
      <c r="E451" s="6" t="s">
        <v>866</v>
      </c>
      <c r="F451" s="6" t="s">
        <v>18</v>
      </c>
      <c r="G451" s="6" t="s">
        <v>34</v>
      </c>
      <c r="H451" s="6">
        <v>1620</v>
      </c>
      <c r="I451" s="6">
        <v>1420</v>
      </c>
      <c r="J451" s="6">
        <v>1</v>
      </c>
      <c r="K451" s="10">
        <f t="shared" si="11"/>
        <v>0.29811599999999999</v>
      </c>
      <c r="L451" s="6" t="s">
        <v>103</v>
      </c>
      <c r="M451" s="6" t="s">
        <v>411</v>
      </c>
      <c r="N451" s="6" t="s">
        <v>54</v>
      </c>
      <c r="O451" s="6" t="s">
        <v>54</v>
      </c>
      <c r="P451" s="6" t="s">
        <v>54</v>
      </c>
    </row>
    <row r="452" spans="1:16" ht="30" customHeight="1" x14ac:dyDescent="0.3">
      <c r="A452" s="7">
        <v>45831.443302199077</v>
      </c>
      <c r="B452" s="6" t="s">
        <v>5</v>
      </c>
      <c r="C452" s="6" t="str">
        <f>VLOOKUP(B450,'Veri doğrulama'!D6:E13,2,0)</f>
        <v>MEHMET YAZICI</v>
      </c>
      <c r="D452" s="6"/>
      <c r="E452" s="6" t="s">
        <v>864</v>
      </c>
      <c r="F452" s="6" t="s">
        <v>18</v>
      </c>
      <c r="G452" s="6" t="s">
        <v>34</v>
      </c>
      <c r="H452" s="6">
        <v>1810</v>
      </c>
      <c r="I452" s="6">
        <v>545</v>
      </c>
      <c r="J452" s="6">
        <v>1</v>
      </c>
      <c r="K452" s="10">
        <f t="shared" si="11"/>
        <v>0.28555799999999998</v>
      </c>
      <c r="L452" s="6" t="s">
        <v>103</v>
      </c>
      <c r="M452" s="6" t="s">
        <v>411</v>
      </c>
      <c r="N452" s="6" t="s">
        <v>54</v>
      </c>
      <c r="O452" s="6" t="s">
        <v>54</v>
      </c>
      <c r="P452" s="6" t="s">
        <v>54</v>
      </c>
    </row>
    <row r="453" spans="1:16" ht="30" customHeight="1" x14ac:dyDescent="0.3">
      <c r="A453" s="7">
        <v>45831.400947916663</v>
      </c>
      <c r="B453" s="6" t="s">
        <v>4</v>
      </c>
      <c r="C453" s="6" t="str">
        <f>VLOOKUP(B451,'Veri doğrulama'!D6:E13,2,0)</f>
        <v>MEHMET ÖZEN</v>
      </c>
      <c r="D453" s="6" t="s">
        <v>865</v>
      </c>
      <c r="E453" s="6" t="s">
        <v>862</v>
      </c>
      <c r="F453" s="6" t="s">
        <v>26</v>
      </c>
      <c r="G453" s="6" t="s">
        <v>34</v>
      </c>
      <c r="H453" s="6">
        <v>1786</v>
      </c>
      <c r="I453" s="6">
        <v>600</v>
      </c>
      <c r="J453" s="6">
        <v>1</v>
      </c>
      <c r="K453" s="10">
        <f t="shared" si="11"/>
        <v>2.3003999999999998</v>
      </c>
      <c r="L453" s="6" t="s">
        <v>75</v>
      </c>
      <c r="M453" s="6"/>
      <c r="N453" s="6" t="s">
        <v>54</v>
      </c>
      <c r="O453" s="6" t="s">
        <v>54</v>
      </c>
      <c r="P453" s="6" t="s">
        <v>54</v>
      </c>
    </row>
    <row r="454" spans="1:16" ht="30" customHeight="1" x14ac:dyDescent="0.3">
      <c r="A454" s="7">
        <v>45828.622710185184</v>
      </c>
      <c r="B454" s="6" t="s">
        <v>4</v>
      </c>
      <c r="C454" s="6" t="str">
        <f>VLOOKUP(B452,'Veri doğrulama'!D6:E13,2,0)</f>
        <v>MEHMET ÖZEN</v>
      </c>
      <c r="D454" s="6" t="s">
        <v>863</v>
      </c>
      <c r="E454" s="6" t="s">
        <v>859</v>
      </c>
      <c r="F454" s="6" t="s">
        <v>19</v>
      </c>
      <c r="G454" s="6" t="s">
        <v>34</v>
      </c>
      <c r="H454" s="6">
        <v>1815</v>
      </c>
      <c r="I454" s="6">
        <v>397</v>
      </c>
      <c r="J454" s="6">
        <v>1</v>
      </c>
      <c r="K454" s="10">
        <f t="shared" si="11"/>
        <v>0.98645000000000005</v>
      </c>
      <c r="L454" s="6" t="s">
        <v>42</v>
      </c>
      <c r="M454" s="6" t="s">
        <v>715</v>
      </c>
      <c r="N454" s="6" t="s">
        <v>54</v>
      </c>
      <c r="O454" s="6" t="s">
        <v>54</v>
      </c>
      <c r="P454" s="6" t="s">
        <v>54</v>
      </c>
    </row>
    <row r="455" spans="1:16" ht="30" customHeight="1" x14ac:dyDescent="0.3">
      <c r="A455" s="7">
        <v>45827.761760185182</v>
      </c>
      <c r="B455" s="6" t="s">
        <v>152</v>
      </c>
      <c r="C455" s="6" t="str">
        <f>VLOOKUP(B453,'Veri doğrulama'!D6:E13,2,0)</f>
        <v>MEHMET YAZICI</v>
      </c>
      <c r="D455" s="6" t="s">
        <v>861</v>
      </c>
      <c r="E455" s="6" t="s">
        <v>858</v>
      </c>
      <c r="F455" s="6" t="s">
        <v>18</v>
      </c>
      <c r="G455" s="6" t="s">
        <v>34</v>
      </c>
      <c r="H455" s="6">
        <v>1810</v>
      </c>
      <c r="I455" s="6">
        <v>545</v>
      </c>
      <c r="J455" s="6">
        <v>1</v>
      </c>
      <c r="K455" s="10">
        <f t="shared" si="11"/>
        <v>1.0716000000000001</v>
      </c>
      <c r="L455" s="6" t="s">
        <v>103</v>
      </c>
      <c r="M455" s="6" t="s">
        <v>153</v>
      </c>
      <c r="N455" s="6" t="s">
        <v>54</v>
      </c>
      <c r="O455" s="6" t="s">
        <v>54</v>
      </c>
      <c r="P455" s="6" t="s">
        <v>54</v>
      </c>
    </row>
    <row r="456" spans="1:16" ht="30" customHeight="1" x14ac:dyDescent="0.3">
      <c r="A456" s="7">
        <v>45827.472807060185</v>
      </c>
      <c r="B456" s="6" t="s">
        <v>4</v>
      </c>
      <c r="C456" s="6" t="str">
        <f>VLOOKUP(B454,'Veri doğrulama'!D6:E13,2,0)</f>
        <v>MEHMET YAZICI</v>
      </c>
      <c r="D456" s="6"/>
      <c r="E456" s="6" t="s">
        <v>677</v>
      </c>
      <c r="F456" s="6" t="s">
        <v>16</v>
      </c>
      <c r="G456" s="6" t="s">
        <v>34</v>
      </c>
      <c r="H456" s="6">
        <v>450</v>
      </c>
      <c r="I456" s="6">
        <v>600</v>
      </c>
      <c r="J456" s="6">
        <v>1</v>
      </c>
      <c r="K456" s="10">
        <f t="shared" si="11"/>
        <v>0.72055499999999995</v>
      </c>
      <c r="L456" s="6" t="s">
        <v>156</v>
      </c>
      <c r="M456" s="6"/>
      <c r="N456" s="6" t="s">
        <v>54</v>
      </c>
      <c r="O456" s="6" t="s">
        <v>54</v>
      </c>
      <c r="P456" s="6" t="s">
        <v>54</v>
      </c>
    </row>
    <row r="457" spans="1:16" ht="30" customHeight="1" x14ac:dyDescent="0.3">
      <c r="A457" s="7">
        <v>45826.607590740743</v>
      </c>
      <c r="B457" s="6" t="s">
        <v>7</v>
      </c>
      <c r="C457" s="6" t="str">
        <f>VLOOKUP(B455,'Veri doğrulama'!D6:E13,2,0)</f>
        <v>EYÜP GÜMÜŞ</v>
      </c>
      <c r="D457" s="6"/>
      <c r="E457" s="6" t="s">
        <v>857</v>
      </c>
      <c r="F457" s="6" t="s">
        <v>16</v>
      </c>
      <c r="G457" s="6" t="s">
        <v>34</v>
      </c>
      <c r="H457" s="6">
        <v>2386</v>
      </c>
      <c r="I457" s="6">
        <v>936</v>
      </c>
      <c r="J457" s="6">
        <v>1</v>
      </c>
      <c r="K457" s="10">
        <f t="shared" si="11"/>
        <v>0.98645000000000005</v>
      </c>
      <c r="L457" s="6" t="s">
        <v>252</v>
      </c>
      <c r="M457" s="6"/>
      <c r="N457" s="6" t="s">
        <v>54</v>
      </c>
      <c r="O457" s="6" t="s">
        <v>54</v>
      </c>
      <c r="P457" s="6" t="s">
        <v>54</v>
      </c>
    </row>
    <row r="458" spans="1:16" ht="30" customHeight="1" x14ac:dyDescent="0.3">
      <c r="A458" s="7">
        <v>45826.568035069446</v>
      </c>
      <c r="B458" s="6" t="s">
        <v>5</v>
      </c>
      <c r="C458" s="6" t="str">
        <f>VLOOKUP(B456,'Veri doğrulama'!D6:E13,2,0)</f>
        <v>MEHMET YAZICI</v>
      </c>
      <c r="D458" s="6"/>
      <c r="E458" s="6" t="s">
        <v>856</v>
      </c>
      <c r="F458" s="6" t="s">
        <v>19</v>
      </c>
      <c r="G458" s="6" t="s">
        <v>34</v>
      </c>
      <c r="H458" s="6">
        <v>600</v>
      </c>
      <c r="I458" s="6">
        <v>450</v>
      </c>
      <c r="J458" s="6">
        <v>2</v>
      </c>
      <c r="K458" s="10">
        <f t="shared" si="11"/>
        <v>0.54</v>
      </c>
      <c r="L458" s="6" t="s">
        <v>103</v>
      </c>
      <c r="M458" s="6"/>
      <c r="N458" s="6" t="s">
        <v>54</v>
      </c>
      <c r="O458" s="6" t="s">
        <v>54</v>
      </c>
      <c r="P458" s="6" t="s">
        <v>54</v>
      </c>
    </row>
    <row r="459" spans="1:16" ht="30" customHeight="1" x14ac:dyDescent="0.3">
      <c r="A459" s="7">
        <v>45825.742071064815</v>
      </c>
      <c r="B459" s="6" t="s">
        <v>6</v>
      </c>
      <c r="C459" s="6" t="str">
        <f>VLOOKUP(B457,'Veri doğrulama'!D6:E13,2,0)</f>
        <v>SIDDIK KAPLAN</v>
      </c>
      <c r="D459" s="6"/>
      <c r="E459" s="6" t="s">
        <v>855</v>
      </c>
      <c r="F459" s="6" t="s">
        <v>13</v>
      </c>
      <c r="G459" s="6" t="s">
        <v>34</v>
      </c>
      <c r="H459" s="6">
        <v>1800</v>
      </c>
      <c r="I459" s="6">
        <v>800</v>
      </c>
      <c r="J459" s="6">
        <v>1</v>
      </c>
      <c r="K459" s="10">
        <f t="shared" si="11"/>
        <v>2.2332960000000002</v>
      </c>
      <c r="L459" s="6" t="s">
        <v>43</v>
      </c>
      <c r="M459" s="6" t="s">
        <v>860</v>
      </c>
      <c r="N459" s="6" t="s">
        <v>54</v>
      </c>
      <c r="O459" s="6" t="s">
        <v>54</v>
      </c>
      <c r="P459" s="6" t="s">
        <v>54</v>
      </c>
    </row>
    <row r="460" spans="1:16" ht="30" customHeight="1" x14ac:dyDescent="0.3">
      <c r="A460" s="7">
        <v>45825.534466550926</v>
      </c>
      <c r="B460" s="6" t="s">
        <v>4</v>
      </c>
      <c r="C460" s="6" t="str">
        <f>VLOOKUP(B458,'Veri doğrulama'!D6:E13,2,0)</f>
        <v>MEHMET ÖZEN</v>
      </c>
      <c r="D460" s="6"/>
      <c r="E460" s="6" t="s">
        <v>262</v>
      </c>
      <c r="F460" s="6" t="s">
        <v>24</v>
      </c>
      <c r="G460" s="6" t="s">
        <v>35</v>
      </c>
      <c r="H460" s="6">
        <v>447</v>
      </c>
      <c r="I460" s="6">
        <v>695</v>
      </c>
      <c r="J460" s="6">
        <v>1</v>
      </c>
      <c r="K460" s="10">
        <f t="shared" si="11"/>
        <v>0.27</v>
      </c>
      <c r="L460" s="6" t="s">
        <v>75</v>
      </c>
      <c r="M460" s="6"/>
      <c r="N460" s="6" t="s">
        <v>54</v>
      </c>
      <c r="O460" s="6" t="s">
        <v>54</v>
      </c>
      <c r="P460" s="6" t="s">
        <v>54</v>
      </c>
    </row>
    <row r="461" spans="1:16" ht="30" customHeight="1" x14ac:dyDescent="0.3">
      <c r="A461" s="7">
        <v>45824.565066435185</v>
      </c>
      <c r="B461" s="6" t="s">
        <v>4</v>
      </c>
      <c r="C461" s="6" t="str">
        <f>VLOOKUP(B459,'Veri doğrulama'!D6:E13,2,0)</f>
        <v>SERVET KAPLAN</v>
      </c>
      <c r="D461" s="6"/>
      <c r="E461" s="6" t="s">
        <v>133</v>
      </c>
      <c r="F461" s="6" t="s">
        <v>16</v>
      </c>
      <c r="G461" s="6" t="s">
        <v>34</v>
      </c>
      <c r="H461" s="6">
        <v>435</v>
      </c>
      <c r="I461" s="6">
        <v>447</v>
      </c>
      <c r="J461" s="6">
        <v>1</v>
      </c>
      <c r="K461" s="10">
        <f t="shared" si="11"/>
        <v>1.44</v>
      </c>
      <c r="L461" s="6" t="s">
        <v>43</v>
      </c>
      <c r="M461" s="6" t="s">
        <v>339</v>
      </c>
      <c r="N461" s="6" t="s">
        <v>54</v>
      </c>
      <c r="O461" s="6" t="s">
        <v>54</v>
      </c>
      <c r="P461" s="6" t="s">
        <v>54</v>
      </c>
    </row>
    <row r="462" spans="1:16" ht="30" customHeight="1" x14ac:dyDescent="0.3">
      <c r="A462" s="7">
        <v>45824.564347800922</v>
      </c>
      <c r="B462" s="6" t="s">
        <v>5</v>
      </c>
      <c r="C462" s="6" t="str">
        <f>VLOOKUP(B460,'Veri doğrulama'!D6:E13,2,0)</f>
        <v>MEHMET YAZICI</v>
      </c>
      <c r="D462" s="6"/>
      <c r="E462" s="6" t="s">
        <v>194</v>
      </c>
      <c r="F462" s="6" t="s">
        <v>16</v>
      </c>
      <c r="G462" s="6" t="s">
        <v>34</v>
      </c>
      <c r="H462" s="6">
        <v>1200</v>
      </c>
      <c r="I462" s="6">
        <v>1400</v>
      </c>
      <c r="J462" s="6">
        <v>1</v>
      </c>
      <c r="K462" s="10">
        <f t="shared" si="11"/>
        <v>0.31066500000000002</v>
      </c>
      <c r="L462" s="6" t="s">
        <v>156</v>
      </c>
      <c r="M462" s="6"/>
      <c r="N462" s="6" t="s">
        <v>54</v>
      </c>
      <c r="O462" s="6" t="s">
        <v>54</v>
      </c>
      <c r="P462" s="6" t="s">
        <v>54</v>
      </c>
    </row>
    <row r="463" spans="1:16" ht="30" customHeight="1" x14ac:dyDescent="0.3">
      <c r="A463" s="7">
        <v>45824.396997569442</v>
      </c>
      <c r="B463" s="6" t="s">
        <v>5</v>
      </c>
      <c r="C463" s="6" t="str">
        <f>VLOOKUP(B461,'Veri doğrulama'!D6:E13,2,0)</f>
        <v>MEHMET YAZICI</v>
      </c>
      <c r="D463" s="6" t="s">
        <v>854</v>
      </c>
      <c r="E463" s="6" t="s">
        <v>852</v>
      </c>
      <c r="F463" s="6" t="s">
        <v>16</v>
      </c>
      <c r="G463" s="6" t="s">
        <v>34</v>
      </c>
      <c r="H463" s="6">
        <v>2260</v>
      </c>
      <c r="I463" s="6">
        <v>497</v>
      </c>
      <c r="J463" s="6">
        <v>5</v>
      </c>
      <c r="K463" s="10">
        <f t="shared" si="11"/>
        <v>0.97222500000000001</v>
      </c>
      <c r="L463" s="6" t="s">
        <v>102</v>
      </c>
      <c r="M463" s="6" t="s">
        <v>853</v>
      </c>
      <c r="N463" s="6" t="s">
        <v>54</v>
      </c>
      <c r="O463" s="6" t="s">
        <v>54</v>
      </c>
      <c r="P463" s="6" t="s">
        <v>54</v>
      </c>
    </row>
    <row r="464" spans="1:16" ht="30" customHeight="1" x14ac:dyDescent="0.3">
      <c r="A464" s="7">
        <v>45824.396327083334</v>
      </c>
      <c r="B464" s="6" t="s">
        <v>5</v>
      </c>
      <c r="C464" s="6" t="str">
        <f>VLOOKUP(B462,'Veri doğrulama'!D6:E13,2,0)</f>
        <v>MEHMET ÖZEN</v>
      </c>
      <c r="D464" s="6"/>
      <c r="E464" s="6" t="s">
        <v>851</v>
      </c>
      <c r="F464" s="6" t="s">
        <v>16</v>
      </c>
      <c r="G464" s="6" t="s">
        <v>34</v>
      </c>
      <c r="H464" s="6">
        <v>1300</v>
      </c>
      <c r="I464" s="6">
        <v>320</v>
      </c>
      <c r="J464" s="6">
        <v>3</v>
      </c>
      <c r="K464" s="10">
        <f t="shared" ref="K464:K489" si="12">H462*I462/1000000*J464</f>
        <v>5.04</v>
      </c>
      <c r="L464" s="6" t="s">
        <v>42</v>
      </c>
      <c r="M464" s="6"/>
      <c r="N464" s="6" t="s">
        <v>54</v>
      </c>
      <c r="O464" s="6" t="s">
        <v>54</v>
      </c>
      <c r="P464" s="6" t="s">
        <v>54</v>
      </c>
    </row>
    <row r="465" spans="1:16" ht="30" customHeight="1" x14ac:dyDescent="0.3">
      <c r="A465" s="7">
        <v>45824.364639583335</v>
      </c>
      <c r="B465" s="6" t="s">
        <v>5</v>
      </c>
      <c r="C465" s="6" t="str">
        <f>VLOOKUP(B463,'Veri doğrulama'!D6:E13,2,0)</f>
        <v>MEHMET ÖZEN</v>
      </c>
      <c r="D465" s="6"/>
      <c r="E465" s="6" t="s">
        <v>194</v>
      </c>
      <c r="F465" s="6" t="s">
        <v>16</v>
      </c>
      <c r="G465" s="6" t="s">
        <v>34</v>
      </c>
      <c r="H465" s="6">
        <v>1200</v>
      </c>
      <c r="I465" s="6">
        <v>1400</v>
      </c>
      <c r="J465" s="6">
        <v>1</v>
      </c>
      <c r="K465" s="10">
        <f t="shared" si="12"/>
        <v>1.1232200000000001</v>
      </c>
      <c r="L465" s="6" t="s">
        <v>43</v>
      </c>
      <c r="M465" s="6"/>
      <c r="N465" s="6" t="s">
        <v>54</v>
      </c>
      <c r="O465" s="6" t="s">
        <v>54</v>
      </c>
      <c r="P465" s="6" t="s">
        <v>54</v>
      </c>
    </row>
    <row r="466" spans="1:16" ht="30" customHeight="1" x14ac:dyDescent="0.3">
      <c r="A466" s="7">
        <v>45821.560065046295</v>
      </c>
      <c r="B466" s="6" t="s">
        <v>5</v>
      </c>
      <c r="C466" s="6" t="str">
        <f>VLOOKUP(B464,'Veri doğrulama'!D6:E13,2,0)</f>
        <v>MEHMET ÖZEN</v>
      </c>
      <c r="D466" s="6"/>
      <c r="E466" s="6" t="s">
        <v>850</v>
      </c>
      <c r="F466" s="6" t="s">
        <v>16</v>
      </c>
      <c r="G466" s="6" t="s">
        <v>34</v>
      </c>
      <c r="H466" s="6">
        <v>2386</v>
      </c>
      <c r="I466" s="6">
        <v>936</v>
      </c>
      <c r="J466" s="6">
        <v>1</v>
      </c>
      <c r="K466" s="10">
        <f t="shared" si="12"/>
        <v>0.41599999999999998</v>
      </c>
      <c r="L466" s="6" t="s">
        <v>103</v>
      </c>
      <c r="M466" s="6"/>
      <c r="N466" s="6" t="s">
        <v>54</v>
      </c>
      <c r="O466" s="6" t="s">
        <v>54</v>
      </c>
      <c r="P466" s="6" t="s">
        <v>54</v>
      </c>
    </row>
    <row r="467" spans="1:16" ht="30" customHeight="1" x14ac:dyDescent="0.3">
      <c r="A467" s="7">
        <v>45820.711264699072</v>
      </c>
      <c r="B467" s="6" t="s">
        <v>4</v>
      </c>
      <c r="C467" s="6" t="str">
        <f>VLOOKUP(B465,'Veri doğrulama'!D6:E13,2,0)</f>
        <v>MEHMET ÖZEN</v>
      </c>
      <c r="D467" s="6"/>
      <c r="E467" s="6" t="s">
        <v>849</v>
      </c>
      <c r="F467" s="6" t="s">
        <v>26</v>
      </c>
      <c r="G467" s="6" t="s">
        <v>34</v>
      </c>
      <c r="H467" s="6">
        <v>717</v>
      </c>
      <c r="I467" s="6">
        <v>435</v>
      </c>
      <c r="J467" s="6">
        <v>1</v>
      </c>
      <c r="K467" s="10">
        <f t="shared" si="12"/>
        <v>1.68</v>
      </c>
      <c r="L467" s="6" t="s">
        <v>42</v>
      </c>
      <c r="M467" s="6"/>
      <c r="N467" s="6" t="s">
        <v>54</v>
      </c>
      <c r="O467" s="6" t="s">
        <v>54</v>
      </c>
      <c r="P467" s="6" t="s">
        <v>54</v>
      </c>
    </row>
    <row r="468" spans="1:16" ht="30" customHeight="1" x14ac:dyDescent="0.3">
      <c r="A468" s="7">
        <v>45820.338661226851</v>
      </c>
      <c r="B468" s="6" t="s">
        <v>5</v>
      </c>
      <c r="C468" s="6" t="str">
        <f>VLOOKUP(B466,'Veri doğrulama'!D6:E13,2,0)</f>
        <v>MEHMET ÖZEN</v>
      </c>
      <c r="D468" s="6"/>
      <c r="E468" s="6" t="s">
        <v>848</v>
      </c>
      <c r="F468" s="6" t="s">
        <v>16</v>
      </c>
      <c r="G468" s="6" t="s">
        <v>34</v>
      </c>
      <c r="H468" s="6">
        <v>1180</v>
      </c>
      <c r="I468" s="6">
        <v>550</v>
      </c>
      <c r="J468" s="6">
        <v>2</v>
      </c>
      <c r="K468" s="10">
        <f t="shared" si="12"/>
        <v>4.4665920000000003</v>
      </c>
      <c r="L468" s="6" t="s">
        <v>103</v>
      </c>
      <c r="M468" s="6" t="s">
        <v>411</v>
      </c>
      <c r="N468" s="6" t="s">
        <v>54</v>
      </c>
      <c r="O468" s="6" t="s">
        <v>54</v>
      </c>
      <c r="P468" s="6" t="s">
        <v>54</v>
      </c>
    </row>
    <row r="469" spans="1:16" ht="30" customHeight="1" x14ac:dyDescent="0.3">
      <c r="A469" s="7">
        <v>45819.761502199071</v>
      </c>
      <c r="B469" s="6" t="s">
        <v>4</v>
      </c>
      <c r="C469" s="6" t="str">
        <f>VLOOKUP(B467,'Veri doğrulama'!D6:E13,2,0)</f>
        <v>MEHMET YAZICI</v>
      </c>
      <c r="D469" s="6"/>
      <c r="E469" s="6" t="s">
        <v>436</v>
      </c>
      <c r="F469" s="6" t="s">
        <v>16</v>
      </c>
      <c r="G469" s="6" t="s">
        <v>34</v>
      </c>
      <c r="H469" s="6">
        <v>2386</v>
      </c>
      <c r="I469" s="6">
        <v>936</v>
      </c>
      <c r="J469" s="6">
        <v>1</v>
      </c>
      <c r="K469" s="10">
        <f t="shared" si="12"/>
        <v>0.31189499999999998</v>
      </c>
      <c r="L469" s="6" t="s">
        <v>42</v>
      </c>
      <c r="M469" s="6" t="s">
        <v>829</v>
      </c>
      <c r="N469" s="6" t="s">
        <v>54</v>
      </c>
      <c r="O469" s="6" t="s">
        <v>54</v>
      </c>
      <c r="P469" s="6" t="s">
        <v>54</v>
      </c>
    </row>
    <row r="470" spans="1:16" ht="30" customHeight="1" x14ac:dyDescent="0.3">
      <c r="A470" s="7">
        <v>45819.607398958331</v>
      </c>
      <c r="B470" s="6" t="s">
        <v>4</v>
      </c>
      <c r="C470" s="6" t="str">
        <f>VLOOKUP(B468,'Veri doğrulama'!D6:E13,2,0)</f>
        <v>MEHMET ÖZEN</v>
      </c>
      <c r="D470" s="6" t="s">
        <v>847</v>
      </c>
      <c r="E470" s="6" t="s">
        <v>846</v>
      </c>
      <c r="F470" s="6" t="s">
        <v>16</v>
      </c>
      <c r="G470" s="6" t="s">
        <v>34</v>
      </c>
      <c r="H470" s="6">
        <v>900</v>
      </c>
      <c r="I470" s="6">
        <v>600</v>
      </c>
      <c r="J470" s="6">
        <v>1</v>
      </c>
      <c r="K470" s="10">
        <f t="shared" si="12"/>
        <v>0.64900000000000002</v>
      </c>
      <c r="L470" s="6" t="s">
        <v>42</v>
      </c>
      <c r="M470" s="6"/>
      <c r="N470" s="6" t="s">
        <v>54</v>
      </c>
      <c r="O470" s="6" t="s">
        <v>54</v>
      </c>
      <c r="P470" s="6" t="s">
        <v>54</v>
      </c>
    </row>
    <row r="471" spans="1:16" ht="30" customHeight="1" x14ac:dyDescent="0.3">
      <c r="A471" s="7">
        <v>45819.606631481482</v>
      </c>
      <c r="B471" s="6" t="s">
        <v>4</v>
      </c>
      <c r="C471" s="6" t="str">
        <f>VLOOKUP(B469,'Veri doğrulama'!D6:E13,2,0)</f>
        <v>MEHMET YAZICI</v>
      </c>
      <c r="D471" s="6"/>
      <c r="E471" s="6" t="s">
        <v>845</v>
      </c>
      <c r="F471" s="6" t="s">
        <v>16</v>
      </c>
      <c r="G471" s="6" t="s">
        <v>35</v>
      </c>
      <c r="H471" s="6">
        <v>900</v>
      </c>
      <c r="I471" s="6">
        <v>600</v>
      </c>
      <c r="J471" s="6">
        <v>1</v>
      </c>
      <c r="K471" s="10">
        <f t="shared" si="12"/>
        <v>2.2332960000000002</v>
      </c>
      <c r="L471" s="6" t="s">
        <v>75</v>
      </c>
      <c r="M471" s="6"/>
      <c r="N471" s="6" t="s">
        <v>54</v>
      </c>
      <c r="O471" s="6" t="s">
        <v>54</v>
      </c>
      <c r="P471" s="6" t="s">
        <v>54</v>
      </c>
    </row>
    <row r="472" spans="1:16" ht="30" customHeight="1" x14ac:dyDescent="0.3">
      <c r="A472" s="7">
        <v>45819.606137847222</v>
      </c>
      <c r="B472" s="6" t="s">
        <v>4</v>
      </c>
      <c r="C472" s="6" t="str">
        <f>VLOOKUP(B470,'Veri doğrulama'!D6:E13,2,0)</f>
        <v>MEHMET YAZICI</v>
      </c>
      <c r="D472" s="6"/>
      <c r="E472" s="6" t="s">
        <v>79</v>
      </c>
      <c r="F472" s="6" t="s">
        <v>16</v>
      </c>
      <c r="G472" s="6" t="s">
        <v>35</v>
      </c>
      <c r="H472" s="6">
        <v>2200</v>
      </c>
      <c r="I472" s="6">
        <v>445</v>
      </c>
      <c r="J472" s="6">
        <v>1</v>
      </c>
      <c r="K472" s="10">
        <f t="shared" si="12"/>
        <v>0.54</v>
      </c>
      <c r="L472" s="6" t="s">
        <v>75</v>
      </c>
      <c r="M472" s="6"/>
      <c r="N472" s="6" t="s">
        <v>54</v>
      </c>
      <c r="O472" s="6" t="s">
        <v>54</v>
      </c>
      <c r="P472" s="6" t="s">
        <v>54</v>
      </c>
    </row>
    <row r="473" spans="1:16" ht="30" customHeight="1" x14ac:dyDescent="0.3">
      <c r="A473" s="7">
        <v>45819.60571689815</v>
      </c>
      <c r="B473" s="6" t="s">
        <v>4</v>
      </c>
      <c r="C473" s="6" t="str">
        <f>VLOOKUP(B471,'Veri doğrulama'!D6:E13,2,0)</f>
        <v>MEHMET YAZICI</v>
      </c>
      <c r="D473" s="6"/>
      <c r="E473" s="6" t="s">
        <v>79</v>
      </c>
      <c r="F473" s="6" t="s">
        <v>16</v>
      </c>
      <c r="G473" s="6" t="s">
        <v>35</v>
      </c>
      <c r="H473" s="6">
        <v>2200</v>
      </c>
      <c r="I473" s="6">
        <v>445</v>
      </c>
      <c r="J473" s="6">
        <v>2</v>
      </c>
      <c r="K473" s="10">
        <f t="shared" si="12"/>
        <v>1.08</v>
      </c>
      <c r="L473" s="6" t="s">
        <v>103</v>
      </c>
      <c r="M473" s="6"/>
      <c r="N473" s="6" t="s">
        <v>54</v>
      </c>
      <c r="O473" s="6" t="s">
        <v>54</v>
      </c>
      <c r="P473" s="6" t="s">
        <v>54</v>
      </c>
    </row>
    <row r="474" spans="1:16" ht="30" customHeight="1" x14ac:dyDescent="0.3">
      <c r="A474" s="7">
        <v>45819.605303356482</v>
      </c>
      <c r="B474" s="6" t="s">
        <v>4</v>
      </c>
      <c r="C474" s="6" t="str">
        <f>VLOOKUP(B472,'Veri doğrulama'!D6:E13,2,0)</f>
        <v>MEHMET YAZICI</v>
      </c>
      <c r="D474" s="6"/>
      <c r="E474" s="6" t="s">
        <v>262</v>
      </c>
      <c r="F474" s="6" t="s">
        <v>24</v>
      </c>
      <c r="G474" s="6" t="s">
        <v>35</v>
      </c>
      <c r="H474" s="6">
        <v>695</v>
      </c>
      <c r="I474" s="6">
        <v>447</v>
      </c>
      <c r="J474" s="6">
        <v>1</v>
      </c>
      <c r="K474" s="10">
        <f t="shared" si="12"/>
        <v>0.97899999999999998</v>
      </c>
      <c r="L474" s="6" t="s">
        <v>75</v>
      </c>
      <c r="M474" s="6"/>
      <c r="N474" s="6" t="s">
        <v>54</v>
      </c>
      <c r="O474" s="6" t="s">
        <v>54</v>
      </c>
      <c r="P474" s="6" t="s">
        <v>54</v>
      </c>
    </row>
    <row r="475" spans="1:16" ht="30" customHeight="1" x14ac:dyDescent="0.3">
      <c r="A475" s="7">
        <v>45819.510512384259</v>
      </c>
      <c r="B475" s="6" t="s">
        <v>4</v>
      </c>
      <c r="C475" s="6" t="str">
        <f>VLOOKUP(B473,'Veri doğrulama'!D6:E13,2,0)</f>
        <v>MEHMET YAZICI</v>
      </c>
      <c r="D475" s="6"/>
      <c r="E475" s="6" t="s">
        <v>262</v>
      </c>
      <c r="F475" s="6" t="s">
        <v>19</v>
      </c>
      <c r="G475" s="6" t="s">
        <v>34</v>
      </c>
      <c r="H475" s="6">
        <v>518</v>
      </c>
      <c r="I475" s="6">
        <v>397</v>
      </c>
      <c r="J475" s="6">
        <v>4</v>
      </c>
      <c r="K475" s="10">
        <f t="shared" si="12"/>
        <v>3.9159999999999999</v>
      </c>
      <c r="L475" s="6" t="s">
        <v>103</v>
      </c>
      <c r="M475" s="6" t="s">
        <v>206</v>
      </c>
      <c r="N475" s="6" t="s">
        <v>54</v>
      </c>
      <c r="O475" s="6" t="s">
        <v>54</v>
      </c>
      <c r="P475" s="6" t="s">
        <v>54</v>
      </c>
    </row>
    <row r="476" spans="1:16" ht="30" customHeight="1" x14ac:dyDescent="0.3">
      <c r="A476" s="7">
        <v>45819.509489004631</v>
      </c>
      <c r="B476" s="6" t="s">
        <v>4</v>
      </c>
      <c r="C476" s="6" t="str">
        <f>VLOOKUP(B474,'Veri doğrulama'!D6:E13,2,0)</f>
        <v>MEHMET YAZICI</v>
      </c>
      <c r="D476" s="6"/>
      <c r="E476" s="6" t="s">
        <v>843</v>
      </c>
      <c r="F476" s="6" t="s">
        <v>16</v>
      </c>
      <c r="G476" s="6" t="s">
        <v>34</v>
      </c>
      <c r="H476" s="6">
        <v>1150</v>
      </c>
      <c r="I476" s="6">
        <v>451</v>
      </c>
      <c r="J476" s="6">
        <v>1</v>
      </c>
      <c r="K476" s="10">
        <f t="shared" si="12"/>
        <v>0.31066500000000002</v>
      </c>
      <c r="L476" s="6" t="s">
        <v>156</v>
      </c>
      <c r="M476" s="6"/>
      <c r="N476" s="6" t="s">
        <v>54</v>
      </c>
      <c r="O476" s="6" t="s">
        <v>54</v>
      </c>
      <c r="P476" s="6" t="s">
        <v>54</v>
      </c>
    </row>
    <row r="477" spans="1:16" ht="30" customHeight="1" x14ac:dyDescent="0.3">
      <c r="A477" s="7">
        <v>45818.762341435184</v>
      </c>
      <c r="B477" s="6" t="s">
        <v>4</v>
      </c>
      <c r="C477" s="6" t="str">
        <f>VLOOKUP(B475,'Veri doğrulama'!D6:E13,2,0)</f>
        <v>MEHMET YAZICI</v>
      </c>
      <c r="D477" s="6"/>
      <c r="E477" s="6" t="s">
        <v>842</v>
      </c>
      <c r="F477" s="6" t="s">
        <v>16</v>
      </c>
      <c r="G477" s="6" t="s">
        <v>34</v>
      </c>
      <c r="H477" s="6">
        <v>1150</v>
      </c>
      <c r="I477" s="6">
        <v>406</v>
      </c>
      <c r="J477" s="6">
        <v>1</v>
      </c>
      <c r="K477" s="10">
        <f t="shared" si="12"/>
        <v>0.205646</v>
      </c>
      <c r="L477" s="6" t="s">
        <v>103</v>
      </c>
      <c r="M477" s="6"/>
      <c r="N477" s="6" t="s">
        <v>54</v>
      </c>
      <c r="O477" s="6" t="s">
        <v>54</v>
      </c>
      <c r="P477" s="6" t="s">
        <v>54</v>
      </c>
    </row>
    <row r="478" spans="1:16" ht="30" customHeight="1" x14ac:dyDescent="0.3">
      <c r="A478" s="7">
        <v>45818.761600231483</v>
      </c>
      <c r="B478" s="6" t="s">
        <v>4</v>
      </c>
      <c r="C478" s="6" t="str">
        <f>VLOOKUP(B476,'Veri doğrulama'!D6:E13,2,0)</f>
        <v>MEHMET YAZICI</v>
      </c>
      <c r="D478" s="6">
        <v>78905</v>
      </c>
      <c r="E478" s="6" t="s">
        <v>844</v>
      </c>
      <c r="F478" s="6" t="s">
        <v>16</v>
      </c>
      <c r="G478" s="6" t="s">
        <v>34</v>
      </c>
      <c r="H478" s="6">
        <v>539</v>
      </c>
      <c r="I478" s="6">
        <v>406</v>
      </c>
      <c r="J478" s="6">
        <v>1</v>
      </c>
      <c r="K478" s="10">
        <f t="shared" si="12"/>
        <v>0.51865000000000006</v>
      </c>
      <c r="L478" s="6" t="s">
        <v>75</v>
      </c>
      <c r="M478" s="6"/>
      <c r="N478" s="6" t="s">
        <v>54</v>
      </c>
      <c r="O478" s="6" t="s">
        <v>54</v>
      </c>
      <c r="P478" s="6" t="s">
        <v>54</v>
      </c>
    </row>
    <row r="479" spans="1:16" ht="30" customHeight="1" x14ac:dyDescent="0.3">
      <c r="A479" s="7">
        <v>45818.760686111113</v>
      </c>
      <c r="B479" s="6" t="s">
        <v>4</v>
      </c>
      <c r="C479" s="6" t="str">
        <f>VLOOKUP(B477,'Veri doğrulama'!D6:E13,2,0)</f>
        <v>MEHMET YAZICI</v>
      </c>
      <c r="D479" s="6">
        <v>78902</v>
      </c>
      <c r="E479" s="6" t="s">
        <v>841</v>
      </c>
      <c r="F479" s="6" t="s">
        <v>17</v>
      </c>
      <c r="G479" s="6" t="s">
        <v>34</v>
      </c>
      <c r="H479" s="6">
        <v>450</v>
      </c>
      <c r="I479" s="6">
        <v>600</v>
      </c>
      <c r="J479" s="6">
        <v>1</v>
      </c>
      <c r="K479" s="10">
        <f t="shared" si="12"/>
        <v>0.46689999999999998</v>
      </c>
      <c r="L479" s="6" t="s">
        <v>75</v>
      </c>
      <c r="M479" s="6"/>
      <c r="N479" s="6" t="s">
        <v>54</v>
      </c>
      <c r="O479" s="6" t="s">
        <v>54</v>
      </c>
      <c r="P479" s="6" t="s">
        <v>54</v>
      </c>
    </row>
    <row r="480" spans="1:16" ht="30" customHeight="1" x14ac:dyDescent="0.3">
      <c r="A480" s="7">
        <v>45818.759696064815</v>
      </c>
      <c r="B480" s="6" t="s">
        <v>4</v>
      </c>
      <c r="C480" s="6" t="str">
        <f>VLOOKUP(B478,'Veri doğrulama'!D6:E13,2,0)</f>
        <v>MEHMET YAZICI</v>
      </c>
      <c r="D480" s="6">
        <v>78902</v>
      </c>
      <c r="E480" s="6" t="s">
        <v>840</v>
      </c>
      <c r="F480" s="6" t="s">
        <v>17</v>
      </c>
      <c r="G480" s="6" t="s">
        <v>34</v>
      </c>
      <c r="H480" s="6">
        <v>450</v>
      </c>
      <c r="I480" s="6">
        <v>581</v>
      </c>
      <c r="J480" s="6">
        <v>1</v>
      </c>
      <c r="K480" s="10">
        <f t="shared" si="12"/>
        <v>0.218834</v>
      </c>
      <c r="L480" s="6" t="s">
        <v>103</v>
      </c>
      <c r="M480" s="6"/>
      <c r="N480" s="6" t="s">
        <v>54</v>
      </c>
      <c r="O480" s="6" t="s">
        <v>54</v>
      </c>
      <c r="P480" s="6" t="s">
        <v>54</v>
      </c>
    </row>
    <row r="481" spans="1:16" ht="30" customHeight="1" x14ac:dyDescent="0.3">
      <c r="A481" s="7">
        <v>45818.758691898147</v>
      </c>
      <c r="B481" s="6" t="s">
        <v>4</v>
      </c>
      <c r="C481" s="6" t="str">
        <f>VLOOKUP(B479,'Veri doğrulama'!D6:E13,2,0)</f>
        <v>MEHMET YAZICI</v>
      </c>
      <c r="D481" s="6">
        <v>78904</v>
      </c>
      <c r="E481" s="6" t="s">
        <v>798</v>
      </c>
      <c r="F481" s="6" t="s">
        <v>24</v>
      </c>
      <c r="G481" s="6" t="s">
        <v>34</v>
      </c>
      <c r="H481" s="6">
        <v>900</v>
      </c>
      <c r="I481" s="6">
        <v>600</v>
      </c>
      <c r="J481" s="6">
        <v>1</v>
      </c>
      <c r="K481" s="10">
        <f t="shared" si="12"/>
        <v>0.27</v>
      </c>
      <c r="L481" s="6" t="s">
        <v>75</v>
      </c>
      <c r="M481" s="6"/>
      <c r="N481" s="6" t="s">
        <v>54</v>
      </c>
      <c r="O481" s="6" t="s">
        <v>54</v>
      </c>
      <c r="P481" s="6" t="s">
        <v>54</v>
      </c>
    </row>
    <row r="482" spans="1:16" ht="30" customHeight="1" x14ac:dyDescent="0.3">
      <c r="A482" s="7">
        <v>45818.757280092592</v>
      </c>
      <c r="B482" s="6" t="s">
        <v>4</v>
      </c>
      <c r="C482" s="6" t="str">
        <f>VLOOKUP(B480,'Veri doğrulama'!D6:E13,2,0)</f>
        <v>MEHMET YAZICI</v>
      </c>
      <c r="D482" s="6">
        <v>78904</v>
      </c>
      <c r="E482" s="6" t="s">
        <v>839</v>
      </c>
      <c r="F482" s="6" t="s">
        <v>19</v>
      </c>
      <c r="G482" s="6" t="s">
        <v>35</v>
      </c>
      <c r="H482" s="6">
        <v>698</v>
      </c>
      <c r="I482" s="6">
        <v>435</v>
      </c>
      <c r="J482" s="6">
        <v>1</v>
      </c>
      <c r="K482" s="10">
        <f t="shared" si="12"/>
        <v>0.26145000000000002</v>
      </c>
      <c r="L482" s="6" t="s">
        <v>103</v>
      </c>
      <c r="M482" s="6"/>
      <c r="N482" s="6" t="s">
        <v>54</v>
      </c>
      <c r="O482" s="6" t="s">
        <v>54</v>
      </c>
      <c r="P482" s="6" t="s">
        <v>54</v>
      </c>
    </row>
    <row r="483" spans="1:16" ht="30" customHeight="1" x14ac:dyDescent="0.3">
      <c r="A483" s="7">
        <v>45818.756371527779</v>
      </c>
      <c r="B483" s="6" t="s">
        <v>5</v>
      </c>
      <c r="C483" s="6" t="str">
        <f>VLOOKUP(B481,'Veri doğrulama'!D6:E13,2,0)</f>
        <v>MEHMET YAZICI</v>
      </c>
      <c r="D483" s="6">
        <v>23038</v>
      </c>
      <c r="E483" s="6" t="s">
        <v>684</v>
      </c>
      <c r="F483" s="6" t="s">
        <v>17</v>
      </c>
      <c r="G483" s="6" t="s">
        <v>34</v>
      </c>
      <c r="H483" s="6">
        <v>2200</v>
      </c>
      <c r="I483" s="6">
        <v>450</v>
      </c>
      <c r="J483" s="6">
        <v>1</v>
      </c>
      <c r="K483" s="10">
        <f t="shared" si="12"/>
        <v>0.54</v>
      </c>
      <c r="L483" s="6" t="s">
        <v>103</v>
      </c>
      <c r="M483" s="6"/>
      <c r="N483" s="6" t="s">
        <v>54</v>
      </c>
      <c r="O483" s="6" t="s">
        <v>54</v>
      </c>
      <c r="P483" s="6" t="s">
        <v>54</v>
      </c>
    </row>
    <row r="484" spans="1:16" ht="30" customHeight="1" x14ac:dyDescent="0.3">
      <c r="A484" s="7">
        <v>45818.661174652778</v>
      </c>
      <c r="B484" s="6" t="s">
        <v>4</v>
      </c>
      <c r="C484" s="6" t="str">
        <f>VLOOKUP(B482,'Veri doğrulama'!D6:E13,2,0)</f>
        <v>MEHMET YAZICI</v>
      </c>
      <c r="D484" s="6">
        <v>23119</v>
      </c>
      <c r="E484" s="6" t="s">
        <v>838</v>
      </c>
      <c r="F484" s="6" t="s">
        <v>17</v>
      </c>
      <c r="G484" s="6" t="s">
        <v>34</v>
      </c>
      <c r="H484" s="6">
        <v>800</v>
      </c>
      <c r="I484" s="6">
        <v>360</v>
      </c>
      <c r="J484" s="6">
        <v>1</v>
      </c>
      <c r="K484" s="10">
        <f t="shared" si="12"/>
        <v>0.30363000000000001</v>
      </c>
      <c r="L484" s="6" t="s">
        <v>103</v>
      </c>
      <c r="M484" s="6" t="s">
        <v>206</v>
      </c>
      <c r="N484" s="6" t="s">
        <v>54</v>
      </c>
      <c r="O484" s="6" t="s">
        <v>54</v>
      </c>
      <c r="P484" s="6" t="s">
        <v>54</v>
      </c>
    </row>
    <row r="485" spans="1:16" ht="30" customHeight="1" x14ac:dyDescent="0.3">
      <c r="A485" s="7">
        <v>45818.617457870372</v>
      </c>
      <c r="B485" s="6" t="s">
        <v>4</v>
      </c>
      <c r="C485" s="6" t="str">
        <f>VLOOKUP(B483,'Veri doğrulama'!D6:E13,2,0)</f>
        <v>MEHMET ÖZEN</v>
      </c>
      <c r="D485" s="6">
        <v>23085</v>
      </c>
      <c r="E485" s="6" t="s">
        <v>836</v>
      </c>
      <c r="F485" s="6" t="s">
        <v>24</v>
      </c>
      <c r="G485" s="6" t="s">
        <v>34</v>
      </c>
      <c r="H485" s="6">
        <v>672</v>
      </c>
      <c r="I485" s="6">
        <v>446</v>
      </c>
      <c r="J485" s="6">
        <v>1</v>
      </c>
      <c r="K485" s="10">
        <f t="shared" si="12"/>
        <v>0.99</v>
      </c>
      <c r="L485" s="6" t="s">
        <v>102</v>
      </c>
      <c r="M485" s="6" t="s">
        <v>667</v>
      </c>
      <c r="N485" s="6" t="s">
        <v>54</v>
      </c>
      <c r="O485" s="6" t="s">
        <v>54</v>
      </c>
      <c r="P485" s="6" t="s">
        <v>54</v>
      </c>
    </row>
    <row r="486" spans="1:16" ht="30" customHeight="1" x14ac:dyDescent="0.3">
      <c r="A486" s="7">
        <v>45818.569912500003</v>
      </c>
      <c r="B486" s="6" t="s">
        <v>4</v>
      </c>
      <c r="C486" s="6" t="str">
        <f>VLOOKUP(B484,'Veri doğrulama'!D6:E13,2,0)</f>
        <v>MEHMET YAZICI</v>
      </c>
      <c r="D486" s="6" t="s">
        <v>837</v>
      </c>
      <c r="E486" s="6" t="s">
        <v>833</v>
      </c>
      <c r="F486" s="6" t="s">
        <v>24</v>
      </c>
      <c r="G486" s="6" t="s">
        <v>34</v>
      </c>
      <c r="H486" s="6">
        <v>574</v>
      </c>
      <c r="I486" s="6">
        <v>410</v>
      </c>
      <c r="J486" s="6">
        <v>1</v>
      </c>
      <c r="K486" s="10">
        <f t="shared" si="12"/>
        <v>0.28799999999999998</v>
      </c>
      <c r="L486" s="6" t="s">
        <v>102</v>
      </c>
      <c r="M486" s="6" t="s">
        <v>834</v>
      </c>
      <c r="N486" s="6" t="s">
        <v>54</v>
      </c>
      <c r="O486" s="6" t="s">
        <v>54</v>
      </c>
      <c r="P486" s="6" t="s">
        <v>54</v>
      </c>
    </row>
    <row r="487" spans="1:16" ht="30" customHeight="1" x14ac:dyDescent="0.3">
      <c r="A487" s="7">
        <v>45818.491026620373</v>
      </c>
      <c r="B487" s="6" t="s">
        <v>4</v>
      </c>
      <c r="C487" s="6" t="str">
        <f>VLOOKUP(B485,'Veri doğrulama'!D6:E13,2,0)</f>
        <v>MEHMET YAZICI</v>
      </c>
      <c r="D487" s="6" t="s">
        <v>835</v>
      </c>
      <c r="E487" s="6" t="s">
        <v>831</v>
      </c>
      <c r="F487" s="6" t="s">
        <v>26</v>
      </c>
      <c r="G487" s="6" t="s">
        <v>34</v>
      </c>
      <c r="H487" s="6">
        <v>715</v>
      </c>
      <c r="I487" s="6">
        <v>434</v>
      </c>
      <c r="J487" s="6">
        <v>1</v>
      </c>
      <c r="K487" s="10">
        <f t="shared" si="12"/>
        <v>0.29971199999999998</v>
      </c>
      <c r="L487" s="6" t="s">
        <v>75</v>
      </c>
      <c r="M487" s="6" t="s">
        <v>829</v>
      </c>
      <c r="N487" s="6" t="s">
        <v>54</v>
      </c>
      <c r="O487" s="6" t="s">
        <v>54</v>
      </c>
      <c r="P487" s="6" t="s">
        <v>54</v>
      </c>
    </row>
    <row r="488" spans="1:16" ht="30" customHeight="1" x14ac:dyDescent="0.3">
      <c r="A488" s="7">
        <v>45818.470329976852</v>
      </c>
      <c r="B488" s="6" t="s">
        <v>4</v>
      </c>
      <c r="C488" s="6" t="str">
        <f>VLOOKUP(B486,'Veri doğrulama'!D6:E13,2,0)</f>
        <v>MEHMET YAZICI</v>
      </c>
      <c r="D488" s="6" t="s">
        <v>832</v>
      </c>
      <c r="E488" s="6" t="s">
        <v>97</v>
      </c>
      <c r="F488" s="6" t="s">
        <v>27</v>
      </c>
      <c r="G488" s="6" t="s">
        <v>34</v>
      </c>
      <c r="H488" s="6">
        <v>720</v>
      </c>
      <c r="I488" s="6">
        <v>320</v>
      </c>
      <c r="J488" s="6">
        <v>1</v>
      </c>
      <c r="K488" s="10">
        <f t="shared" si="12"/>
        <v>0.23533999999999999</v>
      </c>
      <c r="L488" s="6" t="s">
        <v>103</v>
      </c>
      <c r="M488" s="6"/>
      <c r="N488" s="6" t="s">
        <v>54</v>
      </c>
      <c r="O488" s="6" t="s">
        <v>54</v>
      </c>
      <c r="P488" s="6" t="s">
        <v>54</v>
      </c>
    </row>
    <row r="489" spans="1:16" ht="30" customHeight="1" x14ac:dyDescent="0.3">
      <c r="A489" s="7">
        <v>45818.403803587964</v>
      </c>
      <c r="B489" s="6" t="s">
        <v>4</v>
      </c>
      <c r="C489" s="6" t="str">
        <f>VLOOKUP(B487,'Veri doğrulama'!D6:E13,2,0)</f>
        <v>MEHMET YAZICI</v>
      </c>
      <c r="D489" s="6" t="s">
        <v>830</v>
      </c>
      <c r="E489" s="6" t="s">
        <v>66</v>
      </c>
      <c r="F489" s="6" t="s">
        <v>67</v>
      </c>
      <c r="G489" s="6" t="s">
        <v>34</v>
      </c>
      <c r="H489" s="6">
        <v>710</v>
      </c>
      <c r="I489" s="6">
        <v>549</v>
      </c>
      <c r="J489" s="6">
        <v>1</v>
      </c>
      <c r="K489" s="10">
        <f t="shared" si="12"/>
        <v>0.31030999999999997</v>
      </c>
      <c r="L489" s="6" t="s">
        <v>75</v>
      </c>
      <c r="M489" s="6"/>
      <c r="N489" s="6" t="s">
        <v>54</v>
      </c>
      <c r="O489" s="6" t="s">
        <v>54</v>
      </c>
      <c r="P489" s="6" t="s">
        <v>54</v>
      </c>
    </row>
    <row r="490" spans="1:16" ht="30" customHeight="1" x14ac:dyDescent="0.3">
      <c r="A490" s="7">
        <v>45807.769431250003</v>
      </c>
      <c r="B490" s="6" t="s">
        <v>4</v>
      </c>
      <c r="C490" s="6" t="s">
        <v>125</v>
      </c>
      <c r="D490" s="6"/>
      <c r="E490" s="6" t="s">
        <v>826</v>
      </c>
      <c r="F490" s="6" t="s">
        <v>16</v>
      </c>
      <c r="G490" s="6" t="s">
        <v>35</v>
      </c>
      <c r="H490" s="6">
        <v>900</v>
      </c>
      <c r="I490" s="6">
        <v>580</v>
      </c>
      <c r="J490" s="6">
        <v>2</v>
      </c>
      <c r="K490" s="10">
        <f>H489*I489/1000000*J491</f>
        <v>0.38979000000000003</v>
      </c>
      <c r="L490" s="6" t="s">
        <v>37</v>
      </c>
      <c r="M490" s="6"/>
      <c r="N490" s="6" t="s">
        <v>54</v>
      </c>
      <c r="O490" s="6" t="s">
        <v>54</v>
      </c>
      <c r="P490" s="6" t="s">
        <v>54</v>
      </c>
    </row>
    <row r="491" spans="1:16" ht="30" customHeight="1" x14ac:dyDescent="0.3">
      <c r="A491" s="7">
        <v>45807.767299768515</v>
      </c>
      <c r="B491" s="6" t="s">
        <v>4</v>
      </c>
      <c r="C491" s="6" t="s">
        <v>9</v>
      </c>
      <c r="D491" s="6"/>
      <c r="E491" s="6"/>
      <c r="F491" s="6" t="s">
        <v>16</v>
      </c>
      <c r="G491" s="6" t="s">
        <v>34</v>
      </c>
      <c r="H491" s="6">
        <v>575</v>
      </c>
      <c r="I491" s="6">
        <v>448</v>
      </c>
      <c r="J491" s="6">
        <v>1</v>
      </c>
      <c r="K491" s="10">
        <f>H490*I490/1000000*J492</f>
        <v>0.52200000000000002</v>
      </c>
      <c r="L491" s="6" t="s">
        <v>40</v>
      </c>
      <c r="M491" s="6"/>
      <c r="N491" s="6" t="s">
        <v>54</v>
      </c>
      <c r="O491" s="6" t="s">
        <v>54</v>
      </c>
      <c r="P491" s="6"/>
    </row>
    <row r="492" spans="1:16" ht="30" customHeight="1" x14ac:dyDescent="0.3">
      <c r="A492" s="7">
        <v>45807.766696527775</v>
      </c>
      <c r="B492" s="6" t="s">
        <v>4</v>
      </c>
      <c r="C492" s="6" t="str">
        <f>VLOOKUP(B490,'Veri doğrulama'!D6:E13,2,0)</f>
        <v>MEHMET YAZICI</v>
      </c>
      <c r="D492" s="6"/>
      <c r="E492" s="6" t="s">
        <v>825</v>
      </c>
      <c r="F492" s="6" t="s">
        <v>16</v>
      </c>
      <c r="G492" s="6" t="s">
        <v>34</v>
      </c>
      <c r="H492" s="6">
        <v>1815</v>
      </c>
      <c r="I492" s="6">
        <v>397</v>
      </c>
      <c r="J492" s="6">
        <v>1</v>
      </c>
      <c r="K492" s="10">
        <f>H490*I490/1000000*J492</f>
        <v>0.52200000000000002</v>
      </c>
      <c r="L492" s="6" t="s">
        <v>39</v>
      </c>
      <c r="M492" s="6" t="s">
        <v>715</v>
      </c>
      <c r="N492" s="6"/>
      <c r="O492" s="6" t="s">
        <v>54</v>
      </c>
      <c r="P492" s="6"/>
    </row>
    <row r="493" spans="1:16" ht="30" customHeight="1" x14ac:dyDescent="0.3">
      <c r="A493" s="7">
        <v>45807.761410995372</v>
      </c>
      <c r="B493" s="6" t="s">
        <v>4</v>
      </c>
      <c r="C493" s="6" t="str">
        <f>VLOOKUP(B491,'Veri doğrulama'!D6:E13,2,0)</f>
        <v>MEHMET YAZICI</v>
      </c>
      <c r="D493" s="6"/>
      <c r="E493" s="6" t="s">
        <v>138</v>
      </c>
      <c r="F493" s="6" t="s">
        <v>29</v>
      </c>
      <c r="G493" s="6" t="s">
        <v>34</v>
      </c>
      <c r="H493" s="6">
        <v>953</v>
      </c>
      <c r="I493" s="6">
        <v>450</v>
      </c>
      <c r="J493" s="6">
        <v>1</v>
      </c>
      <c r="K493" s="10">
        <f>H491*I491/1000000*J493</f>
        <v>0.2576</v>
      </c>
      <c r="L493" s="6" t="s">
        <v>156</v>
      </c>
      <c r="M493" s="6"/>
      <c r="N493" s="6"/>
      <c r="O493" s="6"/>
      <c r="P493" s="6"/>
    </row>
    <row r="494" spans="1:16" ht="30" customHeight="1" x14ac:dyDescent="0.3">
      <c r="A494" s="7">
        <v>45807.760983796295</v>
      </c>
      <c r="B494" s="6" t="s">
        <v>5</v>
      </c>
      <c r="C494" s="6" t="str">
        <f>VLOOKUP(B492,'Veri doğrulama'!D6:E13,2,0)</f>
        <v>MEHMET YAZICI</v>
      </c>
      <c r="D494" s="6"/>
      <c r="E494" s="6" t="s">
        <v>88</v>
      </c>
      <c r="F494" s="6" t="s">
        <v>20</v>
      </c>
      <c r="G494" s="6" t="s">
        <v>35</v>
      </c>
      <c r="H494" s="6">
        <v>1600</v>
      </c>
      <c r="I494" s="6">
        <v>1200</v>
      </c>
      <c r="J494" s="6">
        <v>1</v>
      </c>
      <c r="K494" s="10">
        <f>H492*I492/1000000*J494</f>
        <v>0.72055499999999995</v>
      </c>
      <c r="L494" s="6" t="s">
        <v>103</v>
      </c>
      <c r="M494" s="6"/>
      <c r="N494" s="6"/>
      <c r="O494" s="6"/>
      <c r="P494" s="6"/>
    </row>
    <row r="495" spans="1:16" ht="30" customHeight="1" x14ac:dyDescent="0.3">
      <c r="A495" s="7">
        <v>45807.455942476852</v>
      </c>
      <c r="B495" s="6" t="s">
        <v>4</v>
      </c>
      <c r="C495" s="6" t="s">
        <v>125</v>
      </c>
      <c r="D495" s="6"/>
      <c r="E495" s="6" t="s">
        <v>822</v>
      </c>
      <c r="F495" s="6" t="s">
        <v>26</v>
      </c>
      <c r="G495" s="6" t="s">
        <v>35</v>
      </c>
      <c r="H495" s="6">
        <v>450</v>
      </c>
      <c r="I495" s="6">
        <v>170</v>
      </c>
      <c r="J495" s="6">
        <v>1</v>
      </c>
      <c r="K495" s="10">
        <f>H494*I494/1000000*J496</f>
        <v>1.92</v>
      </c>
      <c r="L495" s="6" t="s">
        <v>75</v>
      </c>
      <c r="M495" s="6" t="s">
        <v>632</v>
      </c>
      <c r="N495" s="6" t="s">
        <v>54</v>
      </c>
      <c r="O495" s="6" t="s">
        <v>54</v>
      </c>
      <c r="P495" s="6"/>
    </row>
    <row r="496" spans="1:16" ht="30" customHeight="1" x14ac:dyDescent="0.3">
      <c r="A496" s="7">
        <v>45807.45530439815</v>
      </c>
      <c r="B496" s="6" t="s">
        <v>4</v>
      </c>
      <c r="C496" s="6" t="s">
        <v>53</v>
      </c>
      <c r="D496" s="6" t="s">
        <v>90</v>
      </c>
      <c r="E496" s="6" t="s">
        <v>133</v>
      </c>
      <c r="F496" s="6" t="s">
        <v>26</v>
      </c>
      <c r="G496" s="6" t="s">
        <v>34</v>
      </c>
      <c r="H496" s="6">
        <v>449</v>
      </c>
      <c r="I496" s="6">
        <v>435</v>
      </c>
      <c r="J496" s="6">
        <v>1</v>
      </c>
      <c r="K496" s="10">
        <f>H495*I495/1000000*J497</f>
        <v>7.6499999999999999E-2</v>
      </c>
      <c r="L496" s="6" t="s">
        <v>38</v>
      </c>
      <c r="M496" s="6"/>
      <c r="N496" s="6" t="s">
        <v>54</v>
      </c>
      <c r="O496" s="6" t="s">
        <v>54</v>
      </c>
      <c r="P496" s="6"/>
    </row>
    <row r="497" spans="1:16" ht="30" customHeight="1" x14ac:dyDescent="0.3">
      <c r="A497" s="7">
        <v>45807.45464398148</v>
      </c>
      <c r="B497" s="6" t="s">
        <v>4</v>
      </c>
      <c r="C497" s="6" t="str">
        <f>VLOOKUP(B495,'Veri doğrulama'!D6:E13,2,0)</f>
        <v>MEHMET YAZICI</v>
      </c>
      <c r="D497" s="6" t="s">
        <v>821</v>
      </c>
      <c r="E497" s="6" t="s">
        <v>818</v>
      </c>
      <c r="F497" s="6" t="s">
        <v>17</v>
      </c>
      <c r="G497" s="6" t="s">
        <v>34</v>
      </c>
      <c r="H497" s="6">
        <v>392</v>
      </c>
      <c r="I497" s="6">
        <v>162</v>
      </c>
      <c r="J497" s="6">
        <v>1</v>
      </c>
      <c r="K497" s="10">
        <f>H495*I495/1000000*J497</f>
        <v>7.6499999999999999E-2</v>
      </c>
      <c r="L497" s="6" t="s">
        <v>75</v>
      </c>
      <c r="M497" s="6" t="s">
        <v>805</v>
      </c>
      <c r="N497" s="6" t="s">
        <v>54</v>
      </c>
      <c r="O497" s="6" t="s">
        <v>54</v>
      </c>
      <c r="P497" s="6"/>
    </row>
    <row r="498" spans="1:16" ht="30" customHeight="1" x14ac:dyDescent="0.3">
      <c r="A498" s="7">
        <v>45807.368015740743</v>
      </c>
      <c r="B498" s="6" t="s">
        <v>4</v>
      </c>
      <c r="C498" s="6" t="s">
        <v>125</v>
      </c>
      <c r="D498" s="6" t="s">
        <v>134</v>
      </c>
      <c r="E498" s="6" t="s">
        <v>817</v>
      </c>
      <c r="F498" s="6" t="s">
        <v>17</v>
      </c>
      <c r="G498" s="6" t="s">
        <v>34</v>
      </c>
      <c r="H498" s="6">
        <v>353</v>
      </c>
      <c r="I498" s="6">
        <v>448</v>
      </c>
      <c r="J498" s="6">
        <v>1</v>
      </c>
      <c r="K498" s="10">
        <f>H497*I497/1000000*J499</f>
        <v>6.3504000000000005E-2</v>
      </c>
      <c r="L498" s="6" t="s">
        <v>42</v>
      </c>
      <c r="M498" s="6" t="s">
        <v>805</v>
      </c>
      <c r="N498" s="6" t="s">
        <v>54</v>
      </c>
      <c r="O498" s="6" t="s">
        <v>54</v>
      </c>
      <c r="P498" s="6" t="s">
        <v>54</v>
      </c>
    </row>
    <row r="499" spans="1:16" ht="30" customHeight="1" x14ac:dyDescent="0.3">
      <c r="A499" s="7">
        <v>45807.366403819447</v>
      </c>
      <c r="B499" s="6" t="s">
        <v>4</v>
      </c>
      <c r="C499" s="6" t="str">
        <f>VLOOKUP(B497,'Veri doğrulama'!D6:E13,2,0)</f>
        <v>MEHMET YAZICI</v>
      </c>
      <c r="D499" s="6"/>
      <c r="E499" s="6" t="s">
        <v>820</v>
      </c>
      <c r="F499" s="6" t="s">
        <v>26</v>
      </c>
      <c r="G499" s="6" t="s">
        <v>34</v>
      </c>
      <c r="H499" s="6">
        <v>715</v>
      </c>
      <c r="I499" s="6">
        <v>434</v>
      </c>
      <c r="J499" s="6">
        <v>1</v>
      </c>
      <c r="K499" s="10">
        <f>H497*I497/1000000*J499</f>
        <v>6.3504000000000005E-2</v>
      </c>
      <c r="L499" s="6" t="s">
        <v>102</v>
      </c>
      <c r="M499" s="6" t="s">
        <v>805</v>
      </c>
      <c r="N499" s="6" t="s">
        <v>54</v>
      </c>
      <c r="O499" s="6" t="s">
        <v>54</v>
      </c>
      <c r="P499" s="6" t="s">
        <v>54</v>
      </c>
    </row>
    <row r="500" spans="1:16" ht="30" customHeight="1" x14ac:dyDescent="0.3">
      <c r="A500" s="7">
        <v>45807.365521874999</v>
      </c>
      <c r="B500" s="6" t="s">
        <v>5</v>
      </c>
      <c r="C500" s="6" t="str">
        <f>VLOOKUP(B498,'Veri doğrulama'!D6:E13,2,0)</f>
        <v>MEHMET YAZICI</v>
      </c>
      <c r="D500" s="6" t="s">
        <v>815</v>
      </c>
      <c r="E500" s="6" t="s">
        <v>112</v>
      </c>
      <c r="F500" s="6" t="s">
        <v>111</v>
      </c>
      <c r="G500" s="6" t="s">
        <v>34</v>
      </c>
      <c r="H500" s="6">
        <v>610</v>
      </c>
      <c r="I500" s="6">
        <v>160</v>
      </c>
      <c r="J500" s="6">
        <v>1</v>
      </c>
      <c r="K500" s="10">
        <f>H498*I498/1000000*J500</f>
        <v>0.15814400000000001</v>
      </c>
      <c r="L500" s="6" t="s">
        <v>75</v>
      </c>
      <c r="M500" s="6"/>
      <c r="N500" s="6" t="s">
        <v>54</v>
      </c>
      <c r="O500" s="6"/>
      <c r="P500" s="6"/>
    </row>
    <row r="501" spans="1:16" ht="30" customHeight="1" x14ac:dyDescent="0.3">
      <c r="A501" s="7">
        <v>45806.756808564816</v>
      </c>
      <c r="B501" s="6" t="s">
        <v>4</v>
      </c>
      <c r="C501" s="6" t="str">
        <f>VLOOKUP(B499,'Veri doğrulama'!D6:E13,2,0)</f>
        <v>MEHMET YAZICI</v>
      </c>
      <c r="D501" s="6" t="s">
        <v>819</v>
      </c>
      <c r="E501" s="6" t="s">
        <v>74</v>
      </c>
      <c r="F501" s="6" t="s">
        <v>28</v>
      </c>
      <c r="G501" s="6" t="s">
        <v>34</v>
      </c>
      <c r="H501" s="6">
        <v>1800</v>
      </c>
      <c r="I501" s="6">
        <v>500</v>
      </c>
      <c r="J501" s="6">
        <v>1</v>
      </c>
      <c r="K501" s="10">
        <f>H499*I499/1000000*J501</f>
        <v>0.31030999999999997</v>
      </c>
      <c r="L501" s="6" t="s">
        <v>42</v>
      </c>
      <c r="M501" s="6"/>
      <c r="N501" s="6" t="s">
        <v>54</v>
      </c>
      <c r="O501" s="6"/>
      <c r="P501" s="6"/>
    </row>
    <row r="502" spans="1:16" ht="30" customHeight="1" x14ac:dyDescent="0.3">
      <c r="A502" s="7">
        <v>45806.559216435184</v>
      </c>
      <c r="B502" s="6" t="s">
        <v>7</v>
      </c>
      <c r="C502" s="6" t="s">
        <v>53</v>
      </c>
      <c r="D502" s="6" t="s">
        <v>108</v>
      </c>
      <c r="E502" s="6" t="s">
        <v>323</v>
      </c>
      <c r="F502" s="6" t="s">
        <v>324</v>
      </c>
      <c r="G502" s="6" t="s">
        <v>35</v>
      </c>
      <c r="H502" s="6">
        <v>2200</v>
      </c>
      <c r="I502" s="6">
        <v>450</v>
      </c>
      <c r="J502" s="6">
        <v>6</v>
      </c>
      <c r="K502" s="10">
        <f>H501*I501/1000000*J503</f>
        <v>0.9</v>
      </c>
      <c r="L502" s="6" t="s">
        <v>43</v>
      </c>
      <c r="M502" s="6" t="s">
        <v>231</v>
      </c>
      <c r="N502" s="6" t="s">
        <v>54</v>
      </c>
      <c r="O502" s="6" t="s">
        <v>54</v>
      </c>
      <c r="P502" s="6"/>
    </row>
    <row r="503" spans="1:16" ht="30" customHeight="1" x14ac:dyDescent="0.3">
      <c r="A503" s="7">
        <v>45806.558521990744</v>
      </c>
      <c r="B503" s="6" t="s">
        <v>4</v>
      </c>
      <c r="C503" s="6" t="s">
        <v>9</v>
      </c>
      <c r="D503" s="6"/>
      <c r="E503" s="6" t="s">
        <v>72</v>
      </c>
      <c r="F503" s="6" t="s">
        <v>28</v>
      </c>
      <c r="G503" s="6" t="s">
        <v>34</v>
      </c>
      <c r="H503" s="6">
        <v>1500</v>
      </c>
      <c r="I503" s="6">
        <v>500</v>
      </c>
      <c r="J503" s="6">
        <v>1</v>
      </c>
      <c r="K503" s="10">
        <f>H502*I502/1000000*J504</f>
        <v>0.99</v>
      </c>
      <c r="L503" s="6" t="s">
        <v>39</v>
      </c>
      <c r="M503" s="6" t="s">
        <v>805</v>
      </c>
      <c r="N503" s="6" t="s">
        <v>54</v>
      </c>
      <c r="O503" s="6" t="s">
        <v>54</v>
      </c>
      <c r="P503" s="6"/>
    </row>
    <row r="504" spans="1:16" ht="30" customHeight="1" x14ac:dyDescent="0.3">
      <c r="A504" s="7">
        <v>45805.723822800923</v>
      </c>
      <c r="B504" s="6" t="s">
        <v>4</v>
      </c>
      <c r="C504" s="6" t="str">
        <f>VLOOKUP(B502,'Veri doğrulama'!D6:E13,2,0)</f>
        <v>SIDDIK KAPLAN</v>
      </c>
      <c r="D504" s="6"/>
      <c r="E504" s="6" t="s">
        <v>810</v>
      </c>
      <c r="F504" s="6" t="s">
        <v>28</v>
      </c>
      <c r="G504" s="6" t="s">
        <v>34</v>
      </c>
      <c r="H504" s="6">
        <v>264</v>
      </c>
      <c r="I504" s="6">
        <v>499</v>
      </c>
      <c r="J504" s="6">
        <v>1</v>
      </c>
      <c r="K504" s="10">
        <f>H503*I503/1000000*J505</f>
        <v>1.5</v>
      </c>
      <c r="L504" s="6" t="s">
        <v>43</v>
      </c>
      <c r="M504" s="6"/>
      <c r="N504" s="6" t="s">
        <v>54</v>
      </c>
      <c r="O504" s="6" t="s">
        <v>54</v>
      </c>
      <c r="P504" s="6"/>
    </row>
    <row r="505" spans="1:16" ht="30" customHeight="1" x14ac:dyDescent="0.3">
      <c r="A505" s="7">
        <v>45804.492953703702</v>
      </c>
      <c r="B505" s="6" t="s">
        <v>4</v>
      </c>
      <c r="C505" s="6" t="str">
        <f>VLOOKUP(B503,'Veri doğrulama'!D6:E13,2,0)</f>
        <v>MEHMET YAZICI</v>
      </c>
      <c r="D505" s="6" t="s">
        <v>813</v>
      </c>
      <c r="E505" s="6" t="s">
        <v>374</v>
      </c>
      <c r="F505" s="6" t="s">
        <v>28</v>
      </c>
      <c r="G505" s="6" t="s">
        <v>34</v>
      </c>
      <c r="H505" s="6">
        <v>684</v>
      </c>
      <c r="I505" s="6">
        <v>330</v>
      </c>
      <c r="J505" s="6">
        <v>2</v>
      </c>
      <c r="K505" s="10">
        <f t="shared" ref="K505:K515" si="13">H503*I503/1000000*J505</f>
        <v>1.5</v>
      </c>
      <c r="L505" s="6" t="s">
        <v>156</v>
      </c>
      <c r="M505" s="6"/>
      <c r="N505" s="6" t="s">
        <v>54</v>
      </c>
      <c r="O505" s="6" t="s">
        <v>54</v>
      </c>
      <c r="P505" s="6"/>
    </row>
    <row r="506" spans="1:16" ht="30" customHeight="1" x14ac:dyDescent="0.3">
      <c r="A506" s="7">
        <v>45804.492103819444</v>
      </c>
      <c r="B506" s="6" t="s">
        <v>4</v>
      </c>
      <c r="C506" s="6" t="str">
        <f>VLOOKUP(B504,'Veri doğrulama'!D6:E13,2,0)</f>
        <v>MEHMET YAZICI</v>
      </c>
      <c r="D506" s="6">
        <v>23047</v>
      </c>
      <c r="E506" s="6" t="s">
        <v>827</v>
      </c>
      <c r="F506" s="6" t="s">
        <v>19</v>
      </c>
      <c r="G506" s="6" t="s">
        <v>34</v>
      </c>
      <c r="H506" s="6">
        <v>726</v>
      </c>
      <c r="I506" s="6">
        <v>392</v>
      </c>
      <c r="J506" s="6">
        <v>2</v>
      </c>
      <c r="K506" s="10">
        <f t="shared" si="13"/>
        <v>0.26347199999999998</v>
      </c>
      <c r="L506" s="6" t="s">
        <v>75</v>
      </c>
      <c r="M506" s="6"/>
      <c r="N506" s="6" t="s">
        <v>54</v>
      </c>
      <c r="O506" s="6"/>
      <c r="P506" s="6"/>
    </row>
    <row r="507" spans="1:16" ht="30" customHeight="1" x14ac:dyDescent="0.3">
      <c r="A507" s="7">
        <v>45804.490649768515</v>
      </c>
      <c r="B507" s="6" t="s">
        <v>4</v>
      </c>
      <c r="C507" s="6" t="str">
        <f>VLOOKUP(B505,'Veri doğrulama'!D6:E13,2,0)</f>
        <v>MEHMET YAZICI</v>
      </c>
      <c r="D507" s="6">
        <v>23047</v>
      </c>
      <c r="E507" s="6" t="s">
        <v>538</v>
      </c>
      <c r="F507" s="6" t="s">
        <v>18</v>
      </c>
      <c r="G507" s="6" t="s">
        <v>34</v>
      </c>
      <c r="H507" s="6">
        <v>2200</v>
      </c>
      <c r="I507" s="6">
        <v>410</v>
      </c>
      <c r="J507" s="6">
        <v>2</v>
      </c>
      <c r="K507" s="10">
        <f t="shared" si="13"/>
        <v>0.45144000000000001</v>
      </c>
      <c r="L507" s="6" t="s">
        <v>75</v>
      </c>
      <c r="M507" s="6" t="s">
        <v>632</v>
      </c>
      <c r="N507" s="6" t="s">
        <v>54</v>
      </c>
      <c r="O507" s="6" t="s">
        <v>54</v>
      </c>
      <c r="P507" s="6"/>
    </row>
    <row r="508" spans="1:16" ht="30" customHeight="1" x14ac:dyDescent="0.3">
      <c r="A508" s="7">
        <v>45804.400036342595</v>
      </c>
      <c r="B508" s="6" t="s">
        <v>4</v>
      </c>
      <c r="C508" s="6" t="str">
        <f>VLOOKUP(B506,'Veri doğrulama'!D6:E13,2,0)</f>
        <v>MEHMET YAZICI</v>
      </c>
      <c r="D508" s="6"/>
      <c r="E508" s="6" t="s">
        <v>824</v>
      </c>
      <c r="F508" s="6" t="s">
        <v>16</v>
      </c>
      <c r="G508" s="6" t="s">
        <v>34</v>
      </c>
      <c r="H508" s="6">
        <v>1877</v>
      </c>
      <c r="I508" s="6">
        <v>377</v>
      </c>
      <c r="J508" s="6">
        <v>1</v>
      </c>
      <c r="K508" s="10">
        <f t="shared" si="13"/>
        <v>0.28459200000000001</v>
      </c>
      <c r="L508" s="6" t="s">
        <v>102</v>
      </c>
      <c r="M508" s="6" t="s">
        <v>715</v>
      </c>
      <c r="N508" s="6"/>
      <c r="O508" s="6" t="s">
        <v>54</v>
      </c>
      <c r="P508" s="6" t="s">
        <v>54</v>
      </c>
    </row>
    <row r="509" spans="1:16" ht="30" customHeight="1" x14ac:dyDescent="0.3">
      <c r="A509" s="7">
        <v>45800.674605902779</v>
      </c>
      <c r="B509" s="6" t="s">
        <v>4</v>
      </c>
      <c r="C509" s="6" t="str">
        <f>VLOOKUP(B507,'Veri doğrulama'!D6:E13,2,0)</f>
        <v>MEHMET YAZICI</v>
      </c>
      <c r="D509" s="6" t="s">
        <v>823</v>
      </c>
      <c r="E509" s="6" t="s">
        <v>808</v>
      </c>
      <c r="F509" s="6" t="s">
        <v>18</v>
      </c>
      <c r="G509" s="6" t="s">
        <v>34</v>
      </c>
      <c r="H509" s="6">
        <v>2200</v>
      </c>
      <c r="I509" s="6">
        <v>450</v>
      </c>
      <c r="J509" s="6">
        <v>1</v>
      </c>
      <c r="K509" s="10">
        <f t="shared" si="13"/>
        <v>0.90200000000000002</v>
      </c>
      <c r="L509" s="6" t="s">
        <v>75</v>
      </c>
      <c r="M509" s="6"/>
      <c r="N509" s="6" t="s">
        <v>54</v>
      </c>
      <c r="O509" s="6" t="s">
        <v>54</v>
      </c>
      <c r="P509" s="6" t="s">
        <v>54</v>
      </c>
    </row>
    <row r="510" spans="1:16" ht="30" customHeight="1" x14ac:dyDescent="0.3">
      <c r="A510" s="7">
        <v>45799.739487268518</v>
      </c>
      <c r="B510" s="6" t="s">
        <v>4</v>
      </c>
      <c r="C510" s="6" t="str">
        <f>VLOOKUP(B508,'Veri doğrulama'!D6:E13,2,0)</f>
        <v>MEHMET YAZICI</v>
      </c>
      <c r="D510" s="6"/>
      <c r="E510" s="6" t="s">
        <v>809</v>
      </c>
      <c r="F510" s="6" t="s">
        <v>19</v>
      </c>
      <c r="G510" s="6" t="s">
        <v>34</v>
      </c>
      <c r="H510" s="6">
        <v>1155</v>
      </c>
      <c r="I510" s="6">
        <v>397</v>
      </c>
      <c r="J510" s="6">
        <v>2</v>
      </c>
      <c r="K510" s="10">
        <f t="shared" si="13"/>
        <v>1.4152579999999999</v>
      </c>
      <c r="L510" s="6" t="s">
        <v>103</v>
      </c>
      <c r="M510" s="6" t="s">
        <v>632</v>
      </c>
      <c r="N510" s="6"/>
      <c r="O510" s="6"/>
      <c r="P510" s="6"/>
    </row>
    <row r="511" spans="1:16" ht="30" customHeight="1" x14ac:dyDescent="0.3">
      <c r="A511" s="7">
        <v>45799.739037037034</v>
      </c>
      <c r="B511" s="6" t="s">
        <v>4</v>
      </c>
      <c r="C511" s="6" t="str">
        <f>VLOOKUP(B509,'Veri doğrulama'!D6:E13,2,0)</f>
        <v>MEHMET YAZICI</v>
      </c>
      <c r="D511" s="6" t="s">
        <v>807</v>
      </c>
      <c r="E511" s="6" t="s">
        <v>362</v>
      </c>
      <c r="F511" s="6" t="s">
        <v>19</v>
      </c>
      <c r="G511" s="6" t="s">
        <v>34</v>
      </c>
      <c r="H511" s="6">
        <v>2600</v>
      </c>
      <c r="I511" s="6">
        <v>300</v>
      </c>
      <c r="J511" s="6">
        <v>1</v>
      </c>
      <c r="K511" s="10">
        <f t="shared" si="13"/>
        <v>0.99</v>
      </c>
      <c r="L511" s="6" t="s">
        <v>103</v>
      </c>
      <c r="M511" s="6" t="s">
        <v>632</v>
      </c>
      <c r="N511" s="6" t="s">
        <v>54</v>
      </c>
      <c r="O511" s="6" t="s">
        <v>54</v>
      </c>
      <c r="P511" s="6" t="s">
        <v>54</v>
      </c>
    </row>
    <row r="512" spans="1:16" ht="30" customHeight="1" x14ac:dyDescent="0.3">
      <c r="A512" s="7">
        <v>45799.605326620367</v>
      </c>
      <c r="B512" s="6" t="s">
        <v>4</v>
      </c>
      <c r="C512" s="6" t="str">
        <f>VLOOKUP(B510,'Veri doğrulama'!D6:E13,2,0)</f>
        <v>MEHMET YAZICI</v>
      </c>
      <c r="D512" s="6"/>
      <c r="E512" s="6" t="s">
        <v>801</v>
      </c>
      <c r="F512" s="6" t="s">
        <v>19</v>
      </c>
      <c r="G512" s="6" t="s">
        <v>34</v>
      </c>
      <c r="H512" s="6">
        <v>1155</v>
      </c>
      <c r="I512" s="6">
        <v>397</v>
      </c>
      <c r="J512" s="6">
        <v>2</v>
      </c>
      <c r="K512" s="10">
        <f t="shared" si="13"/>
        <v>0.91707000000000005</v>
      </c>
      <c r="L512" s="6" t="s">
        <v>102</v>
      </c>
      <c r="M512" s="6" t="s">
        <v>715</v>
      </c>
      <c r="N512" s="6" t="s">
        <v>54</v>
      </c>
      <c r="O512" s="6" t="s">
        <v>54</v>
      </c>
      <c r="P512" s="6" t="s">
        <v>54</v>
      </c>
    </row>
    <row r="513" spans="1:16" ht="30" customHeight="1" x14ac:dyDescent="0.3">
      <c r="A513" s="7">
        <v>45799.478271759261</v>
      </c>
      <c r="B513" s="6" t="s">
        <v>6</v>
      </c>
      <c r="C513" s="6" t="str">
        <f>VLOOKUP(B511,'Veri doğrulama'!D6:E13,2,0)</f>
        <v>MEHMET YAZICI</v>
      </c>
      <c r="D513" s="6" t="s">
        <v>802</v>
      </c>
      <c r="E513" s="6" t="s">
        <v>814</v>
      </c>
      <c r="F513" s="6" t="s">
        <v>26</v>
      </c>
      <c r="G513" s="6" t="s">
        <v>34</v>
      </c>
      <c r="H513" s="6">
        <v>2420</v>
      </c>
      <c r="I513" s="6">
        <v>405</v>
      </c>
      <c r="J513" s="6">
        <v>2</v>
      </c>
      <c r="K513" s="10">
        <f t="shared" si="13"/>
        <v>1.56</v>
      </c>
      <c r="L513" s="6" t="s">
        <v>102</v>
      </c>
      <c r="M513" s="6"/>
      <c r="N513" s="6" t="s">
        <v>54</v>
      </c>
      <c r="O513" s="6" t="s">
        <v>54</v>
      </c>
      <c r="P513" s="6" t="s">
        <v>54</v>
      </c>
    </row>
    <row r="514" spans="1:16" ht="30" customHeight="1" x14ac:dyDescent="0.3">
      <c r="A514" s="7">
        <v>45799.477493865743</v>
      </c>
      <c r="B514" s="6" t="s">
        <v>81</v>
      </c>
      <c r="C514" s="6" t="str">
        <f>VLOOKUP(B512,'Veri doğrulama'!D6:E13,2,0)</f>
        <v>MEHMET YAZICI</v>
      </c>
      <c r="D514" s="6">
        <v>22957</v>
      </c>
      <c r="E514" s="6" t="s">
        <v>120</v>
      </c>
      <c r="F514" s="6" t="s">
        <v>119</v>
      </c>
      <c r="G514" s="6" t="s">
        <v>34</v>
      </c>
      <c r="H514" s="6">
        <v>451</v>
      </c>
      <c r="I514" s="6">
        <v>397</v>
      </c>
      <c r="J514" s="6">
        <v>6</v>
      </c>
      <c r="K514" s="10">
        <f t="shared" si="13"/>
        <v>2.7512100000000004</v>
      </c>
      <c r="L514" s="6" t="s">
        <v>102</v>
      </c>
      <c r="M514" s="6"/>
      <c r="N514" s="6" t="s">
        <v>54</v>
      </c>
      <c r="O514" s="6" t="s">
        <v>54</v>
      </c>
      <c r="P514" s="6" t="s">
        <v>54</v>
      </c>
    </row>
    <row r="515" spans="1:16" ht="30" customHeight="1" x14ac:dyDescent="0.3">
      <c r="A515" s="7">
        <v>45799.461642708331</v>
      </c>
      <c r="B515" s="6" t="s">
        <v>5</v>
      </c>
      <c r="C515" s="6" t="str">
        <f>VLOOKUP(B513,'Veri doğrulama'!D6:E13,2,0)</f>
        <v>SERVET KAPLAN</v>
      </c>
      <c r="D515" s="6"/>
      <c r="E515" s="6" t="s">
        <v>796</v>
      </c>
      <c r="F515" s="6" t="s">
        <v>111</v>
      </c>
      <c r="G515" s="6" t="s">
        <v>34</v>
      </c>
      <c r="H515" s="6">
        <v>1300</v>
      </c>
      <c r="I515" s="6">
        <v>350</v>
      </c>
      <c r="J515" s="6">
        <v>2</v>
      </c>
      <c r="K515" s="10">
        <f t="shared" si="13"/>
        <v>1.9601999999999999</v>
      </c>
      <c r="L515" s="6" t="s">
        <v>43</v>
      </c>
      <c r="M515" s="6"/>
      <c r="N515" s="6" t="s">
        <v>54</v>
      </c>
      <c r="O515" s="6"/>
      <c r="P515" s="6"/>
    </row>
    <row r="516" spans="1:16" ht="30" customHeight="1" x14ac:dyDescent="0.3">
      <c r="A516" s="7">
        <v>45798.673614004627</v>
      </c>
      <c r="B516" s="6" t="s">
        <v>4</v>
      </c>
      <c r="C516" s="6" t="s">
        <v>77</v>
      </c>
      <c r="D516" s="6"/>
      <c r="E516" s="6" t="s">
        <v>76</v>
      </c>
      <c r="F516" s="6" t="s">
        <v>13</v>
      </c>
      <c r="G516" s="6" t="s">
        <v>34</v>
      </c>
      <c r="H516" s="6">
        <v>715</v>
      </c>
      <c r="I516" s="6">
        <v>600</v>
      </c>
      <c r="J516" s="6">
        <v>12</v>
      </c>
      <c r="K516" s="10">
        <f>H515*I515/1000000*J517</f>
        <v>0.45500000000000002</v>
      </c>
      <c r="L516" s="6" t="s">
        <v>37</v>
      </c>
      <c r="M516" s="6"/>
      <c r="N516" s="6" t="s">
        <v>54</v>
      </c>
      <c r="O516" s="6" t="s">
        <v>54</v>
      </c>
      <c r="P516" s="6"/>
    </row>
    <row r="517" spans="1:16" ht="30" customHeight="1" x14ac:dyDescent="0.3">
      <c r="A517" s="7">
        <v>45798.51007650463</v>
      </c>
      <c r="B517" s="6" t="s">
        <v>4</v>
      </c>
      <c r="C517" s="6" t="str">
        <f>VLOOKUP(B515,'Veri doğrulama'!D6:E13,2,0)</f>
        <v>MEHMET ÖZEN</v>
      </c>
      <c r="D517" s="6" t="s">
        <v>795</v>
      </c>
      <c r="E517" s="6" t="s">
        <v>71</v>
      </c>
      <c r="F517" s="6" t="s">
        <v>30</v>
      </c>
      <c r="G517" s="6" t="s">
        <v>35</v>
      </c>
      <c r="H517" s="6">
        <v>1800</v>
      </c>
      <c r="I517" s="6">
        <v>360</v>
      </c>
      <c r="J517" s="6">
        <v>1</v>
      </c>
      <c r="K517" s="10">
        <f>H515*I515/1000000*J517</f>
        <v>0.45500000000000002</v>
      </c>
      <c r="L517" s="6" t="s">
        <v>38</v>
      </c>
      <c r="M517" s="6"/>
      <c r="N517" s="6" t="s">
        <v>54</v>
      </c>
      <c r="O517" s="6" t="s">
        <v>54</v>
      </c>
      <c r="P517" s="6"/>
    </row>
    <row r="518" spans="1:16" ht="30" customHeight="1" x14ac:dyDescent="0.3">
      <c r="A518" s="7">
        <v>45798.332455208336</v>
      </c>
      <c r="B518" s="6" t="s">
        <v>4</v>
      </c>
      <c r="C518" s="6" t="s">
        <v>9</v>
      </c>
      <c r="D518" s="6" t="s">
        <v>78</v>
      </c>
      <c r="E518" s="6" t="s">
        <v>798</v>
      </c>
      <c r="F518" s="6" t="s">
        <v>26</v>
      </c>
      <c r="G518" s="6" t="s">
        <v>34</v>
      </c>
      <c r="H518" s="6">
        <v>900</v>
      </c>
      <c r="I518" s="6">
        <v>600</v>
      </c>
      <c r="J518" s="6">
        <v>1</v>
      </c>
      <c r="K518" s="10">
        <f>H517*I517/1000000*J519</f>
        <v>0.64800000000000002</v>
      </c>
      <c r="L518" s="6" t="s">
        <v>40</v>
      </c>
      <c r="M518" s="6" t="s">
        <v>632</v>
      </c>
      <c r="N518" s="6" t="s">
        <v>54</v>
      </c>
      <c r="O518" s="6" t="s">
        <v>54</v>
      </c>
      <c r="P518" s="6"/>
    </row>
    <row r="519" spans="1:16" ht="30" customHeight="1" x14ac:dyDescent="0.3">
      <c r="A519" s="7">
        <v>45797.75455902778</v>
      </c>
      <c r="B519" s="6" t="s">
        <v>4</v>
      </c>
      <c r="C519" s="6" t="s">
        <v>9</v>
      </c>
      <c r="D519" s="6"/>
      <c r="E519" s="6" t="s">
        <v>93</v>
      </c>
      <c r="F519" s="6" t="s">
        <v>21</v>
      </c>
      <c r="G519" s="6" t="s">
        <v>35</v>
      </c>
      <c r="H519" s="6">
        <v>1300</v>
      </c>
      <c r="I519" s="6">
        <v>320</v>
      </c>
      <c r="J519" s="6">
        <v>1</v>
      </c>
      <c r="K519" s="10">
        <f>H518*I518/1000000*J520</f>
        <v>0.54</v>
      </c>
      <c r="L519" s="6" t="s">
        <v>40</v>
      </c>
      <c r="M519" s="6"/>
      <c r="N519" s="6" t="s">
        <v>54</v>
      </c>
      <c r="O519" s="6" t="s">
        <v>54</v>
      </c>
      <c r="P519" s="6" t="s">
        <v>54</v>
      </c>
    </row>
    <row r="520" spans="1:16" ht="30" customHeight="1" x14ac:dyDescent="0.3">
      <c r="A520" s="7">
        <v>45797.712950810186</v>
      </c>
      <c r="B520" s="6" t="s">
        <v>4</v>
      </c>
      <c r="C520" s="6" t="str">
        <f>VLOOKUP(B518,'Veri doğrulama'!D6:E13,2,0)</f>
        <v>MEHMET YAZICI</v>
      </c>
      <c r="D520" s="6" t="s">
        <v>797</v>
      </c>
      <c r="E520" s="6" t="s">
        <v>800</v>
      </c>
      <c r="F520" s="6" t="s">
        <v>19</v>
      </c>
      <c r="G520" s="6" t="s">
        <v>34</v>
      </c>
      <c r="H520" s="6">
        <v>762</v>
      </c>
      <c r="I520" s="6">
        <v>430</v>
      </c>
      <c r="J520" s="6">
        <v>1</v>
      </c>
      <c r="K520" s="10">
        <f>H518*I518/1000000*J520</f>
        <v>0.54</v>
      </c>
      <c r="L520" s="6" t="s">
        <v>102</v>
      </c>
      <c r="M520" s="6" t="s">
        <v>715</v>
      </c>
      <c r="N520" s="6" t="s">
        <v>54</v>
      </c>
      <c r="O520" s="6"/>
      <c r="P520" s="6"/>
    </row>
    <row r="521" spans="1:16" ht="30" customHeight="1" x14ac:dyDescent="0.3">
      <c r="A521" s="7">
        <v>45797.712084259256</v>
      </c>
      <c r="B521" s="6" t="s">
        <v>4</v>
      </c>
      <c r="C521" s="6" t="s">
        <v>125</v>
      </c>
      <c r="D521" s="6"/>
      <c r="E521" s="6" t="s">
        <v>116</v>
      </c>
      <c r="F521" s="6" t="s">
        <v>23</v>
      </c>
      <c r="G521" s="6" t="s">
        <v>34</v>
      </c>
      <c r="H521" s="6">
        <v>2600</v>
      </c>
      <c r="I521" s="6">
        <v>600</v>
      </c>
      <c r="J521" s="6">
        <v>1</v>
      </c>
      <c r="K521" s="10">
        <f>H520*I520/1000000*J522</f>
        <v>0.32766000000000001</v>
      </c>
      <c r="L521" s="6" t="s">
        <v>40</v>
      </c>
      <c r="M521" s="6" t="s">
        <v>632</v>
      </c>
      <c r="N521" s="6" t="s">
        <v>54</v>
      </c>
      <c r="O521" s="6" t="s">
        <v>54</v>
      </c>
      <c r="P521" s="6" t="s">
        <v>54</v>
      </c>
    </row>
    <row r="522" spans="1:16" ht="30" customHeight="1" x14ac:dyDescent="0.3">
      <c r="A522" s="7">
        <v>45797.711468402777</v>
      </c>
      <c r="B522" s="6" t="s">
        <v>4</v>
      </c>
      <c r="C522" s="6" t="str">
        <f>VLOOKUP(B520,'Veri doğrulama'!D6:E13,2,0)</f>
        <v>MEHMET YAZICI</v>
      </c>
      <c r="D522" s="6" t="s">
        <v>799</v>
      </c>
      <c r="E522" s="6" t="s">
        <v>374</v>
      </c>
      <c r="F522" s="6" t="s">
        <v>28</v>
      </c>
      <c r="G522" s="6" t="s">
        <v>34</v>
      </c>
      <c r="H522" s="6">
        <v>264</v>
      </c>
      <c r="I522" s="6">
        <v>447</v>
      </c>
      <c r="J522" s="6">
        <v>1</v>
      </c>
      <c r="K522" s="10">
        <f t="shared" ref="K522:K528" si="14">H520*I520/1000000*J522</f>
        <v>0.32766000000000001</v>
      </c>
      <c r="L522" s="6" t="s">
        <v>103</v>
      </c>
      <c r="M522" s="6"/>
      <c r="N522" s="6" t="s">
        <v>54</v>
      </c>
      <c r="O522" s="6" t="s">
        <v>54</v>
      </c>
      <c r="P522" s="6" t="s">
        <v>54</v>
      </c>
    </row>
    <row r="523" spans="1:16" ht="30" customHeight="1" x14ac:dyDescent="0.3">
      <c r="A523" s="7">
        <v>45797.374815277777</v>
      </c>
      <c r="B523" s="6" t="s">
        <v>4</v>
      </c>
      <c r="C523" s="6" t="str">
        <f>VLOOKUP(B521,'Veri doğrulama'!D6:E13,2,0)</f>
        <v>MEHMET YAZICI</v>
      </c>
      <c r="D523" s="6" t="s">
        <v>787</v>
      </c>
      <c r="E523" s="6" t="s">
        <v>806</v>
      </c>
      <c r="F523" s="6" t="s">
        <v>16</v>
      </c>
      <c r="G523" s="6" t="s">
        <v>34</v>
      </c>
      <c r="H523" s="6">
        <v>1200</v>
      </c>
      <c r="I523" s="6">
        <v>800</v>
      </c>
      <c r="J523" s="6">
        <v>1</v>
      </c>
      <c r="K523" s="10">
        <f t="shared" si="14"/>
        <v>1.56</v>
      </c>
      <c r="L523" s="6" t="s">
        <v>103</v>
      </c>
      <c r="M523" s="6" t="s">
        <v>805</v>
      </c>
      <c r="N523" s="6" t="s">
        <v>54</v>
      </c>
      <c r="O523" s="6" t="s">
        <v>54</v>
      </c>
      <c r="P523" s="6" t="s">
        <v>54</v>
      </c>
    </row>
    <row r="524" spans="1:16" ht="30" customHeight="1" x14ac:dyDescent="0.3">
      <c r="A524" s="7">
        <v>45793.44966215278</v>
      </c>
      <c r="B524" s="6" t="s">
        <v>4</v>
      </c>
      <c r="C524" s="6" t="str">
        <f>VLOOKUP(B522,'Veri doğrulama'!D6:E13,2,0)</f>
        <v>MEHMET YAZICI</v>
      </c>
      <c r="D524" s="6">
        <v>23047</v>
      </c>
      <c r="E524" s="6" t="s">
        <v>128</v>
      </c>
      <c r="F524" s="6" t="s">
        <v>15</v>
      </c>
      <c r="G524" s="6" t="s">
        <v>34</v>
      </c>
      <c r="H524" s="6">
        <v>1400</v>
      </c>
      <c r="I524" s="6">
        <v>1200</v>
      </c>
      <c r="J524" s="6">
        <v>1</v>
      </c>
      <c r="K524" s="10">
        <f t="shared" si="14"/>
        <v>0.118008</v>
      </c>
      <c r="L524" s="6" t="s">
        <v>75</v>
      </c>
      <c r="M524" s="6" t="s">
        <v>812</v>
      </c>
      <c r="N524" s="6" t="s">
        <v>54</v>
      </c>
      <c r="O524" s="6" t="s">
        <v>54</v>
      </c>
      <c r="P524" s="6"/>
    </row>
    <row r="525" spans="1:16" ht="30" customHeight="1" x14ac:dyDescent="0.3">
      <c r="A525" s="7">
        <v>45793.353464351851</v>
      </c>
      <c r="B525" s="6" t="s">
        <v>4</v>
      </c>
      <c r="C525" s="6" t="str">
        <f>VLOOKUP(B523,'Veri doğrulama'!D6:E13,2,0)</f>
        <v>MEHMET YAZICI</v>
      </c>
      <c r="D525" s="6"/>
      <c r="E525" s="6" t="s">
        <v>222</v>
      </c>
      <c r="F525" s="6" t="s">
        <v>19</v>
      </c>
      <c r="G525" s="6" t="s">
        <v>34</v>
      </c>
      <c r="H525" s="6">
        <v>672</v>
      </c>
      <c r="I525" s="6">
        <v>446</v>
      </c>
      <c r="J525" s="6">
        <v>1</v>
      </c>
      <c r="K525" s="10">
        <f t="shared" si="14"/>
        <v>0.96</v>
      </c>
      <c r="L525" s="6" t="s">
        <v>75</v>
      </c>
      <c r="M525" s="6" t="s">
        <v>829</v>
      </c>
      <c r="N525" s="6" t="s">
        <v>54</v>
      </c>
      <c r="O525" s="6"/>
      <c r="P525" s="6"/>
    </row>
    <row r="526" spans="1:16" ht="30" customHeight="1" x14ac:dyDescent="0.3">
      <c r="A526" s="7">
        <v>45793.352879976854</v>
      </c>
      <c r="B526" s="6" t="s">
        <v>5</v>
      </c>
      <c r="C526" s="6" t="str">
        <f>VLOOKUP(B524,'Veri doğrulama'!D6:E13,2,0)</f>
        <v>MEHMET YAZICI</v>
      </c>
      <c r="D526" s="6"/>
      <c r="E526" s="6" t="s">
        <v>783</v>
      </c>
      <c r="F526" s="6" t="s">
        <v>16</v>
      </c>
      <c r="G526" s="6" t="s">
        <v>34</v>
      </c>
      <c r="H526" s="6">
        <v>1200</v>
      </c>
      <c r="I526" s="6">
        <v>800</v>
      </c>
      <c r="J526" s="6">
        <v>1</v>
      </c>
      <c r="K526" s="10">
        <f t="shared" si="14"/>
        <v>1.68</v>
      </c>
      <c r="L526" s="6" t="s">
        <v>42</v>
      </c>
      <c r="M526" s="6"/>
      <c r="N526" s="6" t="s">
        <v>54</v>
      </c>
      <c r="O526" s="6" t="s">
        <v>54</v>
      </c>
      <c r="P526" s="6"/>
    </row>
    <row r="527" spans="1:16" ht="30" customHeight="1" x14ac:dyDescent="0.3">
      <c r="A527" s="7">
        <v>45792.753199421299</v>
      </c>
      <c r="B527" s="6" t="s">
        <v>4</v>
      </c>
      <c r="C527" s="6" t="str">
        <f>VLOOKUP(B525,'Veri doğrulama'!D6:E13,2,0)</f>
        <v>MEHMET YAZICI</v>
      </c>
      <c r="D527" s="6" t="s">
        <v>828</v>
      </c>
      <c r="E527" s="6" t="s">
        <v>70</v>
      </c>
      <c r="F527" s="6" t="s">
        <v>23</v>
      </c>
      <c r="G527" s="6" t="s">
        <v>34</v>
      </c>
      <c r="H527" s="6">
        <v>1800</v>
      </c>
      <c r="I527" s="6">
        <v>850</v>
      </c>
      <c r="J527" s="6">
        <v>1</v>
      </c>
      <c r="K527" s="10">
        <f t="shared" si="14"/>
        <v>0.29971199999999998</v>
      </c>
      <c r="L527" s="6" t="s">
        <v>102</v>
      </c>
      <c r="M527" s="6"/>
      <c r="N527" s="6" t="s">
        <v>54</v>
      </c>
      <c r="O527" s="6" t="s">
        <v>54</v>
      </c>
      <c r="P527" s="6" t="s">
        <v>54</v>
      </c>
    </row>
    <row r="528" spans="1:16" ht="30" customHeight="1" x14ac:dyDescent="0.3">
      <c r="A528" s="7">
        <v>45792.400751504632</v>
      </c>
      <c r="B528" s="6" t="s">
        <v>4</v>
      </c>
      <c r="C528" s="6" t="str">
        <f>VLOOKUP(B526,'Veri doğrulama'!D6:E13,2,0)</f>
        <v>MEHMET ÖZEN</v>
      </c>
      <c r="D528" s="6"/>
      <c r="E528" s="6" t="s">
        <v>816</v>
      </c>
      <c r="F528" s="6" t="s">
        <v>17</v>
      </c>
      <c r="G528" s="6" t="s">
        <v>35</v>
      </c>
      <c r="H528" s="6">
        <v>557</v>
      </c>
      <c r="I528" s="6">
        <v>247</v>
      </c>
      <c r="J528" s="6">
        <v>1</v>
      </c>
      <c r="K528" s="10">
        <f t="shared" si="14"/>
        <v>0.96</v>
      </c>
      <c r="L528" s="6" t="s">
        <v>103</v>
      </c>
      <c r="M528" s="6" t="s">
        <v>805</v>
      </c>
      <c r="N528" s="6" t="s">
        <v>54</v>
      </c>
      <c r="O528" s="6" t="s">
        <v>54</v>
      </c>
      <c r="P528" s="6" t="s">
        <v>54</v>
      </c>
    </row>
    <row r="529" spans="1:16" ht="30" customHeight="1" x14ac:dyDescent="0.3">
      <c r="A529" s="7">
        <v>45791.618877314817</v>
      </c>
      <c r="B529" s="6" t="s">
        <v>4</v>
      </c>
      <c r="C529" s="6" t="s">
        <v>9</v>
      </c>
      <c r="D529" s="6"/>
      <c r="E529" s="6" t="s">
        <v>68</v>
      </c>
      <c r="F529" s="6" t="s">
        <v>15</v>
      </c>
      <c r="G529" s="6" t="s">
        <v>34</v>
      </c>
      <c r="H529" s="6">
        <v>1600</v>
      </c>
      <c r="I529" s="6">
        <v>1400</v>
      </c>
      <c r="J529" s="6">
        <v>1</v>
      </c>
      <c r="K529" s="10">
        <f>H528*I528/1000000*J530</f>
        <v>0.27515800000000001</v>
      </c>
      <c r="L529" s="6" t="s">
        <v>40</v>
      </c>
      <c r="M529" s="6"/>
      <c r="N529" s="6" t="s">
        <v>54</v>
      </c>
      <c r="O529" s="6" t="s">
        <v>54</v>
      </c>
      <c r="P529" s="6"/>
    </row>
    <row r="530" spans="1:16" ht="30" customHeight="1" x14ac:dyDescent="0.3">
      <c r="A530" s="7">
        <v>45791.387685532405</v>
      </c>
      <c r="B530" s="6" t="s">
        <v>4</v>
      </c>
      <c r="C530" s="6" t="str">
        <f>VLOOKUP(B528,'Veri doğrulama'!D6:E13,2,0)</f>
        <v>MEHMET YAZICI</v>
      </c>
      <c r="D530" s="6" t="s">
        <v>815</v>
      </c>
      <c r="E530" s="6" t="s">
        <v>804</v>
      </c>
      <c r="F530" s="6" t="s">
        <v>18</v>
      </c>
      <c r="G530" s="6" t="s">
        <v>34</v>
      </c>
      <c r="H530" s="6">
        <v>2200</v>
      </c>
      <c r="I530" s="6">
        <v>450</v>
      </c>
      <c r="J530" s="6">
        <v>2</v>
      </c>
      <c r="K530" s="10">
        <f>H528*I528/1000000*J530</f>
        <v>0.27515800000000001</v>
      </c>
      <c r="L530" s="6" t="s">
        <v>102</v>
      </c>
      <c r="M530" s="6" t="s">
        <v>805</v>
      </c>
      <c r="N530" s="6" t="s">
        <v>54</v>
      </c>
      <c r="O530" s="6"/>
      <c r="P530" s="6"/>
    </row>
    <row r="531" spans="1:16" ht="30" customHeight="1" x14ac:dyDescent="0.3">
      <c r="A531" s="7">
        <v>45790.725753935185</v>
      </c>
      <c r="B531" s="6" t="s">
        <v>4</v>
      </c>
      <c r="C531" s="6" t="s">
        <v>9</v>
      </c>
      <c r="D531" s="6"/>
      <c r="E531" s="6" t="s">
        <v>73</v>
      </c>
      <c r="F531" s="6" t="s">
        <v>17</v>
      </c>
      <c r="G531" s="6" t="s">
        <v>34</v>
      </c>
      <c r="H531" s="6">
        <v>900</v>
      </c>
      <c r="I531" s="6">
        <v>320</v>
      </c>
      <c r="J531" s="6">
        <v>1</v>
      </c>
      <c r="K531" s="10">
        <f>H530*I530/1000000*J532</f>
        <v>0.99</v>
      </c>
      <c r="L531" s="6" t="s">
        <v>40</v>
      </c>
      <c r="M531" s="6"/>
      <c r="N531" s="6" t="s">
        <v>54</v>
      </c>
      <c r="O531" s="6" t="s">
        <v>54</v>
      </c>
      <c r="P531" s="6"/>
    </row>
    <row r="532" spans="1:16" ht="30" customHeight="1" x14ac:dyDescent="0.3">
      <c r="A532" s="7">
        <v>45790.69454016204</v>
      </c>
      <c r="B532" s="6" t="s">
        <v>81</v>
      </c>
      <c r="C532" s="6" t="str">
        <f>VLOOKUP(B530,'Veri doğrulama'!D6:E13,2,0)</f>
        <v>MEHMET YAZICI</v>
      </c>
      <c r="D532" s="6" t="s">
        <v>803</v>
      </c>
      <c r="E532" s="6" t="s">
        <v>82</v>
      </c>
      <c r="F532" s="6" t="s">
        <v>19</v>
      </c>
      <c r="G532" s="6" t="s">
        <v>34</v>
      </c>
      <c r="H532" s="6">
        <v>1462</v>
      </c>
      <c r="I532" s="6">
        <v>520</v>
      </c>
      <c r="J532" s="6">
        <v>1</v>
      </c>
      <c r="K532" s="10">
        <f>H530*I530/1000000*J532</f>
        <v>0.99</v>
      </c>
      <c r="L532" s="6" t="s">
        <v>39</v>
      </c>
      <c r="M532" s="6"/>
      <c r="N532" s="6" t="s">
        <v>54</v>
      </c>
      <c r="O532" s="6" t="s">
        <v>54</v>
      </c>
      <c r="P532" s="6" t="s">
        <v>54</v>
      </c>
    </row>
    <row r="533" spans="1:16" ht="30" customHeight="1" x14ac:dyDescent="0.3">
      <c r="A533" s="7">
        <v>45790.471053240741</v>
      </c>
      <c r="B533" s="6" t="s">
        <v>4</v>
      </c>
      <c r="C533" s="6" t="s">
        <v>9</v>
      </c>
      <c r="D533" s="6"/>
      <c r="E533" s="6" t="s">
        <v>99</v>
      </c>
      <c r="F533" s="6" t="s">
        <v>24</v>
      </c>
      <c r="G533" s="6" t="s">
        <v>34</v>
      </c>
      <c r="H533" s="6">
        <v>1800</v>
      </c>
      <c r="I533" s="6">
        <v>360</v>
      </c>
      <c r="J533" s="6">
        <v>1</v>
      </c>
      <c r="K533" s="10">
        <f>H532*I532/1000000*J534</f>
        <v>1.5204800000000001</v>
      </c>
      <c r="L533" s="6" t="s">
        <v>40</v>
      </c>
      <c r="M533" s="6" t="s">
        <v>632</v>
      </c>
      <c r="N533" s="6" t="s">
        <v>54</v>
      </c>
      <c r="O533" s="6" t="s">
        <v>54</v>
      </c>
      <c r="P533" s="6"/>
    </row>
    <row r="534" spans="1:16" ht="30" customHeight="1" x14ac:dyDescent="0.3">
      <c r="A534" s="7">
        <v>45790.445480671297</v>
      </c>
      <c r="B534" s="6" t="s">
        <v>5</v>
      </c>
      <c r="C534" s="6" t="s">
        <v>77</v>
      </c>
      <c r="D534" s="6" t="s">
        <v>83</v>
      </c>
      <c r="E534" s="6" t="s">
        <v>107</v>
      </c>
      <c r="F534" s="6" t="s">
        <v>24</v>
      </c>
      <c r="G534" s="6" t="s">
        <v>34</v>
      </c>
      <c r="H534" s="6">
        <v>1800</v>
      </c>
      <c r="I534" s="6">
        <v>390</v>
      </c>
      <c r="J534" s="6">
        <v>2</v>
      </c>
      <c r="K534" s="10">
        <f>H533*I533/1000000*J535</f>
        <v>0.64800000000000002</v>
      </c>
      <c r="L534" s="6" t="s">
        <v>40</v>
      </c>
      <c r="M534" s="6"/>
      <c r="N534" s="6" t="s">
        <v>54</v>
      </c>
      <c r="O534" s="6" t="s">
        <v>54</v>
      </c>
      <c r="P534" s="6"/>
    </row>
    <row r="535" spans="1:16" ht="30" customHeight="1" x14ac:dyDescent="0.3">
      <c r="A535" s="7">
        <v>45790.415314814818</v>
      </c>
      <c r="B535" s="6" t="s">
        <v>7</v>
      </c>
      <c r="C535" s="6" t="str">
        <f>VLOOKUP(B533,'Veri doğrulama'!D6:E13,2,0)</f>
        <v>MEHMET YAZICI</v>
      </c>
      <c r="D535" s="6" t="s">
        <v>772</v>
      </c>
      <c r="E535" s="6" t="s">
        <v>530</v>
      </c>
      <c r="F535" s="6" t="s">
        <v>24</v>
      </c>
      <c r="G535" s="6" t="s">
        <v>34</v>
      </c>
      <c r="H535" s="6">
        <v>500</v>
      </c>
      <c r="I535" s="6">
        <v>410</v>
      </c>
      <c r="J535" s="6">
        <v>1</v>
      </c>
      <c r="K535" s="10">
        <f t="shared" ref="K535:K552" si="15">H533*I533/1000000*J535</f>
        <v>0.64800000000000002</v>
      </c>
      <c r="L535" s="6" t="s">
        <v>156</v>
      </c>
      <c r="M535" s="6" t="s">
        <v>209</v>
      </c>
      <c r="N535" s="6" t="s">
        <v>54</v>
      </c>
      <c r="O535" s="6" t="s">
        <v>54</v>
      </c>
      <c r="P535" s="6"/>
    </row>
    <row r="536" spans="1:16" ht="30" customHeight="1" x14ac:dyDescent="0.3">
      <c r="A536" s="7">
        <v>45790.411348148147</v>
      </c>
      <c r="B536" s="6" t="s">
        <v>4</v>
      </c>
      <c r="C536" s="6" t="str">
        <f>VLOOKUP(B534,'Veri doğrulama'!D6:E13,2,0)</f>
        <v>MEHMET ÖZEN</v>
      </c>
      <c r="D536" s="6"/>
      <c r="E536" s="6" t="s">
        <v>777</v>
      </c>
      <c r="F536" s="6" t="s">
        <v>29</v>
      </c>
      <c r="G536" s="6" t="s">
        <v>35</v>
      </c>
      <c r="H536" s="6">
        <v>2200</v>
      </c>
      <c r="I536" s="6">
        <v>415</v>
      </c>
      <c r="J536" s="6">
        <v>1</v>
      </c>
      <c r="K536" s="10">
        <f t="shared" si="15"/>
        <v>0.70199999999999996</v>
      </c>
      <c r="L536" s="6" t="s">
        <v>103</v>
      </c>
      <c r="M536" s="6" t="s">
        <v>632</v>
      </c>
      <c r="N536" s="6" t="s">
        <v>54</v>
      </c>
      <c r="O536" s="6" t="s">
        <v>54</v>
      </c>
      <c r="P536" s="6" t="s">
        <v>54</v>
      </c>
    </row>
    <row r="537" spans="1:16" ht="30" customHeight="1" x14ac:dyDescent="0.3">
      <c r="A537" s="7">
        <v>45790.377364351851</v>
      </c>
      <c r="B537" s="6" t="s">
        <v>4</v>
      </c>
      <c r="C537" s="6" t="str">
        <f>VLOOKUP(B535,'Veri doğrulama'!D6:E13,2,0)</f>
        <v>SIDDIK KAPLAN</v>
      </c>
      <c r="D537" s="6"/>
      <c r="E537" s="6" t="s">
        <v>773</v>
      </c>
      <c r="F537" s="6" t="s">
        <v>18</v>
      </c>
      <c r="G537" s="6" t="s">
        <v>34</v>
      </c>
      <c r="H537" s="6">
        <v>1600</v>
      </c>
      <c r="I537" s="6">
        <v>800</v>
      </c>
      <c r="J537" s="6">
        <v>2</v>
      </c>
      <c r="K537" s="10">
        <f t="shared" si="15"/>
        <v>0.41</v>
      </c>
      <c r="L537" s="6" t="s">
        <v>42</v>
      </c>
      <c r="M537" s="6" t="s">
        <v>632</v>
      </c>
      <c r="N537" s="6" t="s">
        <v>54</v>
      </c>
      <c r="O537" s="6" t="s">
        <v>54</v>
      </c>
      <c r="P537" s="6" t="s">
        <v>54</v>
      </c>
    </row>
    <row r="538" spans="1:16" ht="30" customHeight="1" x14ac:dyDescent="0.3">
      <c r="A538" s="7">
        <v>45790.344421412039</v>
      </c>
      <c r="B538" s="6" t="s">
        <v>5</v>
      </c>
      <c r="C538" s="6" t="str">
        <f>VLOOKUP(B536,'Veri doğrulama'!D6:E13,2,0)</f>
        <v>MEHMET YAZICI</v>
      </c>
      <c r="D538" s="6" t="s">
        <v>776</v>
      </c>
      <c r="E538" s="6" t="s">
        <v>767</v>
      </c>
      <c r="F538" s="6" t="s">
        <v>18</v>
      </c>
      <c r="G538" s="6" t="s">
        <v>34</v>
      </c>
      <c r="H538" s="6">
        <v>1150</v>
      </c>
      <c r="I538" s="6">
        <v>450</v>
      </c>
      <c r="J538" s="6">
        <v>1</v>
      </c>
      <c r="K538" s="10">
        <f t="shared" si="15"/>
        <v>0.91300000000000003</v>
      </c>
      <c r="L538" s="6" t="s">
        <v>75</v>
      </c>
      <c r="M538" s="6"/>
      <c r="N538" s="6" t="s">
        <v>54</v>
      </c>
      <c r="O538" s="6" t="s">
        <v>54</v>
      </c>
      <c r="P538" s="6"/>
    </row>
    <row r="539" spans="1:16" ht="30" customHeight="1" x14ac:dyDescent="0.3">
      <c r="A539" s="7">
        <v>45789.686843634256</v>
      </c>
      <c r="B539" s="6" t="s">
        <v>4</v>
      </c>
      <c r="C539" s="6" t="str">
        <f>VLOOKUP(B537,'Veri doğrulama'!D6:E13,2,0)</f>
        <v>MEHMET YAZICI</v>
      </c>
      <c r="D539" s="6"/>
      <c r="E539" s="6" t="s">
        <v>778</v>
      </c>
      <c r="F539" s="6" t="s">
        <v>16</v>
      </c>
      <c r="G539" s="6" t="s">
        <v>34</v>
      </c>
      <c r="H539" s="6">
        <v>460</v>
      </c>
      <c r="I539" s="6">
        <v>560</v>
      </c>
      <c r="J539" s="6">
        <v>1</v>
      </c>
      <c r="K539" s="10">
        <f t="shared" si="15"/>
        <v>1.28</v>
      </c>
      <c r="L539" s="6" t="s">
        <v>102</v>
      </c>
      <c r="M539" s="6" t="s">
        <v>779</v>
      </c>
      <c r="N539" s="6" t="s">
        <v>54</v>
      </c>
      <c r="O539" s="6" t="s">
        <v>54</v>
      </c>
      <c r="P539" s="6" t="s">
        <v>54</v>
      </c>
    </row>
    <row r="540" spans="1:16" ht="30" customHeight="1" x14ac:dyDescent="0.3">
      <c r="A540" s="7">
        <v>45789.686158564815</v>
      </c>
      <c r="B540" s="6" t="s">
        <v>5</v>
      </c>
      <c r="C540" s="6" t="str">
        <f>VLOOKUP(B538,'Veri doğrulama'!D6:E13,2,0)</f>
        <v>MEHMET ÖZEN</v>
      </c>
      <c r="D540" s="6"/>
      <c r="E540" s="6" t="s">
        <v>782</v>
      </c>
      <c r="F540" s="6" t="s">
        <v>15</v>
      </c>
      <c r="G540" s="6" t="s">
        <v>34</v>
      </c>
      <c r="H540" s="6">
        <v>1200</v>
      </c>
      <c r="I540" s="6">
        <v>800</v>
      </c>
      <c r="J540" s="6">
        <v>4</v>
      </c>
      <c r="K540" s="10">
        <f t="shared" si="15"/>
        <v>2.0699999999999998</v>
      </c>
      <c r="L540" s="6" t="s">
        <v>43</v>
      </c>
      <c r="M540" s="6"/>
      <c r="N540" s="6" t="s">
        <v>54</v>
      </c>
      <c r="O540" s="6" t="s">
        <v>54</v>
      </c>
      <c r="P540" s="6" t="s">
        <v>54</v>
      </c>
    </row>
    <row r="541" spans="1:16" ht="30" customHeight="1" x14ac:dyDescent="0.3">
      <c r="A541" s="7">
        <v>45789.66470439815</v>
      </c>
      <c r="B541" s="6" t="s">
        <v>7</v>
      </c>
      <c r="C541" s="6" t="str">
        <f>VLOOKUP(B539,'Veri doğrulama'!D6:E13,2,0)</f>
        <v>MEHMET YAZICI</v>
      </c>
      <c r="D541" s="6"/>
      <c r="E541" s="6" t="s">
        <v>768</v>
      </c>
      <c r="F541" s="6" t="s">
        <v>29</v>
      </c>
      <c r="G541" s="6" t="s">
        <v>34</v>
      </c>
      <c r="H541" s="6">
        <v>1600</v>
      </c>
      <c r="I541" s="6">
        <v>1200</v>
      </c>
      <c r="J541" s="6">
        <v>1</v>
      </c>
      <c r="K541" s="10">
        <f t="shared" si="15"/>
        <v>0.2576</v>
      </c>
      <c r="L541" s="6" t="s">
        <v>75</v>
      </c>
      <c r="M541" s="6" t="s">
        <v>266</v>
      </c>
      <c r="N541" s="6" t="s">
        <v>54</v>
      </c>
      <c r="O541" s="6" t="s">
        <v>54</v>
      </c>
      <c r="P541" s="6" t="s">
        <v>54</v>
      </c>
    </row>
    <row r="542" spans="1:16" ht="30" customHeight="1" x14ac:dyDescent="0.3">
      <c r="A542" s="7">
        <v>45789.614337615742</v>
      </c>
      <c r="B542" s="6" t="s">
        <v>4</v>
      </c>
      <c r="C542" s="6" t="str">
        <f>VLOOKUP(B540,'Veri doğrulama'!D6:E13,2,0)</f>
        <v>MEHMET ÖZEN</v>
      </c>
      <c r="D542" s="6"/>
      <c r="E542" s="6" t="s">
        <v>789</v>
      </c>
      <c r="F542" s="6" t="s">
        <v>19</v>
      </c>
      <c r="G542" s="6" t="s">
        <v>34</v>
      </c>
      <c r="H542" s="6">
        <v>2600</v>
      </c>
      <c r="I542" s="6">
        <v>300</v>
      </c>
      <c r="J542" s="6">
        <v>1</v>
      </c>
      <c r="K542" s="10">
        <f t="shared" si="15"/>
        <v>0.96</v>
      </c>
      <c r="L542" s="6" t="s">
        <v>103</v>
      </c>
      <c r="M542" s="6" t="s">
        <v>632</v>
      </c>
      <c r="N542" s="6" t="s">
        <v>54</v>
      </c>
      <c r="O542" s="6"/>
      <c r="P542" s="6"/>
    </row>
    <row r="543" spans="1:16" ht="30" customHeight="1" x14ac:dyDescent="0.3">
      <c r="A543" s="7">
        <v>45789.61353599537</v>
      </c>
      <c r="B543" s="6" t="s">
        <v>4</v>
      </c>
      <c r="C543" s="6" t="str">
        <f>VLOOKUP(B541,'Veri doğrulama'!D6:E13,2,0)</f>
        <v>SIDDIK KAPLAN</v>
      </c>
      <c r="D543" s="6"/>
      <c r="E543" s="6" t="s">
        <v>775</v>
      </c>
      <c r="F543" s="6" t="s">
        <v>17</v>
      </c>
      <c r="G543" s="6" t="s">
        <v>34</v>
      </c>
      <c r="H543" s="6">
        <v>360</v>
      </c>
      <c r="I543" s="6">
        <v>696</v>
      </c>
      <c r="J543" s="6">
        <v>1</v>
      </c>
      <c r="K543" s="10">
        <f t="shared" si="15"/>
        <v>1.92</v>
      </c>
      <c r="L543" s="6" t="s">
        <v>43</v>
      </c>
      <c r="M543" s="6" t="s">
        <v>632</v>
      </c>
      <c r="N543" s="6" t="s">
        <v>54</v>
      </c>
      <c r="O543" s="6" t="s">
        <v>54</v>
      </c>
      <c r="P543" s="6" t="s">
        <v>54</v>
      </c>
    </row>
    <row r="544" spans="1:16" ht="30" customHeight="1" x14ac:dyDescent="0.3">
      <c r="A544" s="7">
        <v>45789.568516435182</v>
      </c>
      <c r="B544" s="6" t="s">
        <v>5</v>
      </c>
      <c r="C544" s="6" t="str">
        <f>VLOOKUP(B542,'Veri doğrulama'!D6:E13,2,0)</f>
        <v>MEHMET YAZICI</v>
      </c>
      <c r="D544" s="6" t="s">
        <v>787</v>
      </c>
      <c r="E544" s="6" t="s">
        <v>766</v>
      </c>
      <c r="F544" s="6" t="s">
        <v>18</v>
      </c>
      <c r="G544" s="6" t="s">
        <v>34</v>
      </c>
      <c r="H544" s="6">
        <v>1600</v>
      </c>
      <c r="I544" s="6">
        <v>800</v>
      </c>
      <c r="J544" s="6">
        <v>1</v>
      </c>
      <c r="K544" s="10">
        <f t="shared" si="15"/>
        <v>0.78</v>
      </c>
      <c r="L544" s="6" t="s">
        <v>102</v>
      </c>
      <c r="M544" s="6"/>
      <c r="N544" s="6" t="s">
        <v>54</v>
      </c>
      <c r="O544" s="6" t="s">
        <v>54</v>
      </c>
      <c r="P544" s="6" t="s">
        <v>54</v>
      </c>
    </row>
    <row r="545" spans="1:16" ht="30" customHeight="1" x14ac:dyDescent="0.3">
      <c r="A545" s="7">
        <v>45789.553004629626</v>
      </c>
      <c r="B545" s="6" t="s">
        <v>4</v>
      </c>
      <c r="C545" s="6" t="str">
        <f>VLOOKUP(B543,'Veri doğrulama'!D6:E13,2,0)</f>
        <v>MEHMET YAZICI</v>
      </c>
      <c r="D545" s="6"/>
      <c r="E545" s="6" t="s">
        <v>758</v>
      </c>
      <c r="F545" s="6" t="s">
        <v>18</v>
      </c>
      <c r="G545" s="6" t="s">
        <v>34</v>
      </c>
      <c r="H545" s="6">
        <v>762</v>
      </c>
      <c r="I545" s="6">
        <v>320</v>
      </c>
      <c r="J545" s="6">
        <v>1</v>
      </c>
      <c r="K545" s="10">
        <f t="shared" si="15"/>
        <v>0.25056</v>
      </c>
      <c r="L545" s="6" t="s">
        <v>102</v>
      </c>
      <c r="M545" s="6" t="s">
        <v>632</v>
      </c>
      <c r="N545" s="6" t="s">
        <v>54</v>
      </c>
      <c r="O545" s="6"/>
      <c r="P545" s="6"/>
    </row>
    <row r="546" spans="1:16" ht="30" customHeight="1" x14ac:dyDescent="0.3">
      <c r="A546" s="7">
        <v>45789.473131597224</v>
      </c>
      <c r="B546" s="6" t="s">
        <v>4</v>
      </c>
      <c r="C546" s="6" t="str">
        <f>VLOOKUP(B544,'Veri doğrulama'!D6:E13,2,0)</f>
        <v>MEHMET ÖZEN</v>
      </c>
      <c r="D546" s="6"/>
      <c r="E546" s="6" t="s">
        <v>757</v>
      </c>
      <c r="F546" s="6" t="s">
        <v>18</v>
      </c>
      <c r="G546" s="6" t="s">
        <v>34</v>
      </c>
      <c r="H546" s="6">
        <v>1150</v>
      </c>
      <c r="I546" s="6">
        <v>450</v>
      </c>
      <c r="J546" s="6">
        <v>2</v>
      </c>
      <c r="K546" s="10">
        <f t="shared" si="15"/>
        <v>2.56</v>
      </c>
      <c r="L546" s="6" t="s">
        <v>103</v>
      </c>
      <c r="M546" s="6" t="s">
        <v>632</v>
      </c>
      <c r="N546" s="6" t="s">
        <v>54</v>
      </c>
      <c r="O546" s="6" t="s">
        <v>54</v>
      </c>
      <c r="P546" s="6" t="s">
        <v>54</v>
      </c>
    </row>
    <row r="547" spans="1:16" ht="30" customHeight="1" x14ac:dyDescent="0.3">
      <c r="A547" s="7">
        <v>45789.464145486112</v>
      </c>
      <c r="B547" s="6" t="s">
        <v>5</v>
      </c>
      <c r="C547" s="6" t="str">
        <f>VLOOKUP(B545,'Veri doğrulama'!D6:E13,2,0)</f>
        <v>MEHMET YAZICI</v>
      </c>
      <c r="D547" s="6"/>
      <c r="E547" s="6" t="s">
        <v>756</v>
      </c>
      <c r="F547" s="6" t="s">
        <v>18</v>
      </c>
      <c r="G547" s="6" t="s">
        <v>34</v>
      </c>
      <c r="H547" s="6">
        <v>763</v>
      </c>
      <c r="I547" s="6">
        <v>320</v>
      </c>
      <c r="J547" s="6">
        <v>3</v>
      </c>
      <c r="K547" s="10">
        <f t="shared" si="15"/>
        <v>0.73151999999999995</v>
      </c>
      <c r="L547" s="6" t="s">
        <v>103</v>
      </c>
      <c r="M547" s="6"/>
      <c r="N547" s="6" t="s">
        <v>54</v>
      </c>
      <c r="O547" s="6" t="s">
        <v>54</v>
      </c>
      <c r="P547" s="6" t="s">
        <v>54</v>
      </c>
    </row>
    <row r="548" spans="1:16" ht="30" customHeight="1" x14ac:dyDescent="0.3">
      <c r="A548" s="7">
        <v>45786.698589120373</v>
      </c>
      <c r="B548" s="6" t="s">
        <v>7</v>
      </c>
      <c r="C548" s="6" t="str">
        <f>VLOOKUP(B546,'Veri doğrulama'!D6:E13,2,0)</f>
        <v>MEHMET YAZICI</v>
      </c>
      <c r="D548" s="6"/>
      <c r="E548" s="6" t="s">
        <v>755</v>
      </c>
      <c r="F548" s="6" t="s">
        <v>18</v>
      </c>
      <c r="G548" s="6" t="s">
        <v>34</v>
      </c>
      <c r="H548" s="6">
        <v>763</v>
      </c>
      <c r="I548" s="6">
        <v>340</v>
      </c>
      <c r="J548" s="6">
        <v>1</v>
      </c>
      <c r="K548" s="10">
        <f t="shared" si="15"/>
        <v>0.51749999999999996</v>
      </c>
      <c r="L548" s="6" t="s">
        <v>103</v>
      </c>
      <c r="M548" s="6"/>
      <c r="N548" s="6" t="s">
        <v>54</v>
      </c>
      <c r="O548" s="6" t="s">
        <v>54</v>
      </c>
      <c r="P548" s="6" t="s">
        <v>54</v>
      </c>
    </row>
    <row r="549" spans="1:16" ht="30" customHeight="1" x14ac:dyDescent="0.3">
      <c r="A549" s="7">
        <v>45786.698003240737</v>
      </c>
      <c r="B549" s="6" t="s">
        <v>5</v>
      </c>
      <c r="C549" s="6" t="str">
        <f>VLOOKUP(B547,'Veri doğrulama'!D6:E13,2,0)</f>
        <v>MEHMET ÖZEN</v>
      </c>
      <c r="D549" s="6"/>
      <c r="E549" s="6" t="s">
        <v>754</v>
      </c>
      <c r="F549" s="6" t="s">
        <v>18</v>
      </c>
      <c r="G549" s="6" t="s">
        <v>34</v>
      </c>
      <c r="H549" s="6">
        <v>735</v>
      </c>
      <c r="I549" s="6">
        <v>397</v>
      </c>
      <c r="J549" s="6">
        <v>1</v>
      </c>
      <c r="K549" s="10">
        <f t="shared" si="15"/>
        <v>0.24415999999999999</v>
      </c>
      <c r="L549" s="6" t="s">
        <v>103</v>
      </c>
      <c r="M549" s="6" t="s">
        <v>753</v>
      </c>
      <c r="N549" s="6" t="s">
        <v>54</v>
      </c>
      <c r="O549" s="6" t="s">
        <v>54</v>
      </c>
      <c r="P549" s="6" t="s">
        <v>54</v>
      </c>
    </row>
    <row r="550" spans="1:16" ht="30" customHeight="1" x14ac:dyDescent="0.3">
      <c r="A550" s="7">
        <v>45786.697395138886</v>
      </c>
      <c r="B550" s="6" t="s">
        <v>5</v>
      </c>
      <c r="C550" s="6" t="str">
        <f>VLOOKUP(B548,'Veri doğrulama'!D6:E13,2,0)</f>
        <v>SIDDIK KAPLAN</v>
      </c>
      <c r="D550" s="6"/>
      <c r="E550" s="6" t="s">
        <v>752</v>
      </c>
      <c r="F550" s="6" t="s">
        <v>18</v>
      </c>
      <c r="G550" s="6" t="s">
        <v>34</v>
      </c>
      <c r="H550" s="6">
        <v>1077</v>
      </c>
      <c r="I550" s="6">
        <v>397</v>
      </c>
      <c r="J550" s="6">
        <v>1</v>
      </c>
      <c r="K550" s="10">
        <f t="shared" si="15"/>
        <v>0.25941999999999998</v>
      </c>
      <c r="L550" s="6" t="s">
        <v>43</v>
      </c>
      <c r="M550" s="6" t="s">
        <v>753</v>
      </c>
      <c r="N550" s="6" t="s">
        <v>54</v>
      </c>
      <c r="O550" s="6" t="s">
        <v>54</v>
      </c>
      <c r="P550" s="6" t="s">
        <v>54</v>
      </c>
    </row>
    <row r="551" spans="1:16" ht="30" customHeight="1" x14ac:dyDescent="0.3">
      <c r="A551" s="7">
        <v>45786.69677962963</v>
      </c>
      <c r="B551" s="6" t="s">
        <v>5</v>
      </c>
      <c r="C551" s="6" t="str">
        <f>VLOOKUP(B549,'Veri doğrulama'!D6:E13,2,0)</f>
        <v>MEHMET ÖZEN</v>
      </c>
      <c r="D551" s="6"/>
      <c r="E551" s="6" t="s">
        <v>84</v>
      </c>
      <c r="F551" s="6" t="s">
        <v>22</v>
      </c>
      <c r="G551" s="6" t="s">
        <v>34</v>
      </c>
      <c r="H551" s="6">
        <v>1382</v>
      </c>
      <c r="I551" s="6">
        <v>725</v>
      </c>
      <c r="J551" s="6">
        <v>2</v>
      </c>
      <c r="K551" s="10">
        <f t="shared" si="15"/>
        <v>0.58359000000000005</v>
      </c>
      <c r="L551" s="6" t="s">
        <v>43</v>
      </c>
      <c r="M551" s="6"/>
      <c r="N551" s="6" t="s">
        <v>54</v>
      </c>
      <c r="O551" s="6" t="s">
        <v>54</v>
      </c>
      <c r="P551" s="6" t="s">
        <v>54</v>
      </c>
    </row>
    <row r="552" spans="1:16" ht="30" customHeight="1" x14ac:dyDescent="0.3">
      <c r="A552" s="7">
        <v>45786.695873032404</v>
      </c>
      <c r="B552" s="6" t="s">
        <v>5</v>
      </c>
      <c r="C552" s="6" t="str">
        <f>VLOOKUP(B550,'Veri doğrulama'!D6:E13,2,0)</f>
        <v>MEHMET ÖZEN</v>
      </c>
      <c r="D552" s="6"/>
      <c r="E552" s="6" t="s">
        <v>640</v>
      </c>
      <c r="F552" s="6" t="s">
        <v>18</v>
      </c>
      <c r="G552" s="6" t="s">
        <v>34</v>
      </c>
      <c r="H552" s="6">
        <v>1800</v>
      </c>
      <c r="I552" s="6">
        <v>360</v>
      </c>
      <c r="J552" s="6">
        <v>2</v>
      </c>
      <c r="K552" s="10">
        <f t="shared" si="15"/>
        <v>0.85513799999999995</v>
      </c>
      <c r="L552" s="6" t="s">
        <v>43</v>
      </c>
      <c r="M552" s="6" t="s">
        <v>751</v>
      </c>
      <c r="N552" s="6" t="s">
        <v>54</v>
      </c>
      <c r="O552" s="6" t="s">
        <v>54</v>
      </c>
      <c r="P552" s="6" t="s">
        <v>54</v>
      </c>
    </row>
    <row r="553" spans="1:16" ht="30" customHeight="1" x14ac:dyDescent="0.3">
      <c r="A553" s="7">
        <v>45786.605041550923</v>
      </c>
      <c r="B553" s="6" t="s">
        <v>7</v>
      </c>
      <c r="C553" s="6" t="s">
        <v>53</v>
      </c>
      <c r="D553" s="6"/>
      <c r="E553" s="6" t="s">
        <v>740</v>
      </c>
      <c r="F553" s="6" t="s">
        <v>13</v>
      </c>
      <c r="G553" s="6" t="s">
        <v>34</v>
      </c>
      <c r="H553" s="6">
        <v>2220</v>
      </c>
      <c r="I553" s="6">
        <v>1220</v>
      </c>
      <c r="J553" s="6">
        <v>2</v>
      </c>
      <c r="K553" s="10">
        <f>H552*I552/1000000*J554</f>
        <v>3.8879999999999999</v>
      </c>
      <c r="L553" s="6" t="s">
        <v>38</v>
      </c>
      <c r="M553" s="6" t="s">
        <v>774</v>
      </c>
      <c r="N553" s="6" t="s">
        <v>54</v>
      </c>
      <c r="O553" s="6" t="s">
        <v>54</v>
      </c>
      <c r="P553" s="6" t="s">
        <v>54</v>
      </c>
    </row>
    <row r="554" spans="1:16" ht="30" customHeight="1" x14ac:dyDescent="0.3">
      <c r="A554" s="7">
        <v>45786.602904282408</v>
      </c>
      <c r="B554" s="6" t="s">
        <v>5</v>
      </c>
      <c r="C554" s="6" t="str">
        <f>VLOOKUP(B552,'Veri doğrulama'!D6:E13,2,0)</f>
        <v>MEHMET ÖZEN</v>
      </c>
      <c r="D554" s="6"/>
      <c r="E554" s="6" t="s">
        <v>749</v>
      </c>
      <c r="F554" s="6" t="s">
        <v>18</v>
      </c>
      <c r="G554" s="6" t="s">
        <v>34</v>
      </c>
      <c r="H554" s="6">
        <v>1600</v>
      </c>
      <c r="I554" s="6">
        <v>800</v>
      </c>
      <c r="J554" s="6">
        <v>6</v>
      </c>
      <c r="K554" s="10">
        <f t="shared" ref="K554:K574" si="16">H552*I552/1000000*J554</f>
        <v>3.8879999999999999</v>
      </c>
      <c r="L554" s="6" t="s">
        <v>43</v>
      </c>
      <c r="M554" s="6"/>
      <c r="N554" s="6" t="s">
        <v>54</v>
      </c>
      <c r="O554" s="6" t="s">
        <v>54</v>
      </c>
      <c r="P554" s="6" t="s">
        <v>54</v>
      </c>
    </row>
    <row r="555" spans="1:16" ht="30" customHeight="1" x14ac:dyDescent="0.3">
      <c r="A555" s="7">
        <v>45786.559983796295</v>
      </c>
      <c r="B555" s="6" t="s">
        <v>7</v>
      </c>
      <c r="C555" s="6" t="str">
        <f>VLOOKUP(B553,'Veri doğrulama'!D6:E13,2,0)</f>
        <v>SIDDIK KAPLAN</v>
      </c>
      <c r="D555" s="6"/>
      <c r="E555" s="6" t="s">
        <v>555</v>
      </c>
      <c r="F555" s="6" t="s">
        <v>15</v>
      </c>
      <c r="G555" s="6" t="s">
        <v>34</v>
      </c>
      <c r="H555" s="6">
        <v>1600</v>
      </c>
      <c r="I555" s="6">
        <v>1400</v>
      </c>
      <c r="J555" s="6">
        <v>1</v>
      </c>
      <c r="K555" s="10">
        <f t="shared" si="16"/>
        <v>2.7084000000000001</v>
      </c>
      <c r="L555" s="6" t="s">
        <v>43</v>
      </c>
      <c r="M555" s="6"/>
      <c r="N555" s="6" t="s">
        <v>54</v>
      </c>
      <c r="O555" s="6" t="s">
        <v>54</v>
      </c>
      <c r="P555" s="6"/>
    </row>
    <row r="556" spans="1:16" ht="30" customHeight="1" x14ac:dyDescent="0.3">
      <c r="A556" s="7">
        <v>45786.334661111112</v>
      </c>
      <c r="B556" s="6" t="s">
        <v>7</v>
      </c>
      <c r="C556" s="6" t="str">
        <f>VLOOKUP(B554,'Veri doğrulama'!D6:E13,2,0)</f>
        <v>MEHMET ÖZEN</v>
      </c>
      <c r="D556" s="6"/>
      <c r="E556" s="6" t="s">
        <v>746</v>
      </c>
      <c r="F556" s="6" t="s">
        <v>15</v>
      </c>
      <c r="G556" s="6" t="s">
        <v>34</v>
      </c>
      <c r="H556" s="6">
        <v>1400</v>
      </c>
      <c r="I556" s="6">
        <v>800</v>
      </c>
      <c r="J556" s="6">
        <v>1</v>
      </c>
      <c r="K556" s="10">
        <f t="shared" si="16"/>
        <v>1.28</v>
      </c>
      <c r="L556" s="6" t="s">
        <v>43</v>
      </c>
      <c r="M556" s="6"/>
      <c r="N556" s="6" t="s">
        <v>54</v>
      </c>
      <c r="O556" s="6" t="s">
        <v>54</v>
      </c>
      <c r="P556" s="6" t="s">
        <v>54</v>
      </c>
    </row>
    <row r="557" spans="1:16" ht="30" customHeight="1" x14ac:dyDescent="0.3">
      <c r="A557" s="7">
        <v>45785.650999884259</v>
      </c>
      <c r="B557" s="6" t="s">
        <v>4</v>
      </c>
      <c r="C557" s="6" t="str">
        <f>VLOOKUP(B555,'Veri doğrulama'!D6:E13,2,0)</f>
        <v>SIDDIK KAPLAN</v>
      </c>
      <c r="D557" s="6"/>
      <c r="E557" s="6" t="s">
        <v>677</v>
      </c>
      <c r="F557" s="6" t="s">
        <v>18</v>
      </c>
      <c r="G557" s="6" t="s">
        <v>34</v>
      </c>
      <c r="H557" s="6">
        <v>1150</v>
      </c>
      <c r="I557" s="6">
        <v>450</v>
      </c>
      <c r="J557" s="6">
        <v>1</v>
      </c>
      <c r="K557" s="10">
        <f t="shared" si="16"/>
        <v>2.2400000000000002</v>
      </c>
      <c r="L557" s="6" t="s">
        <v>596</v>
      </c>
      <c r="M557" s="6" t="s">
        <v>715</v>
      </c>
      <c r="N557" s="6" t="s">
        <v>54</v>
      </c>
      <c r="O557" s="6" t="s">
        <v>54</v>
      </c>
      <c r="P557" s="6" t="s">
        <v>54</v>
      </c>
    </row>
    <row r="558" spans="1:16" ht="30" customHeight="1" x14ac:dyDescent="0.3">
      <c r="A558" s="7">
        <v>45785.595539120368</v>
      </c>
      <c r="B558" s="6" t="s">
        <v>4</v>
      </c>
      <c r="C558" s="6" t="str">
        <f>VLOOKUP(B556,'Veri doğrulama'!D6:E13,2,0)</f>
        <v>SIDDIK KAPLAN</v>
      </c>
      <c r="D558" s="6"/>
      <c r="E558" s="6" t="s">
        <v>771</v>
      </c>
      <c r="F558" s="6" t="s">
        <v>14</v>
      </c>
      <c r="G558" s="6" t="s">
        <v>34</v>
      </c>
      <c r="H558" s="6">
        <v>1600</v>
      </c>
      <c r="I558" s="6">
        <v>800</v>
      </c>
      <c r="J558" s="6">
        <v>1</v>
      </c>
      <c r="K558" s="10">
        <f t="shared" si="16"/>
        <v>1.1200000000000001</v>
      </c>
      <c r="L558" s="6" t="s">
        <v>43</v>
      </c>
      <c r="M558" s="6" t="s">
        <v>715</v>
      </c>
      <c r="N558" s="6" t="s">
        <v>54</v>
      </c>
      <c r="O558" s="6" t="s">
        <v>54</v>
      </c>
      <c r="P558" s="6" t="s">
        <v>54</v>
      </c>
    </row>
    <row r="559" spans="1:16" ht="30" customHeight="1" x14ac:dyDescent="0.3">
      <c r="A559" s="7">
        <v>45785.504855671294</v>
      </c>
      <c r="B559" s="6" t="s">
        <v>5</v>
      </c>
      <c r="C559" s="6" t="str">
        <f>VLOOKUP(B557,'Veri doğrulama'!D6:E13,2,0)</f>
        <v>MEHMET YAZICI</v>
      </c>
      <c r="D559" s="6" t="s">
        <v>747</v>
      </c>
      <c r="E559" s="6" t="s">
        <v>794</v>
      </c>
      <c r="F559" s="6" t="s">
        <v>111</v>
      </c>
      <c r="G559" s="6" t="s">
        <v>34</v>
      </c>
      <c r="H559" s="6">
        <v>1935</v>
      </c>
      <c r="I559" s="6">
        <v>397</v>
      </c>
      <c r="J559" s="6">
        <v>1</v>
      </c>
      <c r="K559" s="10">
        <f t="shared" si="16"/>
        <v>0.51749999999999996</v>
      </c>
      <c r="L559" s="6" t="s">
        <v>75</v>
      </c>
      <c r="M559" s="6" t="s">
        <v>712</v>
      </c>
      <c r="N559" s="6" t="s">
        <v>54</v>
      </c>
      <c r="O559" s="6" t="s">
        <v>54</v>
      </c>
      <c r="P559" s="6" t="s">
        <v>54</v>
      </c>
    </row>
    <row r="560" spans="1:16" ht="30" customHeight="1" x14ac:dyDescent="0.3">
      <c r="A560" s="7">
        <v>45785.504260995367</v>
      </c>
      <c r="B560" s="6" t="s">
        <v>5</v>
      </c>
      <c r="C560" s="6" t="str">
        <f>VLOOKUP(B558,'Veri doğrulama'!D6:E13,2,0)</f>
        <v>MEHMET YAZICI</v>
      </c>
      <c r="D560" s="6" t="s">
        <v>770</v>
      </c>
      <c r="E560" s="6" t="s">
        <v>742</v>
      </c>
      <c r="F560" s="6" t="s">
        <v>111</v>
      </c>
      <c r="G560" s="6" t="s">
        <v>34</v>
      </c>
      <c r="H560" s="6">
        <v>922</v>
      </c>
      <c r="I560" s="6">
        <v>461</v>
      </c>
      <c r="J560" s="6">
        <v>1</v>
      </c>
      <c r="K560" s="10">
        <f t="shared" si="16"/>
        <v>1.28</v>
      </c>
      <c r="L560" s="6" t="s">
        <v>75</v>
      </c>
      <c r="M560" s="6"/>
      <c r="N560" s="6" t="s">
        <v>54</v>
      </c>
      <c r="O560" s="6" t="s">
        <v>54</v>
      </c>
      <c r="P560" s="6"/>
    </row>
    <row r="561" spans="1:16" ht="30" customHeight="1" x14ac:dyDescent="0.3">
      <c r="A561" s="7">
        <v>45784.726345717594</v>
      </c>
      <c r="B561" s="6" t="s">
        <v>5</v>
      </c>
      <c r="C561" s="6" t="str">
        <f>VLOOKUP(B559,'Veri doğrulama'!D6:E13,2,0)</f>
        <v>MEHMET ÖZEN</v>
      </c>
      <c r="D561" s="6" t="s">
        <v>793</v>
      </c>
      <c r="E561" s="6" t="s">
        <v>741</v>
      </c>
      <c r="F561" s="6" t="s">
        <v>111</v>
      </c>
      <c r="G561" s="6" t="s">
        <v>34</v>
      </c>
      <c r="H561" s="6">
        <v>610</v>
      </c>
      <c r="I561" s="6">
        <v>160</v>
      </c>
      <c r="J561" s="6">
        <v>1</v>
      </c>
      <c r="K561" s="10">
        <f t="shared" si="16"/>
        <v>0.76819499999999996</v>
      </c>
      <c r="L561" s="6" t="s">
        <v>38</v>
      </c>
      <c r="M561" s="6"/>
      <c r="N561" s="6" t="s">
        <v>54</v>
      </c>
      <c r="O561" s="6" t="s">
        <v>54</v>
      </c>
      <c r="P561" s="6" t="s">
        <v>54</v>
      </c>
    </row>
    <row r="562" spans="1:16" ht="30" customHeight="1" x14ac:dyDescent="0.3">
      <c r="A562" s="7">
        <v>45784.722099652776</v>
      </c>
      <c r="B562" s="6" t="s">
        <v>4</v>
      </c>
      <c r="C562" s="6" t="str">
        <f>VLOOKUP(B560,'Veri doğrulama'!D6:E13,2,0)</f>
        <v>MEHMET ÖZEN</v>
      </c>
      <c r="D562" s="6"/>
      <c r="E562" s="6" t="s">
        <v>765</v>
      </c>
      <c r="F562" s="6" t="s">
        <v>16</v>
      </c>
      <c r="G562" s="6" t="s">
        <v>34</v>
      </c>
      <c r="H562" s="6">
        <v>1800</v>
      </c>
      <c r="I562" s="6">
        <v>450</v>
      </c>
      <c r="J562" s="6">
        <v>1</v>
      </c>
      <c r="K562" s="10">
        <f t="shared" si="16"/>
        <v>0.42504199999999998</v>
      </c>
      <c r="L562" s="6" t="s">
        <v>75</v>
      </c>
      <c r="M562" s="6" t="s">
        <v>632</v>
      </c>
      <c r="N562" s="6" t="s">
        <v>54</v>
      </c>
      <c r="O562" s="6" t="s">
        <v>54</v>
      </c>
      <c r="P562" s="6" t="s">
        <v>54</v>
      </c>
    </row>
    <row r="563" spans="1:16" ht="30" customHeight="1" x14ac:dyDescent="0.3">
      <c r="A563" s="7">
        <v>45784.711403240741</v>
      </c>
      <c r="B563" s="6" t="s">
        <v>7</v>
      </c>
      <c r="C563" s="6" t="str">
        <f>VLOOKUP(B561,'Veri doğrulama'!D6:E13,2,0)</f>
        <v>MEHMET ÖZEN</v>
      </c>
      <c r="D563" s="6"/>
      <c r="E563" s="6" t="s">
        <v>745</v>
      </c>
      <c r="F563" s="6" t="s">
        <v>15</v>
      </c>
      <c r="G563" s="6" t="s">
        <v>34</v>
      </c>
      <c r="H563" s="6">
        <v>1600</v>
      </c>
      <c r="I563" s="6">
        <v>1400</v>
      </c>
      <c r="J563" s="6">
        <v>1</v>
      </c>
      <c r="K563" s="10">
        <f t="shared" si="16"/>
        <v>9.7600000000000006E-2</v>
      </c>
      <c r="L563" s="6" t="s">
        <v>75</v>
      </c>
      <c r="M563" s="6"/>
      <c r="N563" s="6" t="s">
        <v>54</v>
      </c>
      <c r="O563" s="6" t="s">
        <v>54</v>
      </c>
      <c r="P563" s="6" t="s">
        <v>54</v>
      </c>
    </row>
    <row r="564" spans="1:16" ht="30" customHeight="1" x14ac:dyDescent="0.3">
      <c r="A564" s="7">
        <v>45784.62156284722</v>
      </c>
      <c r="B564" s="6" t="s">
        <v>7</v>
      </c>
      <c r="C564" s="6" t="str">
        <f>VLOOKUP(B562,'Veri doğrulama'!D6:E13,2,0)</f>
        <v>MEHMET YAZICI</v>
      </c>
      <c r="D564" s="6" t="s">
        <v>736</v>
      </c>
      <c r="E564" s="6" t="s">
        <v>748</v>
      </c>
      <c r="F564" s="6" t="s">
        <v>13</v>
      </c>
      <c r="G564" s="6" t="s">
        <v>34</v>
      </c>
      <c r="H564" s="6">
        <v>2600</v>
      </c>
      <c r="I564" s="6">
        <v>600</v>
      </c>
      <c r="J564" s="6">
        <v>1</v>
      </c>
      <c r="K564" s="10">
        <f t="shared" si="16"/>
        <v>0.81</v>
      </c>
      <c r="L564" s="6" t="s">
        <v>103</v>
      </c>
      <c r="M564" s="6"/>
      <c r="N564" s="6" t="s">
        <v>54</v>
      </c>
      <c r="O564" s="6" t="s">
        <v>54</v>
      </c>
      <c r="P564" s="6" t="s">
        <v>54</v>
      </c>
    </row>
    <row r="565" spans="1:16" ht="30" customHeight="1" x14ac:dyDescent="0.3">
      <c r="A565" s="7">
        <v>45784.583527893519</v>
      </c>
      <c r="B565" s="6" t="s">
        <v>5</v>
      </c>
      <c r="C565" s="6" t="str">
        <f>VLOOKUP(B563,'Veri doğrulama'!D6:E13,2,0)</f>
        <v>SIDDIK KAPLAN</v>
      </c>
      <c r="D565" s="6"/>
      <c r="E565" s="6" t="s">
        <v>740</v>
      </c>
      <c r="F565" s="6" t="s">
        <v>16</v>
      </c>
      <c r="G565" s="6" t="s">
        <v>34</v>
      </c>
      <c r="H565" s="6">
        <v>2410</v>
      </c>
      <c r="I565" s="6">
        <v>1210</v>
      </c>
      <c r="J565" s="6">
        <v>1</v>
      </c>
      <c r="K565" s="10">
        <f t="shared" si="16"/>
        <v>2.2400000000000002</v>
      </c>
      <c r="L565" s="6" t="s">
        <v>43</v>
      </c>
      <c r="M565" s="6"/>
      <c r="N565" s="6" t="s">
        <v>54</v>
      </c>
      <c r="O565" s="6" t="s">
        <v>54</v>
      </c>
      <c r="P565" s="6" t="s">
        <v>54</v>
      </c>
    </row>
    <row r="566" spans="1:16" ht="30" customHeight="1" x14ac:dyDescent="0.3">
      <c r="A566" s="7">
        <v>45784.559508680555</v>
      </c>
      <c r="B566" s="6" t="s">
        <v>4</v>
      </c>
      <c r="C566" s="6" t="str">
        <f>VLOOKUP(B564,'Veri doğrulama'!D6:E13,2,0)</f>
        <v>SIDDIK KAPLAN</v>
      </c>
      <c r="D566" s="6"/>
      <c r="E566" s="6" t="s">
        <v>416</v>
      </c>
      <c r="F566" s="6" t="s">
        <v>16</v>
      </c>
      <c r="G566" s="6" t="s">
        <v>34</v>
      </c>
      <c r="H566" s="6">
        <v>470</v>
      </c>
      <c r="I566" s="6">
        <v>447</v>
      </c>
      <c r="J566" s="6">
        <v>1</v>
      </c>
      <c r="K566" s="10">
        <f t="shared" si="16"/>
        <v>1.56</v>
      </c>
      <c r="L566" s="6" t="s">
        <v>43</v>
      </c>
      <c r="M566" s="6" t="s">
        <v>632</v>
      </c>
      <c r="N566" s="6" t="s">
        <v>54</v>
      </c>
      <c r="O566" s="6" t="s">
        <v>54</v>
      </c>
      <c r="P566" s="6" t="s">
        <v>54</v>
      </c>
    </row>
    <row r="567" spans="1:16" ht="30" customHeight="1" x14ac:dyDescent="0.3">
      <c r="A567" s="7">
        <v>45784.439410763887</v>
      </c>
      <c r="B567" s="6" t="s">
        <v>4</v>
      </c>
      <c r="C567" s="6" t="str">
        <f>VLOOKUP(B565,'Veri doğrulama'!D6:E13,2,0)</f>
        <v>MEHMET ÖZEN</v>
      </c>
      <c r="D567" s="6"/>
      <c r="E567" s="6" t="s">
        <v>744</v>
      </c>
      <c r="F567" s="6" t="s">
        <v>18</v>
      </c>
      <c r="G567" s="6" t="s">
        <v>34</v>
      </c>
      <c r="H567" s="6">
        <v>735</v>
      </c>
      <c r="I567" s="6">
        <v>397</v>
      </c>
      <c r="J567" s="6">
        <v>1</v>
      </c>
      <c r="K567" s="10">
        <f t="shared" si="16"/>
        <v>2.9161000000000001</v>
      </c>
      <c r="L567" s="6" t="s">
        <v>42</v>
      </c>
      <c r="M567" s="6"/>
      <c r="N567" s="6" t="s">
        <v>54</v>
      </c>
      <c r="O567" s="6" t="s">
        <v>54</v>
      </c>
      <c r="P567" s="6" t="s">
        <v>54</v>
      </c>
    </row>
    <row r="568" spans="1:16" ht="30" customHeight="1" x14ac:dyDescent="0.3">
      <c r="A568" s="7">
        <v>45784.437865624997</v>
      </c>
      <c r="B568" s="6" t="s">
        <v>5</v>
      </c>
      <c r="C568" s="6" t="str">
        <f>VLOOKUP(B566,'Veri doğrulama'!D6:E13,2,0)</f>
        <v>MEHMET YAZICI</v>
      </c>
      <c r="D568" s="6" t="s">
        <v>736</v>
      </c>
      <c r="E568" s="6" t="s">
        <v>739</v>
      </c>
      <c r="F568" s="6" t="s">
        <v>15</v>
      </c>
      <c r="G568" s="6" t="s">
        <v>34</v>
      </c>
      <c r="H568" s="6">
        <v>1600</v>
      </c>
      <c r="I568" s="6">
        <v>1200</v>
      </c>
      <c r="J568" s="6">
        <v>1</v>
      </c>
      <c r="K568" s="10">
        <f t="shared" si="16"/>
        <v>0.21009</v>
      </c>
      <c r="L568" s="6" t="s">
        <v>75</v>
      </c>
      <c r="M568" s="6" t="s">
        <v>712</v>
      </c>
      <c r="N568" s="6" t="s">
        <v>54</v>
      </c>
      <c r="O568" s="6" t="s">
        <v>54</v>
      </c>
      <c r="P568" s="6" t="s">
        <v>54</v>
      </c>
    </row>
    <row r="569" spans="1:16" ht="30" customHeight="1" x14ac:dyDescent="0.3">
      <c r="A569" s="7">
        <v>45783.401526851849</v>
      </c>
      <c r="B569" s="6" t="s">
        <v>4</v>
      </c>
      <c r="C569" s="6" t="str">
        <f>VLOOKUP(B567,'Veri doğrulama'!D6:E13,2,0)</f>
        <v>MEHMET YAZICI</v>
      </c>
      <c r="D569" s="6"/>
      <c r="E569" s="6" t="s">
        <v>735</v>
      </c>
      <c r="F569" s="6" t="s">
        <v>16</v>
      </c>
      <c r="G569" s="6" t="s">
        <v>34</v>
      </c>
      <c r="H569" s="6">
        <v>1598</v>
      </c>
      <c r="I569" s="6">
        <v>557</v>
      </c>
      <c r="J569" s="6">
        <v>2</v>
      </c>
      <c r="K569" s="10">
        <f t="shared" si="16"/>
        <v>0.58359000000000005</v>
      </c>
      <c r="L569" s="6" t="s">
        <v>156</v>
      </c>
      <c r="M569" s="6"/>
      <c r="N569" s="6" t="s">
        <v>54</v>
      </c>
      <c r="O569" s="6" t="s">
        <v>54</v>
      </c>
      <c r="P569" s="6" t="s">
        <v>54</v>
      </c>
    </row>
    <row r="570" spans="1:16" ht="30" customHeight="1" x14ac:dyDescent="0.3">
      <c r="A570" s="7">
        <v>45783.399571296293</v>
      </c>
      <c r="B570" s="6" t="s">
        <v>4</v>
      </c>
      <c r="C570" s="6" t="str">
        <f>VLOOKUP(B568,'Veri doğrulama'!D6:E13,2,0)</f>
        <v>MEHMET ÖZEN</v>
      </c>
      <c r="D570" s="6"/>
      <c r="E570" s="6" t="s">
        <v>264</v>
      </c>
      <c r="F570" s="6" t="s">
        <v>16</v>
      </c>
      <c r="G570" s="6" t="s">
        <v>34</v>
      </c>
      <c r="H570" s="6">
        <v>2200</v>
      </c>
      <c r="I570" s="6">
        <v>445</v>
      </c>
      <c r="J570" s="6">
        <v>1</v>
      </c>
      <c r="K570" s="10">
        <f t="shared" si="16"/>
        <v>1.92</v>
      </c>
      <c r="L570" s="6" t="s">
        <v>43</v>
      </c>
      <c r="M570" s="6" t="s">
        <v>632</v>
      </c>
      <c r="N570" s="6" t="s">
        <v>54</v>
      </c>
      <c r="O570" s="6" t="s">
        <v>54</v>
      </c>
      <c r="P570" s="6" t="s">
        <v>54</v>
      </c>
    </row>
    <row r="571" spans="1:16" ht="30" customHeight="1" x14ac:dyDescent="0.3">
      <c r="A571" s="7">
        <v>45783.391872916669</v>
      </c>
      <c r="B571" s="6" t="s">
        <v>4</v>
      </c>
      <c r="C571" s="6" t="str">
        <f>VLOOKUP(B569,'Veri doğrulama'!D6:E13,2,0)</f>
        <v>MEHMET YAZICI</v>
      </c>
      <c r="D571" s="6" t="s">
        <v>734</v>
      </c>
      <c r="E571" s="6" t="s">
        <v>80</v>
      </c>
      <c r="F571" s="6" t="s">
        <v>20</v>
      </c>
      <c r="G571" s="6" t="s">
        <v>35</v>
      </c>
      <c r="H571" s="6">
        <v>1600</v>
      </c>
      <c r="I571" s="6">
        <v>800</v>
      </c>
      <c r="J571" s="6">
        <v>1</v>
      </c>
      <c r="K571" s="10">
        <f t="shared" si="16"/>
        <v>0.89008600000000004</v>
      </c>
      <c r="L571" s="6" t="s">
        <v>75</v>
      </c>
      <c r="M571" s="6" t="s">
        <v>715</v>
      </c>
      <c r="N571" s="6" t="s">
        <v>54</v>
      </c>
      <c r="O571" s="6" t="s">
        <v>54</v>
      </c>
      <c r="P571" s="6" t="s">
        <v>54</v>
      </c>
    </row>
    <row r="572" spans="1:16" ht="30" customHeight="1" x14ac:dyDescent="0.3">
      <c r="A572" s="7">
        <v>45783.390251736113</v>
      </c>
      <c r="B572" s="6" t="s">
        <v>4</v>
      </c>
      <c r="C572" s="6" t="str">
        <f>VLOOKUP(B570,'Veri doğrulama'!D6:E13,2,0)</f>
        <v>MEHMET YAZICI</v>
      </c>
      <c r="D572" s="6" t="s">
        <v>732</v>
      </c>
      <c r="E572" s="6" t="s">
        <v>731</v>
      </c>
      <c r="F572" s="6" t="s">
        <v>16</v>
      </c>
      <c r="G572" s="6" t="s">
        <v>34</v>
      </c>
      <c r="H572" s="6">
        <v>900</v>
      </c>
      <c r="I572" s="6">
        <v>600</v>
      </c>
      <c r="J572" s="6">
        <v>2</v>
      </c>
      <c r="K572" s="10">
        <f t="shared" si="16"/>
        <v>1.958</v>
      </c>
      <c r="L572" s="6" t="s">
        <v>102</v>
      </c>
      <c r="M572" s="6" t="s">
        <v>632</v>
      </c>
      <c r="N572" s="6" t="s">
        <v>54</v>
      </c>
      <c r="O572" s="6" t="s">
        <v>54</v>
      </c>
      <c r="P572" s="6" t="s">
        <v>54</v>
      </c>
    </row>
    <row r="573" spans="1:16" ht="30" customHeight="1" x14ac:dyDescent="0.3">
      <c r="A573" s="7">
        <v>45782.621550347219</v>
      </c>
      <c r="B573" s="6" t="s">
        <v>4</v>
      </c>
      <c r="C573" s="6" t="str">
        <f>VLOOKUP(B571,'Veri doğrulama'!D6:E13,2,0)</f>
        <v>MEHMET YAZICI</v>
      </c>
      <c r="D573" s="6" t="s">
        <v>792</v>
      </c>
      <c r="E573" s="6" t="s">
        <v>72</v>
      </c>
      <c r="F573" s="6" t="s">
        <v>25</v>
      </c>
      <c r="G573" s="6" t="s">
        <v>35</v>
      </c>
      <c r="H573" s="6">
        <v>1500</v>
      </c>
      <c r="I573" s="6">
        <v>500</v>
      </c>
      <c r="J573" s="6">
        <v>1</v>
      </c>
      <c r="K573" s="10">
        <f t="shared" si="16"/>
        <v>1.28</v>
      </c>
      <c r="L573" s="6" t="s">
        <v>42</v>
      </c>
      <c r="M573" s="6"/>
      <c r="N573" s="6" t="s">
        <v>54</v>
      </c>
      <c r="O573" s="6" t="s">
        <v>54</v>
      </c>
      <c r="P573" s="6"/>
    </row>
    <row r="574" spans="1:16" ht="30" customHeight="1" x14ac:dyDescent="0.3">
      <c r="A574" s="7">
        <v>45782.403532870369</v>
      </c>
      <c r="B574" s="6" t="s">
        <v>4</v>
      </c>
      <c r="C574" s="6" t="str">
        <f>VLOOKUP(B572,'Veri doğrulama'!D6:E13,2,0)</f>
        <v>MEHMET YAZICI</v>
      </c>
      <c r="D574" s="6" t="s">
        <v>730</v>
      </c>
      <c r="E574" s="6" t="s">
        <v>769</v>
      </c>
      <c r="F574" s="6" t="s">
        <v>24</v>
      </c>
      <c r="G574" s="6" t="s">
        <v>34</v>
      </c>
      <c r="H574" s="6">
        <v>1800</v>
      </c>
      <c r="I574" s="6">
        <v>350</v>
      </c>
      <c r="J574" s="6">
        <v>1</v>
      </c>
      <c r="K574" s="10">
        <f t="shared" si="16"/>
        <v>0.54</v>
      </c>
      <c r="L574" s="6" t="s">
        <v>102</v>
      </c>
      <c r="M574" s="6" t="s">
        <v>632</v>
      </c>
      <c r="N574" s="6" t="s">
        <v>54</v>
      </c>
      <c r="O574" s="6" t="s">
        <v>54</v>
      </c>
      <c r="P574" s="6" t="s">
        <v>54</v>
      </c>
    </row>
    <row r="575" spans="1:16" ht="30" customHeight="1" x14ac:dyDescent="0.3">
      <c r="A575" s="7">
        <v>45782.398623379631</v>
      </c>
      <c r="B575" s="6" t="s">
        <v>7</v>
      </c>
      <c r="C575" s="6" t="s">
        <v>9</v>
      </c>
      <c r="D575" s="6"/>
      <c r="E575" s="6" t="s">
        <v>733</v>
      </c>
      <c r="F575" s="6" t="s">
        <v>18</v>
      </c>
      <c r="G575" s="6" t="s">
        <v>34</v>
      </c>
      <c r="H575" s="6">
        <v>2200</v>
      </c>
      <c r="I575" s="6">
        <v>450</v>
      </c>
      <c r="J575" s="6">
        <v>2</v>
      </c>
      <c r="K575" s="10">
        <f>H574*I574/1000000*J576</f>
        <v>0.63</v>
      </c>
      <c r="L575" s="6" t="s">
        <v>75</v>
      </c>
      <c r="M575" s="6"/>
      <c r="N575" s="6" t="s">
        <v>54</v>
      </c>
      <c r="O575" s="6" t="s">
        <v>54</v>
      </c>
      <c r="P575" s="6"/>
    </row>
    <row r="576" spans="1:16" ht="30" customHeight="1" x14ac:dyDescent="0.3">
      <c r="A576" s="7">
        <v>45782.393536689815</v>
      </c>
      <c r="B576" s="6" t="s">
        <v>5</v>
      </c>
      <c r="C576" s="6" t="str">
        <f>VLOOKUP(B574,'Veri doğrulama'!D6:E13,2,0)</f>
        <v>MEHMET YAZICI</v>
      </c>
      <c r="D576" s="6"/>
      <c r="E576" s="6" t="s">
        <v>763</v>
      </c>
      <c r="F576" s="6" t="s">
        <v>19</v>
      </c>
      <c r="G576" s="6" t="s">
        <v>34</v>
      </c>
      <c r="H576" s="6">
        <v>1200</v>
      </c>
      <c r="I576" s="6">
        <v>700</v>
      </c>
      <c r="J576" s="6">
        <v>1</v>
      </c>
      <c r="K576" s="10">
        <f t="shared" ref="K576:K581" si="17">H574*I574/1000000*J576</f>
        <v>0.63</v>
      </c>
      <c r="L576" s="6" t="s">
        <v>39</v>
      </c>
      <c r="M576" s="6"/>
      <c r="N576" s="6" t="s">
        <v>54</v>
      </c>
      <c r="O576" s="6" t="s">
        <v>54</v>
      </c>
      <c r="P576" s="6" t="s">
        <v>54</v>
      </c>
    </row>
    <row r="577" spans="1:16" ht="30" customHeight="1" x14ac:dyDescent="0.3">
      <c r="A577" s="7">
        <v>45782.37500821759</v>
      </c>
      <c r="B577" s="6" t="s">
        <v>4</v>
      </c>
      <c r="C577" s="6" t="str">
        <f>VLOOKUP(B575,'Veri doğrulama'!D6:E13,2,0)</f>
        <v>SIDDIK KAPLAN</v>
      </c>
      <c r="D577" s="6"/>
      <c r="E577" s="6" t="s">
        <v>743</v>
      </c>
      <c r="F577" s="6" t="s">
        <v>14</v>
      </c>
      <c r="G577" s="6" t="s">
        <v>34</v>
      </c>
      <c r="H577" s="6">
        <v>820</v>
      </c>
      <c r="I577" s="6">
        <v>432</v>
      </c>
      <c r="J577" s="6">
        <v>1</v>
      </c>
      <c r="K577" s="10">
        <f t="shared" si="17"/>
        <v>0.99</v>
      </c>
      <c r="L577" s="6" t="s">
        <v>43</v>
      </c>
      <c r="M577" s="6"/>
      <c r="N577" s="6" t="s">
        <v>54</v>
      </c>
      <c r="O577" s="6" t="s">
        <v>54</v>
      </c>
      <c r="P577" s="6" t="s">
        <v>54</v>
      </c>
    </row>
    <row r="578" spans="1:16" ht="30" customHeight="1" x14ac:dyDescent="0.3">
      <c r="A578" s="7">
        <v>45782.374260069446</v>
      </c>
      <c r="B578" s="6" t="s">
        <v>4</v>
      </c>
      <c r="C578" s="6" t="str">
        <f>VLOOKUP(B576,'Veri doğrulama'!D6:E13,2,0)</f>
        <v>MEHMET ÖZEN</v>
      </c>
      <c r="D578" s="6" t="s">
        <v>762</v>
      </c>
      <c r="E578" s="6" t="s">
        <v>721</v>
      </c>
      <c r="F578" s="6" t="s">
        <v>14</v>
      </c>
      <c r="G578" s="6" t="s">
        <v>34</v>
      </c>
      <c r="H578" s="6">
        <v>447</v>
      </c>
      <c r="I578" s="6">
        <v>470</v>
      </c>
      <c r="J578" s="6">
        <v>1</v>
      </c>
      <c r="K578" s="10">
        <f t="shared" si="17"/>
        <v>0.84</v>
      </c>
      <c r="L578" s="6" t="s">
        <v>102</v>
      </c>
      <c r="M578" s="6" t="s">
        <v>632</v>
      </c>
      <c r="N578" s="6" t="s">
        <v>54</v>
      </c>
      <c r="O578" s="6" t="s">
        <v>54</v>
      </c>
      <c r="P578" s="6" t="s">
        <v>54</v>
      </c>
    </row>
    <row r="579" spans="1:16" ht="30" customHeight="1" x14ac:dyDescent="0.3">
      <c r="A579" s="7">
        <v>45782.354090277775</v>
      </c>
      <c r="B579" s="6"/>
      <c r="C579" s="6" t="str">
        <f>VLOOKUP(B577,'Veri doğrulama'!D6:E13,2,0)</f>
        <v>MEHMET YAZICI</v>
      </c>
      <c r="D579" s="6" t="s">
        <v>737</v>
      </c>
      <c r="E579" s="6" t="s">
        <v>95</v>
      </c>
      <c r="F579" s="6" t="s">
        <v>24</v>
      </c>
      <c r="G579" s="6" t="s">
        <v>34</v>
      </c>
      <c r="H579" s="6">
        <v>541</v>
      </c>
      <c r="I579" s="6">
        <v>453</v>
      </c>
      <c r="J579" s="6">
        <v>1</v>
      </c>
      <c r="K579" s="10">
        <f t="shared" si="17"/>
        <v>0.35424</v>
      </c>
      <c r="L579" s="6" t="s">
        <v>156</v>
      </c>
      <c r="M579" s="6" t="s">
        <v>385</v>
      </c>
      <c r="N579" s="6" t="s">
        <v>54</v>
      </c>
      <c r="O579" s="6" t="s">
        <v>54</v>
      </c>
      <c r="P579" s="6" t="s">
        <v>54</v>
      </c>
    </row>
    <row r="580" spans="1:16" ht="30" customHeight="1" x14ac:dyDescent="0.3">
      <c r="A580" s="7">
        <v>45779.676113657406</v>
      </c>
      <c r="B580" s="6" t="s">
        <v>5</v>
      </c>
      <c r="C580" s="6" t="str">
        <f>VLOOKUP(B578,'Veri doğrulama'!D6:E13,2,0)</f>
        <v>MEHMET YAZICI</v>
      </c>
      <c r="D580" s="6"/>
      <c r="E580" s="6" t="s">
        <v>87</v>
      </c>
      <c r="F580" s="6" t="s">
        <v>24</v>
      </c>
      <c r="G580" s="6" t="s">
        <v>34</v>
      </c>
      <c r="H580" s="6">
        <v>1500</v>
      </c>
      <c r="I580" s="6">
        <v>500</v>
      </c>
      <c r="J580" s="6">
        <v>2</v>
      </c>
      <c r="K580" s="10">
        <f t="shared" si="17"/>
        <v>0.42018</v>
      </c>
      <c r="L580" s="6" t="s">
        <v>75</v>
      </c>
      <c r="M580" s="6"/>
      <c r="N580" s="6" t="s">
        <v>54</v>
      </c>
      <c r="O580" s="6" t="s">
        <v>54</v>
      </c>
      <c r="P580" s="6" t="s">
        <v>54</v>
      </c>
    </row>
    <row r="581" spans="1:16" ht="30" customHeight="1" x14ac:dyDescent="0.3">
      <c r="A581" s="7">
        <v>45779.57796516204</v>
      </c>
      <c r="B581" s="6" t="s">
        <v>4</v>
      </c>
      <c r="C581" s="6" t="s">
        <v>125</v>
      </c>
      <c r="D581" s="6"/>
      <c r="E581" s="6" t="s">
        <v>750</v>
      </c>
      <c r="F581" s="6" t="s">
        <v>21</v>
      </c>
      <c r="G581" s="6" t="s">
        <v>34</v>
      </c>
      <c r="H581" s="6">
        <v>2386</v>
      </c>
      <c r="I581" s="6">
        <v>350</v>
      </c>
      <c r="J581" s="6">
        <v>1</v>
      </c>
      <c r="K581" s="10">
        <f t="shared" si="17"/>
        <v>0.24507300000000001</v>
      </c>
      <c r="L581" s="6" t="s">
        <v>156</v>
      </c>
      <c r="M581" s="6"/>
      <c r="N581" s="6" t="s">
        <v>54</v>
      </c>
      <c r="O581" s="6" t="s">
        <v>54</v>
      </c>
      <c r="P581" s="6" t="s">
        <v>54</v>
      </c>
    </row>
    <row r="582" spans="1:16" ht="30" customHeight="1" x14ac:dyDescent="0.3">
      <c r="A582" s="7">
        <v>45779.56555162037</v>
      </c>
      <c r="B582" s="6" t="s">
        <v>5</v>
      </c>
      <c r="C582" s="6" t="s">
        <v>53</v>
      </c>
      <c r="D582" s="6" t="s">
        <v>89</v>
      </c>
      <c r="E582" s="6" t="s">
        <v>718</v>
      </c>
      <c r="F582" s="6" t="s">
        <v>24</v>
      </c>
      <c r="G582" s="6" t="s">
        <v>34</v>
      </c>
      <c r="H582" s="6">
        <v>1600</v>
      </c>
      <c r="I582" s="6">
        <v>800</v>
      </c>
      <c r="J582" s="6">
        <v>1</v>
      </c>
      <c r="K582" s="10">
        <f>H581*I581/1000000*J583</f>
        <v>0.83509999999999995</v>
      </c>
      <c r="L582" s="6" t="s">
        <v>43</v>
      </c>
      <c r="M582" s="6" t="s">
        <v>411</v>
      </c>
      <c r="N582" s="6" t="s">
        <v>54</v>
      </c>
      <c r="O582" s="6" t="s">
        <v>54</v>
      </c>
      <c r="P582" s="6"/>
    </row>
    <row r="583" spans="1:16" ht="30" customHeight="1" x14ac:dyDescent="0.3">
      <c r="A583" s="7">
        <v>45779.564678472219</v>
      </c>
      <c r="B583" s="6" t="s">
        <v>4</v>
      </c>
      <c r="C583" s="6" t="str">
        <f>VLOOKUP(B581,'Veri doğrulama'!D6:E13,2,0)</f>
        <v>MEHMET YAZICI</v>
      </c>
      <c r="D583" s="6"/>
      <c r="E583" s="6" t="s">
        <v>714</v>
      </c>
      <c r="F583" s="6" t="s">
        <v>24</v>
      </c>
      <c r="G583" s="6" t="s">
        <v>34</v>
      </c>
      <c r="H583" s="6">
        <v>539</v>
      </c>
      <c r="I583" s="6">
        <v>406</v>
      </c>
      <c r="J583" s="6">
        <v>1</v>
      </c>
      <c r="K583" s="10">
        <f t="shared" ref="K583:K627" si="18">H581*I581/1000000*J583</f>
        <v>0.83509999999999995</v>
      </c>
      <c r="L583" s="6" t="s">
        <v>155</v>
      </c>
      <c r="M583" s="6" t="s">
        <v>715</v>
      </c>
      <c r="N583" s="6" t="s">
        <v>54</v>
      </c>
      <c r="O583" s="6" t="s">
        <v>54</v>
      </c>
      <c r="P583" s="6"/>
    </row>
    <row r="584" spans="1:16" ht="30" customHeight="1" x14ac:dyDescent="0.3">
      <c r="A584" s="7">
        <v>45779.416084837962</v>
      </c>
      <c r="B584" s="6" t="s">
        <v>4</v>
      </c>
      <c r="C584" s="6" t="str">
        <f>VLOOKUP(B582,'Veri doğrulama'!D6:E13,2,0)</f>
        <v>MEHMET ÖZEN</v>
      </c>
      <c r="D584" s="6">
        <v>22616</v>
      </c>
      <c r="E584" s="6" t="s">
        <v>713</v>
      </c>
      <c r="F584" s="6" t="s">
        <v>24</v>
      </c>
      <c r="G584" s="6" t="s">
        <v>34</v>
      </c>
      <c r="H584" s="6">
        <v>1800</v>
      </c>
      <c r="I584" s="6">
        <v>415</v>
      </c>
      <c r="J584" s="6">
        <v>1</v>
      </c>
      <c r="K584" s="10">
        <f t="shared" si="18"/>
        <v>1.28</v>
      </c>
      <c r="L584" s="6" t="s">
        <v>42</v>
      </c>
      <c r="M584" s="6" t="s">
        <v>494</v>
      </c>
      <c r="N584" s="6" t="s">
        <v>54</v>
      </c>
      <c r="O584" s="6" t="s">
        <v>54</v>
      </c>
      <c r="P584" s="6" t="s">
        <v>54</v>
      </c>
    </row>
    <row r="585" spans="1:16" ht="30" customHeight="1" x14ac:dyDescent="0.3">
      <c r="A585" s="7">
        <v>45777.767212615741</v>
      </c>
      <c r="B585" s="6" t="s">
        <v>4</v>
      </c>
      <c r="C585" s="6" t="str">
        <f>VLOOKUP(B583,'Veri doğrulama'!D6:E13,2,0)</f>
        <v>MEHMET YAZICI</v>
      </c>
      <c r="D585" s="6">
        <v>22616</v>
      </c>
      <c r="E585" s="6" t="s">
        <v>679</v>
      </c>
      <c r="F585" s="6" t="s">
        <v>24</v>
      </c>
      <c r="G585" s="6" t="s">
        <v>34</v>
      </c>
      <c r="H585" s="6">
        <v>541</v>
      </c>
      <c r="I585" s="6">
        <v>453</v>
      </c>
      <c r="J585" s="6">
        <v>5</v>
      </c>
      <c r="K585" s="10">
        <f t="shared" si="18"/>
        <v>1.0941700000000001</v>
      </c>
      <c r="L585" s="6" t="s">
        <v>103</v>
      </c>
      <c r="M585" s="6" t="s">
        <v>385</v>
      </c>
      <c r="N585" s="6" t="s">
        <v>54</v>
      </c>
      <c r="O585" s="6" t="s">
        <v>54</v>
      </c>
      <c r="P585" s="6" t="s">
        <v>54</v>
      </c>
    </row>
    <row r="586" spans="1:16" ht="30" customHeight="1" x14ac:dyDescent="0.3">
      <c r="A586" s="7">
        <v>45777.765884606481</v>
      </c>
      <c r="B586" s="6" t="s">
        <v>5</v>
      </c>
      <c r="C586" s="6" t="str">
        <f>VLOOKUP(B584,'Veri doğrulama'!D6:E13,2,0)</f>
        <v>MEHMET YAZICI</v>
      </c>
      <c r="D586" s="6"/>
      <c r="E586" s="6" t="s">
        <v>711</v>
      </c>
      <c r="F586" s="6" t="s">
        <v>24</v>
      </c>
      <c r="G586" s="6" t="s">
        <v>34</v>
      </c>
      <c r="H586" s="6">
        <v>1400</v>
      </c>
      <c r="I586" s="6">
        <v>1200</v>
      </c>
      <c r="J586" s="6">
        <v>1</v>
      </c>
      <c r="K586" s="10">
        <f t="shared" si="18"/>
        <v>0.747</v>
      </c>
      <c r="L586" s="6" t="s">
        <v>75</v>
      </c>
      <c r="M586" s="6" t="s">
        <v>712</v>
      </c>
      <c r="N586" s="6" t="s">
        <v>54</v>
      </c>
      <c r="O586" s="6" t="s">
        <v>54</v>
      </c>
      <c r="P586" s="6" t="s">
        <v>54</v>
      </c>
    </row>
    <row r="587" spans="1:16" ht="30" customHeight="1" x14ac:dyDescent="0.3">
      <c r="A587" s="7">
        <v>45777.350077777781</v>
      </c>
      <c r="B587" s="6" t="s">
        <v>4</v>
      </c>
      <c r="C587" s="6" t="str">
        <f>VLOOKUP(B585,'Veri doğrulama'!D6:E13,2,0)</f>
        <v>MEHMET YAZICI</v>
      </c>
      <c r="D587" s="6">
        <v>22616</v>
      </c>
      <c r="E587" s="6" t="s">
        <v>105</v>
      </c>
      <c r="F587" s="6" t="s">
        <v>26</v>
      </c>
      <c r="G587" s="6" t="s">
        <v>34</v>
      </c>
      <c r="H587" s="6">
        <v>2600</v>
      </c>
      <c r="I587" s="6">
        <v>600</v>
      </c>
      <c r="J587" s="6">
        <v>3</v>
      </c>
      <c r="K587" s="10">
        <f t="shared" si="18"/>
        <v>0.73521900000000007</v>
      </c>
      <c r="L587" s="6" t="s">
        <v>75</v>
      </c>
      <c r="M587" s="6" t="s">
        <v>632</v>
      </c>
      <c r="N587" s="6" t="s">
        <v>54</v>
      </c>
      <c r="O587" s="6" t="s">
        <v>54</v>
      </c>
      <c r="P587" s="6" t="s">
        <v>54</v>
      </c>
    </row>
    <row r="588" spans="1:16" ht="30" customHeight="1" x14ac:dyDescent="0.3">
      <c r="A588" s="7">
        <v>45776.561208101855</v>
      </c>
      <c r="B588" s="6" t="s">
        <v>4</v>
      </c>
      <c r="C588" s="6" t="str">
        <f>VLOOKUP(B586,'Veri doğrulama'!D6:E13,2,0)</f>
        <v>MEHMET ÖZEN</v>
      </c>
      <c r="D588" s="6"/>
      <c r="E588" s="6" t="s">
        <v>674</v>
      </c>
      <c r="F588" s="6" t="s">
        <v>15</v>
      </c>
      <c r="G588" s="6" t="s">
        <v>34</v>
      </c>
      <c r="H588" s="6">
        <v>1800</v>
      </c>
      <c r="I588" s="6">
        <v>800</v>
      </c>
      <c r="J588" s="6">
        <v>1</v>
      </c>
      <c r="K588" s="10">
        <f t="shared" si="18"/>
        <v>1.68</v>
      </c>
      <c r="L588" s="6" t="s">
        <v>43</v>
      </c>
      <c r="M588" s="6"/>
      <c r="N588" s="6" t="s">
        <v>54</v>
      </c>
      <c r="O588" s="6" t="s">
        <v>54</v>
      </c>
      <c r="P588" s="6" t="s">
        <v>54</v>
      </c>
    </row>
    <row r="589" spans="1:16" ht="30" customHeight="1" x14ac:dyDescent="0.3">
      <c r="A589" s="7">
        <v>45775.644426388892</v>
      </c>
      <c r="B589" s="6" t="s">
        <v>4</v>
      </c>
      <c r="C589" s="6" t="str">
        <f>VLOOKUP(B587,'Veri doğrulama'!D6:E13,2,0)</f>
        <v>MEHMET YAZICI</v>
      </c>
      <c r="D589" s="6" t="s">
        <v>790</v>
      </c>
      <c r="E589" s="6" t="s">
        <v>427</v>
      </c>
      <c r="F589" s="6" t="s">
        <v>24</v>
      </c>
      <c r="G589" s="6" t="s">
        <v>34</v>
      </c>
      <c r="H589" s="6">
        <v>470</v>
      </c>
      <c r="I589" s="6">
        <v>497</v>
      </c>
      <c r="J589" s="6">
        <v>1</v>
      </c>
      <c r="K589" s="10">
        <f t="shared" si="18"/>
        <v>1.56</v>
      </c>
      <c r="L589" s="6" t="s">
        <v>103</v>
      </c>
      <c r="M589" s="6" t="s">
        <v>632</v>
      </c>
      <c r="N589" s="6" t="s">
        <v>54</v>
      </c>
      <c r="O589" s="6" t="s">
        <v>54</v>
      </c>
      <c r="P589" s="6" t="s">
        <v>54</v>
      </c>
    </row>
    <row r="590" spans="1:16" ht="30" customHeight="1" x14ac:dyDescent="0.3">
      <c r="A590" s="7">
        <v>45775.643831134257</v>
      </c>
      <c r="B590" s="6" t="s">
        <v>4</v>
      </c>
      <c r="C590" s="6" t="str">
        <f>VLOOKUP(B588,'Veri doğrulama'!D6:E13,2,0)</f>
        <v>MEHMET YAZICI</v>
      </c>
      <c r="D590" s="6"/>
      <c r="E590" s="6" t="s">
        <v>602</v>
      </c>
      <c r="F590" s="6" t="s">
        <v>21</v>
      </c>
      <c r="G590" s="6" t="s">
        <v>34</v>
      </c>
      <c r="H590" s="6">
        <v>600</v>
      </c>
      <c r="I590" s="6">
        <v>354</v>
      </c>
      <c r="J590" s="6">
        <v>1</v>
      </c>
      <c r="K590" s="10">
        <f t="shared" si="18"/>
        <v>1.44</v>
      </c>
      <c r="L590" s="6" t="s">
        <v>103</v>
      </c>
      <c r="M590" s="6" t="s">
        <v>716</v>
      </c>
      <c r="N590" s="6" t="s">
        <v>54</v>
      </c>
      <c r="O590" s="6" t="s">
        <v>54</v>
      </c>
      <c r="P590" s="6" t="s">
        <v>54</v>
      </c>
    </row>
    <row r="591" spans="1:16" ht="30" customHeight="1" x14ac:dyDescent="0.3">
      <c r="A591" s="7">
        <v>45772.766321296294</v>
      </c>
      <c r="B591" s="6" t="s">
        <v>4</v>
      </c>
      <c r="C591" s="6" t="str">
        <f>VLOOKUP(B589,'Veri doğrulama'!D6:E13,2,0)</f>
        <v>MEHMET YAZICI</v>
      </c>
      <c r="D591" s="6">
        <v>22616</v>
      </c>
      <c r="E591" s="6" t="s">
        <v>699</v>
      </c>
      <c r="F591" s="6" t="s">
        <v>18</v>
      </c>
      <c r="G591" s="6" t="s">
        <v>34</v>
      </c>
      <c r="H591" s="6">
        <v>800</v>
      </c>
      <c r="I591" s="6">
        <v>550</v>
      </c>
      <c r="J591" s="6">
        <v>1</v>
      </c>
      <c r="K591" s="10">
        <f t="shared" si="18"/>
        <v>0.23358999999999999</v>
      </c>
      <c r="L591" s="6" t="s">
        <v>103</v>
      </c>
      <c r="M591" s="6" t="s">
        <v>632</v>
      </c>
      <c r="N591" s="6" t="s">
        <v>54</v>
      </c>
      <c r="O591" s="6" t="s">
        <v>54</v>
      </c>
      <c r="P591" s="6" t="s">
        <v>54</v>
      </c>
    </row>
    <row r="592" spans="1:16" ht="30" customHeight="1" x14ac:dyDescent="0.3">
      <c r="A592" s="7">
        <v>45772.409410763888</v>
      </c>
      <c r="B592" s="6" t="s">
        <v>4</v>
      </c>
      <c r="C592" s="6" t="str">
        <f>VLOOKUP(B590,'Veri doğrulama'!D6:E13,2,0)</f>
        <v>MEHMET YAZICI</v>
      </c>
      <c r="D592" s="6">
        <v>22637</v>
      </c>
      <c r="E592" s="6" t="s">
        <v>707</v>
      </c>
      <c r="F592" s="6" t="s">
        <v>18</v>
      </c>
      <c r="G592" s="6" t="s">
        <v>34</v>
      </c>
      <c r="H592" s="6">
        <v>1142</v>
      </c>
      <c r="I592" s="6">
        <v>450</v>
      </c>
      <c r="J592" s="6">
        <v>1</v>
      </c>
      <c r="K592" s="10">
        <f t="shared" si="18"/>
        <v>0.21240000000000001</v>
      </c>
      <c r="L592" s="6" t="s">
        <v>156</v>
      </c>
      <c r="M592" s="6" t="s">
        <v>632</v>
      </c>
      <c r="N592" s="6" t="s">
        <v>54</v>
      </c>
      <c r="O592" s="6" t="s">
        <v>54</v>
      </c>
      <c r="P592" s="6" t="s">
        <v>54</v>
      </c>
    </row>
    <row r="593" spans="1:16" ht="30" customHeight="1" x14ac:dyDescent="0.3">
      <c r="A593" s="7">
        <v>45771.566812268517</v>
      </c>
      <c r="B593" s="6" t="s">
        <v>4</v>
      </c>
      <c r="C593" s="6" t="str">
        <f>VLOOKUP(B591,'Veri doğrulama'!D6:E13,2,0)</f>
        <v>MEHMET YAZICI</v>
      </c>
      <c r="D593" s="6" t="s">
        <v>724</v>
      </c>
      <c r="E593" s="6" t="s">
        <v>133</v>
      </c>
      <c r="F593" s="6" t="s">
        <v>26</v>
      </c>
      <c r="G593" s="6" t="s">
        <v>34</v>
      </c>
      <c r="H593" s="6">
        <v>672</v>
      </c>
      <c r="I593" s="6">
        <v>446</v>
      </c>
      <c r="J593" s="6">
        <v>1</v>
      </c>
      <c r="K593" s="10">
        <f t="shared" si="18"/>
        <v>0.44</v>
      </c>
      <c r="L593" s="6" t="s">
        <v>75</v>
      </c>
      <c r="M593" s="6" t="s">
        <v>632</v>
      </c>
      <c r="N593" s="6" t="s">
        <v>54</v>
      </c>
      <c r="O593" s="6" t="s">
        <v>54</v>
      </c>
      <c r="P593" s="6" t="s">
        <v>54</v>
      </c>
    </row>
    <row r="594" spans="1:16" ht="30" customHeight="1" x14ac:dyDescent="0.3">
      <c r="A594" s="7">
        <v>45771.566206597221</v>
      </c>
      <c r="B594" s="6" t="s">
        <v>5</v>
      </c>
      <c r="C594" s="6" t="str">
        <f>VLOOKUP(B592,'Veri doğrulama'!D6:E13,2,0)</f>
        <v>MEHMET YAZICI</v>
      </c>
      <c r="D594" s="6"/>
      <c r="E594" s="6" t="s">
        <v>729</v>
      </c>
      <c r="F594" s="6" t="s">
        <v>20</v>
      </c>
      <c r="G594" s="6" t="s">
        <v>34</v>
      </c>
      <c r="H594" s="6">
        <v>1800</v>
      </c>
      <c r="I594" s="6">
        <v>800</v>
      </c>
      <c r="J594" s="6">
        <v>1</v>
      </c>
      <c r="K594" s="10">
        <f t="shared" si="18"/>
        <v>0.51390000000000002</v>
      </c>
      <c r="L594" s="6" t="s">
        <v>102</v>
      </c>
      <c r="M594" s="6" t="s">
        <v>411</v>
      </c>
      <c r="N594" s="6" t="s">
        <v>54</v>
      </c>
      <c r="O594" s="6" t="s">
        <v>54</v>
      </c>
      <c r="P594" s="6" t="s">
        <v>54</v>
      </c>
    </row>
    <row r="595" spans="1:16" ht="30" customHeight="1" x14ac:dyDescent="0.3">
      <c r="A595" s="7">
        <v>45771.565443634259</v>
      </c>
      <c r="B595" s="6" t="s">
        <v>5</v>
      </c>
      <c r="C595" s="6" t="str">
        <f>VLOOKUP(B593,'Veri doğrulama'!D6:E13,2,0)</f>
        <v>MEHMET YAZICI</v>
      </c>
      <c r="D595" s="6">
        <v>22616</v>
      </c>
      <c r="E595" s="6" t="s">
        <v>781</v>
      </c>
      <c r="F595" s="6" t="s">
        <v>27</v>
      </c>
      <c r="G595" s="6" t="s">
        <v>34</v>
      </c>
      <c r="H595" s="6">
        <v>2110</v>
      </c>
      <c r="I595" s="6">
        <v>1510</v>
      </c>
      <c r="J595" s="6">
        <v>1</v>
      </c>
      <c r="K595" s="10">
        <f t="shared" si="18"/>
        <v>0.29971199999999998</v>
      </c>
      <c r="L595" s="6" t="s">
        <v>75</v>
      </c>
      <c r="M595" s="6"/>
      <c r="N595" s="6" t="s">
        <v>54</v>
      </c>
      <c r="O595" s="6" t="s">
        <v>54</v>
      </c>
      <c r="P595" s="6" t="s">
        <v>54</v>
      </c>
    </row>
    <row r="596" spans="1:16" ht="30" customHeight="1" x14ac:dyDescent="0.3">
      <c r="A596" s="7">
        <v>45769.478465972221</v>
      </c>
      <c r="B596" s="6" t="s">
        <v>4</v>
      </c>
      <c r="C596" s="6" t="str">
        <f>VLOOKUP(B594,'Veri doğrulama'!D6:E13,2,0)</f>
        <v>MEHMET ÖZEN</v>
      </c>
      <c r="D596" s="6" t="s">
        <v>728</v>
      </c>
      <c r="E596" s="6" t="s">
        <v>738</v>
      </c>
      <c r="F596" s="6" t="s">
        <v>13</v>
      </c>
      <c r="G596" s="6" t="s">
        <v>34</v>
      </c>
      <c r="H596" s="6">
        <v>1737</v>
      </c>
      <c r="I596" s="6">
        <v>100</v>
      </c>
      <c r="J596" s="6">
        <v>1</v>
      </c>
      <c r="K596" s="10">
        <f t="shared" si="18"/>
        <v>1.44</v>
      </c>
      <c r="L596" s="6" t="s">
        <v>42</v>
      </c>
      <c r="M596" s="6" t="s">
        <v>632</v>
      </c>
      <c r="N596" s="6" t="s">
        <v>54</v>
      </c>
      <c r="O596" s="6" t="s">
        <v>54</v>
      </c>
      <c r="P596" s="6" t="s">
        <v>54</v>
      </c>
    </row>
    <row r="597" spans="1:16" ht="30" customHeight="1" x14ac:dyDescent="0.3">
      <c r="A597" s="7">
        <v>45769.477965162034</v>
      </c>
      <c r="B597" s="6" t="s">
        <v>4</v>
      </c>
      <c r="C597" s="6" t="str">
        <f>VLOOKUP(B595,'Veri doğrulama'!D6:E13,2,0)</f>
        <v>MEHMET ÖZEN</v>
      </c>
      <c r="D597" s="6" t="s">
        <v>780</v>
      </c>
      <c r="E597" s="6" t="s">
        <v>710</v>
      </c>
      <c r="F597" s="6" t="s">
        <v>15</v>
      </c>
      <c r="G597" s="6" t="s">
        <v>34</v>
      </c>
      <c r="H597" s="6">
        <v>1800</v>
      </c>
      <c r="I597" s="6">
        <v>800</v>
      </c>
      <c r="J597" s="6">
        <v>1</v>
      </c>
      <c r="K597" s="10">
        <f t="shared" si="18"/>
        <v>3.1861000000000002</v>
      </c>
      <c r="L597" s="6" t="s">
        <v>103</v>
      </c>
      <c r="M597" s="6" t="s">
        <v>632</v>
      </c>
      <c r="N597" s="6" t="s">
        <v>54</v>
      </c>
      <c r="O597" s="6" t="s">
        <v>54</v>
      </c>
      <c r="P597" s="6" t="s">
        <v>54</v>
      </c>
    </row>
    <row r="598" spans="1:16" ht="30" customHeight="1" x14ac:dyDescent="0.3">
      <c r="A598" s="7">
        <v>45769.444882291667</v>
      </c>
      <c r="B598" s="6" t="s">
        <v>4</v>
      </c>
      <c r="C598" s="6" t="str">
        <f>VLOOKUP(B596,'Veri doğrulama'!D6:E13,2,0)</f>
        <v>MEHMET YAZICI</v>
      </c>
      <c r="D598" s="6" t="s">
        <v>737</v>
      </c>
      <c r="E598" s="6" t="s">
        <v>706</v>
      </c>
      <c r="F598" s="6" t="s">
        <v>18</v>
      </c>
      <c r="G598" s="6" t="s">
        <v>34</v>
      </c>
      <c r="H598" s="6">
        <v>561</v>
      </c>
      <c r="I598" s="6">
        <v>453</v>
      </c>
      <c r="J598" s="6">
        <v>1</v>
      </c>
      <c r="K598" s="10">
        <f t="shared" si="18"/>
        <v>0.17369999999999999</v>
      </c>
      <c r="L598" s="6" t="s">
        <v>75</v>
      </c>
      <c r="M598" s="6" t="s">
        <v>632</v>
      </c>
      <c r="N598" s="6" t="s">
        <v>54</v>
      </c>
      <c r="O598" s="6" t="s">
        <v>54</v>
      </c>
      <c r="P598" s="6" t="s">
        <v>54</v>
      </c>
    </row>
    <row r="599" spans="1:16" ht="30" customHeight="1" x14ac:dyDescent="0.3">
      <c r="A599" s="7">
        <v>45769.41020092593</v>
      </c>
      <c r="B599" s="6" t="s">
        <v>4</v>
      </c>
      <c r="C599" s="6" t="str">
        <f>VLOOKUP(B597,'Veri doğrulama'!D6:E13,2,0)</f>
        <v>MEHMET YAZICI</v>
      </c>
      <c r="D599" s="6">
        <v>22581</v>
      </c>
      <c r="E599" s="6" t="s">
        <v>709</v>
      </c>
      <c r="F599" s="6" t="s">
        <v>24</v>
      </c>
      <c r="G599" s="6" t="s">
        <v>34</v>
      </c>
      <c r="H599" s="6">
        <v>1400</v>
      </c>
      <c r="I599" s="6">
        <v>1200</v>
      </c>
      <c r="J599" s="6">
        <v>2</v>
      </c>
      <c r="K599" s="10">
        <f t="shared" si="18"/>
        <v>2.88</v>
      </c>
      <c r="L599" s="6" t="s">
        <v>103</v>
      </c>
      <c r="M599" s="6" t="s">
        <v>632</v>
      </c>
      <c r="N599" s="6" t="s">
        <v>54</v>
      </c>
      <c r="O599" s="6" t="s">
        <v>54</v>
      </c>
      <c r="P599" s="6" t="s">
        <v>54</v>
      </c>
    </row>
    <row r="600" spans="1:16" ht="30" customHeight="1" x14ac:dyDescent="0.3">
      <c r="A600" s="7">
        <v>45769.345617476851</v>
      </c>
      <c r="B600" s="6" t="s">
        <v>4</v>
      </c>
      <c r="C600" s="6" t="str">
        <f>VLOOKUP(B598,'Veri doğrulama'!D6:E13,2,0)</f>
        <v>MEHMET YAZICI</v>
      </c>
      <c r="D600" s="6"/>
      <c r="E600" s="6" t="s">
        <v>727</v>
      </c>
      <c r="F600" s="6" t="s">
        <v>16</v>
      </c>
      <c r="G600" s="6" t="s">
        <v>34</v>
      </c>
      <c r="H600" s="6">
        <v>400</v>
      </c>
      <c r="I600" s="6">
        <v>385</v>
      </c>
      <c r="J600" s="6">
        <v>1</v>
      </c>
      <c r="K600" s="10">
        <f t="shared" si="18"/>
        <v>0.254133</v>
      </c>
      <c r="L600" s="6" t="s">
        <v>102</v>
      </c>
      <c r="M600" s="6" t="s">
        <v>632</v>
      </c>
      <c r="N600" s="6" t="s">
        <v>54</v>
      </c>
      <c r="O600" s="6" t="s">
        <v>54</v>
      </c>
      <c r="P600" s="6" t="s">
        <v>54</v>
      </c>
    </row>
    <row r="601" spans="1:16" ht="30" customHeight="1" x14ac:dyDescent="0.3">
      <c r="A601" s="7">
        <v>45769.344225925925</v>
      </c>
      <c r="B601" s="6" t="s">
        <v>5</v>
      </c>
      <c r="C601" s="6" t="str">
        <f>VLOOKUP(B599,'Veri doğrulama'!D6:E13,2,0)</f>
        <v>MEHMET YAZICI</v>
      </c>
      <c r="D601" s="6" t="s">
        <v>708</v>
      </c>
      <c r="E601" s="6" t="s">
        <v>372</v>
      </c>
      <c r="F601" s="6" t="s">
        <v>26</v>
      </c>
      <c r="G601" s="6" t="s">
        <v>34</v>
      </c>
      <c r="H601" s="6">
        <v>698</v>
      </c>
      <c r="I601" s="6">
        <v>430</v>
      </c>
      <c r="J601" s="6">
        <v>1</v>
      </c>
      <c r="K601" s="10">
        <f t="shared" si="18"/>
        <v>1.68</v>
      </c>
      <c r="L601" s="6" t="s">
        <v>103</v>
      </c>
      <c r="M601" s="6"/>
      <c r="N601" s="6" t="s">
        <v>54</v>
      </c>
      <c r="O601" s="6" t="s">
        <v>54</v>
      </c>
      <c r="P601" s="6" t="s">
        <v>54</v>
      </c>
    </row>
    <row r="602" spans="1:16" ht="30" customHeight="1" x14ac:dyDescent="0.3">
      <c r="A602" s="7">
        <v>45768.743842824071</v>
      </c>
      <c r="B602" s="6" t="s">
        <v>5</v>
      </c>
      <c r="C602" s="6" t="str">
        <f>VLOOKUP(B600,'Veri doğrulama'!D6:E13,2,0)</f>
        <v>MEHMET YAZICI</v>
      </c>
      <c r="D602" s="6" t="s">
        <v>726</v>
      </c>
      <c r="E602" s="6" t="s">
        <v>703</v>
      </c>
      <c r="F602" s="6" t="s">
        <v>13</v>
      </c>
      <c r="G602" s="6" t="s">
        <v>34</v>
      </c>
      <c r="H602" s="6">
        <v>2210</v>
      </c>
      <c r="I602" s="6">
        <v>910</v>
      </c>
      <c r="J602" s="6">
        <v>1</v>
      </c>
      <c r="K602" s="10">
        <f t="shared" si="18"/>
        <v>0.154</v>
      </c>
      <c r="L602" s="6" t="s">
        <v>75</v>
      </c>
      <c r="M602" s="6"/>
      <c r="N602" s="6" t="s">
        <v>54</v>
      </c>
      <c r="O602" s="6" t="s">
        <v>54</v>
      </c>
      <c r="P602" s="6" t="s">
        <v>54</v>
      </c>
    </row>
    <row r="603" spans="1:16" ht="30" customHeight="1" x14ac:dyDescent="0.3">
      <c r="A603" s="7">
        <v>45768.583640856479</v>
      </c>
      <c r="B603" s="6" t="s">
        <v>5</v>
      </c>
      <c r="C603" s="6" t="str">
        <f>VLOOKUP(B601,'Veri doğrulama'!D6:E13,2,0)</f>
        <v>MEHMET ÖZEN</v>
      </c>
      <c r="D603" s="6" t="s">
        <v>705</v>
      </c>
      <c r="E603" s="6" t="s">
        <v>700</v>
      </c>
      <c r="F603" s="6" t="s">
        <v>18</v>
      </c>
      <c r="G603" s="6" t="s">
        <v>34</v>
      </c>
      <c r="H603" s="6">
        <v>2200</v>
      </c>
      <c r="I603" s="6">
        <v>900</v>
      </c>
      <c r="J603" s="6">
        <v>1</v>
      </c>
      <c r="K603" s="10">
        <f t="shared" si="18"/>
        <v>0.30014000000000002</v>
      </c>
      <c r="L603" s="6" t="s">
        <v>156</v>
      </c>
      <c r="M603" s="6"/>
      <c r="N603" s="6" t="s">
        <v>54</v>
      </c>
      <c r="O603" s="6" t="s">
        <v>54</v>
      </c>
      <c r="P603" s="6" t="s">
        <v>54</v>
      </c>
    </row>
    <row r="604" spans="1:16" ht="30" customHeight="1" x14ac:dyDescent="0.3">
      <c r="A604" s="7">
        <v>45768.558047685183</v>
      </c>
      <c r="B604" s="6" t="s">
        <v>5</v>
      </c>
      <c r="C604" s="6" t="str">
        <f>VLOOKUP(B602,'Veri doğrulama'!D6:E13,2,0)</f>
        <v>MEHMET ÖZEN</v>
      </c>
      <c r="D604" s="6" t="s">
        <v>702</v>
      </c>
      <c r="E604" s="6" t="s">
        <v>101</v>
      </c>
      <c r="F604" s="6" t="s">
        <v>20</v>
      </c>
      <c r="G604" s="6" t="s">
        <v>34</v>
      </c>
      <c r="H604" s="6">
        <v>800</v>
      </c>
      <c r="I604" s="6">
        <v>385</v>
      </c>
      <c r="J604" s="6">
        <v>1</v>
      </c>
      <c r="K604" s="10">
        <f t="shared" si="18"/>
        <v>2.0110999999999999</v>
      </c>
      <c r="L604" s="6" t="s">
        <v>42</v>
      </c>
      <c r="M604" s="6"/>
      <c r="N604" s="6" t="s">
        <v>54</v>
      </c>
      <c r="O604" s="6" t="s">
        <v>54</v>
      </c>
      <c r="P604" s="6" t="s">
        <v>54</v>
      </c>
    </row>
    <row r="605" spans="1:16" ht="30" customHeight="1" x14ac:dyDescent="0.3">
      <c r="A605" s="7">
        <v>45764.714904166663</v>
      </c>
      <c r="B605" s="6" t="s">
        <v>5</v>
      </c>
      <c r="C605" s="6" t="str">
        <f>VLOOKUP(B603,'Veri doğrulama'!D6:E13,2,0)</f>
        <v>MEHMET ÖZEN</v>
      </c>
      <c r="D605" s="6"/>
      <c r="E605" s="6" t="s">
        <v>697</v>
      </c>
      <c r="F605" s="6" t="s">
        <v>16</v>
      </c>
      <c r="G605" s="6" t="s">
        <v>34</v>
      </c>
      <c r="H605" s="6">
        <v>1220</v>
      </c>
      <c r="I605" s="6">
        <v>1420</v>
      </c>
      <c r="J605" s="6">
        <v>1</v>
      </c>
      <c r="K605" s="10">
        <f t="shared" si="18"/>
        <v>1.98</v>
      </c>
      <c r="L605" s="6" t="s">
        <v>103</v>
      </c>
      <c r="M605" s="6"/>
      <c r="N605" s="6" t="s">
        <v>54</v>
      </c>
      <c r="O605" s="6" t="s">
        <v>54</v>
      </c>
      <c r="P605" s="6" t="s">
        <v>54</v>
      </c>
    </row>
    <row r="606" spans="1:16" ht="30" customHeight="1" x14ac:dyDescent="0.3">
      <c r="A606" s="7">
        <v>45764.714187847225</v>
      </c>
      <c r="B606" s="6" t="s">
        <v>5</v>
      </c>
      <c r="C606" s="6" t="str">
        <f>VLOOKUP(B604,'Veri doğrulama'!D6:E13,2,0)</f>
        <v>MEHMET ÖZEN</v>
      </c>
      <c r="D606" s="6" t="s">
        <v>704</v>
      </c>
      <c r="E606" s="6" t="s">
        <v>213</v>
      </c>
      <c r="F606" s="6" t="s">
        <v>27</v>
      </c>
      <c r="G606" s="6" t="s">
        <v>34</v>
      </c>
      <c r="H606" s="6">
        <v>2386</v>
      </c>
      <c r="I606" s="6">
        <v>586</v>
      </c>
      <c r="J606" s="6">
        <v>1</v>
      </c>
      <c r="K606" s="10">
        <f t="shared" si="18"/>
        <v>0.308</v>
      </c>
      <c r="L606" s="6" t="s">
        <v>103</v>
      </c>
      <c r="M606" s="6"/>
      <c r="N606" s="6" t="s">
        <v>54</v>
      </c>
      <c r="O606" s="6" t="s">
        <v>54</v>
      </c>
      <c r="P606" s="6" t="s">
        <v>54</v>
      </c>
    </row>
    <row r="607" spans="1:16" ht="30" customHeight="1" x14ac:dyDescent="0.3">
      <c r="A607" s="7">
        <v>45764.713226157408</v>
      </c>
      <c r="B607" s="6" t="s">
        <v>5</v>
      </c>
      <c r="C607" s="6" t="str">
        <f>VLOOKUP(B605,'Veri doğrulama'!D6:E13,2,0)</f>
        <v>MEHMET ÖZEN</v>
      </c>
      <c r="D607" s="6" t="s">
        <v>698</v>
      </c>
      <c r="E607" s="6" t="s">
        <v>701</v>
      </c>
      <c r="F607" s="6" t="s">
        <v>15</v>
      </c>
      <c r="G607" s="6" t="s">
        <v>34</v>
      </c>
      <c r="H607" s="6">
        <v>574</v>
      </c>
      <c r="I607" s="6">
        <v>418</v>
      </c>
      <c r="J607" s="6">
        <v>1</v>
      </c>
      <c r="K607" s="10">
        <f t="shared" si="18"/>
        <v>1.7323999999999999</v>
      </c>
      <c r="L607" s="6" t="s">
        <v>42</v>
      </c>
      <c r="M607" s="6"/>
      <c r="N607" s="6" t="s">
        <v>54</v>
      </c>
      <c r="O607" s="6" t="s">
        <v>54</v>
      </c>
      <c r="P607" s="6" t="s">
        <v>54</v>
      </c>
    </row>
    <row r="608" spans="1:16" ht="30" customHeight="1" x14ac:dyDescent="0.3">
      <c r="A608" s="7">
        <v>45757.710437731483</v>
      </c>
      <c r="B608" s="6" t="s">
        <v>5</v>
      </c>
      <c r="C608" s="6" t="str">
        <f>VLOOKUP(B606,'Veri doğrulama'!D6:E13,2,0)</f>
        <v>MEHMET ÖZEN</v>
      </c>
      <c r="D608" s="6" t="s">
        <v>704</v>
      </c>
      <c r="E608" s="6" t="s">
        <v>720</v>
      </c>
      <c r="F608" s="6" t="s">
        <v>14</v>
      </c>
      <c r="G608" s="6" t="s">
        <v>34</v>
      </c>
      <c r="H608" s="6">
        <v>2415</v>
      </c>
      <c r="I608" s="6">
        <v>1200</v>
      </c>
      <c r="J608" s="6">
        <v>4</v>
      </c>
      <c r="K608" s="10">
        <f t="shared" si="18"/>
        <v>5.592784</v>
      </c>
      <c r="L608" s="6" t="s">
        <v>103</v>
      </c>
      <c r="M608" s="6"/>
      <c r="N608" s="6" t="s">
        <v>54</v>
      </c>
      <c r="O608" s="6" t="s">
        <v>54</v>
      </c>
      <c r="P608" s="6" t="s">
        <v>54</v>
      </c>
    </row>
    <row r="609" spans="1:16" ht="30" customHeight="1" x14ac:dyDescent="0.3">
      <c r="A609" s="7">
        <v>45757.379964814812</v>
      </c>
      <c r="B609" s="6" t="s">
        <v>5</v>
      </c>
      <c r="C609" s="6" t="s">
        <v>53</v>
      </c>
      <c r="D609" s="6"/>
      <c r="E609" s="6" t="s">
        <v>696</v>
      </c>
      <c r="F609" s="6" t="s">
        <v>26</v>
      </c>
      <c r="G609" s="6" t="s">
        <v>34</v>
      </c>
      <c r="H609" s="6">
        <v>2345</v>
      </c>
      <c r="I609" s="6">
        <v>410</v>
      </c>
      <c r="J609" s="6">
        <v>1</v>
      </c>
      <c r="K609" s="10">
        <f t="shared" si="18"/>
        <v>0.23993200000000001</v>
      </c>
      <c r="L609" s="6" t="s">
        <v>42</v>
      </c>
      <c r="M609" s="6"/>
      <c r="N609" s="6" t="s">
        <v>54</v>
      </c>
      <c r="O609" s="6" t="s">
        <v>54</v>
      </c>
      <c r="P609" s="6" t="s">
        <v>54</v>
      </c>
    </row>
    <row r="610" spans="1:16" ht="30" customHeight="1" x14ac:dyDescent="0.3">
      <c r="A610" s="7">
        <v>45757.379382870371</v>
      </c>
      <c r="B610" s="6" t="s">
        <v>5</v>
      </c>
      <c r="C610" s="6" t="str">
        <f>VLOOKUP(B608,'Veri doğrulama'!D6:E13,2,0)</f>
        <v>MEHMET ÖZEN</v>
      </c>
      <c r="D610" s="6" t="s">
        <v>719</v>
      </c>
      <c r="E610" s="6" t="s">
        <v>699</v>
      </c>
      <c r="F610" s="6" t="s">
        <v>24</v>
      </c>
      <c r="G610" s="6" t="s">
        <v>33</v>
      </c>
      <c r="H610" s="6">
        <v>800</v>
      </c>
      <c r="I610" s="6">
        <v>550</v>
      </c>
      <c r="J610" s="6">
        <v>1</v>
      </c>
      <c r="K610" s="10">
        <f t="shared" si="18"/>
        <v>2.8980000000000001</v>
      </c>
      <c r="L610" s="6" t="s">
        <v>43</v>
      </c>
      <c r="M610" s="6"/>
      <c r="N610" s="6" t="s">
        <v>54</v>
      </c>
      <c r="O610" s="6" t="s">
        <v>54</v>
      </c>
      <c r="P610" s="6" t="s">
        <v>54</v>
      </c>
    </row>
    <row r="611" spans="1:16" ht="30" customHeight="1" x14ac:dyDescent="0.3">
      <c r="A611" s="7">
        <v>45757.378698958331</v>
      </c>
      <c r="B611" s="6" t="s">
        <v>4</v>
      </c>
      <c r="C611" s="6" t="str">
        <f>VLOOKUP(B609,'Veri doğrulama'!D6:E13,2,0)</f>
        <v>MEHMET ÖZEN</v>
      </c>
      <c r="D611" s="6"/>
      <c r="E611" s="6" t="s">
        <v>760</v>
      </c>
      <c r="F611" s="6" t="s">
        <v>17</v>
      </c>
      <c r="G611" s="6" t="s">
        <v>34</v>
      </c>
      <c r="H611" s="6">
        <v>1148</v>
      </c>
      <c r="I611" s="6">
        <v>557</v>
      </c>
      <c r="J611" s="6">
        <v>1</v>
      </c>
      <c r="K611" s="10">
        <f t="shared" si="18"/>
        <v>0.96145000000000003</v>
      </c>
      <c r="L611" s="6" t="s">
        <v>103</v>
      </c>
      <c r="M611" s="6" t="s">
        <v>761</v>
      </c>
      <c r="N611" s="6" t="s">
        <v>54</v>
      </c>
      <c r="O611" s="6" t="s">
        <v>54</v>
      </c>
      <c r="P611" s="6" t="s">
        <v>54</v>
      </c>
    </row>
    <row r="612" spans="1:16" ht="30" customHeight="1" x14ac:dyDescent="0.3">
      <c r="A612" s="7">
        <v>45756.600970833337</v>
      </c>
      <c r="B612" s="6" t="s">
        <v>5</v>
      </c>
      <c r="C612" s="6" t="str">
        <f>VLOOKUP(B610,'Veri doğrulama'!D6:E13,2,0)</f>
        <v>MEHMET ÖZEN</v>
      </c>
      <c r="D612" s="6"/>
      <c r="E612" s="6" t="s">
        <v>674</v>
      </c>
      <c r="F612" s="6" t="s">
        <v>17</v>
      </c>
      <c r="G612" s="6" t="s">
        <v>34</v>
      </c>
      <c r="H612" s="6">
        <v>1800</v>
      </c>
      <c r="I612" s="6">
        <v>800</v>
      </c>
      <c r="J612" s="6">
        <v>1</v>
      </c>
      <c r="K612" s="10">
        <f t="shared" si="18"/>
        <v>0.44</v>
      </c>
      <c r="L612" s="6" t="s">
        <v>103</v>
      </c>
      <c r="M612" s="6"/>
      <c r="N612" s="6" t="s">
        <v>54</v>
      </c>
      <c r="O612" s="6" t="s">
        <v>54</v>
      </c>
      <c r="P612" s="6" t="s">
        <v>54</v>
      </c>
    </row>
    <row r="613" spans="1:16" ht="30" customHeight="1" x14ac:dyDescent="0.3">
      <c r="A613" s="7">
        <v>45756.466704282408</v>
      </c>
      <c r="B613" s="6" t="s">
        <v>4</v>
      </c>
      <c r="C613" s="6" t="str">
        <f>VLOOKUP(B611,'Veri doğrulama'!D6:E13,2,0)</f>
        <v>MEHMET YAZICI</v>
      </c>
      <c r="D613" s="6" t="s">
        <v>759</v>
      </c>
      <c r="E613" s="6" t="s">
        <v>345</v>
      </c>
      <c r="F613" s="6" t="s">
        <v>16</v>
      </c>
      <c r="G613" s="6" t="s">
        <v>34</v>
      </c>
      <c r="H613" s="6">
        <v>2200</v>
      </c>
      <c r="I613" s="6">
        <v>1100</v>
      </c>
      <c r="J613" s="6">
        <v>1</v>
      </c>
      <c r="K613" s="10">
        <f t="shared" si="18"/>
        <v>0.639436</v>
      </c>
      <c r="L613" s="6" t="s">
        <v>103</v>
      </c>
      <c r="M613" s="6" t="s">
        <v>632</v>
      </c>
      <c r="N613" s="6" t="s">
        <v>54</v>
      </c>
      <c r="O613" s="6" t="s">
        <v>54</v>
      </c>
      <c r="P613" s="6" t="s">
        <v>54</v>
      </c>
    </row>
    <row r="614" spans="1:16" ht="30" customHeight="1" x14ac:dyDescent="0.3">
      <c r="A614" s="7">
        <v>45756.369028587964</v>
      </c>
      <c r="B614" s="6" t="s">
        <v>4</v>
      </c>
      <c r="C614" s="6" t="str">
        <f>VLOOKUP(B612,'Veri doğrulama'!D6:E13,2,0)</f>
        <v>MEHMET ÖZEN</v>
      </c>
      <c r="D614" s="6"/>
      <c r="E614" s="6" t="s">
        <v>693</v>
      </c>
      <c r="F614" s="6" t="s">
        <v>18</v>
      </c>
      <c r="G614" s="6" t="s">
        <v>34</v>
      </c>
      <c r="H614" s="6">
        <v>1000</v>
      </c>
      <c r="I614" s="6">
        <v>1400</v>
      </c>
      <c r="J614" s="6">
        <v>1</v>
      </c>
      <c r="K614" s="10">
        <f t="shared" si="18"/>
        <v>1.44</v>
      </c>
      <c r="L614" s="6" t="s">
        <v>103</v>
      </c>
      <c r="M614" s="6" t="s">
        <v>632</v>
      </c>
      <c r="N614" s="6" t="s">
        <v>54</v>
      </c>
      <c r="O614" s="6" t="s">
        <v>54</v>
      </c>
      <c r="P614" s="6" t="s">
        <v>54</v>
      </c>
    </row>
    <row r="615" spans="1:16" ht="30" customHeight="1" x14ac:dyDescent="0.3">
      <c r="A615" s="7">
        <v>45756.365533564815</v>
      </c>
      <c r="B615" s="6" t="s">
        <v>4</v>
      </c>
      <c r="C615" s="6" t="str">
        <f>VLOOKUP(B613,'Veri doğrulama'!D6:E13,2,0)</f>
        <v>MEHMET YAZICI</v>
      </c>
      <c r="D615" s="6" t="s">
        <v>689</v>
      </c>
      <c r="E615" s="6" t="s">
        <v>682</v>
      </c>
      <c r="F615" s="6" t="s">
        <v>16</v>
      </c>
      <c r="G615" s="6" t="s">
        <v>34</v>
      </c>
      <c r="H615" s="6">
        <v>1150</v>
      </c>
      <c r="I615" s="6">
        <v>451</v>
      </c>
      <c r="J615" s="6">
        <v>1</v>
      </c>
      <c r="K615" s="10">
        <f t="shared" si="18"/>
        <v>2.42</v>
      </c>
      <c r="L615" s="6" t="s">
        <v>103</v>
      </c>
      <c r="M615" s="6" t="s">
        <v>632</v>
      </c>
      <c r="N615" s="6" t="s">
        <v>54</v>
      </c>
      <c r="O615" s="6" t="s">
        <v>54</v>
      </c>
      <c r="P615" s="6" t="s">
        <v>54</v>
      </c>
    </row>
    <row r="616" spans="1:16" ht="30" customHeight="1" x14ac:dyDescent="0.3">
      <c r="A616" s="7">
        <v>45755.677473495372</v>
      </c>
      <c r="B616" s="6" t="s">
        <v>4</v>
      </c>
      <c r="C616" s="6" t="str">
        <f>VLOOKUP(B614,'Veri doğrulama'!D6:E13,2,0)</f>
        <v>MEHMET YAZICI</v>
      </c>
      <c r="D616" s="6" t="s">
        <v>692</v>
      </c>
      <c r="E616" s="6" t="s">
        <v>684</v>
      </c>
      <c r="F616" s="6" t="s">
        <v>17</v>
      </c>
      <c r="G616" s="6" t="s">
        <v>34</v>
      </c>
      <c r="H616" s="6">
        <v>2200</v>
      </c>
      <c r="I616" s="6">
        <v>450</v>
      </c>
      <c r="J616" s="6">
        <v>1</v>
      </c>
      <c r="K616" s="10">
        <f t="shared" si="18"/>
        <v>1.4</v>
      </c>
      <c r="L616" s="6" t="s">
        <v>156</v>
      </c>
      <c r="M616" s="6" t="s">
        <v>632</v>
      </c>
      <c r="N616" s="6" t="s">
        <v>54</v>
      </c>
      <c r="O616" s="6" t="s">
        <v>54</v>
      </c>
      <c r="P616" s="6" t="s">
        <v>54</v>
      </c>
    </row>
    <row r="617" spans="1:16" ht="30" customHeight="1" x14ac:dyDescent="0.3">
      <c r="A617" s="7">
        <v>45755.591631365744</v>
      </c>
      <c r="B617" s="6" t="s">
        <v>4</v>
      </c>
      <c r="C617" s="6" t="str">
        <f>VLOOKUP(B615,'Veri doğrulama'!D6:E13,2,0)</f>
        <v>MEHMET YAZICI</v>
      </c>
      <c r="D617" s="6" t="s">
        <v>681</v>
      </c>
      <c r="E617" s="6" t="s">
        <v>677</v>
      </c>
      <c r="F617" s="6" t="s">
        <v>17</v>
      </c>
      <c r="G617" s="6" t="s">
        <v>34</v>
      </c>
      <c r="H617" s="6">
        <v>1150</v>
      </c>
      <c r="I617" s="6">
        <v>450</v>
      </c>
      <c r="J617" s="6">
        <v>1</v>
      </c>
      <c r="K617" s="10">
        <f t="shared" si="18"/>
        <v>0.51865000000000006</v>
      </c>
      <c r="L617" s="6" t="s">
        <v>596</v>
      </c>
      <c r="M617" s="6" t="s">
        <v>632</v>
      </c>
      <c r="N617" s="6" t="s">
        <v>54</v>
      </c>
      <c r="O617" s="6" t="s">
        <v>54</v>
      </c>
      <c r="P617" s="6" t="s">
        <v>54</v>
      </c>
    </row>
    <row r="618" spans="1:16" ht="30" customHeight="1" x14ac:dyDescent="0.3">
      <c r="A618" s="7">
        <v>45755.574736805553</v>
      </c>
      <c r="B618" s="6" t="s">
        <v>7</v>
      </c>
      <c r="C618" s="6" t="str">
        <f>VLOOKUP(B616,'Veri doğrulama'!D6:E13,2,0)</f>
        <v>MEHMET YAZICI</v>
      </c>
      <c r="D618" s="6" t="s">
        <v>683</v>
      </c>
      <c r="E618" s="6" t="s">
        <v>764</v>
      </c>
      <c r="F618" s="6" t="s">
        <v>29</v>
      </c>
      <c r="G618" s="6" t="s">
        <v>34</v>
      </c>
      <c r="H618" s="6">
        <v>1600</v>
      </c>
      <c r="I618" s="6">
        <v>1200</v>
      </c>
      <c r="J618" s="6">
        <v>1</v>
      </c>
      <c r="K618" s="10">
        <f t="shared" si="18"/>
        <v>0.99</v>
      </c>
      <c r="L618" s="6" t="s">
        <v>102</v>
      </c>
      <c r="M618" s="6"/>
      <c r="N618" s="6" t="s">
        <v>54</v>
      </c>
      <c r="O618" s="6" t="s">
        <v>54</v>
      </c>
      <c r="P618" s="6" t="s">
        <v>54</v>
      </c>
    </row>
    <row r="619" spans="1:16" ht="30" customHeight="1" x14ac:dyDescent="0.3">
      <c r="A619" s="7">
        <v>45755.571993634258</v>
      </c>
      <c r="B619" s="6" t="s">
        <v>4</v>
      </c>
      <c r="C619" s="6" t="str">
        <f>VLOOKUP(B617,'Veri doğrulama'!D6:E13,2,0)</f>
        <v>MEHMET YAZICI</v>
      </c>
      <c r="D619" s="6" t="s">
        <v>676</v>
      </c>
      <c r="E619" s="6" t="s">
        <v>680</v>
      </c>
      <c r="F619" s="6" t="s">
        <v>18</v>
      </c>
      <c r="G619" s="6" t="s">
        <v>34</v>
      </c>
      <c r="H619" s="6">
        <v>1604</v>
      </c>
      <c r="I619" s="6">
        <v>497</v>
      </c>
      <c r="J619" s="6">
        <v>1</v>
      </c>
      <c r="K619" s="10">
        <f t="shared" si="18"/>
        <v>0.51749999999999996</v>
      </c>
      <c r="L619" s="6" t="s">
        <v>103</v>
      </c>
      <c r="M619" s="6" t="s">
        <v>632</v>
      </c>
      <c r="N619" s="6" t="s">
        <v>54</v>
      </c>
      <c r="O619" s="6" t="s">
        <v>54</v>
      </c>
      <c r="P619" s="6" t="s">
        <v>54</v>
      </c>
    </row>
    <row r="620" spans="1:16" ht="30" customHeight="1" x14ac:dyDescent="0.3">
      <c r="A620" s="7">
        <v>45755.359147106479</v>
      </c>
      <c r="B620" s="6" t="s">
        <v>81</v>
      </c>
      <c r="C620" s="6" t="str">
        <f>VLOOKUP(B618,'Veri doğrulama'!D6:E13,2,0)</f>
        <v>SIDDIK KAPLAN</v>
      </c>
      <c r="D620" s="6"/>
      <c r="E620" s="6" t="s">
        <v>671</v>
      </c>
      <c r="F620" s="6" t="s">
        <v>18</v>
      </c>
      <c r="G620" s="6" t="s">
        <v>34</v>
      </c>
      <c r="H620" s="6">
        <v>1480</v>
      </c>
      <c r="I620" s="6">
        <v>390</v>
      </c>
      <c r="J620" s="6">
        <v>1</v>
      </c>
      <c r="K620" s="10">
        <f t="shared" si="18"/>
        <v>1.92</v>
      </c>
      <c r="L620" s="6" t="s">
        <v>43</v>
      </c>
      <c r="M620" s="6"/>
      <c r="N620" s="6" t="s">
        <v>54</v>
      </c>
      <c r="O620" s="6" t="s">
        <v>54</v>
      </c>
      <c r="P620" s="6" t="s">
        <v>54</v>
      </c>
    </row>
    <row r="621" spans="1:16" ht="30" customHeight="1" x14ac:dyDescent="0.3">
      <c r="A621" s="7">
        <v>45754.483726273145</v>
      </c>
      <c r="B621" s="6" t="s">
        <v>5</v>
      </c>
      <c r="C621" s="6" t="str">
        <f>VLOOKUP(B619,'Veri doğrulama'!D6:E13,2,0)</f>
        <v>MEHMET YAZICI</v>
      </c>
      <c r="D621" s="6" t="s">
        <v>661</v>
      </c>
      <c r="E621" s="6" t="s">
        <v>695</v>
      </c>
      <c r="F621" s="6" t="s">
        <v>13</v>
      </c>
      <c r="G621" s="6" t="s">
        <v>33</v>
      </c>
      <c r="H621" s="6">
        <v>2070</v>
      </c>
      <c r="I621" s="6">
        <v>607</v>
      </c>
      <c r="J621" s="6">
        <v>1</v>
      </c>
      <c r="K621" s="10">
        <f t="shared" si="18"/>
        <v>0.79718800000000001</v>
      </c>
      <c r="L621" s="6" t="s">
        <v>156</v>
      </c>
      <c r="M621" s="6"/>
      <c r="N621" s="6" t="s">
        <v>54</v>
      </c>
      <c r="O621" s="6" t="s">
        <v>54</v>
      </c>
      <c r="P621" s="6" t="s">
        <v>54</v>
      </c>
    </row>
    <row r="622" spans="1:16" ht="30" customHeight="1" x14ac:dyDescent="0.3">
      <c r="A622" s="7">
        <v>45754.482817708333</v>
      </c>
      <c r="B622" s="6" t="s">
        <v>7</v>
      </c>
      <c r="C622" s="6" t="str">
        <f>VLOOKUP(B620,'Veri doğrulama'!D6:E13,2,0)</f>
        <v>İBRAHİM ÇELİK</v>
      </c>
      <c r="D622" s="6" t="s">
        <v>669</v>
      </c>
      <c r="E622" s="6" t="s">
        <v>668</v>
      </c>
      <c r="F622" s="6" t="s">
        <v>13</v>
      </c>
      <c r="G622" s="6" t="s">
        <v>35</v>
      </c>
      <c r="H622" s="6">
        <v>1785</v>
      </c>
      <c r="I622" s="6">
        <v>600</v>
      </c>
      <c r="J622" s="6">
        <v>1</v>
      </c>
      <c r="K622" s="10">
        <f t="shared" si="18"/>
        <v>0.57720000000000005</v>
      </c>
      <c r="L622" s="6" t="s">
        <v>102</v>
      </c>
      <c r="M622" s="6" t="s">
        <v>209</v>
      </c>
      <c r="N622" s="6" t="s">
        <v>54</v>
      </c>
      <c r="O622" s="6" t="s">
        <v>54</v>
      </c>
      <c r="P622" s="6" t="s">
        <v>54</v>
      </c>
    </row>
    <row r="623" spans="1:16" ht="30" customHeight="1" x14ac:dyDescent="0.3">
      <c r="A623" s="7">
        <v>45754.339335763892</v>
      </c>
      <c r="B623" s="6" t="s">
        <v>4</v>
      </c>
      <c r="C623" s="6" t="str">
        <f>VLOOKUP(B621,'Veri doğrulama'!D6:E13,2,0)</f>
        <v>MEHMET ÖZEN</v>
      </c>
      <c r="D623" s="6" t="s">
        <v>694</v>
      </c>
      <c r="E623" s="6" t="s">
        <v>105</v>
      </c>
      <c r="F623" s="6" t="s">
        <v>19</v>
      </c>
      <c r="G623" s="6" t="s">
        <v>34</v>
      </c>
      <c r="H623" s="6">
        <v>2600</v>
      </c>
      <c r="I623" s="6">
        <v>300</v>
      </c>
      <c r="J623" s="6">
        <v>2</v>
      </c>
      <c r="K623" s="10">
        <f t="shared" si="18"/>
        <v>2.5129800000000002</v>
      </c>
      <c r="L623" s="6" t="s">
        <v>75</v>
      </c>
      <c r="M623" s="6" t="s">
        <v>723</v>
      </c>
      <c r="N623" s="6" t="s">
        <v>54</v>
      </c>
      <c r="O623" s="6" t="s">
        <v>54</v>
      </c>
      <c r="P623" s="6" t="s">
        <v>54</v>
      </c>
    </row>
    <row r="624" spans="1:16" ht="30" customHeight="1" x14ac:dyDescent="0.3">
      <c r="A624" s="7">
        <v>45754.336374074075</v>
      </c>
      <c r="B624" s="6" t="s">
        <v>5</v>
      </c>
      <c r="C624" s="6" t="str">
        <f>VLOOKUP(B622,'Veri doğrulama'!D6:E13,2,0)</f>
        <v>SIDDIK KAPLAN</v>
      </c>
      <c r="D624" s="6"/>
      <c r="E624" s="6" t="s">
        <v>685</v>
      </c>
      <c r="F624" s="6" t="s">
        <v>26</v>
      </c>
      <c r="G624" s="6" t="s">
        <v>34</v>
      </c>
      <c r="H624" s="6">
        <v>2420</v>
      </c>
      <c r="I624" s="6">
        <v>970</v>
      </c>
      <c r="J624" s="6">
        <v>1</v>
      </c>
      <c r="K624" s="10">
        <f t="shared" si="18"/>
        <v>1.071</v>
      </c>
      <c r="L624" s="6" t="s">
        <v>43</v>
      </c>
      <c r="M624" s="6" t="s">
        <v>411</v>
      </c>
      <c r="N624" s="6" t="s">
        <v>54</v>
      </c>
      <c r="O624" s="6" t="s">
        <v>54</v>
      </c>
      <c r="P624" s="6" t="s">
        <v>54</v>
      </c>
    </row>
    <row r="625" spans="1:16" ht="30" customHeight="1" x14ac:dyDescent="0.3">
      <c r="A625" s="7">
        <v>45742.626932870371</v>
      </c>
      <c r="B625" s="6" t="s">
        <v>81</v>
      </c>
      <c r="C625" s="6" t="str">
        <f>VLOOKUP(B623,'Veri doğrulama'!D6:E13,2,0)</f>
        <v>MEHMET YAZICI</v>
      </c>
      <c r="D625" s="6" t="s">
        <v>722</v>
      </c>
      <c r="E625" s="6" t="s">
        <v>670</v>
      </c>
      <c r="F625" s="6" t="s">
        <v>18</v>
      </c>
      <c r="G625" s="6" t="s">
        <v>34</v>
      </c>
      <c r="H625" s="6">
        <v>2389</v>
      </c>
      <c r="I625" s="6">
        <v>487</v>
      </c>
      <c r="J625" s="6">
        <v>1</v>
      </c>
      <c r="K625" s="10">
        <f t="shared" si="18"/>
        <v>0.78</v>
      </c>
      <c r="L625" s="6" t="s">
        <v>43</v>
      </c>
      <c r="M625" s="6"/>
      <c r="N625" s="6" t="s">
        <v>54</v>
      </c>
      <c r="O625" s="6" t="s">
        <v>54</v>
      </c>
      <c r="P625" s="6" t="s">
        <v>54</v>
      </c>
    </row>
    <row r="626" spans="1:16" ht="30" customHeight="1" x14ac:dyDescent="0.3">
      <c r="A626" s="7">
        <v>45742.626000578704</v>
      </c>
      <c r="B626" s="6" t="s">
        <v>4</v>
      </c>
      <c r="C626" s="6" t="str">
        <f>VLOOKUP(B624,'Veri doğrulama'!D6:E13,2,0)</f>
        <v>MEHMET ÖZEN</v>
      </c>
      <c r="D626" s="6"/>
      <c r="E626" s="6" t="s">
        <v>662</v>
      </c>
      <c r="F626" s="6" t="s">
        <v>18</v>
      </c>
      <c r="G626" s="6" t="s">
        <v>33</v>
      </c>
      <c r="H626" s="6">
        <v>2372</v>
      </c>
      <c r="I626" s="6">
        <v>520</v>
      </c>
      <c r="J626" s="6">
        <v>2</v>
      </c>
      <c r="K626" s="10">
        <f t="shared" si="18"/>
        <v>4.6947999999999999</v>
      </c>
      <c r="L626" s="6" t="s">
        <v>43</v>
      </c>
      <c r="M626" s="6" t="s">
        <v>632</v>
      </c>
      <c r="N626" s="6" t="s">
        <v>54</v>
      </c>
      <c r="O626" s="6" t="s">
        <v>54</v>
      </c>
      <c r="P626" s="6" t="s">
        <v>54</v>
      </c>
    </row>
    <row r="627" spans="1:16" ht="30" customHeight="1" x14ac:dyDescent="0.3">
      <c r="A627" s="7">
        <v>45741.443566319445</v>
      </c>
      <c r="B627" s="6" t="s">
        <v>5</v>
      </c>
      <c r="C627" s="6" t="str">
        <f>VLOOKUP(B625,'Veri doğrulama'!D6:E13,2,0)</f>
        <v>İBRAHİM ÇELİK</v>
      </c>
      <c r="D627" s="6" t="s">
        <v>669</v>
      </c>
      <c r="E627" s="6" t="s">
        <v>281</v>
      </c>
      <c r="F627" s="6" t="s">
        <v>24</v>
      </c>
      <c r="G627" s="6" t="s">
        <v>34</v>
      </c>
      <c r="H627" s="6">
        <v>1800</v>
      </c>
      <c r="I627" s="6">
        <v>390</v>
      </c>
      <c r="J627" s="6">
        <v>1</v>
      </c>
      <c r="K627" s="10">
        <f t="shared" si="18"/>
        <v>1.163443</v>
      </c>
      <c r="L627" s="6" t="s">
        <v>102</v>
      </c>
      <c r="M627" s="6"/>
      <c r="N627" s="6" t="s">
        <v>54</v>
      </c>
      <c r="O627" s="6" t="s">
        <v>54</v>
      </c>
      <c r="P627" s="6" t="s">
        <v>54</v>
      </c>
    </row>
    <row r="628" spans="1:16" ht="30" customHeight="1" x14ac:dyDescent="0.3">
      <c r="A628" s="7">
        <v>45741.35273136574</v>
      </c>
      <c r="B628" s="6" t="s">
        <v>4</v>
      </c>
      <c r="C628" s="6" t="str">
        <f>VLOOKUP(B626,'Veri doğrulama'!D6:E13,2,0)</f>
        <v>MEHMET YAZICI</v>
      </c>
      <c r="D628" s="6" t="s">
        <v>661</v>
      </c>
      <c r="E628" s="6" t="s">
        <v>679</v>
      </c>
      <c r="F628" s="6" t="s">
        <v>16</v>
      </c>
      <c r="G628" s="6" t="s">
        <v>34</v>
      </c>
      <c r="H628" s="6">
        <v>539</v>
      </c>
      <c r="I628" s="6">
        <v>451</v>
      </c>
      <c r="J628" s="6">
        <v>1</v>
      </c>
      <c r="K628" s="10">
        <f>H627*I627/1000000*J629</f>
        <v>0.70199999999999996</v>
      </c>
      <c r="L628" s="6" t="s">
        <v>39</v>
      </c>
      <c r="M628" s="6" t="s">
        <v>632</v>
      </c>
      <c r="N628" s="6" t="s">
        <v>54</v>
      </c>
      <c r="O628" s="6" t="s">
        <v>54</v>
      </c>
      <c r="P628" s="6" t="s">
        <v>54</v>
      </c>
    </row>
    <row r="629" spans="1:16" ht="30" customHeight="1" x14ac:dyDescent="0.3">
      <c r="A629" s="7">
        <v>45740.65872615741</v>
      </c>
      <c r="B629" s="6" t="s">
        <v>4</v>
      </c>
      <c r="C629" s="6" t="str">
        <f>VLOOKUP(B627,'Veri doğrulama'!D6:E13,2,0)</f>
        <v>MEHMET ÖZEN</v>
      </c>
      <c r="D629" s="6"/>
      <c r="E629" s="6" t="s">
        <v>658</v>
      </c>
      <c r="F629" s="6" t="s">
        <v>24</v>
      </c>
      <c r="G629" s="6" t="s">
        <v>34</v>
      </c>
      <c r="H629" s="6">
        <v>665</v>
      </c>
      <c r="I629" s="6">
        <v>350</v>
      </c>
      <c r="J629" s="6">
        <v>1</v>
      </c>
      <c r="K629" s="10">
        <f>H627*I627/1000000*J629</f>
        <v>0.70199999999999996</v>
      </c>
      <c r="L629" s="6" t="s">
        <v>103</v>
      </c>
      <c r="M629" s="6" t="s">
        <v>632</v>
      </c>
      <c r="N629" s="6" t="s">
        <v>54</v>
      </c>
      <c r="O629" s="6" t="s">
        <v>54</v>
      </c>
      <c r="P629" s="6" t="s">
        <v>54</v>
      </c>
    </row>
    <row r="630" spans="1:16" ht="30" customHeight="1" x14ac:dyDescent="0.3">
      <c r="A630" s="7">
        <v>45740.657666782405</v>
      </c>
      <c r="B630" s="6" t="s">
        <v>5</v>
      </c>
      <c r="C630" s="6" t="str">
        <f>VLOOKUP(B628,'Veri doğrulama'!D6:E13,2,0)</f>
        <v>MEHMET YAZICI</v>
      </c>
      <c r="D630" s="6" t="s">
        <v>678</v>
      </c>
      <c r="E630" s="6" t="s">
        <v>660</v>
      </c>
      <c r="F630" s="6" t="s">
        <v>18</v>
      </c>
      <c r="G630" s="6" t="s">
        <v>34</v>
      </c>
      <c r="H630" s="6">
        <v>1220</v>
      </c>
      <c r="I630" s="6">
        <v>1420</v>
      </c>
      <c r="J630" s="6">
        <v>2</v>
      </c>
      <c r="K630" s="10">
        <f>H628*I628/1000000*J630</f>
        <v>0.486178</v>
      </c>
      <c r="L630" s="6" t="s">
        <v>103</v>
      </c>
      <c r="M630" s="6"/>
      <c r="N630" s="6" t="s">
        <v>54</v>
      </c>
      <c r="O630" s="6" t="s">
        <v>54</v>
      </c>
      <c r="P630" s="6" t="s">
        <v>54</v>
      </c>
    </row>
    <row r="631" spans="1:16" ht="30" customHeight="1" x14ac:dyDescent="0.3">
      <c r="A631" s="7">
        <v>45740.39544803241</v>
      </c>
      <c r="B631" s="6" t="s">
        <v>5</v>
      </c>
      <c r="C631" s="6" t="str">
        <f>VLOOKUP(B629,'Veri doğrulama'!D6:E13,2,0)</f>
        <v>MEHMET YAZICI</v>
      </c>
      <c r="D631" s="6" t="s">
        <v>657</v>
      </c>
      <c r="E631" s="6" t="s">
        <v>131</v>
      </c>
      <c r="F631" s="6" t="s">
        <v>21</v>
      </c>
      <c r="G631" s="6" t="s">
        <v>34</v>
      </c>
      <c r="H631" s="6">
        <v>545</v>
      </c>
      <c r="I631" s="6">
        <v>523</v>
      </c>
      <c r="J631" s="6">
        <v>1</v>
      </c>
      <c r="K631" s="10">
        <f>H630*I630/1000000*J632</f>
        <v>1.7323999999999999</v>
      </c>
      <c r="L631" s="6" t="s">
        <v>156</v>
      </c>
      <c r="M631" s="6"/>
      <c r="N631" s="6" t="s">
        <v>54</v>
      </c>
      <c r="O631" s="6" t="s">
        <v>54</v>
      </c>
      <c r="P631" s="6" t="s">
        <v>54</v>
      </c>
    </row>
    <row r="632" spans="1:16" ht="30" customHeight="1" x14ac:dyDescent="0.3">
      <c r="A632" s="7">
        <v>45740.390228009259</v>
      </c>
      <c r="B632" s="6" t="s">
        <v>7</v>
      </c>
      <c r="C632" s="6" t="str">
        <f>VLOOKUP(B630,'Veri doğrulama'!D6:E13,2,0)</f>
        <v>MEHMET ÖZEN</v>
      </c>
      <c r="D632" s="6" t="s">
        <v>659</v>
      </c>
      <c r="E632" s="6" t="s">
        <v>686</v>
      </c>
      <c r="F632" s="6" t="s">
        <v>15</v>
      </c>
      <c r="G632" s="6" t="s">
        <v>34</v>
      </c>
      <c r="H632" s="6">
        <v>1990</v>
      </c>
      <c r="I632" s="6">
        <v>890</v>
      </c>
      <c r="J632" s="6">
        <v>1</v>
      </c>
      <c r="K632" s="10">
        <f>H631*I631/1000000*J633</f>
        <v>0.28503499999999998</v>
      </c>
      <c r="L632" s="6" t="s">
        <v>42</v>
      </c>
      <c r="M632" s="6"/>
      <c r="N632" s="6" t="s">
        <v>54</v>
      </c>
      <c r="O632" s="6" t="s">
        <v>54</v>
      </c>
      <c r="P632" s="6" t="s">
        <v>54</v>
      </c>
    </row>
    <row r="633" spans="1:16" ht="30" customHeight="1" x14ac:dyDescent="0.3">
      <c r="A633" s="7">
        <v>45737.666967824072</v>
      </c>
      <c r="B633" s="6" t="s">
        <v>4</v>
      </c>
      <c r="C633" s="6" t="str">
        <f>VLOOKUP(B631,'Veri doğrulama'!D6:E13,2,0)</f>
        <v>MEHMET ÖZEN</v>
      </c>
      <c r="D633" s="6"/>
      <c r="E633" s="6" t="s">
        <v>100</v>
      </c>
      <c r="F633" s="6" t="s">
        <v>18</v>
      </c>
      <c r="G633" s="6" t="s">
        <v>34</v>
      </c>
      <c r="H633" s="6">
        <v>1450</v>
      </c>
      <c r="I633" s="6">
        <v>397</v>
      </c>
      <c r="J633" s="6">
        <v>1</v>
      </c>
      <c r="K633" s="10">
        <f>H631*I631/1000000*J633</f>
        <v>0.28503499999999998</v>
      </c>
      <c r="L633" s="6" t="s">
        <v>75</v>
      </c>
      <c r="M633" s="6" t="s">
        <v>652</v>
      </c>
      <c r="N633" s="6" t="s">
        <v>54</v>
      </c>
      <c r="O633" s="6" t="s">
        <v>54</v>
      </c>
      <c r="P633" s="6" t="s">
        <v>54</v>
      </c>
    </row>
    <row r="634" spans="1:16" ht="30" customHeight="1" x14ac:dyDescent="0.3">
      <c r="A634" s="7">
        <v>45737.458499884262</v>
      </c>
      <c r="B634" s="6" t="s">
        <v>4</v>
      </c>
      <c r="C634" s="6" t="str">
        <f>VLOOKUP(B632,'Veri doğrulama'!D6:E13,2,0)</f>
        <v>SIDDIK KAPLAN</v>
      </c>
      <c r="D634" s="6"/>
      <c r="E634" s="6" t="s">
        <v>646</v>
      </c>
      <c r="F634" s="6" t="s">
        <v>18</v>
      </c>
      <c r="G634" s="6" t="s">
        <v>34</v>
      </c>
      <c r="H634" s="6">
        <v>1800</v>
      </c>
      <c r="I634" s="6">
        <v>360</v>
      </c>
      <c r="J634" s="6">
        <v>1</v>
      </c>
      <c r="K634" s="10">
        <f>H632*I632/1000000*J634</f>
        <v>1.7710999999999999</v>
      </c>
      <c r="L634" s="6" t="s">
        <v>43</v>
      </c>
      <c r="M634" s="6" t="s">
        <v>399</v>
      </c>
      <c r="N634" s="6" t="s">
        <v>54</v>
      </c>
      <c r="O634" s="6" t="s">
        <v>54</v>
      </c>
      <c r="P634" s="6" t="s">
        <v>54</v>
      </c>
    </row>
    <row r="635" spans="1:16" ht="30" customHeight="1" x14ac:dyDescent="0.3">
      <c r="A635" s="7">
        <v>45737.385769444445</v>
      </c>
      <c r="B635" s="6" t="s">
        <v>4</v>
      </c>
      <c r="C635" s="6" t="str">
        <f>VLOOKUP(B633,'Veri doğrulama'!D6:E13,2,0)</f>
        <v>MEHMET YAZICI</v>
      </c>
      <c r="D635" s="6"/>
      <c r="E635" s="6" t="s">
        <v>69</v>
      </c>
      <c r="F635" s="6" t="s">
        <v>16</v>
      </c>
      <c r="G635" s="6" t="s">
        <v>34</v>
      </c>
      <c r="H635" s="6">
        <v>900</v>
      </c>
      <c r="I635" s="6">
        <v>600</v>
      </c>
      <c r="J635" s="6">
        <v>1</v>
      </c>
      <c r="K635" s="10">
        <f>H634*I634/1000000*J636</f>
        <v>0.64800000000000002</v>
      </c>
      <c r="L635" s="6" t="s">
        <v>156</v>
      </c>
      <c r="M635" s="6"/>
      <c r="N635" s="6" t="s">
        <v>54</v>
      </c>
      <c r="O635" s="6" t="s">
        <v>54</v>
      </c>
      <c r="P635" s="6" t="s">
        <v>54</v>
      </c>
    </row>
    <row r="636" spans="1:16" ht="30" customHeight="1" x14ac:dyDescent="0.3">
      <c r="A636" s="7">
        <v>45737.384833564814</v>
      </c>
      <c r="B636" s="6" t="s">
        <v>4</v>
      </c>
      <c r="C636" s="6" t="str">
        <f>VLOOKUP(B634,'Veri doğrulama'!D6:E13,2,0)</f>
        <v>MEHMET YAZICI</v>
      </c>
      <c r="D636" s="13"/>
      <c r="E636" s="6" t="s">
        <v>654</v>
      </c>
      <c r="F636" s="6" t="s">
        <v>24</v>
      </c>
      <c r="G636" s="6" t="s">
        <v>35</v>
      </c>
      <c r="H636" s="6">
        <v>1800</v>
      </c>
      <c r="I636" s="6">
        <v>450</v>
      </c>
      <c r="J636" s="6">
        <v>1</v>
      </c>
      <c r="K636" s="10">
        <f>H635*I635/1000000*J637</f>
        <v>0.54</v>
      </c>
      <c r="L636" s="6" t="s">
        <v>42</v>
      </c>
      <c r="M636" s="6" t="s">
        <v>655</v>
      </c>
      <c r="N636" s="6" t="s">
        <v>54</v>
      </c>
      <c r="O636" s="6" t="s">
        <v>54</v>
      </c>
      <c r="P636" s="6" t="s">
        <v>54</v>
      </c>
    </row>
    <row r="637" spans="1:16" ht="30" customHeight="1" x14ac:dyDescent="0.3">
      <c r="A637" s="7">
        <v>45737.375818055552</v>
      </c>
      <c r="B637" s="6" t="s">
        <v>5</v>
      </c>
      <c r="C637" s="6" t="s">
        <v>9</v>
      </c>
      <c r="D637" s="6"/>
      <c r="E637" s="6" t="s">
        <v>85</v>
      </c>
      <c r="F637" s="6" t="s">
        <v>14</v>
      </c>
      <c r="G637" s="6" t="s">
        <v>34</v>
      </c>
      <c r="H637" s="6">
        <v>695</v>
      </c>
      <c r="I637" s="6">
        <v>379</v>
      </c>
      <c r="J637" s="6">
        <v>1</v>
      </c>
      <c r="K637" s="10">
        <f>H635*I635/1000000</f>
        <v>0.54</v>
      </c>
      <c r="L637" s="6" t="s">
        <v>40</v>
      </c>
      <c r="M637" s="6"/>
      <c r="N637" s="6" t="s">
        <v>54</v>
      </c>
      <c r="O637" s="6" t="s">
        <v>54</v>
      </c>
      <c r="P637" s="6"/>
    </row>
    <row r="638" spans="1:16" ht="30" customHeight="1" x14ac:dyDescent="0.3">
      <c r="A638" s="7">
        <v>45737.358488773149</v>
      </c>
      <c r="B638" s="6" t="s">
        <v>5</v>
      </c>
      <c r="C638" s="6" t="str">
        <f>VLOOKUP(B636,'Veri doğrulama'!D6:E13,2,0)</f>
        <v>MEHMET YAZICI</v>
      </c>
      <c r="D638" s="6" t="s">
        <v>653</v>
      </c>
      <c r="E638" s="6" t="s">
        <v>643</v>
      </c>
      <c r="F638" s="6" t="s">
        <v>14</v>
      </c>
      <c r="G638" s="6" t="s">
        <v>34</v>
      </c>
      <c r="H638" s="6">
        <v>1200</v>
      </c>
      <c r="I638" s="6">
        <v>800</v>
      </c>
      <c r="J638" s="6">
        <v>1</v>
      </c>
      <c r="K638" s="10">
        <f>H637*I637/1000000*J639</f>
        <v>0.263405</v>
      </c>
      <c r="L638" s="6" t="s">
        <v>102</v>
      </c>
      <c r="M638" s="6"/>
      <c r="N638" s="6" t="s">
        <v>54</v>
      </c>
      <c r="O638" s="6" t="s">
        <v>54</v>
      </c>
      <c r="P638" s="6" t="s">
        <v>54</v>
      </c>
    </row>
    <row r="639" spans="1:16" ht="30" customHeight="1" x14ac:dyDescent="0.3">
      <c r="A639" s="7">
        <v>45737.344368634258</v>
      </c>
      <c r="B639" s="6" t="s">
        <v>4</v>
      </c>
      <c r="C639" s="6" t="str">
        <f>VLOOKUP(B637,'Veri doğrulama'!D6:E13,2,0)</f>
        <v>MEHMET ÖZEN</v>
      </c>
      <c r="D639" s="6"/>
      <c r="E639" s="6" t="s">
        <v>656</v>
      </c>
      <c r="F639" s="6" t="s">
        <v>16</v>
      </c>
      <c r="G639" s="6" t="s">
        <v>34</v>
      </c>
      <c r="H639" s="6">
        <v>1600</v>
      </c>
      <c r="I639" s="6">
        <v>1600</v>
      </c>
      <c r="J639" s="6">
        <v>1</v>
      </c>
      <c r="K639" s="10">
        <f>H637*I637/1000000*J639</f>
        <v>0.263405</v>
      </c>
      <c r="L639" s="6" t="s">
        <v>43</v>
      </c>
      <c r="M639" s="6" t="s">
        <v>385</v>
      </c>
      <c r="N639" s="6" t="s">
        <v>54</v>
      </c>
      <c r="O639" s="6" t="s">
        <v>54</v>
      </c>
      <c r="P639" s="6" t="s">
        <v>54</v>
      </c>
    </row>
    <row r="640" spans="1:16" ht="30" customHeight="1" x14ac:dyDescent="0.3">
      <c r="A640" s="7">
        <v>45737.343697222219</v>
      </c>
      <c r="B640" s="6" t="s">
        <v>5</v>
      </c>
      <c r="C640" s="6" t="str">
        <f>VLOOKUP(B638,'Veri doğrulama'!D6:E13,2,0)</f>
        <v>MEHMET ÖZEN</v>
      </c>
      <c r="D640" s="6"/>
      <c r="E640" s="6" t="s">
        <v>200</v>
      </c>
      <c r="F640" s="6" t="s">
        <v>18</v>
      </c>
      <c r="G640" s="6" t="s">
        <v>34</v>
      </c>
      <c r="H640" s="6">
        <v>735</v>
      </c>
      <c r="I640" s="6">
        <v>397</v>
      </c>
      <c r="J640" s="6">
        <v>1</v>
      </c>
      <c r="K640" s="10">
        <f t="shared" ref="K640:K646" si="19">H639*I639/1000000*J641</f>
        <v>2.56</v>
      </c>
      <c r="L640" s="6" t="s">
        <v>103</v>
      </c>
      <c r="M640" s="6" t="s">
        <v>402</v>
      </c>
      <c r="N640" s="6" t="s">
        <v>54</v>
      </c>
      <c r="O640" s="6" t="s">
        <v>54</v>
      </c>
      <c r="P640" s="6" t="s">
        <v>54</v>
      </c>
    </row>
    <row r="641" spans="1:16" ht="30" customHeight="1" x14ac:dyDescent="0.3">
      <c r="A641" s="7">
        <v>45736.683368055557</v>
      </c>
      <c r="B641" s="6" t="s">
        <v>7</v>
      </c>
      <c r="C641" s="6" t="str">
        <f>VLOOKUP(B639,'Veri doğrulama'!D6:E13,2,0)</f>
        <v>MEHMET YAZICI</v>
      </c>
      <c r="D641" s="6"/>
      <c r="E641" s="6" t="s">
        <v>640</v>
      </c>
      <c r="F641" s="6" t="s">
        <v>18</v>
      </c>
      <c r="G641" s="6" t="s">
        <v>34</v>
      </c>
      <c r="H641" s="6">
        <v>1435</v>
      </c>
      <c r="I641" s="6">
        <v>360</v>
      </c>
      <c r="J641" s="6">
        <v>1</v>
      </c>
      <c r="K641" s="10">
        <f t="shared" si="19"/>
        <v>0.58359000000000005</v>
      </c>
      <c r="L641" s="6" t="s">
        <v>43</v>
      </c>
      <c r="M641" s="6" t="s">
        <v>209</v>
      </c>
      <c r="N641" s="6" t="s">
        <v>54</v>
      </c>
      <c r="O641" s="6" t="s">
        <v>54</v>
      </c>
      <c r="P641" s="6" t="s">
        <v>54</v>
      </c>
    </row>
    <row r="642" spans="1:16" ht="30" customHeight="1" x14ac:dyDescent="0.3">
      <c r="A642" s="7">
        <v>45736.625705324077</v>
      </c>
      <c r="B642" s="6" t="s">
        <v>4</v>
      </c>
      <c r="C642" s="6" t="str">
        <f>VLOOKUP(B640,'Veri doğrulama'!D6:E13,2,0)</f>
        <v>MEHMET ÖZEN</v>
      </c>
      <c r="D642" s="14"/>
      <c r="E642" s="6" t="s">
        <v>641</v>
      </c>
      <c r="F642" s="6" t="s">
        <v>16</v>
      </c>
      <c r="G642" s="6" t="s">
        <v>34</v>
      </c>
      <c r="H642" s="6">
        <v>1400</v>
      </c>
      <c r="I642" s="6">
        <v>1200</v>
      </c>
      <c r="J642" s="6">
        <v>2</v>
      </c>
      <c r="K642" s="10">
        <f t="shared" si="19"/>
        <v>0.51659999999999995</v>
      </c>
      <c r="L642" s="6" t="s">
        <v>75</v>
      </c>
      <c r="M642" s="6" t="s">
        <v>632</v>
      </c>
      <c r="N642" s="6" t="s">
        <v>54</v>
      </c>
      <c r="O642" s="6" t="s">
        <v>54</v>
      </c>
      <c r="P642" s="6" t="s">
        <v>54</v>
      </c>
    </row>
    <row r="643" spans="1:16" ht="30" customHeight="1" x14ac:dyDescent="0.3">
      <c r="A643" s="7">
        <v>45736.506536226851</v>
      </c>
      <c r="B643" s="6" t="s">
        <v>5</v>
      </c>
      <c r="C643" s="6" t="str">
        <f>VLOOKUP(B641,'Veri doğrulama'!D6:E13,2,0)</f>
        <v>SIDDIK KAPLAN</v>
      </c>
      <c r="D643" s="6"/>
      <c r="E643" s="6" t="s">
        <v>637</v>
      </c>
      <c r="F643" s="6" t="s">
        <v>18</v>
      </c>
      <c r="G643" s="6" t="s">
        <v>34</v>
      </c>
      <c r="H643" s="6">
        <v>1450</v>
      </c>
      <c r="I643" s="6">
        <v>397</v>
      </c>
      <c r="J643" s="6">
        <v>1</v>
      </c>
      <c r="K643" s="10">
        <f t="shared" si="19"/>
        <v>1.68</v>
      </c>
      <c r="L643" s="6" t="s">
        <v>43</v>
      </c>
      <c r="M643" s="6"/>
      <c r="N643" s="6" t="s">
        <v>54</v>
      </c>
      <c r="O643" s="6" t="s">
        <v>54</v>
      </c>
      <c r="P643" s="6" t="s">
        <v>54</v>
      </c>
    </row>
    <row r="644" spans="1:16" ht="30" customHeight="1" x14ac:dyDescent="0.3">
      <c r="A644" s="7">
        <v>45736.439236111109</v>
      </c>
      <c r="B644" s="6" t="s">
        <v>4</v>
      </c>
      <c r="C644" s="6" t="str">
        <f>VLOOKUP(B642,'Veri doğrulama'!D6:E13,2,0)</f>
        <v>MEHMET YAZICI</v>
      </c>
      <c r="D644" s="6"/>
      <c r="E644" s="6" t="s">
        <v>264</v>
      </c>
      <c r="F644" s="6" t="s">
        <v>13</v>
      </c>
      <c r="G644" s="6" t="s">
        <v>34</v>
      </c>
      <c r="H644" s="6">
        <v>2200</v>
      </c>
      <c r="I644" s="6">
        <v>445</v>
      </c>
      <c r="J644" s="6">
        <v>1</v>
      </c>
      <c r="K644" s="10">
        <f t="shared" si="19"/>
        <v>1.1513</v>
      </c>
      <c r="L644" s="6" t="s">
        <v>103</v>
      </c>
      <c r="M644" s="6" t="s">
        <v>667</v>
      </c>
      <c r="N644" s="6" t="s">
        <v>54</v>
      </c>
      <c r="O644" s="6" t="s">
        <v>54</v>
      </c>
      <c r="P644" s="6" t="s">
        <v>54</v>
      </c>
    </row>
    <row r="645" spans="1:16" ht="30" customHeight="1" x14ac:dyDescent="0.3">
      <c r="A645" s="7">
        <v>45736.430509143516</v>
      </c>
      <c r="B645" s="6" t="s">
        <v>4</v>
      </c>
      <c r="C645" s="6" t="str">
        <f>VLOOKUP(B643,'Veri doğrulama'!D6:E13,2,0)</f>
        <v>MEHMET ÖZEN</v>
      </c>
      <c r="D645" s="6"/>
      <c r="E645" s="6" t="s">
        <v>674</v>
      </c>
      <c r="F645" s="6" t="s">
        <v>17</v>
      </c>
      <c r="G645" s="6" t="s">
        <v>35</v>
      </c>
      <c r="H645" s="6">
        <v>1800</v>
      </c>
      <c r="I645" s="6">
        <v>800</v>
      </c>
      <c r="J645" s="6">
        <v>2</v>
      </c>
      <c r="K645" s="10">
        <f t="shared" si="19"/>
        <v>0.97899999999999998</v>
      </c>
      <c r="L645" s="6" t="s">
        <v>103</v>
      </c>
      <c r="M645" s="6" t="s">
        <v>675</v>
      </c>
      <c r="N645" s="6" t="s">
        <v>54</v>
      </c>
      <c r="O645" s="6" t="s">
        <v>54</v>
      </c>
      <c r="P645" s="6" t="s">
        <v>54</v>
      </c>
    </row>
    <row r="646" spans="1:16" ht="30" customHeight="1" x14ac:dyDescent="0.3">
      <c r="A646" s="7">
        <v>45736.407135416666</v>
      </c>
      <c r="B646" s="6" t="s">
        <v>5</v>
      </c>
      <c r="C646" s="6" t="str">
        <f>VLOOKUP(B644,'Veri doğrulama'!D6:E13,2,0)</f>
        <v>MEHMET YAZICI</v>
      </c>
      <c r="D646" s="6" t="s">
        <v>666</v>
      </c>
      <c r="E646" s="6" t="s">
        <v>639</v>
      </c>
      <c r="F646" s="6" t="s">
        <v>16</v>
      </c>
      <c r="G646" s="6" t="s">
        <v>34</v>
      </c>
      <c r="H646" s="6">
        <v>2000</v>
      </c>
      <c r="I646" s="6">
        <v>1000</v>
      </c>
      <c r="J646" s="6">
        <v>1</v>
      </c>
      <c r="K646" s="10">
        <f t="shared" si="19"/>
        <v>1.44</v>
      </c>
      <c r="L646" s="6" t="s">
        <v>42</v>
      </c>
      <c r="M646" s="6"/>
      <c r="N646" s="6" t="s">
        <v>54</v>
      </c>
      <c r="O646" s="6" t="s">
        <v>54</v>
      </c>
      <c r="P646" s="6" t="s">
        <v>54</v>
      </c>
    </row>
    <row r="647" spans="1:16" ht="30" customHeight="1" x14ac:dyDescent="0.3">
      <c r="A647" s="7">
        <v>45736.406732870368</v>
      </c>
      <c r="B647" s="6" t="s">
        <v>5</v>
      </c>
      <c r="C647" s="6" t="str">
        <f>VLOOKUP(B645,'Veri doğrulama'!D6:E13,2,0)</f>
        <v>MEHMET YAZICI</v>
      </c>
      <c r="D647" s="6" t="s">
        <v>673</v>
      </c>
      <c r="E647" s="6" t="s">
        <v>644</v>
      </c>
      <c r="F647" s="6" t="s">
        <v>24</v>
      </c>
      <c r="G647" s="6" t="s">
        <v>34</v>
      </c>
      <c r="H647" s="6">
        <v>900</v>
      </c>
      <c r="I647" s="6">
        <v>600</v>
      </c>
      <c r="J647" s="6">
        <v>1</v>
      </c>
      <c r="K647" s="10">
        <f>H645*I645/1000000*J647</f>
        <v>1.44</v>
      </c>
      <c r="L647" s="6" t="s">
        <v>103</v>
      </c>
      <c r="M647" s="6"/>
      <c r="N647" s="6" t="s">
        <v>54</v>
      </c>
      <c r="O647" s="6" t="s">
        <v>54</v>
      </c>
      <c r="P647" s="6" t="s">
        <v>54</v>
      </c>
    </row>
    <row r="648" spans="1:16" ht="30" customHeight="1" x14ac:dyDescent="0.3">
      <c r="A648" s="7">
        <v>45736.395106365744</v>
      </c>
      <c r="B648" s="6" t="s">
        <v>4</v>
      </c>
      <c r="C648" s="6" t="str">
        <f>VLOOKUP(B646,'Veri doğrulama'!D6:E13,2,0)</f>
        <v>MEHMET ÖZEN</v>
      </c>
      <c r="D648" s="6"/>
      <c r="E648" s="6" t="s">
        <v>631</v>
      </c>
      <c r="F648" s="6" t="s">
        <v>24</v>
      </c>
      <c r="G648" s="6" t="s">
        <v>35</v>
      </c>
      <c r="H648" s="6">
        <v>580</v>
      </c>
      <c r="I648" s="6">
        <v>324</v>
      </c>
      <c r="J648" s="6">
        <v>1</v>
      </c>
      <c r="K648" s="10">
        <f>H647*I647/1000000*J649</f>
        <v>0.54</v>
      </c>
      <c r="L648" s="6" t="s">
        <v>103</v>
      </c>
      <c r="M648" s="6" t="s">
        <v>632</v>
      </c>
      <c r="N648" s="6" t="s">
        <v>54</v>
      </c>
      <c r="O648" s="6" t="s">
        <v>54</v>
      </c>
      <c r="P648" s="6" t="s">
        <v>54</v>
      </c>
    </row>
    <row r="649" spans="1:16" ht="30" customHeight="1" x14ac:dyDescent="0.3">
      <c r="A649" s="7">
        <v>45735.643850231485</v>
      </c>
      <c r="B649" s="6" t="s">
        <v>5</v>
      </c>
      <c r="C649" s="6" t="str">
        <f>VLOOKUP(B647,'Veri doğrulama'!D6:E13,2,0)</f>
        <v>MEHMET ÖZEN</v>
      </c>
      <c r="D649" s="6" t="s">
        <v>645</v>
      </c>
      <c r="E649" s="6" t="s">
        <v>634</v>
      </c>
      <c r="F649" s="6" t="s">
        <v>16</v>
      </c>
      <c r="G649" s="6" t="s">
        <v>34</v>
      </c>
      <c r="H649" s="6">
        <v>1800</v>
      </c>
      <c r="I649" s="6">
        <v>800</v>
      </c>
      <c r="J649" s="6">
        <v>1</v>
      </c>
      <c r="K649" s="10">
        <f>H648*I648/1000000*J650</f>
        <v>0.18792</v>
      </c>
      <c r="L649" s="6" t="s">
        <v>43</v>
      </c>
      <c r="M649" s="6"/>
      <c r="N649" s="6" t="s">
        <v>54</v>
      </c>
      <c r="O649" s="6" t="s">
        <v>54</v>
      </c>
      <c r="P649" s="6" t="s">
        <v>54</v>
      </c>
    </row>
    <row r="650" spans="1:16" ht="30" customHeight="1" x14ac:dyDescent="0.3">
      <c r="A650" s="7">
        <v>45735.643029050923</v>
      </c>
      <c r="B650" s="6" t="s">
        <v>4</v>
      </c>
      <c r="C650" s="6" t="str">
        <f>VLOOKUP(B648,'Veri doğrulama'!D6:E13,2,0)</f>
        <v>MEHMET YAZICI</v>
      </c>
      <c r="D650" s="6"/>
      <c r="E650" s="6" t="s">
        <v>785</v>
      </c>
      <c r="F650" s="6" t="s">
        <v>28</v>
      </c>
      <c r="G650" s="6" t="s">
        <v>34</v>
      </c>
      <c r="H650" s="6">
        <v>800</v>
      </c>
      <c r="I650" s="6">
        <v>475</v>
      </c>
      <c r="J650" s="6">
        <v>1</v>
      </c>
      <c r="K650" s="10">
        <f>H649*I649/1000000*J651</f>
        <v>1.44</v>
      </c>
      <c r="L650" s="6" t="s">
        <v>155</v>
      </c>
      <c r="M650" s="6" t="s">
        <v>786</v>
      </c>
      <c r="N650" s="6" t="s">
        <v>54</v>
      </c>
      <c r="O650" s="6" t="s">
        <v>54</v>
      </c>
      <c r="P650" s="15" t="s">
        <v>54</v>
      </c>
    </row>
    <row r="651" spans="1:16" ht="30" customHeight="1" x14ac:dyDescent="0.3">
      <c r="A651" s="7">
        <v>45735.641673958336</v>
      </c>
      <c r="B651" s="6" t="s">
        <v>5</v>
      </c>
      <c r="C651" s="6" t="str">
        <f>VLOOKUP(B649,'Veri doğrulama'!D6:E13,2,0)</f>
        <v>MEHMET ÖZEN</v>
      </c>
      <c r="D651" s="6"/>
      <c r="E651" s="6" t="s">
        <v>637</v>
      </c>
      <c r="F651" s="6" t="s">
        <v>18</v>
      </c>
      <c r="G651" s="6" t="s">
        <v>34</v>
      </c>
      <c r="H651" s="6">
        <v>1450</v>
      </c>
      <c r="I651" s="6">
        <v>397</v>
      </c>
      <c r="J651" s="6">
        <v>1</v>
      </c>
      <c r="K651" s="10">
        <f>H650*I650/1000000*J652</f>
        <v>0.38</v>
      </c>
      <c r="L651" s="6" t="s">
        <v>596</v>
      </c>
      <c r="M651" s="6" t="s">
        <v>638</v>
      </c>
      <c r="N651" s="6" t="s">
        <v>54</v>
      </c>
      <c r="O651" s="6" t="s">
        <v>54</v>
      </c>
      <c r="P651" s="6" t="s">
        <v>54</v>
      </c>
    </row>
    <row r="652" spans="1:16" ht="30" customHeight="1" x14ac:dyDescent="0.3">
      <c r="A652" s="7">
        <v>45735.437785532406</v>
      </c>
      <c r="B652" s="6" t="s">
        <v>4</v>
      </c>
      <c r="C652" s="6" t="str">
        <f>VLOOKUP(B650,'Veri doğrulama'!D6:E13,2,0)</f>
        <v>MEHMET YAZICI</v>
      </c>
      <c r="D652" s="6" t="s">
        <v>784</v>
      </c>
      <c r="E652" s="6" t="s">
        <v>626</v>
      </c>
      <c r="F652" s="6" t="s">
        <v>18</v>
      </c>
      <c r="G652" s="6" t="s">
        <v>34</v>
      </c>
      <c r="H652" s="6">
        <v>1600</v>
      </c>
      <c r="I652" s="6">
        <v>1600</v>
      </c>
      <c r="J652" s="6">
        <v>1</v>
      </c>
      <c r="K652" s="10">
        <f>H650*I650/1000000*J652</f>
        <v>0.38</v>
      </c>
      <c r="L652" s="6" t="s">
        <v>103</v>
      </c>
      <c r="M652" s="6" t="s">
        <v>620</v>
      </c>
      <c r="N652" s="6" t="s">
        <v>54</v>
      </c>
      <c r="O652" s="6" t="s">
        <v>54</v>
      </c>
      <c r="P652" s="6"/>
    </row>
    <row r="653" spans="1:16" ht="30" customHeight="1" x14ac:dyDescent="0.3">
      <c r="A653" s="7">
        <v>45735.381238194444</v>
      </c>
      <c r="B653" s="6" t="s">
        <v>5</v>
      </c>
      <c r="C653" s="6" t="str">
        <f>VLOOKUP(B651,'Veri doğrulama'!D6:E13,2,0)</f>
        <v>MEHMET ÖZEN</v>
      </c>
      <c r="D653" s="6"/>
      <c r="E653" s="6" t="s">
        <v>642</v>
      </c>
      <c r="F653" s="6" t="s">
        <v>14</v>
      </c>
      <c r="G653" s="6" t="s">
        <v>34</v>
      </c>
      <c r="H653" s="6">
        <v>1600</v>
      </c>
      <c r="I653" s="6">
        <v>800</v>
      </c>
      <c r="J653" s="6">
        <v>4</v>
      </c>
      <c r="K653" s="10">
        <f t="shared" ref="K653:K658" si="20">H652*I652/1000000*J654</f>
        <v>2.56</v>
      </c>
      <c r="L653" s="6" t="s">
        <v>42</v>
      </c>
      <c r="M653" s="6"/>
      <c r="N653" s="6" t="s">
        <v>54</v>
      </c>
      <c r="O653" s="6" t="s">
        <v>54</v>
      </c>
      <c r="P653" s="6" t="s">
        <v>54</v>
      </c>
    </row>
    <row r="654" spans="1:16" ht="30" customHeight="1" x14ac:dyDescent="0.3">
      <c r="A654" s="7">
        <v>45735.37872025463</v>
      </c>
      <c r="B654" s="6" t="s">
        <v>4</v>
      </c>
      <c r="C654" s="6" t="str">
        <f>VLOOKUP(B652,'Veri doğrulama'!D6:E13,2,0)</f>
        <v>MEHMET YAZICI</v>
      </c>
      <c r="D654" s="6"/>
      <c r="E654" s="6" t="s">
        <v>160</v>
      </c>
      <c r="F654" s="6" t="s">
        <v>16</v>
      </c>
      <c r="G654" s="6" t="s">
        <v>34</v>
      </c>
      <c r="H654" s="6">
        <v>1400</v>
      </c>
      <c r="I654" s="6">
        <v>1200</v>
      </c>
      <c r="J654" s="6">
        <v>1</v>
      </c>
      <c r="K654" s="10">
        <f t="shared" si="20"/>
        <v>1.28</v>
      </c>
      <c r="L654" s="6" t="s">
        <v>103</v>
      </c>
      <c r="M654" s="6" t="s">
        <v>587</v>
      </c>
      <c r="N654" s="6" t="s">
        <v>54</v>
      </c>
      <c r="O654" s="6" t="s">
        <v>54</v>
      </c>
      <c r="P654" s="6" t="s">
        <v>54</v>
      </c>
    </row>
    <row r="655" spans="1:16" ht="30" customHeight="1" x14ac:dyDescent="0.3">
      <c r="A655" s="7">
        <v>45734.681564120372</v>
      </c>
      <c r="B655" s="6" t="s">
        <v>4</v>
      </c>
      <c r="C655" s="6" t="str">
        <f>VLOOKUP(B653,'Veri doğrulama'!D6:E13,2,0)</f>
        <v>MEHMET ÖZEN</v>
      </c>
      <c r="D655" s="6"/>
      <c r="E655" s="6" t="s">
        <v>629</v>
      </c>
      <c r="F655" s="6" t="s">
        <v>24</v>
      </c>
      <c r="G655" s="6" t="s">
        <v>34</v>
      </c>
      <c r="H655" s="6">
        <v>560</v>
      </c>
      <c r="I655" s="6">
        <v>324</v>
      </c>
      <c r="J655" s="6">
        <v>1</v>
      </c>
      <c r="K655" s="10">
        <f t="shared" si="20"/>
        <v>3.36</v>
      </c>
      <c r="L655" s="6" t="s">
        <v>103</v>
      </c>
      <c r="M655" s="6" t="s">
        <v>630</v>
      </c>
      <c r="N655" s="6" t="s">
        <v>54</v>
      </c>
      <c r="O655" s="6" t="s">
        <v>54</v>
      </c>
      <c r="P655" s="6" t="s">
        <v>54</v>
      </c>
    </row>
    <row r="656" spans="1:16" ht="30" customHeight="1" x14ac:dyDescent="0.3">
      <c r="A656" s="7">
        <v>45734.600393749999</v>
      </c>
      <c r="B656" s="6" t="s">
        <v>4</v>
      </c>
      <c r="C656" s="6" t="str">
        <f>VLOOKUP(B654,'Veri doğrulama'!D6:E13,2,0)</f>
        <v>MEHMET YAZICI</v>
      </c>
      <c r="D656" s="6"/>
      <c r="E656" s="6" t="s">
        <v>92</v>
      </c>
      <c r="F656" s="6" t="s">
        <v>13</v>
      </c>
      <c r="G656" s="6" t="s">
        <v>34</v>
      </c>
      <c r="H656" s="6">
        <v>2386</v>
      </c>
      <c r="I656" s="6">
        <v>600</v>
      </c>
      <c r="J656" s="6">
        <v>2</v>
      </c>
      <c r="K656" s="10">
        <f t="shared" si="20"/>
        <v>0.18143999999999999</v>
      </c>
      <c r="L656" s="6" t="s">
        <v>43</v>
      </c>
      <c r="M656" s="6" t="s">
        <v>632</v>
      </c>
      <c r="N656" s="6" t="s">
        <v>54</v>
      </c>
      <c r="O656" s="6" t="s">
        <v>54</v>
      </c>
      <c r="P656" s="6" t="s">
        <v>54</v>
      </c>
    </row>
    <row r="657" spans="1:16" ht="30" customHeight="1" x14ac:dyDescent="0.3">
      <c r="A657" s="7">
        <v>45734.558764814814</v>
      </c>
      <c r="B657" s="6" t="s">
        <v>4</v>
      </c>
      <c r="C657" s="6" t="str">
        <f>VLOOKUP(B655,'Veri doğrulama'!D6:E13,2,0)</f>
        <v>MEHMET YAZICI</v>
      </c>
      <c r="D657" s="6" t="s">
        <v>633</v>
      </c>
      <c r="E657" s="6" t="s">
        <v>691</v>
      </c>
      <c r="F657" s="6" t="s">
        <v>20</v>
      </c>
      <c r="G657" s="6" t="s">
        <v>34</v>
      </c>
      <c r="H657" s="6">
        <v>1000</v>
      </c>
      <c r="I657" s="6">
        <v>500</v>
      </c>
      <c r="J657" s="6">
        <v>1</v>
      </c>
      <c r="K657" s="10">
        <f t="shared" si="20"/>
        <v>1.4316</v>
      </c>
      <c r="L657" s="6" t="s">
        <v>156</v>
      </c>
      <c r="M657" s="6" t="s">
        <v>632</v>
      </c>
      <c r="N657" s="6" t="s">
        <v>54</v>
      </c>
      <c r="O657" s="6" t="s">
        <v>54</v>
      </c>
      <c r="P657" s="6" t="s">
        <v>54</v>
      </c>
    </row>
    <row r="658" spans="1:16" ht="30" customHeight="1" x14ac:dyDescent="0.3">
      <c r="A658" s="7">
        <v>45734.469930092593</v>
      </c>
      <c r="B658" s="6" t="s">
        <v>5</v>
      </c>
      <c r="C658" s="6" t="str">
        <f>VLOOKUP(B656,'Veri doğrulama'!D6:E13,2,0)</f>
        <v>MEHMET YAZICI</v>
      </c>
      <c r="D658" s="6"/>
      <c r="E658" s="6" t="s">
        <v>621</v>
      </c>
      <c r="F658" s="6" t="s">
        <v>16</v>
      </c>
      <c r="G658" s="6" t="s">
        <v>34</v>
      </c>
      <c r="H658" s="6">
        <v>1600</v>
      </c>
      <c r="I658" s="6">
        <v>390</v>
      </c>
      <c r="J658" s="6">
        <v>1</v>
      </c>
      <c r="K658" s="10">
        <f t="shared" si="20"/>
        <v>0.5</v>
      </c>
      <c r="L658" s="6" t="s">
        <v>75</v>
      </c>
      <c r="M658" s="6"/>
      <c r="N658" s="6" t="s">
        <v>54</v>
      </c>
      <c r="O658" s="6" t="s">
        <v>54</v>
      </c>
      <c r="P658" s="6" t="s">
        <v>54</v>
      </c>
    </row>
    <row r="659" spans="1:16" ht="30" customHeight="1" x14ac:dyDescent="0.3">
      <c r="A659" s="7">
        <v>45734.348197569445</v>
      </c>
      <c r="B659" s="6" t="s">
        <v>4</v>
      </c>
      <c r="C659" s="6" t="str">
        <f>VLOOKUP(B657,'Veri doğrulama'!D6:E13,2,0)</f>
        <v>MEHMET YAZICI</v>
      </c>
      <c r="D659" s="6" t="s">
        <v>690</v>
      </c>
      <c r="E659" s="6" t="s">
        <v>619</v>
      </c>
      <c r="F659" s="6" t="s">
        <v>16</v>
      </c>
      <c r="G659" s="6" t="s">
        <v>35</v>
      </c>
      <c r="H659" s="6">
        <v>1600</v>
      </c>
      <c r="I659" s="6">
        <v>390</v>
      </c>
      <c r="J659" s="6">
        <v>1</v>
      </c>
      <c r="K659" s="10">
        <f>H657*I657/1000000*J659</f>
        <v>0.5</v>
      </c>
      <c r="L659" s="6" t="s">
        <v>103</v>
      </c>
      <c r="M659" s="6" t="s">
        <v>620</v>
      </c>
      <c r="N659" s="6" t="s">
        <v>54</v>
      </c>
      <c r="O659" s="6" t="s">
        <v>54</v>
      </c>
      <c r="P659" s="6" t="s">
        <v>54</v>
      </c>
    </row>
    <row r="660" spans="1:16" ht="30" customHeight="1" x14ac:dyDescent="0.3">
      <c r="A660" s="7">
        <v>45734.345089699076</v>
      </c>
      <c r="B660" s="6" t="s">
        <v>4</v>
      </c>
      <c r="C660" s="6" t="str">
        <f>VLOOKUP(B658,'Veri doğrulama'!D6:E13,2,0)</f>
        <v>MEHMET ÖZEN</v>
      </c>
      <c r="D660" s="6" t="s">
        <v>623</v>
      </c>
      <c r="E660" s="6" t="s">
        <v>518</v>
      </c>
      <c r="F660" s="6" t="s">
        <v>16</v>
      </c>
      <c r="G660" s="6" t="s">
        <v>35</v>
      </c>
      <c r="H660" s="6">
        <v>700</v>
      </c>
      <c r="I660" s="6">
        <v>397</v>
      </c>
      <c r="J660" s="6">
        <v>1</v>
      </c>
      <c r="K660" s="10">
        <f>H659*I659/1000000*J661</f>
        <v>0.624</v>
      </c>
      <c r="L660" s="6" t="s">
        <v>102</v>
      </c>
      <c r="M660" s="6" t="s">
        <v>587</v>
      </c>
      <c r="N660" s="6" t="s">
        <v>54</v>
      </c>
      <c r="O660" s="6" t="s">
        <v>54</v>
      </c>
      <c r="P660" s="6" t="s">
        <v>54</v>
      </c>
    </row>
    <row r="661" spans="1:16" ht="30" customHeight="1" x14ac:dyDescent="0.3">
      <c r="A661" s="7">
        <v>45734.344363773147</v>
      </c>
      <c r="B661" s="6" t="s">
        <v>5</v>
      </c>
      <c r="C661" s="6" t="str">
        <f>VLOOKUP(B659,'Veri doğrulama'!D6:E13,2,0)</f>
        <v>MEHMET YAZICI</v>
      </c>
      <c r="D661" s="6"/>
      <c r="E661" s="6" t="s">
        <v>635</v>
      </c>
      <c r="F661" s="6" t="s">
        <v>17</v>
      </c>
      <c r="G661" s="6" t="s">
        <v>34</v>
      </c>
      <c r="H661" s="6">
        <v>924</v>
      </c>
      <c r="I661" s="6">
        <v>410</v>
      </c>
      <c r="J661" s="6">
        <v>1</v>
      </c>
      <c r="K661" s="10">
        <f>H660*I660/1000000*J662</f>
        <v>0.27789999999999998</v>
      </c>
      <c r="L661" s="6" t="s">
        <v>103</v>
      </c>
      <c r="M661" s="6" t="s">
        <v>636</v>
      </c>
      <c r="N661" s="6" t="s">
        <v>54</v>
      </c>
      <c r="O661" s="6" t="s">
        <v>54</v>
      </c>
      <c r="P661" s="6" t="s">
        <v>54</v>
      </c>
    </row>
    <row r="662" spans="1:16" ht="30" customHeight="1" x14ac:dyDescent="0.3">
      <c r="A662" s="7">
        <v>45734.343660185186</v>
      </c>
      <c r="B662" s="6" t="s">
        <v>5</v>
      </c>
      <c r="C662" s="6" t="str">
        <f>VLOOKUP(B660,'Veri doğrulama'!D6:E13,2,0)</f>
        <v>MEHMET YAZICI</v>
      </c>
      <c r="D662" s="6"/>
      <c r="E662" s="6" t="s">
        <v>622</v>
      </c>
      <c r="F662" s="6" t="s">
        <v>14</v>
      </c>
      <c r="G662" s="6" t="s">
        <v>34</v>
      </c>
      <c r="H662" s="6">
        <v>1600</v>
      </c>
      <c r="I662" s="6">
        <v>800</v>
      </c>
      <c r="J662" s="6">
        <v>1</v>
      </c>
      <c r="K662" s="10">
        <f>H661*I661/1000000*J663</f>
        <v>0.37884000000000001</v>
      </c>
      <c r="L662" s="6" t="s">
        <v>156</v>
      </c>
      <c r="M662" s="6"/>
      <c r="N662" s="6" t="s">
        <v>54</v>
      </c>
      <c r="O662" s="6" t="s">
        <v>54</v>
      </c>
      <c r="P662" s="6" t="s">
        <v>54</v>
      </c>
    </row>
    <row r="663" spans="1:16" ht="30" customHeight="1" x14ac:dyDescent="0.3">
      <c r="A663" s="7">
        <v>45734.342302546298</v>
      </c>
      <c r="B663" s="6" t="s">
        <v>5</v>
      </c>
      <c r="C663" s="6" t="str">
        <f>VLOOKUP(B661,'Veri doğrulama'!D6:E13,2,0)</f>
        <v>MEHMET ÖZEN</v>
      </c>
      <c r="D663" s="6"/>
      <c r="E663" s="6" t="s">
        <v>688</v>
      </c>
      <c r="F663" s="6" t="s">
        <v>27</v>
      </c>
      <c r="G663" s="6" t="s">
        <v>34</v>
      </c>
      <c r="H663" s="6">
        <v>2010</v>
      </c>
      <c r="I663" s="6">
        <v>860</v>
      </c>
      <c r="J663" s="6">
        <v>1</v>
      </c>
      <c r="K663" s="10">
        <f>H662*I662/1000000*J664</f>
        <v>1.28</v>
      </c>
      <c r="L663" s="6" t="s">
        <v>42</v>
      </c>
      <c r="M663" s="6"/>
      <c r="N663" s="6" t="s">
        <v>54</v>
      </c>
      <c r="O663" s="6" t="s">
        <v>54</v>
      </c>
      <c r="P663" s="6" t="s">
        <v>54</v>
      </c>
    </row>
    <row r="664" spans="1:16" ht="30" customHeight="1" x14ac:dyDescent="0.3">
      <c r="A664" s="7">
        <v>45734.3406525463</v>
      </c>
      <c r="B664" s="6" t="s">
        <v>4</v>
      </c>
      <c r="C664" s="6" t="str">
        <f>VLOOKUP(B662,'Veri doğrulama'!D6:E13,2,0)</f>
        <v>MEHMET ÖZEN</v>
      </c>
      <c r="D664" s="6" t="s">
        <v>625</v>
      </c>
      <c r="E664" s="6" t="s">
        <v>612</v>
      </c>
      <c r="F664" s="6" t="s">
        <v>27</v>
      </c>
      <c r="G664" s="6" t="s">
        <v>35</v>
      </c>
      <c r="H664" s="6">
        <v>804</v>
      </c>
      <c r="I664" s="6">
        <v>342</v>
      </c>
      <c r="J664" s="6">
        <v>1</v>
      </c>
      <c r="K664" s="10">
        <f>H663*I663/1000000*J665</f>
        <v>1.7285999999999999</v>
      </c>
      <c r="L664" s="6" t="s">
        <v>103</v>
      </c>
      <c r="M664" s="6" t="s">
        <v>613</v>
      </c>
      <c r="N664" s="6" t="s">
        <v>54</v>
      </c>
      <c r="O664" s="6" t="s">
        <v>54</v>
      </c>
      <c r="P664" s="6" t="s">
        <v>54</v>
      </c>
    </row>
    <row r="665" spans="1:16" ht="30" customHeight="1" x14ac:dyDescent="0.3">
      <c r="A665" s="7">
        <v>45733.620096412036</v>
      </c>
      <c r="B665" s="6" t="s">
        <v>4</v>
      </c>
      <c r="C665" s="6" t="str">
        <f>VLOOKUP(B663,'Veri doğrulama'!D6:E13,2,0)</f>
        <v>MEHMET ÖZEN</v>
      </c>
      <c r="D665" s="6" t="s">
        <v>687</v>
      </c>
      <c r="E665" s="6" t="s">
        <v>617</v>
      </c>
      <c r="F665" s="6" t="s">
        <v>16</v>
      </c>
      <c r="G665" s="6" t="s">
        <v>34</v>
      </c>
      <c r="H665" s="6">
        <v>447</v>
      </c>
      <c r="I665" s="6">
        <v>355</v>
      </c>
      <c r="J665" s="6">
        <v>1</v>
      </c>
      <c r="K665" s="10">
        <f>H663*I663/1000000*J665</f>
        <v>1.7285999999999999</v>
      </c>
      <c r="L665" s="6" t="s">
        <v>103</v>
      </c>
      <c r="M665" s="6" t="s">
        <v>587</v>
      </c>
      <c r="N665" s="6" t="s">
        <v>54</v>
      </c>
      <c r="O665" s="6" t="s">
        <v>54</v>
      </c>
      <c r="P665" s="6" t="s">
        <v>54</v>
      </c>
    </row>
    <row r="666" spans="1:16" ht="30" customHeight="1" x14ac:dyDescent="0.3">
      <c r="A666" s="7">
        <v>45733.619632291666</v>
      </c>
      <c r="B666" s="6" t="s">
        <v>5</v>
      </c>
      <c r="C666" s="6" t="str">
        <f>VLOOKUP(B664,'Veri doğrulama'!D6:E13,2,0)</f>
        <v>MEHMET YAZICI</v>
      </c>
      <c r="D666" s="6" t="s">
        <v>616</v>
      </c>
      <c r="E666" s="6" t="s">
        <v>575</v>
      </c>
      <c r="F666" s="6" t="s">
        <v>20</v>
      </c>
      <c r="G666" s="6" t="s">
        <v>34</v>
      </c>
      <c r="H666" s="6">
        <v>1600</v>
      </c>
      <c r="I666" s="6">
        <v>800</v>
      </c>
      <c r="J666" s="6">
        <v>1</v>
      </c>
      <c r="K666" s="10">
        <f t="shared" ref="K666:K672" si="21">H665*I665/1000000*J667</f>
        <v>0.15868499999999999</v>
      </c>
      <c r="L666" s="6" t="s">
        <v>42</v>
      </c>
      <c r="M666" s="6"/>
      <c r="N666" s="6" t="s">
        <v>54</v>
      </c>
      <c r="O666" s="6" t="s">
        <v>54</v>
      </c>
      <c r="P666" s="6" t="s">
        <v>54</v>
      </c>
    </row>
    <row r="667" spans="1:16" ht="30" customHeight="1" x14ac:dyDescent="0.3">
      <c r="A667" s="7">
        <v>45733.572128356478</v>
      </c>
      <c r="B667" s="6" t="s">
        <v>4</v>
      </c>
      <c r="C667" s="6" t="str">
        <f>VLOOKUP(B665,'Veri doğrulama'!D6:E13,2,0)</f>
        <v>MEHMET YAZICI</v>
      </c>
      <c r="D667" s="6"/>
      <c r="E667" s="6" t="s">
        <v>610</v>
      </c>
      <c r="F667" s="6" t="s">
        <v>16</v>
      </c>
      <c r="G667" s="6" t="s">
        <v>34</v>
      </c>
      <c r="H667" s="6">
        <v>1115</v>
      </c>
      <c r="I667" s="6">
        <v>397</v>
      </c>
      <c r="J667" s="6">
        <v>1</v>
      </c>
      <c r="K667" s="10">
        <f t="shared" si="21"/>
        <v>1.28</v>
      </c>
      <c r="L667" s="6" t="s">
        <v>42</v>
      </c>
      <c r="M667" s="6" t="s">
        <v>339</v>
      </c>
      <c r="N667" s="6" t="s">
        <v>54</v>
      </c>
      <c r="O667" s="6" t="s">
        <v>54</v>
      </c>
      <c r="P667" s="6" t="s">
        <v>54</v>
      </c>
    </row>
    <row r="668" spans="1:16" ht="30" customHeight="1" x14ac:dyDescent="0.3">
      <c r="A668" s="7">
        <v>45733.417499768519</v>
      </c>
      <c r="B668" s="6" t="s">
        <v>4</v>
      </c>
      <c r="C668" s="6" t="str">
        <f>VLOOKUP(B666,'Veri doğrulama'!D6:E13,2,0)</f>
        <v>MEHMET ÖZEN</v>
      </c>
      <c r="D668" s="6"/>
      <c r="E668" s="6" t="s">
        <v>648</v>
      </c>
      <c r="F668" s="6" t="s">
        <v>649</v>
      </c>
      <c r="G668" s="6" t="s">
        <v>34</v>
      </c>
      <c r="H668" s="6">
        <v>802</v>
      </c>
      <c r="I668" s="6">
        <v>387</v>
      </c>
      <c r="J668" s="6">
        <v>1</v>
      </c>
      <c r="K668" s="10">
        <f t="shared" si="21"/>
        <v>0.88531000000000004</v>
      </c>
      <c r="L668" s="6" t="s">
        <v>103</v>
      </c>
      <c r="M668" s="6" t="s">
        <v>651</v>
      </c>
      <c r="N668" s="6" t="s">
        <v>54</v>
      </c>
      <c r="O668" s="6" t="s">
        <v>54</v>
      </c>
      <c r="P668" s="6" t="s">
        <v>54</v>
      </c>
    </row>
    <row r="669" spans="1:16" ht="30" customHeight="1" x14ac:dyDescent="0.3">
      <c r="A669" s="7">
        <v>45730.714700810182</v>
      </c>
      <c r="B669" s="6" t="s">
        <v>4</v>
      </c>
      <c r="C669" s="6" t="str">
        <f>VLOOKUP(B667,'Veri doğrulama'!D6:E13,2,0)</f>
        <v>MEHMET YAZICI</v>
      </c>
      <c r="D669" s="6"/>
      <c r="E669" s="6" t="s">
        <v>166</v>
      </c>
      <c r="F669" s="6" t="s">
        <v>17</v>
      </c>
      <c r="G669" s="6" t="s">
        <v>34</v>
      </c>
      <c r="H669" s="6">
        <v>480</v>
      </c>
      <c r="I669" s="6">
        <v>430</v>
      </c>
      <c r="J669" s="6">
        <v>2</v>
      </c>
      <c r="K669" s="10">
        <f t="shared" si="21"/>
        <v>0.31037399999999998</v>
      </c>
      <c r="L669" s="6" t="s">
        <v>75</v>
      </c>
      <c r="M669" s="6" t="s">
        <v>399</v>
      </c>
      <c r="N669" s="6" t="s">
        <v>54</v>
      </c>
      <c r="O669" s="6" t="s">
        <v>54</v>
      </c>
      <c r="P669" s="6" t="s">
        <v>54</v>
      </c>
    </row>
    <row r="670" spans="1:16" ht="30" customHeight="1" x14ac:dyDescent="0.3">
      <c r="A670" s="7">
        <v>45730.713792129631</v>
      </c>
      <c r="B670" s="6" t="s">
        <v>4</v>
      </c>
      <c r="C670" s="6" t="str">
        <f>VLOOKUP(B668,'Veri doğrulama'!D6:E13,2,0)</f>
        <v>MEHMET YAZICI</v>
      </c>
      <c r="D670" s="6">
        <v>22200</v>
      </c>
      <c r="E670" s="6" t="s">
        <v>615</v>
      </c>
      <c r="F670" s="6" t="s">
        <v>14</v>
      </c>
      <c r="G670" s="6" t="s">
        <v>34</v>
      </c>
      <c r="H670" s="6">
        <v>1400</v>
      </c>
      <c r="I670" s="6">
        <v>800</v>
      </c>
      <c r="J670" s="6">
        <v>1</v>
      </c>
      <c r="K670" s="10">
        <f t="shared" si="21"/>
        <v>0.2064</v>
      </c>
      <c r="L670" s="6" t="s">
        <v>650</v>
      </c>
      <c r="M670" s="6" t="s">
        <v>587</v>
      </c>
      <c r="N670" s="6" t="s">
        <v>54</v>
      </c>
      <c r="O670" s="6" t="s">
        <v>54</v>
      </c>
      <c r="P670" s="6" t="s">
        <v>54</v>
      </c>
    </row>
    <row r="671" spans="1:16" ht="30" customHeight="1" x14ac:dyDescent="0.3">
      <c r="A671" s="7">
        <v>45730.712822222224</v>
      </c>
      <c r="B671" s="6" t="s">
        <v>4</v>
      </c>
      <c r="C671" s="6" t="str">
        <f>VLOOKUP(B669,'Veri doğrulama'!D6:E13,2,0)</f>
        <v>MEHMET YAZICI</v>
      </c>
      <c r="D671" s="6" t="s">
        <v>618</v>
      </c>
      <c r="E671" s="6" t="s">
        <v>595</v>
      </c>
      <c r="F671" s="6" t="s">
        <v>13</v>
      </c>
      <c r="G671" s="6" t="s">
        <v>34</v>
      </c>
      <c r="H671" s="6">
        <v>1400</v>
      </c>
      <c r="I671" s="6">
        <v>500</v>
      </c>
      <c r="J671" s="6">
        <v>1</v>
      </c>
      <c r="K671" s="10">
        <f t="shared" si="21"/>
        <v>1.1200000000000001</v>
      </c>
      <c r="L671" s="6" t="s">
        <v>39</v>
      </c>
      <c r="M671" s="6" t="s">
        <v>587</v>
      </c>
      <c r="N671" s="6" t="s">
        <v>54</v>
      </c>
      <c r="O671" s="6" t="s">
        <v>54</v>
      </c>
      <c r="P671" s="6" t="s">
        <v>54</v>
      </c>
    </row>
    <row r="672" spans="1:16" ht="30" customHeight="1" x14ac:dyDescent="0.3">
      <c r="A672" s="7">
        <v>45730.403909259257</v>
      </c>
      <c r="B672" s="6" t="s">
        <v>4</v>
      </c>
      <c r="C672" s="6" t="str">
        <f>VLOOKUP(B670,'Veri doğrulama'!D6:E13,2,0)</f>
        <v>MEHMET YAZICI</v>
      </c>
      <c r="D672" s="6"/>
      <c r="E672" s="6" t="s">
        <v>604</v>
      </c>
      <c r="F672" s="6" t="s">
        <v>16</v>
      </c>
      <c r="G672" s="6" t="s">
        <v>35</v>
      </c>
      <c r="H672" s="6">
        <v>1799</v>
      </c>
      <c r="I672" s="6">
        <v>375</v>
      </c>
      <c r="J672" s="6">
        <v>1</v>
      </c>
      <c r="K672" s="10">
        <f t="shared" si="21"/>
        <v>0.7</v>
      </c>
      <c r="L672" s="6" t="s">
        <v>75</v>
      </c>
      <c r="M672" s="6"/>
      <c r="N672" s="6" t="s">
        <v>54</v>
      </c>
      <c r="O672" s="6" t="s">
        <v>54</v>
      </c>
      <c r="P672" s="6" t="s">
        <v>54</v>
      </c>
    </row>
    <row r="673" spans="1:16" ht="30" customHeight="1" x14ac:dyDescent="0.3">
      <c r="A673" s="7">
        <v>45730.397828472225</v>
      </c>
      <c r="B673" s="6" t="s">
        <v>4</v>
      </c>
      <c r="C673" s="6" t="str">
        <f>VLOOKUP(B671,'Veri doğrulama'!D6:E13,2,0)</f>
        <v>MEHMET YAZICI</v>
      </c>
      <c r="D673" s="6"/>
      <c r="E673" s="6" t="s">
        <v>599</v>
      </c>
      <c r="F673" s="6" t="s">
        <v>13</v>
      </c>
      <c r="G673" s="6" t="s">
        <v>34</v>
      </c>
      <c r="H673" s="6">
        <v>1400</v>
      </c>
      <c r="I673" s="6">
        <v>500</v>
      </c>
      <c r="J673" s="6">
        <v>1</v>
      </c>
      <c r="K673" s="10"/>
      <c r="L673" s="6" t="s">
        <v>42</v>
      </c>
      <c r="M673" s="6" t="s">
        <v>157</v>
      </c>
      <c r="N673" s="6" t="s">
        <v>54</v>
      </c>
      <c r="O673" s="6" t="s">
        <v>54</v>
      </c>
      <c r="P673" s="6" t="s">
        <v>54</v>
      </c>
    </row>
    <row r="674" spans="1:16" ht="30" customHeight="1" x14ac:dyDescent="0.3">
      <c r="A674" s="7">
        <v>45730.394198611109</v>
      </c>
      <c r="B674" s="6" t="s">
        <v>4</v>
      </c>
      <c r="C674" s="6" t="str">
        <f>VLOOKUP(B672,'Veri doğrulama'!D6:E13,2,0)</f>
        <v>MEHMET YAZICI</v>
      </c>
      <c r="D674" s="6"/>
      <c r="E674" s="6" t="s">
        <v>611</v>
      </c>
      <c r="F674" s="6" t="s">
        <v>27</v>
      </c>
      <c r="G674" s="6" t="s">
        <v>35</v>
      </c>
      <c r="H674" s="6">
        <v>819</v>
      </c>
      <c r="I674" s="6">
        <v>402</v>
      </c>
      <c r="J674" s="6">
        <v>1</v>
      </c>
      <c r="K674" s="10">
        <f t="shared" ref="K674:K679" si="22">H673*I673/1000000*J675</f>
        <v>0.7</v>
      </c>
      <c r="L674" s="6" t="s">
        <v>75</v>
      </c>
      <c r="M674" s="6" t="s">
        <v>613</v>
      </c>
      <c r="N674" s="6" t="s">
        <v>54</v>
      </c>
      <c r="O674" s="6" t="s">
        <v>54</v>
      </c>
      <c r="P674" s="6" t="s">
        <v>54</v>
      </c>
    </row>
    <row r="675" spans="1:16" ht="30" customHeight="1" x14ac:dyDescent="0.3">
      <c r="A675" s="7">
        <v>45730.356073148148</v>
      </c>
      <c r="B675" s="6" t="s">
        <v>7</v>
      </c>
      <c r="C675" s="6" t="str">
        <f>VLOOKUP(B673,'Veri doğrulama'!D6:E13,2,0)</f>
        <v>MEHMET YAZICI</v>
      </c>
      <c r="D675" s="6">
        <v>22072</v>
      </c>
      <c r="E675" s="6" t="s">
        <v>594</v>
      </c>
      <c r="F675" s="6" t="s">
        <v>27</v>
      </c>
      <c r="G675" s="6" t="s">
        <v>34</v>
      </c>
      <c r="H675" s="6">
        <v>762</v>
      </c>
      <c r="I675" s="6">
        <v>340</v>
      </c>
      <c r="J675" s="6">
        <v>1</v>
      </c>
      <c r="K675" s="10">
        <f t="shared" si="22"/>
        <v>0.32923799999999998</v>
      </c>
      <c r="L675" s="6" t="s">
        <v>596</v>
      </c>
      <c r="M675" s="6"/>
      <c r="N675" s="6" t="s">
        <v>54</v>
      </c>
      <c r="O675" s="6" t="s">
        <v>54</v>
      </c>
      <c r="P675" s="6" t="s">
        <v>54</v>
      </c>
    </row>
    <row r="676" spans="1:16" ht="30" customHeight="1" x14ac:dyDescent="0.3">
      <c r="A676" s="7">
        <v>45729.641740856481</v>
      </c>
      <c r="B676" s="6" t="s">
        <v>7</v>
      </c>
      <c r="C676" s="6" t="str">
        <f>VLOOKUP(B674,'Veri doğrulama'!D6:E13,2,0)</f>
        <v>MEHMET YAZICI</v>
      </c>
      <c r="D676" s="6" t="s">
        <v>614</v>
      </c>
      <c r="E676" s="6" t="s">
        <v>593</v>
      </c>
      <c r="F676" s="6" t="s">
        <v>27</v>
      </c>
      <c r="G676" s="6" t="s">
        <v>34</v>
      </c>
      <c r="H676" s="6">
        <v>800</v>
      </c>
      <c r="I676" s="6">
        <v>360</v>
      </c>
      <c r="J676" s="6">
        <v>1</v>
      </c>
      <c r="K676" s="10">
        <f t="shared" si="22"/>
        <v>0.25907999999999998</v>
      </c>
      <c r="L676" s="6" t="s">
        <v>42</v>
      </c>
      <c r="M676" s="6"/>
      <c r="N676" s="6" t="s">
        <v>54</v>
      </c>
      <c r="O676" s="6" t="s">
        <v>54</v>
      </c>
      <c r="P676" s="6" t="s">
        <v>54</v>
      </c>
    </row>
    <row r="677" spans="1:16" ht="30" customHeight="1" x14ac:dyDescent="0.3">
      <c r="A677" s="7">
        <v>45729.640967129628</v>
      </c>
      <c r="B677" s="6" t="s">
        <v>4</v>
      </c>
      <c r="C677" s="6" t="str">
        <f>VLOOKUP(B675,'Veri doğrulama'!D6:E13,2,0)</f>
        <v>SIDDIK KAPLAN</v>
      </c>
      <c r="D677" s="6"/>
      <c r="E677" s="6" t="s">
        <v>597</v>
      </c>
      <c r="F677" s="6" t="s">
        <v>16</v>
      </c>
      <c r="G677" s="6" t="s">
        <v>34</v>
      </c>
      <c r="H677" s="6">
        <v>691</v>
      </c>
      <c r="I677" s="6">
        <v>355</v>
      </c>
      <c r="J677" s="6">
        <v>1</v>
      </c>
      <c r="K677" s="10">
        <f t="shared" si="22"/>
        <v>0.28799999999999998</v>
      </c>
      <c r="L677" s="6" t="s">
        <v>43</v>
      </c>
      <c r="M677" s="6" t="s">
        <v>159</v>
      </c>
      <c r="N677" s="6" t="s">
        <v>54</v>
      </c>
      <c r="O677" s="6" t="s">
        <v>54</v>
      </c>
      <c r="P677" s="6" t="s">
        <v>54</v>
      </c>
    </row>
    <row r="678" spans="1:16" ht="30" customHeight="1" x14ac:dyDescent="0.3">
      <c r="A678" s="7">
        <v>45729.640123379628</v>
      </c>
      <c r="B678" s="6" t="s">
        <v>5</v>
      </c>
      <c r="C678" s="6" t="str">
        <f>VLOOKUP(B676,'Veri doğrulama'!D6:E13,2,0)</f>
        <v>SIDDIK KAPLAN</v>
      </c>
      <c r="D678" s="6"/>
      <c r="E678" s="6" t="s">
        <v>788</v>
      </c>
      <c r="F678" s="6" t="s">
        <v>23</v>
      </c>
      <c r="G678" s="6" t="s">
        <v>34</v>
      </c>
      <c r="H678" s="6">
        <v>1962</v>
      </c>
      <c r="I678" s="6">
        <v>324</v>
      </c>
      <c r="J678" s="6">
        <v>1</v>
      </c>
      <c r="K678" s="10">
        <f t="shared" si="22"/>
        <v>0.245305</v>
      </c>
      <c r="L678" s="6" t="s">
        <v>43</v>
      </c>
      <c r="M678" s="6" t="s">
        <v>632</v>
      </c>
      <c r="N678" s="6" t="s">
        <v>54</v>
      </c>
      <c r="O678" s="6" t="s">
        <v>54</v>
      </c>
      <c r="P678" s="6" t="s">
        <v>54</v>
      </c>
    </row>
    <row r="679" spans="1:16" ht="30" customHeight="1" x14ac:dyDescent="0.3">
      <c r="A679" s="7">
        <v>45729.616312268518</v>
      </c>
      <c r="B679" s="6" t="s">
        <v>4</v>
      </c>
      <c r="C679" s="6" t="str">
        <f>VLOOKUP(B677,'Veri doğrulama'!D6:E13,2,0)</f>
        <v>MEHMET YAZICI</v>
      </c>
      <c r="D679" s="6"/>
      <c r="E679" s="6" t="s">
        <v>591</v>
      </c>
      <c r="F679" s="6" t="s">
        <v>16</v>
      </c>
      <c r="G679" s="6" t="s">
        <v>34</v>
      </c>
      <c r="H679" s="6">
        <v>762</v>
      </c>
      <c r="I679" s="6">
        <v>375</v>
      </c>
      <c r="J679" s="6">
        <v>1</v>
      </c>
      <c r="K679" s="10">
        <f t="shared" si="22"/>
        <v>0.63568800000000003</v>
      </c>
      <c r="L679" s="6" t="s">
        <v>596</v>
      </c>
      <c r="M679" s="6"/>
      <c r="N679" s="6" t="s">
        <v>54</v>
      </c>
      <c r="O679" s="6" t="s">
        <v>54</v>
      </c>
      <c r="P679" s="6" t="s">
        <v>54</v>
      </c>
    </row>
    <row r="680" spans="1:16" ht="30" customHeight="1" x14ac:dyDescent="0.3">
      <c r="A680" s="7">
        <v>45729.580572685183</v>
      </c>
      <c r="B680" s="6" t="s">
        <v>4</v>
      </c>
      <c r="C680" s="6" t="str">
        <f>VLOOKUP(B678,'Veri doğrulama'!D6:E13,2,0)</f>
        <v>MEHMET ÖZEN</v>
      </c>
      <c r="D680" s="6" t="s">
        <v>787</v>
      </c>
      <c r="E680" s="6" t="s">
        <v>595</v>
      </c>
      <c r="F680" s="6" t="s">
        <v>13</v>
      </c>
      <c r="G680" s="6" t="s">
        <v>34</v>
      </c>
      <c r="H680" s="6">
        <v>1400</v>
      </c>
      <c r="I680" s="6">
        <v>500</v>
      </c>
      <c r="J680" s="6">
        <v>1</v>
      </c>
      <c r="K680" s="10">
        <f>H678*I678/1000000*J680</f>
        <v>0.63568800000000003</v>
      </c>
      <c r="L680" s="6" t="s">
        <v>75</v>
      </c>
      <c r="M680" s="6" t="s">
        <v>385</v>
      </c>
      <c r="N680" s="6" t="s">
        <v>54</v>
      </c>
      <c r="O680" s="6" t="s">
        <v>54</v>
      </c>
      <c r="P680" s="6" t="s">
        <v>54</v>
      </c>
    </row>
    <row r="681" spans="1:16" ht="30" customHeight="1" x14ac:dyDescent="0.3">
      <c r="A681" s="7">
        <v>45729.557395833333</v>
      </c>
      <c r="B681" s="6" t="s">
        <v>4</v>
      </c>
      <c r="C681" s="6" t="str">
        <f>VLOOKUP(B679,'Veri doğrulama'!D6:E13,2,0)</f>
        <v>MEHMET YAZICI</v>
      </c>
      <c r="D681" s="6"/>
      <c r="E681" s="6" t="s">
        <v>588</v>
      </c>
      <c r="F681" s="6" t="s">
        <v>16</v>
      </c>
      <c r="G681" s="6" t="s">
        <v>35</v>
      </c>
      <c r="H681" s="6">
        <v>1600</v>
      </c>
      <c r="I681" s="6">
        <v>360</v>
      </c>
      <c r="J681" s="6">
        <v>2</v>
      </c>
      <c r="K681" s="10">
        <f t="shared" ref="K681:K712" si="23">H680*I680/1000000*J682</f>
        <v>0.7</v>
      </c>
      <c r="L681" s="6" t="s">
        <v>156</v>
      </c>
      <c r="M681" s="6"/>
      <c r="N681" s="6" t="s">
        <v>54</v>
      </c>
      <c r="O681" s="6" t="s">
        <v>54</v>
      </c>
      <c r="P681" s="6" t="s">
        <v>54</v>
      </c>
    </row>
    <row r="682" spans="1:16" ht="30" customHeight="1" x14ac:dyDescent="0.3">
      <c r="A682" s="7">
        <v>45729.47559548611</v>
      </c>
      <c r="B682" s="6" t="s">
        <v>4</v>
      </c>
      <c r="C682" s="6" t="str">
        <f>VLOOKUP(B680,'Veri doğrulama'!D6:E13,2,0)</f>
        <v>MEHMET YAZICI</v>
      </c>
      <c r="D682" s="6" t="s">
        <v>598</v>
      </c>
      <c r="E682" s="6" t="s">
        <v>589</v>
      </c>
      <c r="F682" s="6" t="s">
        <v>23</v>
      </c>
      <c r="G682" s="6" t="s">
        <v>34</v>
      </c>
      <c r="H682" s="6">
        <v>1600</v>
      </c>
      <c r="I682" s="6">
        <v>385</v>
      </c>
      <c r="J682" s="6">
        <v>1</v>
      </c>
      <c r="K682" s="10">
        <f t="shared" si="23"/>
        <v>0.57599999999999996</v>
      </c>
      <c r="L682" s="6" t="s">
        <v>42</v>
      </c>
      <c r="M682" s="6" t="s">
        <v>590</v>
      </c>
      <c r="N682" s="6" t="s">
        <v>54</v>
      </c>
      <c r="O682" s="6" t="s">
        <v>54</v>
      </c>
      <c r="P682" s="6" t="s">
        <v>54</v>
      </c>
    </row>
    <row r="683" spans="1:16" ht="30" customHeight="1" x14ac:dyDescent="0.3">
      <c r="A683" s="7">
        <v>45729.388332754628</v>
      </c>
      <c r="B683" s="6" t="s">
        <v>4</v>
      </c>
      <c r="C683" s="6" t="str">
        <f>VLOOKUP(B681,'Veri doğrulama'!D6:E13,2,0)</f>
        <v>MEHMET YAZICI</v>
      </c>
      <c r="D683" s="6"/>
      <c r="E683" s="6" t="s">
        <v>140</v>
      </c>
      <c r="F683" s="6" t="s">
        <v>23</v>
      </c>
      <c r="G683" s="6" t="s">
        <v>34</v>
      </c>
      <c r="H683" s="6">
        <v>1600</v>
      </c>
      <c r="I683" s="6">
        <v>385</v>
      </c>
      <c r="J683" s="6">
        <v>1</v>
      </c>
      <c r="K683" s="10">
        <f t="shared" si="23"/>
        <v>0.61599999999999999</v>
      </c>
      <c r="L683" s="6" t="s">
        <v>75</v>
      </c>
      <c r="M683" s="6" t="s">
        <v>385</v>
      </c>
      <c r="N683" s="6" t="s">
        <v>54</v>
      </c>
      <c r="O683" s="6" t="s">
        <v>54</v>
      </c>
      <c r="P683" s="6" t="s">
        <v>54</v>
      </c>
    </row>
    <row r="684" spans="1:16" ht="30" customHeight="1" x14ac:dyDescent="0.3">
      <c r="A684" s="7">
        <v>45729.341401388891</v>
      </c>
      <c r="B684" s="6" t="s">
        <v>4</v>
      </c>
      <c r="C684" s="6" t="str">
        <f>VLOOKUP(B682,'Veri doğrulama'!D6:E13,2,0)</f>
        <v>MEHMET YAZICI</v>
      </c>
      <c r="D684" s="6"/>
      <c r="E684" s="6" t="s">
        <v>117</v>
      </c>
      <c r="F684" s="6" t="s">
        <v>24</v>
      </c>
      <c r="G684" s="6" t="s">
        <v>34</v>
      </c>
      <c r="H684" s="6">
        <v>1962</v>
      </c>
      <c r="I684" s="6">
        <v>324</v>
      </c>
      <c r="J684" s="6">
        <v>1</v>
      </c>
      <c r="K684" s="10">
        <f t="shared" si="23"/>
        <v>0.61599999999999999</v>
      </c>
      <c r="L684" s="6" t="s">
        <v>43</v>
      </c>
      <c r="M684" s="6" t="s">
        <v>587</v>
      </c>
      <c r="N684" s="6" t="s">
        <v>54</v>
      </c>
      <c r="O684" s="6" t="s">
        <v>54</v>
      </c>
      <c r="P684" s="6" t="s">
        <v>54</v>
      </c>
    </row>
    <row r="685" spans="1:16" ht="30" customHeight="1" x14ac:dyDescent="0.3">
      <c r="A685" s="7">
        <v>45729.34055439815</v>
      </c>
      <c r="B685" s="6" t="s">
        <v>7</v>
      </c>
      <c r="C685" s="6" t="str">
        <f>VLOOKUP(B683,'Veri doğrulama'!D6:E13,2,0)</f>
        <v>MEHMET YAZICI</v>
      </c>
      <c r="D685" s="6" t="s">
        <v>586</v>
      </c>
      <c r="E685" s="6" t="s">
        <v>592</v>
      </c>
      <c r="F685" s="6" t="s">
        <v>27</v>
      </c>
      <c r="G685" s="6" t="s">
        <v>34</v>
      </c>
      <c r="H685" s="6">
        <v>800</v>
      </c>
      <c r="I685" s="6">
        <v>385</v>
      </c>
      <c r="J685" s="6">
        <v>1</v>
      </c>
      <c r="K685" s="10">
        <f t="shared" si="23"/>
        <v>0.63568800000000003</v>
      </c>
      <c r="L685" s="6" t="s">
        <v>43</v>
      </c>
      <c r="M685" s="6"/>
      <c r="N685" s="6" t="s">
        <v>54</v>
      </c>
      <c r="O685" s="6" t="s">
        <v>54</v>
      </c>
      <c r="P685" s="6" t="s">
        <v>54</v>
      </c>
    </row>
    <row r="686" spans="1:16" ht="30" customHeight="1" x14ac:dyDescent="0.3">
      <c r="A686" s="7">
        <v>45728.644611689815</v>
      </c>
      <c r="B686" s="6" t="s">
        <v>4</v>
      </c>
      <c r="C686" s="6" t="str">
        <f>VLOOKUP(B684,'Veri doğrulama'!D6:E13,2,0)</f>
        <v>MEHMET YAZICI</v>
      </c>
      <c r="D686" s="6"/>
      <c r="E686" s="6" t="s">
        <v>580</v>
      </c>
      <c r="F686" s="6" t="s">
        <v>27</v>
      </c>
      <c r="G686" s="6" t="s">
        <v>34</v>
      </c>
      <c r="H686" s="6">
        <v>1800</v>
      </c>
      <c r="I686" s="6">
        <v>850</v>
      </c>
      <c r="J686" s="6">
        <v>1</v>
      </c>
      <c r="K686" s="10">
        <f t="shared" si="23"/>
        <v>0.308</v>
      </c>
      <c r="L686" s="6" t="s">
        <v>102</v>
      </c>
      <c r="M686" s="6" t="s">
        <v>399</v>
      </c>
      <c r="N686" s="6" t="s">
        <v>54</v>
      </c>
      <c r="O686" s="6" t="s">
        <v>54</v>
      </c>
      <c r="P686" s="6" t="s">
        <v>54</v>
      </c>
    </row>
    <row r="687" spans="1:16" ht="30" customHeight="1" x14ac:dyDescent="0.3">
      <c r="A687" s="7">
        <v>45728.623051388888</v>
      </c>
      <c r="B687" s="6" t="s">
        <v>4</v>
      </c>
      <c r="C687" s="6" t="str">
        <f>VLOOKUP(B685,'Veri doğrulama'!D6:E13,2,0)</f>
        <v>SIDDIK KAPLAN</v>
      </c>
      <c r="D687" s="6"/>
      <c r="E687" s="6" t="s">
        <v>606</v>
      </c>
      <c r="F687" s="6" t="s">
        <v>27</v>
      </c>
      <c r="G687" s="6" t="s">
        <v>34</v>
      </c>
      <c r="H687" s="6">
        <v>820</v>
      </c>
      <c r="I687" s="6">
        <v>420</v>
      </c>
      <c r="J687" s="6">
        <v>1</v>
      </c>
      <c r="K687" s="10">
        <f t="shared" si="23"/>
        <v>3.06</v>
      </c>
      <c r="L687" s="6" t="s">
        <v>43</v>
      </c>
      <c r="M687" s="6"/>
      <c r="N687" s="6" t="s">
        <v>54</v>
      </c>
      <c r="O687" s="6" t="s">
        <v>54</v>
      </c>
      <c r="P687" s="6" t="s">
        <v>54</v>
      </c>
    </row>
    <row r="688" spans="1:16" ht="30" customHeight="1" x14ac:dyDescent="0.3">
      <c r="A688" s="7">
        <v>45728</v>
      </c>
      <c r="B688" s="6" t="s">
        <v>7</v>
      </c>
      <c r="C688" s="6" t="str">
        <f>VLOOKUP(B686,'Veri doğrulama'!D6:E13,2,0)</f>
        <v>MEHMET YAZICI</v>
      </c>
      <c r="D688" s="6" t="s">
        <v>583</v>
      </c>
      <c r="E688" s="6" t="s">
        <v>605</v>
      </c>
      <c r="F688" s="6" t="s">
        <v>27</v>
      </c>
      <c r="G688" s="6" t="s">
        <v>34</v>
      </c>
      <c r="H688" s="6">
        <v>714</v>
      </c>
      <c r="I688" s="6">
        <v>400</v>
      </c>
      <c r="J688" s="6">
        <v>2</v>
      </c>
      <c r="K688" s="10">
        <f t="shared" si="23"/>
        <v>0.34439999999999998</v>
      </c>
      <c r="L688" s="6" t="s">
        <v>39</v>
      </c>
      <c r="M688" s="6"/>
      <c r="N688" s="6" t="s">
        <v>54</v>
      </c>
      <c r="O688" s="6" t="s">
        <v>54</v>
      </c>
      <c r="P688" s="6" t="s">
        <v>54</v>
      </c>
    </row>
    <row r="689" spans="1:16" ht="30" customHeight="1" x14ac:dyDescent="0.3">
      <c r="A689" s="7">
        <v>45728</v>
      </c>
      <c r="B689" s="6" t="s">
        <v>5</v>
      </c>
      <c r="C689" s="6" t="str">
        <f>VLOOKUP(B687,'Veri doğrulama'!D6:E13,2,0)</f>
        <v>MEHMET YAZICI</v>
      </c>
      <c r="D689" s="6" t="s">
        <v>609</v>
      </c>
      <c r="E689" s="6" t="s">
        <v>647</v>
      </c>
      <c r="F689" s="6" t="s">
        <v>15</v>
      </c>
      <c r="G689" s="6" t="s">
        <v>34</v>
      </c>
      <c r="H689" s="6">
        <v>1400</v>
      </c>
      <c r="I689" s="6">
        <v>800</v>
      </c>
      <c r="J689" s="6">
        <v>1</v>
      </c>
      <c r="K689" s="10">
        <f t="shared" si="23"/>
        <v>0.28560000000000002</v>
      </c>
      <c r="L689" s="6" t="s">
        <v>37</v>
      </c>
      <c r="M689" s="6"/>
      <c r="N689" s="6" t="s">
        <v>54</v>
      </c>
      <c r="O689" s="6" t="s">
        <v>54</v>
      </c>
      <c r="P689" s="6" t="s">
        <v>54</v>
      </c>
    </row>
    <row r="690" spans="1:16" ht="30" customHeight="1" x14ac:dyDescent="0.3">
      <c r="A690" s="7">
        <v>45727.689085185186</v>
      </c>
      <c r="B690" s="6" t="s">
        <v>4</v>
      </c>
      <c r="C690" s="6" t="str">
        <f>VLOOKUP(B688,'Veri doğrulama'!D6:E13,2,0)</f>
        <v>SIDDIK KAPLAN</v>
      </c>
      <c r="D690" s="6" t="s">
        <v>607</v>
      </c>
      <c r="E690" s="6" t="s">
        <v>580</v>
      </c>
      <c r="F690" s="6" t="s">
        <v>27</v>
      </c>
      <c r="G690" s="6" t="s">
        <v>34</v>
      </c>
      <c r="H690" s="6">
        <v>1800</v>
      </c>
      <c r="I690" s="6">
        <v>850</v>
      </c>
      <c r="J690" s="6">
        <v>1</v>
      </c>
      <c r="K690" s="10">
        <f t="shared" si="23"/>
        <v>1.1200000000000001</v>
      </c>
      <c r="L690" s="6" t="s">
        <v>43</v>
      </c>
      <c r="M690" s="6" t="s">
        <v>385</v>
      </c>
      <c r="N690" s="6" t="s">
        <v>54</v>
      </c>
      <c r="O690" s="6" t="s">
        <v>54</v>
      </c>
      <c r="P690" s="6" t="s">
        <v>54</v>
      </c>
    </row>
    <row r="691" spans="1:16" ht="30" customHeight="1" x14ac:dyDescent="0.3">
      <c r="A691" s="7">
        <v>45727.651842939813</v>
      </c>
      <c r="B691" s="6" t="s">
        <v>5</v>
      </c>
      <c r="C691" s="6" t="str">
        <f>VLOOKUP(B689,'Veri doğrulama'!D6:E13,2,0)</f>
        <v>MEHMET ÖZEN</v>
      </c>
      <c r="D691" s="13"/>
      <c r="E691" s="6" t="s">
        <v>600</v>
      </c>
      <c r="F691" s="6" t="s">
        <v>14</v>
      </c>
      <c r="G691" s="6" t="s">
        <v>34</v>
      </c>
      <c r="H691" s="6">
        <v>1600</v>
      </c>
      <c r="I691" s="6">
        <v>800</v>
      </c>
      <c r="J691" s="6">
        <v>1</v>
      </c>
      <c r="K691" s="10">
        <f t="shared" si="23"/>
        <v>1.53</v>
      </c>
      <c r="L691" s="6" t="s">
        <v>103</v>
      </c>
      <c r="M691" s="6"/>
      <c r="N691" s="6" t="s">
        <v>54</v>
      </c>
      <c r="O691" s="6" t="s">
        <v>54</v>
      </c>
      <c r="P691" s="6" t="s">
        <v>54</v>
      </c>
    </row>
    <row r="692" spans="1:16" ht="30" customHeight="1" x14ac:dyDescent="0.3">
      <c r="A692" s="7">
        <v>45727.651048495369</v>
      </c>
      <c r="B692" s="6" t="s">
        <v>4</v>
      </c>
      <c r="C692" s="6" t="str">
        <f>VLOOKUP(B690,'Veri doğrulama'!D6:E13,2,0)</f>
        <v>MEHMET YAZICI</v>
      </c>
      <c r="D692" s="6" t="s">
        <v>581</v>
      </c>
      <c r="E692" s="6" t="s">
        <v>149</v>
      </c>
      <c r="F692" s="6" t="s">
        <v>27</v>
      </c>
      <c r="G692" s="6" t="s">
        <v>34</v>
      </c>
      <c r="H692" s="6">
        <v>557</v>
      </c>
      <c r="I692" s="6">
        <v>247</v>
      </c>
      <c r="J692" s="6">
        <v>1</v>
      </c>
      <c r="K692" s="10">
        <f t="shared" si="23"/>
        <v>1.28</v>
      </c>
      <c r="L692" s="6" t="s">
        <v>39</v>
      </c>
      <c r="M692" s="6" t="s">
        <v>577</v>
      </c>
      <c r="N692" s="6" t="s">
        <v>54</v>
      </c>
      <c r="O692" s="6" t="s">
        <v>54</v>
      </c>
      <c r="P692" s="6" t="s">
        <v>54</v>
      </c>
    </row>
    <row r="693" spans="1:16" ht="30" customHeight="1" x14ac:dyDescent="0.3">
      <c r="A693" s="7">
        <v>45727.649397453701</v>
      </c>
      <c r="B693" s="6" t="s">
        <v>4</v>
      </c>
      <c r="C693" s="6" t="str">
        <f>VLOOKUP(B691,'Veri doğrulama'!D6:E13,2,0)</f>
        <v>MEHMET ÖZEN</v>
      </c>
      <c r="D693" s="6">
        <v>22085</v>
      </c>
      <c r="E693" s="6" t="s">
        <v>136</v>
      </c>
      <c r="F693" s="6" t="s">
        <v>16</v>
      </c>
      <c r="G693" s="6" t="s">
        <v>34</v>
      </c>
      <c r="H693" s="6">
        <v>1600</v>
      </c>
      <c r="I693" s="6">
        <v>360</v>
      </c>
      <c r="J693" s="6">
        <v>1</v>
      </c>
      <c r="K693" s="10">
        <f t="shared" si="23"/>
        <v>0.13757900000000001</v>
      </c>
      <c r="L693" s="6" t="s">
        <v>103</v>
      </c>
      <c r="M693" s="6" t="s">
        <v>585</v>
      </c>
      <c r="N693" s="6" t="s">
        <v>54</v>
      </c>
      <c r="O693" s="6" t="s">
        <v>54</v>
      </c>
      <c r="P693" s="6" t="s">
        <v>54</v>
      </c>
    </row>
    <row r="694" spans="1:16" ht="30" customHeight="1" x14ac:dyDescent="0.3">
      <c r="A694" s="7">
        <v>45727.648874768522</v>
      </c>
      <c r="B694" s="6" t="s">
        <v>4</v>
      </c>
      <c r="C694" s="6" t="str">
        <f>VLOOKUP(B692,'Veri doğrulama'!D6:E13,2,0)</f>
        <v>MEHMET YAZICI</v>
      </c>
      <c r="D694" s="6"/>
      <c r="E694" s="6" t="s">
        <v>592</v>
      </c>
      <c r="F694" s="6" t="s">
        <v>17</v>
      </c>
      <c r="G694" s="6" t="s">
        <v>34</v>
      </c>
      <c r="H694" s="6">
        <v>800</v>
      </c>
      <c r="I694" s="6">
        <v>385</v>
      </c>
      <c r="J694" s="6">
        <v>1</v>
      </c>
      <c r="K694" s="10">
        <f t="shared" si="23"/>
        <v>0.57599999999999996</v>
      </c>
      <c r="L694" s="6" t="s">
        <v>156</v>
      </c>
      <c r="M694" s="6" t="s">
        <v>601</v>
      </c>
      <c r="N694" s="6" t="s">
        <v>54</v>
      </c>
      <c r="O694" s="6" t="s">
        <v>54</v>
      </c>
      <c r="P694" s="6" t="s">
        <v>54</v>
      </c>
    </row>
    <row r="695" spans="1:16" ht="30" customHeight="1" x14ac:dyDescent="0.3">
      <c r="A695" s="7">
        <v>45727.641428125004</v>
      </c>
      <c r="B695" s="6" t="s">
        <v>4</v>
      </c>
      <c r="C695" s="6" t="str">
        <f>VLOOKUP(B693,'Veri doğrulama'!D6:E13,2,0)</f>
        <v>MEHMET YAZICI</v>
      </c>
      <c r="D695" s="6"/>
      <c r="E695" s="6" t="s">
        <v>149</v>
      </c>
      <c r="F695" s="6" t="s">
        <v>13</v>
      </c>
      <c r="G695" s="6" t="s">
        <v>34</v>
      </c>
      <c r="H695" s="6">
        <v>557</v>
      </c>
      <c r="I695" s="6">
        <v>247</v>
      </c>
      <c r="J695" s="6">
        <v>1</v>
      </c>
      <c r="K695" s="10">
        <f t="shared" si="23"/>
        <v>0.308</v>
      </c>
      <c r="L695" s="6" t="s">
        <v>75</v>
      </c>
      <c r="M695" s="6" t="s">
        <v>587</v>
      </c>
      <c r="N695" s="6" t="s">
        <v>54</v>
      </c>
      <c r="O695" s="6" t="s">
        <v>54</v>
      </c>
      <c r="P695" s="6" t="s">
        <v>54</v>
      </c>
    </row>
    <row r="696" spans="1:16" ht="30" customHeight="1" x14ac:dyDescent="0.3">
      <c r="A696" s="7">
        <v>45727.640536226849</v>
      </c>
      <c r="B696" s="6" t="s">
        <v>4</v>
      </c>
      <c r="C696" s="6" t="str">
        <f>VLOOKUP(B694,'Veri doğrulama'!D6:E13,2,0)</f>
        <v>MEHMET YAZICI</v>
      </c>
      <c r="D696" s="6" t="s">
        <v>603</v>
      </c>
      <c r="E696" s="6" t="s">
        <v>575</v>
      </c>
      <c r="F696" s="6" t="s">
        <v>14</v>
      </c>
      <c r="G696" s="6" t="s">
        <v>34</v>
      </c>
      <c r="H696" s="6">
        <v>1600</v>
      </c>
      <c r="I696" s="6">
        <v>800</v>
      </c>
      <c r="J696" s="6">
        <v>1</v>
      </c>
      <c r="K696" s="10">
        <f t="shared" si="23"/>
        <v>0.27515800000000001</v>
      </c>
      <c r="L696" s="6" t="s">
        <v>103</v>
      </c>
      <c r="M696" s="6" t="s">
        <v>576</v>
      </c>
      <c r="N696" s="6" t="s">
        <v>54</v>
      </c>
      <c r="O696" s="6" t="s">
        <v>54</v>
      </c>
      <c r="P696" s="6" t="s">
        <v>54</v>
      </c>
    </row>
    <row r="697" spans="1:16" ht="30" customHeight="1" x14ac:dyDescent="0.3">
      <c r="A697" s="7">
        <v>45727.437760879628</v>
      </c>
      <c r="B697" s="6" t="s">
        <v>4</v>
      </c>
      <c r="C697" s="6" t="str">
        <f>VLOOKUP(B695,'Veri doğrulama'!D6:E13,2,0)</f>
        <v>MEHMET YAZICI</v>
      </c>
      <c r="D697" s="6"/>
      <c r="E697" s="6" t="s">
        <v>570</v>
      </c>
      <c r="F697" s="6" t="s">
        <v>14</v>
      </c>
      <c r="G697" s="6" t="s">
        <v>34</v>
      </c>
      <c r="H697" s="6">
        <v>850</v>
      </c>
      <c r="I697" s="6">
        <v>710</v>
      </c>
      <c r="J697" s="6">
        <v>2</v>
      </c>
      <c r="K697" s="10">
        <f t="shared" si="23"/>
        <v>1.28</v>
      </c>
      <c r="L697" s="6" t="s">
        <v>75</v>
      </c>
      <c r="M697" s="6" t="s">
        <v>571</v>
      </c>
      <c r="N697" s="6" t="s">
        <v>54</v>
      </c>
      <c r="O697" s="6" t="s">
        <v>54</v>
      </c>
      <c r="P697" s="6" t="s">
        <v>54</v>
      </c>
    </row>
    <row r="698" spans="1:16" ht="30" customHeight="1" x14ac:dyDescent="0.3">
      <c r="A698" s="7">
        <v>45727.436745601852</v>
      </c>
      <c r="B698" s="6" t="s">
        <v>5</v>
      </c>
      <c r="C698" s="6" t="str">
        <f>VLOOKUP(B696,'Veri doğrulama'!D6:E13,2,0)</f>
        <v>MEHMET YAZICI</v>
      </c>
      <c r="D698" s="6" t="s">
        <v>578</v>
      </c>
      <c r="E698" s="6" t="s">
        <v>573</v>
      </c>
      <c r="F698" s="6" t="s">
        <v>16</v>
      </c>
      <c r="G698" s="6" t="s">
        <v>35</v>
      </c>
      <c r="H698" s="6">
        <v>1600</v>
      </c>
      <c r="I698" s="6">
        <v>360</v>
      </c>
      <c r="J698" s="6">
        <v>1</v>
      </c>
      <c r="K698" s="10">
        <f t="shared" si="23"/>
        <v>0.60350000000000004</v>
      </c>
      <c r="L698" s="6" t="s">
        <v>102</v>
      </c>
      <c r="M698" s="6"/>
      <c r="N698" s="6" t="s">
        <v>54</v>
      </c>
      <c r="O698" s="6" t="s">
        <v>54</v>
      </c>
      <c r="P698" s="6" t="s">
        <v>54</v>
      </c>
    </row>
    <row r="699" spans="1:16" ht="30" customHeight="1" x14ac:dyDescent="0.3">
      <c r="A699" s="7">
        <v>45727.436086226851</v>
      </c>
      <c r="B699" s="6" t="s">
        <v>4</v>
      </c>
      <c r="C699" s="6" t="str">
        <f>VLOOKUP(B697,'Veri doğrulama'!D6:E13,2,0)</f>
        <v>MEHMET YAZICI</v>
      </c>
      <c r="D699" s="6"/>
      <c r="E699" s="6" t="s">
        <v>574</v>
      </c>
      <c r="F699" s="6" t="s">
        <v>27</v>
      </c>
      <c r="G699" s="6" t="s">
        <v>34</v>
      </c>
      <c r="H699" s="6">
        <v>1887</v>
      </c>
      <c r="I699" s="6">
        <v>360</v>
      </c>
      <c r="J699" s="6">
        <v>1</v>
      </c>
      <c r="K699" s="10">
        <f t="shared" si="23"/>
        <v>1.7279999999999998</v>
      </c>
      <c r="L699" s="6" t="s">
        <v>103</v>
      </c>
      <c r="M699" s="6" t="s">
        <v>399</v>
      </c>
      <c r="N699" s="6" t="s">
        <v>54</v>
      </c>
      <c r="O699" s="6" t="s">
        <v>54</v>
      </c>
      <c r="P699" s="6" t="s">
        <v>54</v>
      </c>
    </row>
    <row r="700" spans="1:16" ht="30" customHeight="1" x14ac:dyDescent="0.3">
      <c r="A700" s="7">
        <v>45727.40514988426</v>
      </c>
      <c r="B700" s="6" t="s">
        <v>4</v>
      </c>
      <c r="C700" s="6" t="str">
        <f>VLOOKUP(B698,'Veri doğrulama'!D6:E13,2,0)</f>
        <v>MEHMET ÖZEN</v>
      </c>
      <c r="D700" s="6"/>
      <c r="E700" s="6" t="s">
        <v>536</v>
      </c>
      <c r="F700" s="6" t="s">
        <v>27</v>
      </c>
      <c r="G700" s="6" t="s">
        <v>34</v>
      </c>
      <c r="H700" s="6">
        <v>1600</v>
      </c>
      <c r="I700" s="6">
        <v>450</v>
      </c>
      <c r="J700" s="6">
        <v>3</v>
      </c>
      <c r="K700" s="10">
        <f t="shared" si="23"/>
        <v>0.67932000000000003</v>
      </c>
      <c r="L700" s="6" t="s">
        <v>252</v>
      </c>
      <c r="M700" s="6" t="s">
        <v>159</v>
      </c>
      <c r="N700" s="6" t="s">
        <v>54</v>
      </c>
      <c r="O700" s="6" t="s">
        <v>54</v>
      </c>
      <c r="P700" s="6" t="s">
        <v>54</v>
      </c>
    </row>
    <row r="701" spans="1:16" ht="30" customHeight="1" x14ac:dyDescent="0.3">
      <c r="A701" s="7">
        <v>45727.353284259261</v>
      </c>
      <c r="B701" s="6" t="s">
        <v>4</v>
      </c>
      <c r="C701" s="6" t="str">
        <f>VLOOKUP(B699,'Veri doğrulama'!D6:E13,2,0)</f>
        <v>MEHMET YAZICI</v>
      </c>
      <c r="D701" s="6"/>
      <c r="E701" s="6" t="s">
        <v>565</v>
      </c>
      <c r="F701" s="6" t="s">
        <v>27</v>
      </c>
      <c r="G701" s="6" t="s">
        <v>34</v>
      </c>
      <c r="H701" s="6">
        <v>800</v>
      </c>
      <c r="I701" s="6">
        <v>360</v>
      </c>
      <c r="J701" s="6">
        <v>1</v>
      </c>
      <c r="K701" s="10">
        <f t="shared" si="23"/>
        <v>1.44</v>
      </c>
      <c r="L701" s="6" t="s">
        <v>102</v>
      </c>
      <c r="M701" s="6" t="s">
        <v>159</v>
      </c>
      <c r="N701" s="6" t="s">
        <v>54</v>
      </c>
      <c r="O701" s="6" t="s">
        <v>54</v>
      </c>
      <c r="P701" s="6" t="s">
        <v>54</v>
      </c>
    </row>
    <row r="702" spans="1:16" ht="30" customHeight="1" x14ac:dyDescent="0.3">
      <c r="A702" s="7">
        <v>45727.344226620371</v>
      </c>
      <c r="B702" s="6" t="s">
        <v>4</v>
      </c>
      <c r="C702" s="6" t="str">
        <f>VLOOKUP(B700,'Veri doğrulama'!D6:E13,2,0)</f>
        <v>MEHMET YAZICI</v>
      </c>
      <c r="D702" s="6" t="s">
        <v>567</v>
      </c>
      <c r="E702" s="6" t="s">
        <v>564</v>
      </c>
      <c r="F702" s="6" t="s">
        <v>27</v>
      </c>
      <c r="G702" s="6" t="s">
        <v>34</v>
      </c>
      <c r="H702" s="6">
        <v>432</v>
      </c>
      <c r="I702" s="6">
        <v>820</v>
      </c>
      <c r="J702" s="6">
        <v>2</v>
      </c>
      <c r="K702" s="10">
        <f t="shared" si="23"/>
        <v>0.28799999999999998</v>
      </c>
      <c r="L702" s="6" t="s">
        <v>43</v>
      </c>
      <c r="M702" s="6" t="s">
        <v>159</v>
      </c>
      <c r="N702" s="6" t="s">
        <v>54</v>
      </c>
      <c r="O702" s="6" t="s">
        <v>54</v>
      </c>
      <c r="P702" s="6" t="s">
        <v>54</v>
      </c>
    </row>
    <row r="703" spans="1:16" ht="30" customHeight="1" x14ac:dyDescent="0.3">
      <c r="A703" s="7">
        <v>45727.34354386574</v>
      </c>
      <c r="B703" s="6" t="s">
        <v>4</v>
      </c>
      <c r="C703" s="6" t="str">
        <f>VLOOKUP(B701,'Veri doğrulama'!D6:E13,2,0)</f>
        <v>MEHMET YAZICI</v>
      </c>
      <c r="D703" s="6"/>
      <c r="E703" s="6" t="s">
        <v>563</v>
      </c>
      <c r="F703" s="6" t="s">
        <v>27</v>
      </c>
      <c r="G703" s="6" t="s">
        <v>34</v>
      </c>
      <c r="H703" s="6">
        <v>806</v>
      </c>
      <c r="I703" s="6">
        <v>360</v>
      </c>
      <c r="J703" s="6">
        <v>1</v>
      </c>
      <c r="K703" s="10">
        <f t="shared" si="23"/>
        <v>0.35424</v>
      </c>
      <c r="L703" s="6" t="s">
        <v>75</v>
      </c>
      <c r="M703" s="6" t="s">
        <v>159</v>
      </c>
      <c r="N703" s="6" t="s">
        <v>54</v>
      </c>
      <c r="O703" s="6" t="s">
        <v>54</v>
      </c>
      <c r="P703" s="6" t="s">
        <v>54</v>
      </c>
    </row>
    <row r="704" spans="1:16" ht="30" customHeight="1" x14ac:dyDescent="0.3">
      <c r="A704" s="7">
        <v>45727.342700231478</v>
      </c>
      <c r="B704" s="6" t="s">
        <v>4</v>
      </c>
      <c r="C704" s="6" t="str">
        <f>VLOOKUP(B702,'Veri doğrulama'!D6:E13,2,0)</f>
        <v>MEHMET YAZICI</v>
      </c>
      <c r="D704" s="6"/>
      <c r="E704" s="6" t="s">
        <v>166</v>
      </c>
      <c r="F704" s="6" t="s">
        <v>27</v>
      </c>
      <c r="G704" s="6" t="s">
        <v>34</v>
      </c>
      <c r="H704" s="6">
        <v>480</v>
      </c>
      <c r="I704" s="6">
        <v>432</v>
      </c>
      <c r="J704" s="6">
        <v>1</v>
      </c>
      <c r="K704" s="10">
        <f t="shared" si="23"/>
        <v>0.29015999999999997</v>
      </c>
      <c r="L704" s="6" t="s">
        <v>103</v>
      </c>
      <c r="M704" s="6" t="s">
        <v>159</v>
      </c>
      <c r="N704" s="6" t="s">
        <v>54</v>
      </c>
      <c r="O704" s="6" t="s">
        <v>54</v>
      </c>
      <c r="P704" s="6" t="s">
        <v>54</v>
      </c>
    </row>
    <row r="705" spans="1:16" ht="30" customHeight="1" x14ac:dyDescent="0.3">
      <c r="A705" s="7">
        <v>45727.34201064815</v>
      </c>
      <c r="B705" s="6" t="s">
        <v>5</v>
      </c>
      <c r="C705" s="6" t="str">
        <f>VLOOKUP(B703,'Veri doğrulama'!D6:E13,2,0)</f>
        <v>MEHMET YAZICI</v>
      </c>
      <c r="D705" s="6"/>
      <c r="E705" s="6" t="s">
        <v>566</v>
      </c>
      <c r="F705" s="6" t="s">
        <v>16</v>
      </c>
      <c r="G705" s="6" t="s">
        <v>34</v>
      </c>
      <c r="H705" s="6">
        <v>2220</v>
      </c>
      <c r="I705" s="6">
        <v>920</v>
      </c>
      <c r="J705" s="6">
        <v>1</v>
      </c>
      <c r="K705" s="10">
        <f t="shared" si="23"/>
        <v>0.20735999999999999</v>
      </c>
      <c r="L705" s="6" t="s">
        <v>103</v>
      </c>
      <c r="M705" s="6"/>
      <c r="N705" s="6" t="s">
        <v>54</v>
      </c>
      <c r="O705" s="6" t="s">
        <v>54</v>
      </c>
      <c r="P705" s="6" t="s">
        <v>54</v>
      </c>
    </row>
    <row r="706" spans="1:16" ht="30" customHeight="1" x14ac:dyDescent="0.3">
      <c r="A706" s="7">
        <v>45727.341194097222</v>
      </c>
      <c r="B706" s="6" t="s">
        <v>4</v>
      </c>
      <c r="C706" s="6" t="str">
        <f>VLOOKUP(B704,'Veri doğrulama'!D6:E13,2,0)</f>
        <v>MEHMET YAZICI</v>
      </c>
      <c r="D706" s="6"/>
      <c r="E706" s="6" t="s">
        <v>561</v>
      </c>
      <c r="F706" s="6" t="s">
        <v>27</v>
      </c>
      <c r="G706" s="6" t="s">
        <v>34</v>
      </c>
      <c r="H706" s="6">
        <v>1739</v>
      </c>
      <c r="I706" s="6">
        <v>360</v>
      </c>
      <c r="J706" s="6">
        <v>1</v>
      </c>
      <c r="K706" s="10">
        <f t="shared" si="23"/>
        <v>2.0424000000000002</v>
      </c>
      <c r="L706" s="6" t="s">
        <v>75</v>
      </c>
      <c r="M706" s="6" t="s">
        <v>159</v>
      </c>
      <c r="N706" s="6" t="s">
        <v>54</v>
      </c>
      <c r="O706" s="6" t="s">
        <v>54</v>
      </c>
      <c r="P706" s="6" t="s">
        <v>54</v>
      </c>
    </row>
    <row r="707" spans="1:16" ht="30" customHeight="1" x14ac:dyDescent="0.3">
      <c r="A707" s="7">
        <v>45726.697477662034</v>
      </c>
      <c r="B707" s="6" t="s">
        <v>4</v>
      </c>
      <c r="C707" s="6" t="str">
        <f>VLOOKUP(B705,'Veri doğrulama'!D6:E13,2,0)</f>
        <v>MEHMET ÖZEN</v>
      </c>
      <c r="D707" s="6"/>
      <c r="E707" s="6" t="s">
        <v>572</v>
      </c>
      <c r="F707" s="6" t="s">
        <v>13</v>
      </c>
      <c r="G707" s="6" t="s">
        <v>34</v>
      </c>
      <c r="H707" s="6">
        <v>1800</v>
      </c>
      <c r="I707" s="6">
        <v>410</v>
      </c>
      <c r="J707" s="6">
        <v>1</v>
      </c>
      <c r="K707" s="10">
        <f t="shared" si="23"/>
        <v>0.62604000000000004</v>
      </c>
      <c r="L707" s="6" t="s">
        <v>252</v>
      </c>
      <c r="M707" s="6" t="s">
        <v>571</v>
      </c>
      <c r="N707" s="6" t="s">
        <v>54</v>
      </c>
      <c r="O707" s="6" t="s">
        <v>54</v>
      </c>
      <c r="P707" s="6" t="s">
        <v>54</v>
      </c>
    </row>
    <row r="708" spans="1:16" ht="30" customHeight="1" x14ac:dyDescent="0.3">
      <c r="A708" s="7">
        <v>45726.67736400463</v>
      </c>
      <c r="B708" s="6" t="s">
        <v>4</v>
      </c>
      <c r="C708" s="6" t="str">
        <f>VLOOKUP(B706,'Veri doğrulama'!D6:E13,2,0)</f>
        <v>MEHMET YAZICI</v>
      </c>
      <c r="D708" s="6"/>
      <c r="E708" s="6" t="s">
        <v>608</v>
      </c>
      <c r="F708" s="6" t="s">
        <v>20</v>
      </c>
      <c r="G708" s="6" t="s">
        <v>35</v>
      </c>
      <c r="H708" s="6">
        <v>2000</v>
      </c>
      <c r="I708" s="6">
        <v>590</v>
      </c>
      <c r="J708" s="6">
        <v>1</v>
      </c>
      <c r="K708" s="10">
        <f t="shared" si="23"/>
        <v>0.73799999999999999</v>
      </c>
      <c r="L708" s="6" t="s">
        <v>103</v>
      </c>
      <c r="M708" s="6" t="s">
        <v>339</v>
      </c>
      <c r="N708" s="6" t="s">
        <v>54</v>
      </c>
      <c r="O708" s="6" t="s">
        <v>54</v>
      </c>
      <c r="P708" s="6" t="s">
        <v>54</v>
      </c>
    </row>
    <row r="709" spans="1:16" ht="30" customHeight="1" x14ac:dyDescent="0.3">
      <c r="A709" s="7">
        <v>45726.620402314817</v>
      </c>
      <c r="B709" s="6" t="s">
        <v>4</v>
      </c>
      <c r="C709" s="6" t="str">
        <f>VLOOKUP(B707,'Veri doğrulama'!D6:E13,2,0)</f>
        <v>MEHMET YAZICI</v>
      </c>
      <c r="D709" s="6"/>
      <c r="E709" s="6" t="s">
        <v>443</v>
      </c>
      <c r="F709" s="6" t="s">
        <v>13</v>
      </c>
      <c r="G709" s="6" t="s">
        <v>34</v>
      </c>
      <c r="H709" s="6">
        <v>710</v>
      </c>
      <c r="I709" s="6">
        <v>849</v>
      </c>
      <c r="J709" s="6">
        <v>1</v>
      </c>
      <c r="K709" s="10">
        <f t="shared" si="23"/>
        <v>1.18</v>
      </c>
      <c r="L709" s="6" t="s">
        <v>103</v>
      </c>
      <c r="M709" s="6"/>
      <c r="N709" s="6" t="s">
        <v>54</v>
      </c>
      <c r="O709" s="6" t="s">
        <v>54</v>
      </c>
      <c r="P709" s="6" t="s">
        <v>54</v>
      </c>
    </row>
    <row r="710" spans="1:16" ht="30" customHeight="1" x14ac:dyDescent="0.3">
      <c r="A710" s="7">
        <v>45726.592557986114</v>
      </c>
      <c r="B710" s="6" t="s">
        <v>5</v>
      </c>
      <c r="C710" s="6" t="str">
        <f>VLOOKUP(B708,'Veri doğrulama'!D6:E13,2,0)</f>
        <v>MEHMET YAZICI</v>
      </c>
      <c r="D710" s="6"/>
      <c r="E710" s="6" t="s">
        <v>560</v>
      </c>
      <c r="F710" s="6" t="s">
        <v>16</v>
      </c>
      <c r="G710" s="6" t="s">
        <v>35</v>
      </c>
      <c r="H710" s="6">
        <v>2048</v>
      </c>
      <c r="I710" s="6">
        <v>721</v>
      </c>
      <c r="J710" s="6">
        <v>1</v>
      </c>
      <c r="K710" s="10">
        <f t="shared" si="23"/>
        <v>0.60279000000000005</v>
      </c>
      <c r="L710" s="6" t="s">
        <v>75</v>
      </c>
      <c r="M710" s="6"/>
      <c r="N710" s="6" t="s">
        <v>54</v>
      </c>
      <c r="O710" s="6" t="s">
        <v>54</v>
      </c>
      <c r="P710" s="6" t="s">
        <v>54</v>
      </c>
    </row>
    <row r="711" spans="1:16" ht="30" customHeight="1" x14ac:dyDescent="0.3">
      <c r="A711" s="7">
        <v>45726.504127777778</v>
      </c>
      <c r="B711" s="6" t="s">
        <v>4</v>
      </c>
      <c r="C711" s="6" t="str">
        <f>VLOOKUP(B709,'Veri doğrulama'!D6:E13,2,0)</f>
        <v>MEHMET YAZICI</v>
      </c>
      <c r="D711" s="6"/>
      <c r="E711" s="6" t="s">
        <v>558</v>
      </c>
      <c r="F711" s="6" t="s">
        <v>16</v>
      </c>
      <c r="G711" s="6" t="s">
        <v>33</v>
      </c>
      <c r="H711" s="6">
        <v>1115</v>
      </c>
      <c r="I711" s="6">
        <v>397</v>
      </c>
      <c r="J711" s="6">
        <v>1</v>
      </c>
      <c r="K711" s="10">
        <f t="shared" si="23"/>
        <v>1.4766079999999999</v>
      </c>
      <c r="L711" s="6" t="s">
        <v>103</v>
      </c>
      <c r="M711" s="6" t="s">
        <v>399</v>
      </c>
      <c r="N711" s="6" t="s">
        <v>54</v>
      </c>
      <c r="O711" s="6" t="s">
        <v>54</v>
      </c>
      <c r="P711" s="6" t="s">
        <v>54</v>
      </c>
    </row>
    <row r="712" spans="1:16" ht="30" customHeight="1" x14ac:dyDescent="0.3">
      <c r="A712" s="7">
        <v>45726.47069884259</v>
      </c>
      <c r="B712" s="6" t="s">
        <v>4</v>
      </c>
      <c r="C712" s="6" t="str">
        <f>VLOOKUP(B710,'Veri doğrulama'!D6:E13,2,0)</f>
        <v>MEHMET ÖZEN</v>
      </c>
      <c r="D712" s="6" t="s">
        <v>562</v>
      </c>
      <c r="E712" s="6" t="s">
        <v>582</v>
      </c>
      <c r="F712" s="6" t="s">
        <v>24</v>
      </c>
      <c r="G712" s="6" t="s">
        <v>34</v>
      </c>
      <c r="H712" s="6">
        <v>735</v>
      </c>
      <c r="I712" s="6">
        <v>397</v>
      </c>
      <c r="J712" s="6">
        <v>1</v>
      </c>
      <c r="K712" s="10">
        <f t="shared" si="23"/>
        <v>0.88531000000000004</v>
      </c>
      <c r="L712" s="6" t="s">
        <v>75</v>
      </c>
      <c r="M712" s="6" t="s">
        <v>569</v>
      </c>
      <c r="N712" s="6" t="s">
        <v>54</v>
      </c>
      <c r="O712" s="6" t="s">
        <v>54</v>
      </c>
      <c r="P712" s="6" t="s">
        <v>54</v>
      </c>
    </row>
    <row r="713" spans="1:16" ht="30" customHeight="1" x14ac:dyDescent="0.3">
      <c r="A713" s="7">
        <v>45726.447245370371</v>
      </c>
      <c r="B713" s="6" t="s">
        <v>7</v>
      </c>
      <c r="C713" s="6" t="str">
        <f>VLOOKUP(B711,'Veri doğrulama'!D6:E13,2,0)</f>
        <v>MEHMET YAZICI</v>
      </c>
      <c r="D713" s="6"/>
      <c r="E713" s="6" t="s">
        <v>665</v>
      </c>
      <c r="F713" s="6" t="s">
        <v>19</v>
      </c>
      <c r="G713" s="6" t="s">
        <v>34</v>
      </c>
      <c r="H713" s="6">
        <v>2385</v>
      </c>
      <c r="I713" s="6">
        <v>350</v>
      </c>
      <c r="J713" s="6">
        <v>2</v>
      </c>
      <c r="K713" s="10">
        <f t="shared" ref="K713:K738" si="24">H712*I712/1000000*J714</f>
        <v>0.29179500000000003</v>
      </c>
      <c r="L713" s="6" t="s">
        <v>103</v>
      </c>
      <c r="M713" s="6" t="s">
        <v>209</v>
      </c>
      <c r="N713" s="6" t="s">
        <v>54</v>
      </c>
      <c r="O713" s="6" t="s">
        <v>54</v>
      </c>
      <c r="P713" s="6" t="s">
        <v>54</v>
      </c>
    </row>
    <row r="714" spans="1:16" ht="30" customHeight="1" x14ac:dyDescent="0.3">
      <c r="A714" s="7">
        <v>45726.354238657404</v>
      </c>
      <c r="B714" s="6" t="s">
        <v>5</v>
      </c>
      <c r="C714" s="6" t="str">
        <f>VLOOKUP(B712,'Veri doğrulama'!D6:E13,2,0)</f>
        <v>MEHMET YAZICI</v>
      </c>
      <c r="D714" s="6" t="s">
        <v>583</v>
      </c>
      <c r="E714" s="6" t="s">
        <v>538</v>
      </c>
      <c r="F714" s="6" t="s">
        <v>13</v>
      </c>
      <c r="G714" s="6" t="s">
        <v>34</v>
      </c>
      <c r="H714" s="6">
        <v>1200</v>
      </c>
      <c r="I714" s="6">
        <v>500</v>
      </c>
      <c r="J714" s="6">
        <v>1</v>
      </c>
      <c r="K714" s="10">
        <f t="shared" si="24"/>
        <v>0.83474999999999999</v>
      </c>
      <c r="L714" s="6" t="s">
        <v>102</v>
      </c>
      <c r="M714" s="6"/>
      <c r="N714" s="6" t="s">
        <v>54</v>
      </c>
      <c r="O714" s="6" t="s">
        <v>54</v>
      </c>
      <c r="P714" s="6" t="s">
        <v>54</v>
      </c>
    </row>
    <row r="715" spans="1:16" ht="30" customHeight="1" x14ac:dyDescent="0.3">
      <c r="A715" s="7">
        <v>45726</v>
      </c>
      <c r="B715" s="6" t="s">
        <v>5</v>
      </c>
      <c r="C715" s="6" t="str">
        <f>VLOOKUP(B713,'Veri doğrulama'!D6:E13,2,0)</f>
        <v>SIDDIK KAPLAN</v>
      </c>
      <c r="D715" s="6"/>
      <c r="E715" s="6"/>
      <c r="F715" s="6" t="s">
        <v>13</v>
      </c>
      <c r="G715" s="6" t="s">
        <v>34</v>
      </c>
      <c r="H715" s="6">
        <v>530</v>
      </c>
      <c r="I715" s="6">
        <v>435</v>
      </c>
      <c r="J715" s="6">
        <v>1</v>
      </c>
      <c r="K715" s="10">
        <f t="shared" si="24"/>
        <v>1.2</v>
      </c>
      <c r="L715" s="6" t="s">
        <v>43</v>
      </c>
      <c r="M715" s="6"/>
      <c r="N715" s="6" t="s">
        <v>54</v>
      </c>
      <c r="O715" s="6" t="s">
        <v>54</v>
      </c>
      <c r="P715" s="6" t="s">
        <v>54</v>
      </c>
    </row>
    <row r="716" spans="1:16" ht="30" customHeight="1" x14ac:dyDescent="0.3">
      <c r="A716" s="7">
        <v>45726</v>
      </c>
      <c r="B716" s="6" t="s">
        <v>4</v>
      </c>
      <c r="C716" s="6" t="str">
        <f>VLOOKUP(B714,'Veri doğrulama'!D6:E13,2,0)</f>
        <v>MEHMET ÖZEN</v>
      </c>
      <c r="D716" s="6"/>
      <c r="E716" s="6" t="s">
        <v>96</v>
      </c>
      <c r="F716" s="6" t="s">
        <v>20</v>
      </c>
      <c r="G716" s="6" t="s">
        <v>34</v>
      </c>
      <c r="H716" s="6">
        <v>1600</v>
      </c>
      <c r="I716" s="6">
        <v>800</v>
      </c>
      <c r="J716" s="6">
        <v>2</v>
      </c>
      <c r="K716" s="10">
        <f t="shared" si="24"/>
        <v>0.23055</v>
      </c>
      <c r="L716" s="6" t="s">
        <v>42</v>
      </c>
      <c r="M716" s="6" t="s">
        <v>399</v>
      </c>
      <c r="N716" s="6" t="s">
        <v>54</v>
      </c>
      <c r="O716" s="6" t="s">
        <v>54</v>
      </c>
      <c r="P716" s="6" t="s">
        <v>54</v>
      </c>
    </row>
    <row r="717" spans="1:16" ht="30" customHeight="1" x14ac:dyDescent="0.3">
      <c r="A717" s="7">
        <v>45726</v>
      </c>
      <c r="B717" s="6" t="s">
        <v>5</v>
      </c>
      <c r="C717" s="6" t="str">
        <f>VLOOKUP(B715,'Veri doğrulama'!D6:E13,2,0)</f>
        <v>MEHMET ÖZEN</v>
      </c>
      <c r="D717" s="6"/>
      <c r="E717" s="6"/>
      <c r="F717" s="6" t="s">
        <v>13</v>
      </c>
      <c r="G717" s="6" t="s">
        <v>34</v>
      </c>
      <c r="H717" s="6">
        <v>420</v>
      </c>
      <c r="I717" s="6">
        <v>458</v>
      </c>
      <c r="J717" s="6">
        <v>1</v>
      </c>
      <c r="K717" s="10">
        <f t="shared" si="24"/>
        <v>1.28</v>
      </c>
      <c r="L717" s="6" t="s">
        <v>37</v>
      </c>
      <c r="M717" s="6"/>
      <c r="N717" s="6" t="s">
        <v>54</v>
      </c>
      <c r="O717" s="6" t="s">
        <v>54</v>
      </c>
      <c r="P717" s="6" t="s">
        <v>54</v>
      </c>
    </row>
    <row r="718" spans="1:16" ht="30" customHeight="1" x14ac:dyDescent="0.3">
      <c r="A718" s="7">
        <v>45726</v>
      </c>
      <c r="B718" s="6" t="s">
        <v>5</v>
      </c>
      <c r="C718" s="6" t="str">
        <f>VLOOKUP(B716,'Veri doğrulama'!D6:E13,2,0)</f>
        <v>MEHMET YAZICI</v>
      </c>
      <c r="D718" s="6"/>
      <c r="E718" s="6" t="s">
        <v>556</v>
      </c>
      <c r="F718" s="6" t="s">
        <v>16</v>
      </c>
      <c r="G718" s="6" t="s">
        <v>34</v>
      </c>
      <c r="H718" s="6">
        <v>1200</v>
      </c>
      <c r="I718" s="6">
        <v>1400</v>
      </c>
      <c r="J718" s="6">
        <v>1</v>
      </c>
      <c r="K718" s="10">
        <f t="shared" si="24"/>
        <v>0.19236</v>
      </c>
      <c r="L718" s="6" t="s">
        <v>156</v>
      </c>
      <c r="M718" s="6" t="s">
        <v>557</v>
      </c>
      <c r="N718" s="6" t="s">
        <v>54</v>
      </c>
      <c r="O718" s="6" t="s">
        <v>54</v>
      </c>
      <c r="P718" s="6" t="s">
        <v>54</v>
      </c>
    </row>
    <row r="719" spans="1:16" ht="30" customHeight="1" x14ac:dyDescent="0.3">
      <c r="A719" s="7">
        <v>45723.623176967594</v>
      </c>
      <c r="B719" s="6" t="s">
        <v>4</v>
      </c>
      <c r="C719" s="6" t="str">
        <f>VLOOKUP(B717,'Veri doğrulama'!D6:E13,2,0)</f>
        <v>MEHMET ÖZEN</v>
      </c>
      <c r="D719" s="6"/>
      <c r="E719" s="6" t="s">
        <v>124</v>
      </c>
      <c r="F719" s="6" t="s">
        <v>16</v>
      </c>
      <c r="G719" s="6" t="s">
        <v>34</v>
      </c>
      <c r="H719" s="6">
        <v>499</v>
      </c>
      <c r="I719" s="6">
        <v>264</v>
      </c>
      <c r="J719" s="6">
        <v>1</v>
      </c>
      <c r="K719" s="10">
        <f t="shared" si="24"/>
        <v>1.68</v>
      </c>
      <c r="L719" s="6" t="s">
        <v>37</v>
      </c>
      <c r="M719" s="6" t="s">
        <v>385</v>
      </c>
      <c r="N719" s="6" t="s">
        <v>54</v>
      </c>
      <c r="O719" s="6" t="s">
        <v>54</v>
      </c>
      <c r="P719" s="6"/>
    </row>
    <row r="720" spans="1:16" ht="30" customHeight="1" x14ac:dyDescent="0.3">
      <c r="A720" s="7">
        <v>45723.621771759259</v>
      </c>
      <c r="B720" s="6" t="s">
        <v>4</v>
      </c>
      <c r="C720" s="6" t="str">
        <f>VLOOKUP(B718,'Veri doğrulama'!D6:E13,2,0)</f>
        <v>MEHMET ÖZEN</v>
      </c>
      <c r="D720" s="6">
        <v>21998</v>
      </c>
      <c r="E720" s="6"/>
      <c r="F720" s="6" t="s">
        <v>20</v>
      </c>
      <c r="G720" s="6" t="s">
        <v>34</v>
      </c>
      <c r="H720" s="6">
        <v>760</v>
      </c>
      <c r="I720" s="6">
        <v>320</v>
      </c>
      <c r="J720" s="6">
        <v>1</v>
      </c>
      <c r="K720" s="10">
        <f t="shared" si="24"/>
        <v>0.13173599999999999</v>
      </c>
      <c r="L720" s="6" t="s">
        <v>42</v>
      </c>
      <c r="M720" s="6"/>
      <c r="N720" s="6" t="s">
        <v>54</v>
      </c>
      <c r="O720" s="6" t="s">
        <v>54</v>
      </c>
      <c r="P720" s="6" t="s">
        <v>54</v>
      </c>
    </row>
    <row r="721" spans="1:16" ht="30" customHeight="1" x14ac:dyDescent="0.3">
      <c r="A721" s="7">
        <v>45723.506625000002</v>
      </c>
      <c r="B721" s="6" t="s">
        <v>7</v>
      </c>
      <c r="C721" s="6" t="str">
        <f>VLOOKUP(B719,'Veri doğrulama'!D6:E13,2,0)</f>
        <v>MEHMET YAZICI</v>
      </c>
      <c r="D721" s="6"/>
      <c r="E721" s="6" t="s">
        <v>555</v>
      </c>
      <c r="F721" s="6" t="s">
        <v>24</v>
      </c>
      <c r="G721" s="6" t="s">
        <v>34</v>
      </c>
      <c r="H721" s="6">
        <v>1400</v>
      </c>
      <c r="I721" s="6">
        <v>800</v>
      </c>
      <c r="J721" s="6">
        <v>1</v>
      </c>
      <c r="K721" s="10">
        <f t="shared" si="24"/>
        <v>0.2432</v>
      </c>
      <c r="L721" s="6" t="s">
        <v>156</v>
      </c>
      <c r="M721" s="6"/>
      <c r="N721" s="6" t="s">
        <v>54</v>
      </c>
      <c r="O721" s="6" t="s">
        <v>54</v>
      </c>
      <c r="P721" s="6"/>
    </row>
    <row r="722" spans="1:16" ht="30" customHeight="1" x14ac:dyDescent="0.3">
      <c r="A722" s="7">
        <v>45722.705659259256</v>
      </c>
      <c r="B722" s="6" t="s">
        <v>7</v>
      </c>
      <c r="C722" s="6" t="str">
        <f>VLOOKUP(B720,'Veri doğrulama'!D6:E13,2,0)</f>
        <v>MEHMET YAZICI</v>
      </c>
      <c r="D722" s="6"/>
      <c r="E722" s="6" t="s">
        <v>663</v>
      </c>
      <c r="F722" s="6" t="s">
        <v>26</v>
      </c>
      <c r="G722" s="6" t="s">
        <v>34</v>
      </c>
      <c r="H722" s="6">
        <v>2385</v>
      </c>
      <c r="I722" s="6">
        <v>585</v>
      </c>
      <c r="J722" s="6">
        <v>1</v>
      </c>
      <c r="K722" s="10">
        <f t="shared" si="24"/>
        <v>1.1200000000000001</v>
      </c>
      <c r="L722" s="6" t="s">
        <v>37</v>
      </c>
      <c r="M722" s="6" t="s">
        <v>664</v>
      </c>
      <c r="N722" s="6" t="s">
        <v>54</v>
      </c>
      <c r="O722" s="6" t="s">
        <v>54</v>
      </c>
      <c r="P722" s="6" t="s">
        <v>54</v>
      </c>
    </row>
    <row r="723" spans="1:16" ht="30" customHeight="1" x14ac:dyDescent="0.3">
      <c r="A723" s="7">
        <v>45722.632022800928</v>
      </c>
      <c r="B723" s="6" t="s">
        <v>4</v>
      </c>
      <c r="C723" s="6" t="str">
        <f>VLOOKUP(B721,'Veri doğrulama'!D6:E13,2,0)</f>
        <v>SIDDIK KAPLAN</v>
      </c>
      <c r="D723" s="6">
        <v>21997</v>
      </c>
      <c r="E723" s="6" t="s">
        <v>559</v>
      </c>
      <c r="F723" s="6" t="s">
        <v>27</v>
      </c>
      <c r="G723" s="6" t="s">
        <v>34</v>
      </c>
      <c r="H723" s="6">
        <v>1800</v>
      </c>
      <c r="I723" s="6">
        <v>415</v>
      </c>
      <c r="J723" s="6">
        <v>1</v>
      </c>
      <c r="K723" s="10">
        <f t="shared" si="24"/>
        <v>1.3952249999999999</v>
      </c>
      <c r="L723" s="6" t="s">
        <v>43</v>
      </c>
      <c r="M723" s="6" t="s">
        <v>385</v>
      </c>
      <c r="N723" s="6" t="s">
        <v>54</v>
      </c>
      <c r="O723" s="6" t="s">
        <v>54</v>
      </c>
      <c r="P723" s="6" t="s">
        <v>54</v>
      </c>
    </row>
    <row r="724" spans="1:16" ht="30" customHeight="1" x14ac:dyDescent="0.3">
      <c r="A724" s="7">
        <v>45722.614796759262</v>
      </c>
      <c r="B724" s="6" t="s">
        <v>7</v>
      </c>
      <c r="C724" s="6" t="str">
        <f>VLOOKUP(B722,'Veri doğrulama'!D6:E13,2,0)</f>
        <v>SIDDIK KAPLAN</v>
      </c>
      <c r="D724" s="6"/>
      <c r="E724" s="6" t="s">
        <v>550</v>
      </c>
      <c r="F724" s="6" t="s">
        <v>26</v>
      </c>
      <c r="G724" s="6" t="s">
        <v>35</v>
      </c>
      <c r="H724" s="6">
        <v>2020</v>
      </c>
      <c r="I724" s="6">
        <v>470</v>
      </c>
      <c r="J724" s="6">
        <v>1</v>
      </c>
      <c r="K724" s="10">
        <f t="shared" si="24"/>
        <v>0.747</v>
      </c>
      <c r="L724" s="6" t="s">
        <v>43</v>
      </c>
      <c r="M724" s="6"/>
      <c r="N724" s="6" t="s">
        <v>54</v>
      </c>
      <c r="O724" s="6" t="s">
        <v>54</v>
      </c>
      <c r="P724" s="6" t="s">
        <v>54</v>
      </c>
    </row>
    <row r="725" spans="1:16" ht="30" customHeight="1" x14ac:dyDescent="0.3">
      <c r="A725" s="7">
        <v>45722.575145601855</v>
      </c>
      <c r="B725" s="6" t="s">
        <v>4</v>
      </c>
      <c r="C725" s="6" t="str">
        <f>VLOOKUP(B723,'Veri doğrulama'!D6:E13,2,0)</f>
        <v>MEHMET YAZICI</v>
      </c>
      <c r="D725" s="6"/>
      <c r="E725" s="6" t="s">
        <v>137</v>
      </c>
      <c r="F725" s="6" t="s">
        <v>16</v>
      </c>
      <c r="G725" s="6" t="s">
        <v>34</v>
      </c>
      <c r="H725" s="6">
        <v>720</v>
      </c>
      <c r="I725" s="6">
        <v>340</v>
      </c>
      <c r="J725" s="6">
        <v>1</v>
      </c>
      <c r="K725" s="10">
        <f t="shared" si="24"/>
        <v>0.94940000000000002</v>
      </c>
      <c r="L725" s="6" t="s">
        <v>43</v>
      </c>
      <c r="M725" s="6" t="s">
        <v>553</v>
      </c>
      <c r="N725" s="6" t="s">
        <v>54</v>
      </c>
      <c r="O725" s="6" t="s">
        <v>54</v>
      </c>
      <c r="P725" s="6" t="s">
        <v>54</v>
      </c>
    </row>
    <row r="726" spans="1:16" ht="30" customHeight="1" x14ac:dyDescent="0.3">
      <c r="A726" s="7">
        <v>45722.574539120367</v>
      </c>
      <c r="B726" s="6" t="s">
        <v>5</v>
      </c>
      <c r="C726" s="6" t="str">
        <f>VLOOKUP(B724,'Veri doğrulama'!D6:E13,2,0)</f>
        <v>SIDDIK KAPLAN</v>
      </c>
      <c r="D726" s="6"/>
      <c r="E726" s="6"/>
      <c r="F726" s="6" t="s">
        <v>19</v>
      </c>
      <c r="G726" s="6" t="s">
        <v>34</v>
      </c>
      <c r="H726" s="6">
        <v>700</v>
      </c>
      <c r="I726" s="6">
        <v>435</v>
      </c>
      <c r="J726" s="6">
        <v>1</v>
      </c>
      <c r="K726" s="10">
        <f t="shared" si="24"/>
        <v>0.24479999999999999</v>
      </c>
      <c r="L726" s="6" t="s">
        <v>43</v>
      </c>
      <c r="M726" s="6"/>
      <c r="N726" s="6" t="s">
        <v>54</v>
      </c>
      <c r="O726" s="6" t="s">
        <v>54</v>
      </c>
      <c r="P726" s="6" t="s">
        <v>54</v>
      </c>
    </row>
    <row r="727" spans="1:16" ht="30" customHeight="1" x14ac:dyDescent="0.3">
      <c r="A727" s="7">
        <v>45722.460527662035</v>
      </c>
      <c r="B727" s="6" t="s">
        <v>4</v>
      </c>
      <c r="C727" s="6" t="str">
        <f>VLOOKUP(B725,'Veri doğrulama'!D6:E13,2,0)</f>
        <v>MEHMET YAZICI</v>
      </c>
      <c r="D727" s="6"/>
      <c r="E727" s="6" t="s">
        <v>545</v>
      </c>
      <c r="F727" s="6" t="s">
        <v>19</v>
      </c>
      <c r="G727" s="6" t="s">
        <v>34</v>
      </c>
      <c r="H727" s="6">
        <v>1800</v>
      </c>
      <c r="I727" s="6">
        <v>800</v>
      </c>
      <c r="J727" s="6">
        <v>1</v>
      </c>
      <c r="K727" s="10">
        <f t="shared" si="24"/>
        <v>0.91349999999999998</v>
      </c>
      <c r="L727" s="6" t="s">
        <v>39</v>
      </c>
      <c r="M727" s="6" t="s">
        <v>159</v>
      </c>
      <c r="N727" s="6" t="s">
        <v>54</v>
      </c>
      <c r="O727" s="6" t="s">
        <v>54</v>
      </c>
      <c r="P727" s="6" t="s">
        <v>54</v>
      </c>
    </row>
    <row r="728" spans="1:16" ht="30" customHeight="1" x14ac:dyDescent="0.3">
      <c r="A728" s="7">
        <v>45722.459704050925</v>
      </c>
      <c r="B728" s="6" t="s">
        <v>4</v>
      </c>
      <c r="C728" s="6" t="str">
        <f>VLOOKUP(B726,'Veri doğrulama'!D6:E13,2,0)</f>
        <v>MEHMET ÖZEN</v>
      </c>
      <c r="D728" s="6"/>
      <c r="E728" s="6" t="s">
        <v>99</v>
      </c>
      <c r="F728" s="6" t="s">
        <v>18</v>
      </c>
      <c r="G728" s="6" t="s">
        <v>34</v>
      </c>
      <c r="H728" s="6">
        <v>1435</v>
      </c>
      <c r="I728" s="6">
        <v>360</v>
      </c>
      <c r="J728" s="6">
        <v>3</v>
      </c>
      <c r="K728" s="10">
        <f t="shared" si="24"/>
        <v>1.44</v>
      </c>
      <c r="L728" s="6" t="s">
        <v>37</v>
      </c>
      <c r="M728" s="6" t="s">
        <v>624</v>
      </c>
      <c r="N728" s="6" t="s">
        <v>54</v>
      </c>
      <c r="O728" s="6" t="s">
        <v>54</v>
      </c>
      <c r="P728" s="6" t="s">
        <v>54</v>
      </c>
    </row>
    <row r="729" spans="1:16" ht="30" customHeight="1" x14ac:dyDescent="0.3">
      <c r="A729" s="7">
        <v>45722.458947800929</v>
      </c>
      <c r="B729" s="6" t="s">
        <v>4</v>
      </c>
      <c r="C729" s="6" t="str">
        <f>VLOOKUP(B727,'Veri doğrulama'!D6:E13,2,0)</f>
        <v>MEHMET YAZICI</v>
      </c>
      <c r="D729" s="6"/>
      <c r="E729" s="6" t="s">
        <v>100</v>
      </c>
      <c r="F729" s="6" t="s">
        <v>19</v>
      </c>
      <c r="G729" s="6" t="s">
        <v>34</v>
      </c>
      <c r="H729" s="6">
        <v>704</v>
      </c>
      <c r="I729" s="6">
        <v>397</v>
      </c>
      <c r="J729" s="6">
        <v>1</v>
      </c>
      <c r="K729" s="10">
        <f t="shared" si="24"/>
        <v>0.51659999999999995</v>
      </c>
      <c r="L729" s="6" t="s">
        <v>102</v>
      </c>
      <c r="M729" s="6" t="s">
        <v>159</v>
      </c>
      <c r="N729" s="6" t="s">
        <v>54</v>
      </c>
      <c r="O729" s="6" t="s">
        <v>54</v>
      </c>
      <c r="P729" s="6"/>
    </row>
    <row r="730" spans="1:16" ht="30" customHeight="1" x14ac:dyDescent="0.3">
      <c r="A730" s="7">
        <v>45722.410295833331</v>
      </c>
      <c r="B730" s="6" t="s">
        <v>4</v>
      </c>
      <c r="C730" s="6" t="str">
        <f>VLOOKUP(B728,'Veri doğrulama'!D6:E13,2,0)</f>
        <v>MEHMET YAZICI</v>
      </c>
      <c r="D730" s="6" t="s">
        <v>627</v>
      </c>
      <c r="E730" s="6" t="s">
        <v>474</v>
      </c>
      <c r="F730" s="6" t="s">
        <v>13</v>
      </c>
      <c r="G730" s="6" t="s">
        <v>34</v>
      </c>
      <c r="H730" s="6">
        <v>530</v>
      </c>
      <c r="I730" s="6">
        <v>436</v>
      </c>
      <c r="J730" s="6">
        <v>1</v>
      </c>
      <c r="K730" s="10">
        <f t="shared" si="24"/>
        <v>0.55897600000000003</v>
      </c>
      <c r="L730" s="6" t="s">
        <v>103</v>
      </c>
      <c r="M730" s="6"/>
      <c r="N730" s="6" t="s">
        <v>54</v>
      </c>
      <c r="O730" s="6" t="s">
        <v>54</v>
      </c>
      <c r="P730" s="6" t="s">
        <v>54</v>
      </c>
    </row>
    <row r="731" spans="1:16" ht="30" customHeight="1" x14ac:dyDescent="0.3">
      <c r="A731" s="7">
        <v>45722.405993287037</v>
      </c>
      <c r="B731" s="6" t="s">
        <v>4</v>
      </c>
      <c r="C731" s="6" t="str">
        <f>VLOOKUP(B729,'Veri doğrulama'!D6:E13,2,0)</f>
        <v>MEHMET YAZICI</v>
      </c>
      <c r="D731" s="6" t="s">
        <v>546</v>
      </c>
      <c r="E731" s="6" t="s">
        <v>547</v>
      </c>
      <c r="F731" s="6" t="s">
        <v>16</v>
      </c>
      <c r="G731" s="6" t="s">
        <v>34</v>
      </c>
      <c r="H731" s="6">
        <v>720</v>
      </c>
      <c r="I731" s="6">
        <v>360</v>
      </c>
      <c r="J731" s="6">
        <v>2</v>
      </c>
      <c r="K731" s="10">
        <f t="shared" si="24"/>
        <v>0.23108000000000001</v>
      </c>
      <c r="L731" s="6" t="s">
        <v>102</v>
      </c>
      <c r="M731" s="6" t="s">
        <v>159</v>
      </c>
      <c r="N731" s="6" t="s">
        <v>54</v>
      </c>
      <c r="O731" s="6" t="s">
        <v>54</v>
      </c>
      <c r="P731" s="6" t="s">
        <v>54</v>
      </c>
    </row>
    <row r="732" spans="1:16" ht="30" customHeight="1" x14ac:dyDescent="0.3">
      <c r="A732" s="7">
        <v>45721.622184027779</v>
      </c>
      <c r="B732" s="6" t="s">
        <v>4</v>
      </c>
      <c r="C732" s="6" t="str">
        <f>VLOOKUP(B730,'Veri doğrulama'!D6:E13,2,0)</f>
        <v>MEHMET YAZICI</v>
      </c>
      <c r="D732" s="6"/>
      <c r="E732" s="6" t="s">
        <v>158</v>
      </c>
      <c r="F732" s="6" t="s">
        <v>16</v>
      </c>
      <c r="G732" s="6" t="s">
        <v>34</v>
      </c>
      <c r="H732" s="6">
        <v>1815</v>
      </c>
      <c r="I732" s="6">
        <v>397</v>
      </c>
      <c r="J732" s="6">
        <v>1</v>
      </c>
      <c r="K732" s="10">
        <f t="shared" si="24"/>
        <v>0.25919999999999999</v>
      </c>
      <c r="L732" s="6" t="s">
        <v>156</v>
      </c>
      <c r="M732" s="6" t="s">
        <v>402</v>
      </c>
      <c r="N732" s="6" t="s">
        <v>54</v>
      </c>
      <c r="O732" s="6" t="s">
        <v>54</v>
      </c>
      <c r="P732" s="6"/>
    </row>
    <row r="733" spans="1:16" ht="30" customHeight="1" x14ac:dyDescent="0.3">
      <c r="A733" s="7">
        <v>45721.510625925926</v>
      </c>
      <c r="B733" s="6" t="s">
        <v>4</v>
      </c>
      <c r="C733" s="6" t="str">
        <f>VLOOKUP(B731,'Veri doğrulama'!D6:E13,2,0)</f>
        <v>MEHMET YAZICI</v>
      </c>
      <c r="D733" s="6"/>
      <c r="E733" s="6" t="s">
        <v>536</v>
      </c>
      <c r="F733" s="6" t="s">
        <v>16</v>
      </c>
      <c r="G733" s="6" t="s">
        <v>34</v>
      </c>
      <c r="H733" s="6">
        <v>1600</v>
      </c>
      <c r="I733" s="6">
        <v>450</v>
      </c>
      <c r="J733" s="6">
        <v>1</v>
      </c>
      <c r="K733" s="10">
        <f t="shared" si="24"/>
        <v>0.72055499999999995</v>
      </c>
      <c r="L733" s="6" t="s">
        <v>103</v>
      </c>
      <c r="M733" s="6" t="s">
        <v>537</v>
      </c>
      <c r="N733" s="6" t="s">
        <v>54</v>
      </c>
      <c r="O733" s="6" t="s">
        <v>54</v>
      </c>
      <c r="P733" s="6" t="s">
        <v>54</v>
      </c>
    </row>
    <row r="734" spans="1:16" ht="30" customHeight="1" x14ac:dyDescent="0.3">
      <c r="A734" s="7">
        <v>45721.510013078703</v>
      </c>
      <c r="B734" s="6" t="s">
        <v>4</v>
      </c>
      <c r="C734" s="6" t="str">
        <f>VLOOKUP(B732,'Veri doğrulama'!D6:E13,2,0)</f>
        <v>MEHMET YAZICI</v>
      </c>
      <c r="D734" s="6" t="s">
        <v>539</v>
      </c>
      <c r="E734" s="6" t="s">
        <v>568</v>
      </c>
      <c r="F734" s="6" t="s">
        <v>14</v>
      </c>
      <c r="G734" s="6" t="s">
        <v>35</v>
      </c>
      <c r="H734" s="6">
        <v>717</v>
      </c>
      <c r="I734" s="6">
        <v>598</v>
      </c>
      <c r="J734" s="6">
        <v>1</v>
      </c>
      <c r="K734" s="10">
        <f t="shared" si="24"/>
        <v>0.72</v>
      </c>
      <c r="L734" s="6" t="s">
        <v>43</v>
      </c>
      <c r="M734" s="6" t="s">
        <v>569</v>
      </c>
      <c r="N734" s="6" t="s">
        <v>54</v>
      </c>
      <c r="O734" s="6" t="s">
        <v>54</v>
      </c>
      <c r="P734" s="6" t="s">
        <v>54</v>
      </c>
    </row>
    <row r="735" spans="1:16" ht="30" customHeight="1" x14ac:dyDescent="0.3">
      <c r="A735" s="7">
        <v>45721.507194212965</v>
      </c>
      <c r="B735" s="6" t="s">
        <v>4</v>
      </c>
      <c r="C735" s="6" t="str">
        <f>VLOOKUP(B733,'Veri doğrulama'!D6:E13,2,0)</f>
        <v>MEHMET YAZICI</v>
      </c>
      <c r="D735" s="6"/>
      <c r="E735" s="6" t="s">
        <v>534</v>
      </c>
      <c r="F735" s="6" t="s">
        <v>14</v>
      </c>
      <c r="G735" s="6" t="s">
        <v>35</v>
      </c>
      <c r="H735" s="6">
        <v>549</v>
      </c>
      <c r="I735" s="6">
        <v>544</v>
      </c>
      <c r="J735" s="6">
        <v>1</v>
      </c>
      <c r="K735" s="10">
        <f t="shared" si="24"/>
        <v>0.42876599999999998</v>
      </c>
      <c r="L735" s="6" t="s">
        <v>39</v>
      </c>
      <c r="M735" s="6" t="s">
        <v>389</v>
      </c>
      <c r="N735" s="6" t="s">
        <v>54</v>
      </c>
      <c r="O735" s="6" t="s">
        <v>54</v>
      </c>
      <c r="P735" s="6" t="s">
        <v>54</v>
      </c>
    </row>
    <row r="736" spans="1:16" ht="30" customHeight="1" x14ac:dyDescent="0.3">
      <c r="A736" s="7">
        <v>45721.50561226852</v>
      </c>
      <c r="B736" s="6" t="s">
        <v>5</v>
      </c>
      <c r="C736" s="6" t="str">
        <f>VLOOKUP(B734,'Veri doğrulama'!D6:E13,2,0)</f>
        <v>MEHMET YAZICI</v>
      </c>
      <c r="D736" s="6"/>
      <c r="E736" s="6" t="s">
        <v>548</v>
      </c>
      <c r="F736" s="6" t="s">
        <v>26</v>
      </c>
      <c r="G736" s="6" t="s">
        <v>34</v>
      </c>
      <c r="H736" s="6">
        <v>1800</v>
      </c>
      <c r="I736" s="6">
        <v>600</v>
      </c>
      <c r="J736" s="6">
        <v>1</v>
      </c>
      <c r="K736" s="10">
        <f t="shared" si="24"/>
        <v>0.29865599999999998</v>
      </c>
      <c r="L736" s="6" t="s">
        <v>103</v>
      </c>
      <c r="M736" s="6"/>
      <c r="N736" s="6" t="s">
        <v>54</v>
      </c>
      <c r="O736" s="6" t="s">
        <v>54</v>
      </c>
      <c r="P736" s="6" t="s">
        <v>54</v>
      </c>
    </row>
    <row r="737" spans="1:16" ht="30" customHeight="1" x14ac:dyDescent="0.3">
      <c r="A737" s="7">
        <v>45721.50484814815</v>
      </c>
      <c r="B737" s="6" t="s">
        <v>7</v>
      </c>
      <c r="C737" s="6" t="str">
        <f>VLOOKUP(B735,'Veri doğrulama'!D6:E13,2,0)</f>
        <v>MEHMET YAZICI</v>
      </c>
      <c r="D737" s="6"/>
      <c r="E737" s="6" t="s">
        <v>672</v>
      </c>
      <c r="F737" s="6" t="s">
        <v>29</v>
      </c>
      <c r="G737" s="6" t="s">
        <v>34</v>
      </c>
      <c r="H737" s="6">
        <v>1300</v>
      </c>
      <c r="I737" s="6">
        <v>320</v>
      </c>
      <c r="J737" s="6">
        <v>1</v>
      </c>
      <c r="K737" s="10">
        <f t="shared" si="24"/>
        <v>1.08</v>
      </c>
      <c r="L737" s="6" t="s">
        <v>102</v>
      </c>
      <c r="M737" s="6"/>
      <c r="N737" s="6" t="s">
        <v>54</v>
      </c>
      <c r="O737" s="6" t="s">
        <v>54</v>
      </c>
      <c r="P737" s="6" t="s">
        <v>54</v>
      </c>
    </row>
    <row r="738" spans="1:16" ht="30" customHeight="1" x14ac:dyDescent="0.3">
      <c r="A738" s="7">
        <v>45721.433683564814</v>
      </c>
      <c r="B738" s="6" t="s">
        <v>5</v>
      </c>
      <c r="C738" s="6" t="str">
        <f>VLOOKUP(B736,'Veri doğrulama'!D6:E13,2,0)</f>
        <v>MEHMET ÖZEN</v>
      </c>
      <c r="D738" s="6"/>
      <c r="E738" s="6" t="s">
        <v>628</v>
      </c>
      <c r="F738" s="6" t="s">
        <v>28</v>
      </c>
      <c r="G738" s="6" t="s">
        <v>34</v>
      </c>
      <c r="H738" s="6">
        <v>1120</v>
      </c>
      <c r="I738" s="6">
        <v>1120</v>
      </c>
      <c r="J738" s="6">
        <v>1</v>
      </c>
      <c r="K738" s="10">
        <f t="shared" si="24"/>
        <v>0.41599999999999998</v>
      </c>
      <c r="L738" s="6" t="s">
        <v>37</v>
      </c>
      <c r="M738" s="6"/>
      <c r="N738" s="6" t="s">
        <v>54</v>
      </c>
      <c r="O738" s="6" t="s">
        <v>54</v>
      </c>
      <c r="P738" s="6"/>
    </row>
    <row r="739" spans="1:16" ht="30" customHeight="1" x14ac:dyDescent="0.3">
      <c r="A739" s="7">
        <v>45721.433053356479</v>
      </c>
      <c r="B739" s="6" t="s">
        <v>5</v>
      </c>
      <c r="C739" s="6" t="str">
        <f>VLOOKUP(B737,'Veri doğrulama'!D6:E13,2,0)</f>
        <v>SIDDIK KAPLAN</v>
      </c>
      <c r="D739" s="6"/>
      <c r="E739" s="6" t="s">
        <v>535</v>
      </c>
      <c r="F739" s="6" t="s">
        <v>16</v>
      </c>
      <c r="G739" s="6" t="s">
        <v>34</v>
      </c>
      <c r="H739" s="6">
        <v>638</v>
      </c>
      <c r="I739" s="6">
        <v>502</v>
      </c>
      <c r="J739" s="6">
        <v>1</v>
      </c>
      <c r="K739" s="10">
        <f>H737*I737/1000000*J739</f>
        <v>0.41599999999999998</v>
      </c>
      <c r="L739" s="6" t="s">
        <v>43</v>
      </c>
      <c r="M739" s="6" t="s">
        <v>339</v>
      </c>
      <c r="N739" s="6" t="s">
        <v>54</v>
      </c>
      <c r="O739" s="6" t="s">
        <v>54</v>
      </c>
      <c r="P739" s="6" t="s">
        <v>54</v>
      </c>
    </row>
    <row r="740" spans="1:16" ht="30" customHeight="1" x14ac:dyDescent="0.3">
      <c r="A740" s="7">
        <v>45721.432306712966</v>
      </c>
      <c r="B740" s="6" t="s">
        <v>4</v>
      </c>
      <c r="C740" s="6" t="str">
        <f>VLOOKUP(B738,'Veri doğrulama'!D6:E13,2,0)</f>
        <v>MEHMET ÖZEN</v>
      </c>
      <c r="D740" s="6"/>
      <c r="E740" s="6" t="s">
        <v>527</v>
      </c>
      <c r="F740" s="6" t="s">
        <v>16</v>
      </c>
      <c r="G740" s="6" t="s">
        <v>34</v>
      </c>
      <c r="H740" s="6">
        <v>555</v>
      </c>
      <c r="I740" s="6">
        <v>448</v>
      </c>
      <c r="J740" s="6">
        <v>1</v>
      </c>
      <c r="K740" s="10">
        <f t="shared" ref="K740:K771" si="25">H739*I739/1000000*J741</f>
        <v>0.32027600000000001</v>
      </c>
      <c r="L740" s="6" t="s">
        <v>42</v>
      </c>
      <c r="M740" s="6" t="s">
        <v>528</v>
      </c>
      <c r="N740" s="6" t="s">
        <v>54</v>
      </c>
      <c r="O740" s="6" t="s">
        <v>54</v>
      </c>
      <c r="P740" s="6" t="s">
        <v>54</v>
      </c>
    </row>
    <row r="741" spans="1:16" ht="30" customHeight="1" x14ac:dyDescent="0.3">
      <c r="A741" s="7">
        <v>45721.431732523146</v>
      </c>
      <c r="B741" s="6" t="s">
        <v>4</v>
      </c>
      <c r="C741" s="6" t="s">
        <v>125</v>
      </c>
      <c r="D741" s="6"/>
      <c r="E741" s="6" t="s">
        <v>91</v>
      </c>
      <c r="F741" s="6" t="s">
        <v>16</v>
      </c>
      <c r="G741" s="6" t="s">
        <v>34</v>
      </c>
      <c r="H741" s="6">
        <v>1600</v>
      </c>
      <c r="I741" s="6">
        <v>450</v>
      </c>
      <c r="J741" s="6">
        <v>1</v>
      </c>
      <c r="K741" s="10">
        <f t="shared" si="25"/>
        <v>0.24864</v>
      </c>
      <c r="L741" s="6" t="s">
        <v>39</v>
      </c>
      <c r="M741" s="6" t="s">
        <v>399</v>
      </c>
      <c r="N741" s="6" t="s">
        <v>54</v>
      </c>
      <c r="O741" s="6" t="s">
        <v>54</v>
      </c>
      <c r="P741" s="6" t="s">
        <v>54</v>
      </c>
    </row>
    <row r="742" spans="1:16" ht="30" customHeight="1" x14ac:dyDescent="0.3">
      <c r="A742" s="7">
        <v>45721.43087916667</v>
      </c>
      <c r="B742" s="6" t="s">
        <v>4</v>
      </c>
      <c r="C742" s="6" t="str">
        <f>VLOOKUP(B740,'Veri doğrulama'!D6:E13,2,0)</f>
        <v>MEHMET YAZICI</v>
      </c>
      <c r="D742" s="6"/>
      <c r="E742" s="6" t="s">
        <v>525</v>
      </c>
      <c r="F742" s="6" t="s">
        <v>16</v>
      </c>
      <c r="G742" s="6" t="s">
        <v>34</v>
      </c>
      <c r="H742" s="6">
        <v>1400</v>
      </c>
      <c r="I742" s="6">
        <v>1400</v>
      </c>
      <c r="J742" s="6">
        <v>1</v>
      </c>
      <c r="K742" s="10">
        <f t="shared" si="25"/>
        <v>1.44</v>
      </c>
      <c r="L742" s="6" t="s">
        <v>103</v>
      </c>
      <c r="M742" s="6" t="s">
        <v>526</v>
      </c>
      <c r="N742" s="6" t="s">
        <v>54</v>
      </c>
      <c r="O742" s="6" t="s">
        <v>54</v>
      </c>
      <c r="P742" s="6" t="s">
        <v>54</v>
      </c>
    </row>
    <row r="743" spans="1:16" ht="30" customHeight="1" x14ac:dyDescent="0.3">
      <c r="A743" s="7">
        <v>45721.375350462964</v>
      </c>
      <c r="B743" s="6" t="s">
        <v>5</v>
      </c>
      <c r="C743" s="6" t="str">
        <f>VLOOKUP(B741,'Veri doğrulama'!D6:E13,2,0)</f>
        <v>MEHMET YAZICI</v>
      </c>
      <c r="D743" s="6"/>
      <c r="E743" s="6" t="s">
        <v>523</v>
      </c>
      <c r="F743" s="6" t="s">
        <v>16</v>
      </c>
      <c r="G743" s="6" t="s">
        <v>34</v>
      </c>
      <c r="H743" s="6">
        <v>2600</v>
      </c>
      <c r="I743" s="6">
        <v>900</v>
      </c>
      <c r="J743" s="6">
        <v>2</v>
      </c>
      <c r="K743" s="10">
        <f t="shared" si="25"/>
        <v>1.96</v>
      </c>
      <c r="L743" s="6" t="s">
        <v>103</v>
      </c>
      <c r="M743" s="6" t="s">
        <v>524</v>
      </c>
      <c r="N743" s="6" t="s">
        <v>54</v>
      </c>
      <c r="O743" s="6" t="s">
        <v>54</v>
      </c>
      <c r="P743" s="6" t="s">
        <v>54</v>
      </c>
    </row>
    <row r="744" spans="1:16" ht="30" customHeight="1" x14ac:dyDescent="0.3">
      <c r="A744" s="7">
        <v>45720.655846643516</v>
      </c>
      <c r="B744" s="6" t="s">
        <v>4</v>
      </c>
      <c r="C744" s="6" t="str">
        <f>VLOOKUP(B742,'Veri doğrulama'!D6:E13,2,0)</f>
        <v>MEHMET YAZICI</v>
      </c>
      <c r="D744" s="6"/>
      <c r="E744" s="6" t="s">
        <v>542</v>
      </c>
      <c r="F744" s="6" t="s">
        <v>18</v>
      </c>
      <c r="G744" s="6" t="s">
        <v>34</v>
      </c>
      <c r="H744" s="6">
        <v>620</v>
      </c>
      <c r="I744" s="6">
        <v>372</v>
      </c>
      <c r="J744" s="6">
        <v>1</v>
      </c>
      <c r="K744" s="10">
        <f t="shared" si="25"/>
        <v>2.34</v>
      </c>
      <c r="L744" s="6" t="s">
        <v>103</v>
      </c>
      <c r="M744" s="6" t="s">
        <v>385</v>
      </c>
      <c r="N744" s="6" t="s">
        <v>54</v>
      </c>
      <c r="O744" s="6" t="s">
        <v>54</v>
      </c>
      <c r="P744" s="6" t="s">
        <v>54</v>
      </c>
    </row>
    <row r="745" spans="1:16" ht="30" customHeight="1" x14ac:dyDescent="0.3">
      <c r="A745" s="7">
        <v>45720.636869097223</v>
      </c>
      <c r="B745" s="6" t="s">
        <v>5</v>
      </c>
      <c r="C745" s="6" t="str">
        <f>VLOOKUP(B743,'Veri doğrulama'!D6:E13,2,0)</f>
        <v>MEHMET ÖZEN</v>
      </c>
      <c r="D745" s="6"/>
      <c r="E745" s="6" t="s">
        <v>522</v>
      </c>
      <c r="F745" s="6" t="s">
        <v>16</v>
      </c>
      <c r="G745" s="6" t="s">
        <v>34</v>
      </c>
      <c r="H745" s="6">
        <v>2210</v>
      </c>
      <c r="I745" s="6">
        <v>1210</v>
      </c>
      <c r="J745" s="6">
        <v>1</v>
      </c>
      <c r="K745" s="10">
        <f t="shared" si="25"/>
        <v>0.23064000000000001</v>
      </c>
      <c r="L745" s="6" t="s">
        <v>103</v>
      </c>
      <c r="M745" s="6" t="s">
        <v>411</v>
      </c>
      <c r="N745" s="6" t="s">
        <v>54</v>
      </c>
      <c r="O745" s="6" t="s">
        <v>54</v>
      </c>
      <c r="P745" s="6" t="s">
        <v>54</v>
      </c>
    </row>
    <row r="746" spans="1:16" ht="30" customHeight="1" x14ac:dyDescent="0.3">
      <c r="A746" s="7">
        <v>45720.594556365744</v>
      </c>
      <c r="B746" s="6" t="s">
        <v>7</v>
      </c>
      <c r="C746" s="6" t="str">
        <f>VLOOKUP(B744,'Veri doğrulama'!D6:E13,2,0)</f>
        <v>MEHMET YAZICI</v>
      </c>
      <c r="D746" s="6" t="s">
        <v>544</v>
      </c>
      <c r="E746" s="6" t="s">
        <v>148</v>
      </c>
      <c r="F746" s="6" t="s">
        <v>17</v>
      </c>
      <c r="G746" s="6" t="s">
        <v>34</v>
      </c>
      <c r="H746" s="6">
        <v>2386</v>
      </c>
      <c r="I746" s="6">
        <v>586</v>
      </c>
      <c r="J746" s="6">
        <v>1</v>
      </c>
      <c r="K746" s="10">
        <f t="shared" si="25"/>
        <v>2.6741000000000001</v>
      </c>
      <c r="L746" s="6" t="s">
        <v>75</v>
      </c>
      <c r="M746" s="6"/>
      <c r="N746" s="6" t="s">
        <v>54</v>
      </c>
      <c r="O746" s="6" t="s">
        <v>54</v>
      </c>
      <c r="P746" s="6" t="s">
        <v>54</v>
      </c>
    </row>
    <row r="747" spans="1:16" ht="30" customHeight="1" x14ac:dyDescent="0.3">
      <c r="A747" s="7">
        <v>45720.592861342593</v>
      </c>
      <c r="B747" s="6" t="s">
        <v>4</v>
      </c>
      <c r="C747" s="6" t="str">
        <f>VLOOKUP(B745,'Veri doğrulama'!D6:E13,2,0)</f>
        <v>MEHMET ÖZEN</v>
      </c>
      <c r="D747" s="6"/>
      <c r="E747" s="6" t="s">
        <v>131</v>
      </c>
      <c r="F747" s="6" t="s">
        <v>18</v>
      </c>
      <c r="G747" s="6" t="s">
        <v>34</v>
      </c>
      <c r="H747" s="6">
        <v>544</v>
      </c>
      <c r="I747" s="6">
        <v>544</v>
      </c>
      <c r="J747" s="6">
        <v>1</v>
      </c>
      <c r="K747" s="10">
        <f t="shared" si="25"/>
        <v>1.398196</v>
      </c>
      <c r="L747" s="6" t="s">
        <v>43</v>
      </c>
      <c r="M747" s="6" t="s">
        <v>520</v>
      </c>
      <c r="N747" s="6" t="s">
        <v>54</v>
      </c>
      <c r="O747" s="6" t="s">
        <v>54</v>
      </c>
      <c r="P747" s="6"/>
    </row>
    <row r="748" spans="1:16" ht="30" customHeight="1" x14ac:dyDescent="0.3">
      <c r="A748" s="7">
        <v>45720.592106828706</v>
      </c>
      <c r="B748" s="6" t="s">
        <v>4</v>
      </c>
      <c r="C748" s="6" t="str">
        <f>VLOOKUP(B746,'Veri doğrulama'!D6:E13,2,0)</f>
        <v>SIDDIK KAPLAN</v>
      </c>
      <c r="D748" s="6"/>
      <c r="E748" s="6" t="s">
        <v>538</v>
      </c>
      <c r="F748" s="6" t="s">
        <v>13</v>
      </c>
      <c r="G748" s="6" t="s">
        <v>34</v>
      </c>
      <c r="H748" s="6">
        <v>2200</v>
      </c>
      <c r="I748" s="6">
        <v>410</v>
      </c>
      <c r="J748" s="6">
        <v>1</v>
      </c>
      <c r="K748" s="10">
        <f t="shared" si="25"/>
        <v>0.29593599999999998</v>
      </c>
      <c r="L748" s="6" t="s">
        <v>43</v>
      </c>
      <c r="M748" s="6" t="s">
        <v>389</v>
      </c>
      <c r="N748" s="6" t="s">
        <v>54</v>
      </c>
      <c r="O748" s="6" t="s">
        <v>54</v>
      </c>
      <c r="P748" s="6" t="s">
        <v>54</v>
      </c>
    </row>
    <row r="749" spans="1:16" ht="30" customHeight="1" x14ac:dyDescent="0.3">
      <c r="A749" s="7">
        <v>45720.427736574071</v>
      </c>
      <c r="B749" s="6" t="s">
        <v>4</v>
      </c>
      <c r="C749" s="6" t="str">
        <f>VLOOKUP(B747,'Veri doğrulama'!D6:E13,2,0)</f>
        <v>MEHMET YAZICI</v>
      </c>
      <c r="D749" s="6"/>
      <c r="E749" s="6" t="s">
        <v>531</v>
      </c>
      <c r="F749" s="6" t="s">
        <v>26</v>
      </c>
      <c r="G749" s="6" t="s">
        <v>34</v>
      </c>
      <c r="H749" s="6">
        <v>442</v>
      </c>
      <c r="I749" s="6">
        <v>330</v>
      </c>
      <c r="J749" s="6">
        <v>1</v>
      </c>
      <c r="K749" s="10">
        <f t="shared" si="25"/>
        <v>0.90200000000000002</v>
      </c>
      <c r="L749" s="6" t="s">
        <v>156</v>
      </c>
      <c r="M749" s="6" t="s">
        <v>179</v>
      </c>
      <c r="N749" s="6" t="s">
        <v>54</v>
      </c>
      <c r="O749" s="6" t="s">
        <v>54</v>
      </c>
      <c r="P749" s="6" t="s">
        <v>54</v>
      </c>
    </row>
    <row r="750" spans="1:16" ht="30" customHeight="1" x14ac:dyDescent="0.3">
      <c r="A750" s="7">
        <v>45720.342608564817</v>
      </c>
      <c r="B750" s="6" t="s">
        <v>4</v>
      </c>
      <c r="C750" s="6" t="str">
        <f>VLOOKUP(B748,'Veri doğrulama'!D6:E13,2,0)</f>
        <v>MEHMET YAZICI</v>
      </c>
      <c r="D750" s="6" t="s">
        <v>541</v>
      </c>
      <c r="E750" s="6" t="s">
        <v>99</v>
      </c>
      <c r="F750" s="6" t="s">
        <v>20</v>
      </c>
      <c r="G750" s="6" t="s">
        <v>34</v>
      </c>
      <c r="H750" s="6">
        <v>1800</v>
      </c>
      <c r="I750" s="6">
        <v>360</v>
      </c>
      <c r="J750" s="6">
        <v>1</v>
      </c>
      <c r="K750" s="10">
        <f t="shared" si="25"/>
        <v>0.14585999999999999</v>
      </c>
      <c r="L750" s="6" t="s">
        <v>103</v>
      </c>
      <c r="M750" s="6" t="s">
        <v>389</v>
      </c>
      <c r="N750" s="6" t="s">
        <v>54</v>
      </c>
      <c r="O750" s="6" t="s">
        <v>54</v>
      </c>
      <c r="P750" s="6" t="s">
        <v>54</v>
      </c>
    </row>
    <row r="751" spans="1:16" ht="30" customHeight="1" x14ac:dyDescent="0.3">
      <c r="A751" s="7">
        <v>45720.339882175926</v>
      </c>
      <c r="B751" s="6" t="s">
        <v>5</v>
      </c>
      <c r="C751" s="6" t="str">
        <f>VLOOKUP(B749,'Veri doğrulama'!D6:E13,2,0)</f>
        <v>MEHMET YAZICI</v>
      </c>
      <c r="D751" s="6"/>
      <c r="E751" s="6" t="s">
        <v>552</v>
      </c>
      <c r="F751" s="6" t="s">
        <v>24</v>
      </c>
      <c r="G751" s="6" t="s">
        <v>34</v>
      </c>
      <c r="H751" s="6">
        <v>2210</v>
      </c>
      <c r="I751" s="6">
        <v>1210</v>
      </c>
      <c r="J751" s="6">
        <v>1</v>
      </c>
      <c r="K751" s="10">
        <f t="shared" si="25"/>
        <v>0.64800000000000002</v>
      </c>
      <c r="L751" s="6" t="s">
        <v>75</v>
      </c>
      <c r="M751" s="6" t="s">
        <v>411</v>
      </c>
      <c r="N751" s="6" t="s">
        <v>54</v>
      </c>
      <c r="O751" s="6" t="s">
        <v>54</v>
      </c>
      <c r="P751" s="6"/>
    </row>
    <row r="752" spans="1:16" ht="30" customHeight="1" x14ac:dyDescent="0.3">
      <c r="A752" s="7">
        <v>45720.337637615739</v>
      </c>
      <c r="B752" s="6" t="s">
        <v>4</v>
      </c>
      <c r="C752" s="6" t="str">
        <f>VLOOKUP(B750,'Veri doğrulama'!D6:E13,2,0)</f>
        <v>MEHMET YAZICI</v>
      </c>
      <c r="D752" s="6" t="s">
        <v>554</v>
      </c>
      <c r="E752" s="6" t="s">
        <v>513</v>
      </c>
      <c r="F752" s="6" t="s">
        <v>13</v>
      </c>
      <c r="G752" s="6" t="s">
        <v>34</v>
      </c>
      <c r="H752" s="6">
        <v>650</v>
      </c>
      <c r="I752" s="6">
        <v>500</v>
      </c>
      <c r="J752" s="6">
        <v>1</v>
      </c>
      <c r="K752" s="10">
        <f t="shared" si="25"/>
        <v>2.6741000000000001</v>
      </c>
      <c r="L752" s="6" t="s">
        <v>39</v>
      </c>
      <c r="M752" s="6" t="s">
        <v>385</v>
      </c>
      <c r="N752" s="6" t="s">
        <v>54</v>
      </c>
      <c r="O752" s="6" t="s">
        <v>54</v>
      </c>
      <c r="P752" s="6" t="s">
        <v>54</v>
      </c>
    </row>
    <row r="753" spans="1:16" ht="30" customHeight="1" x14ac:dyDescent="0.3">
      <c r="A753" s="7">
        <v>45720.33648622685</v>
      </c>
      <c r="B753" s="6" t="s">
        <v>4</v>
      </c>
      <c r="C753" s="6" t="str">
        <f>VLOOKUP(B751,'Veri doğrulama'!D6:E13,2,0)</f>
        <v>MEHMET ÖZEN</v>
      </c>
      <c r="D753" s="6"/>
      <c r="E753" s="6" t="s">
        <v>507</v>
      </c>
      <c r="F753" s="6" t="s">
        <v>13</v>
      </c>
      <c r="G753" s="6" t="s">
        <v>34</v>
      </c>
      <c r="H753" s="6">
        <v>785</v>
      </c>
      <c r="I753" s="6">
        <v>415</v>
      </c>
      <c r="J753" s="6">
        <v>1</v>
      </c>
      <c r="K753" s="10">
        <f t="shared" si="25"/>
        <v>0.32500000000000001</v>
      </c>
      <c r="L753" s="6" t="s">
        <v>41</v>
      </c>
      <c r="M753" s="6" t="s">
        <v>508</v>
      </c>
      <c r="N753" s="6" t="s">
        <v>54</v>
      </c>
      <c r="O753" s="6" t="s">
        <v>54</v>
      </c>
      <c r="P753" s="6"/>
    </row>
    <row r="754" spans="1:16" ht="30" customHeight="1" x14ac:dyDescent="0.3">
      <c r="A754" s="7">
        <v>45719.690017129629</v>
      </c>
      <c r="B754" s="6" t="s">
        <v>4</v>
      </c>
      <c r="C754" s="6" t="str">
        <f>VLOOKUP(B752,'Veri doğrulama'!D6:E13,2,0)</f>
        <v>MEHMET YAZICI</v>
      </c>
      <c r="D754" s="6" t="s">
        <v>516</v>
      </c>
      <c r="E754" s="6" t="s">
        <v>172</v>
      </c>
      <c r="F754" s="6" t="s">
        <v>24</v>
      </c>
      <c r="G754" s="6" t="s">
        <v>34</v>
      </c>
      <c r="H754" s="6">
        <v>1790</v>
      </c>
      <c r="I754" s="6">
        <v>840</v>
      </c>
      <c r="J754" s="6">
        <v>1</v>
      </c>
      <c r="K754" s="10">
        <f t="shared" si="25"/>
        <v>0.32577499999999998</v>
      </c>
      <c r="L754" s="6" t="s">
        <v>103</v>
      </c>
      <c r="M754" s="6" t="s">
        <v>399</v>
      </c>
      <c r="N754" s="6" t="s">
        <v>54</v>
      </c>
      <c r="O754" s="6" t="s">
        <v>54</v>
      </c>
      <c r="P754" s="6" t="s">
        <v>54</v>
      </c>
    </row>
    <row r="755" spans="1:16" ht="30" customHeight="1" x14ac:dyDescent="0.3">
      <c r="A755" s="7">
        <v>45719.68946898148</v>
      </c>
      <c r="B755" s="6" t="s">
        <v>4</v>
      </c>
      <c r="C755" s="6" t="str">
        <f>VLOOKUP(B753,'Veri doğrulama'!D6:E13,2,0)</f>
        <v>MEHMET YAZICI</v>
      </c>
      <c r="D755" s="6"/>
      <c r="E755" s="6" t="s">
        <v>518</v>
      </c>
      <c r="F755" s="6" t="s">
        <v>16</v>
      </c>
      <c r="G755" s="6" t="s">
        <v>34</v>
      </c>
      <c r="H755" s="6">
        <v>700</v>
      </c>
      <c r="I755" s="6">
        <v>397</v>
      </c>
      <c r="J755" s="6">
        <v>1</v>
      </c>
      <c r="K755" s="10">
        <f t="shared" si="25"/>
        <v>1.5036</v>
      </c>
      <c r="L755" s="6" t="s">
        <v>103</v>
      </c>
      <c r="M755" s="6" t="s">
        <v>339</v>
      </c>
      <c r="N755" s="6" t="s">
        <v>54</v>
      </c>
      <c r="O755" s="6" t="s">
        <v>54</v>
      </c>
      <c r="P755" s="6" t="s">
        <v>54</v>
      </c>
    </row>
    <row r="756" spans="1:16" ht="30" customHeight="1" x14ac:dyDescent="0.3">
      <c r="A756" s="7">
        <v>45716.613649074076</v>
      </c>
      <c r="B756" s="6" t="s">
        <v>4</v>
      </c>
      <c r="C756" s="6" t="str">
        <f>VLOOKUP(B754,'Veri doğrulama'!D6:E13,2,0)</f>
        <v>MEHMET YAZICI</v>
      </c>
      <c r="D756" s="6"/>
      <c r="E756" s="6" t="s">
        <v>579</v>
      </c>
      <c r="F756" s="6" t="s">
        <v>15</v>
      </c>
      <c r="G756" s="6" t="s">
        <v>34</v>
      </c>
      <c r="H756" s="6">
        <v>550</v>
      </c>
      <c r="I756" s="6">
        <v>150</v>
      </c>
      <c r="J756" s="6">
        <v>1</v>
      </c>
      <c r="K756" s="10">
        <f t="shared" si="25"/>
        <v>0.55579999999999996</v>
      </c>
      <c r="L756" s="6" t="s">
        <v>43</v>
      </c>
      <c r="M756" s="6" t="s">
        <v>399</v>
      </c>
      <c r="N756" s="6" t="s">
        <v>54</v>
      </c>
      <c r="O756" s="6" t="s">
        <v>54</v>
      </c>
      <c r="P756" s="6"/>
    </row>
    <row r="757" spans="1:16" ht="30" customHeight="1" x14ac:dyDescent="0.3">
      <c r="A757" s="7">
        <v>45716.487751967594</v>
      </c>
      <c r="B757" s="6" t="s">
        <v>5</v>
      </c>
      <c r="C757" s="6" t="str">
        <f>VLOOKUP(B755,'Veri doğrulama'!D6:E13,2,0)</f>
        <v>MEHMET YAZICI</v>
      </c>
      <c r="D757" s="6" t="s">
        <v>521</v>
      </c>
      <c r="E757" s="6" t="s">
        <v>502</v>
      </c>
      <c r="F757" s="6" t="s">
        <v>16</v>
      </c>
      <c r="G757" s="6" t="s">
        <v>35</v>
      </c>
      <c r="H757" s="6">
        <v>1570</v>
      </c>
      <c r="I757" s="6">
        <v>460</v>
      </c>
      <c r="J757" s="6">
        <v>2</v>
      </c>
      <c r="K757" s="10">
        <f t="shared" si="25"/>
        <v>8.2500000000000004E-2</v>
      </c>
      <c r="L757" s="6" t="s">
        <v>102</v>
      </c>
      <c r="M757" s="6" t="s">
        <v>503</v>
      </c>
      <c r="N757" s="6" t="s">
        <v>54</v>
      </c>
      <c r="O757" s="6" t="s">
        <v>54</v>
      </c>
      <c r="P757" s="6"/>
    </row>
    <row r="758" spans="1:16" ht="30" customHeight="1" x14ac:dyDescent="0.3">
      <c r="A758" s="7">
        <v>45716.468261805552</v>
      </c>
      <c r="B758" s="6" t="s">
        <v>5</v>
      </c>
      <c r="C758" s="6" t="str">
        <f>VLOOKUP(B756,'Veri doğrulama'!D6:E13,2,0)</f>
        <v>MEHMET YAZICI</v>
      </c>
      <c r="D758" s="6"/>
      <c r="E758" s="6" t="s">
        <v>515</v>
      </c>
      <c r="F758" s="6" t="s">
        <v>18</v>
      </c>
      <c r="G758" s="6" t="s">
        <v>34</v>
      </c>
      <c r="H758" s="6">
        <v>2020</v>
      </c>
      <c r="I758" s="6">
        <v>1420</v>
      </c>
      <c r="J758" s="6">
        <v>1</v>
      </c>
      <c r="K758" s="10">
        <f t="shared" si="25"/>
        <v>0.72219999999999995</v>
      </c>
      <c r="L758" s="6" t="s">
        <v>102</v>
      </c>
      <c r="M758" s="6" t="s">
        <v>468</v>
      </c>
      <c r="N758" s="6" t="s">
        <v>54</v>
      </c>
      <c r="O758" s="6" t="s">
        <v>54</v>
      </c>
      <c r="P758" s="6" t="s">
        <v>54</v>
      </c>
    </row>
    <row r="759" spans="1:16" ht="30" customHeight="1" x14ac:dyDescent="0.3">
      <c r="A759" s="7">
        <v>45716.435008912034</v>
      </c>
      <c r="B759" s="6" t="s">
        <v>5</v>
      </c>
      <c r="C759" s="6" t="str">
        <f>VLOOKUP(B757,'Veri doğrulama'!D6:E13,2,0)</f>
        <v>MEHMET ÖZEN</v>
      </c>
      <c r="D759" s="6"/>
      <c r="E759" s="6" t="s">
        <v>549</v>
      </c>
      <c r="F759" s="6" t="s">
        <v>27</v>
      </c>
      <c r="G759" s="6" t="s">
        <v>34</v>
      </c>
      <c r="H759" s="6">
        <v>900</v>
      </c>
      <c r="I759" s="6">
        <v>600</v>
      </c>
      <c r="J759" s="6">
        <v>1</v>
      </c>
      <c r="K759" s="10">
        <f t="shared" si="25"/>
        <v>2.8683999999999998</v>
      </c>
      <c r="L759" s="6" t="s">
        <v>38</v>
      </c>
      <c r="M759" s="6"/>
      <c r="N759" s="6" t="s">
        <v>54</v>
      </c>
      <c r="O759" s="6" t="s">
        <v>54</v>
      </c>
      <c r="P759" s="6" t="s">
        <v>54</v>
      </c>
    </row>
    <row r="760" spans="1:16" ht="30" customHeight="1" x14ac:dyDescent="0.3">
      <c r="A760" s="7">
        <v>45715.714066319444</v>
      </c>
      <c r="B760" s="6" t="s">
        <v>7</v>
      </c>
      <c r="C760" s="6" t="str">
        <f>VLOOKUP(B758,'Veri doğrulama'!D6:E13,2,0)</f>
        <v>MEHMET ÖZEN</v>
      </c>
      <c r="D760" s="6" t="s">
        <v>517</v>
      </c>
      <c r="E760" s="6" t="s">
        <v>498</v>
      </c>
      <c r="F760" s="6" t="s">
        <v>18</v>
      </c>
      <c r="G760" s="6" t="s">
        <v>35</v>
      </c>
      <c r="H760" s="6">
        <v>1200</v>
      </c>
      <c r="I760" s="6">
        <v>700</v>
      </c>
      <c r="J760" s="6">
        <v>1</v>
      </c>
      <c r="K760" s="10">
        <f t="shared" si="25"/>
        <v>0.54</v>
      </c>
      <c r="L760" s="6" t="s">
        <v>43</v>
      </c>
      <c r="M760" s="6" t="s">
        <v>209</v>
      </c>
      <c r="N760" s="6" t="s">
        <v>54</v>
      </c>
      <c r="O760" s="6" t="s">
        <v>54</v>
      </c>
      <c r="P760" s="6" t="s">
        <v>54</v>
      </c>
    </row>
    <row r="761" spans="1:16" ht="30" customHeight="1" x14ac:dyDescent="0.3">
      <c r="A761" s="7">
        <v>45715.711108449075</v>
      </c>
      <c r="B761" s="6" t="s">
        <v>4</v>
      </c>
      <c r="C761" s="6" t="str">
        <f>VLOOKUP(B759,'Veri doğrulama'!D6:E13,2,0)</f>
        <v>MEHMET ÖZEN</v>
      </c>
      <c r="D761" s="6" t="s">
        <v>551</v>
      </c>
      <c r="E761" s="6" t="s">
        <v>533</v>
      </c>
      <c r="F761" s="6" t="s">
        <v>14</v>
      </c>
      <c r="G761" s="6" t="s">
        <v>34</v>
      </c>
      <c r="H761" s="6">
        <v>355</v>
      </c>
      <c r="I761" s="6">
        <v>379</v>
      </c>
      <c r="J761" s="6">
        <v>1</v>
      </c>
      <c r="K761" s="10">
        <f t="shared" si="25"/>
        <v>0.84</v>
      </c>
      <c r="L761" s="6" t="s">
        <v>37</v>
      </c>
      <c r="M761" s="6" t="s">
        <v>389</v>
      </c>
      <c r="N761" s="6" t="s">
        <v>54</v>
      </c>
      <c r="O761" s="6" t="s">
        <v>54</v>
      </c>
      <c r="P761" s="6" t="s">
        <v>54</v>
      </c>
    </row>
    <row r="762" spans="1:16" ht="30" customHeight="1" x14ac:dyDescent="0.3">
      <c r="A762" s="7">
        <v>45715.677843750003</v>
      </c>
      <c r="B762" s="6" t="s">
        <v>5</v>
      </c>
      <c r="C762" s="6" t="str">
        <f>VLOOKUP(B760,'Veri doğrulama'!D6:E13,2,0)</f>
        <v>SIDDIK KAPLAN</v>
      </c>
      <c r="D762" s="6"/>
      <c r="E762" s="6" t="s">
        <v>499</v>
      </c>
      <c r="F762" s="6" t="s">
        <v>16</v>
      </c>
      <c r="G762" s="6" t="s">
        <v>34</v>
      </c>
      <c r="H762" s="6">
        <v>2163</v>
      </c>
      <c r="I762" s="6">
        <v>699</v>
      </c>
      <c r="J762" s="6">
        <v>1</v>
      </c>
      <c r="K762" s="10">
        <f t="shared" si="25"/>
        <v>0.26909</v>
      </c>
      <c r="L762" s="6" t="s">
        <v>43</v>
      </c>
      <c r="M762" s="6"/>
      <c r="N762" s="6" t="s">
        <v>54</v>
      </c>
      <c r="O762" s="6" t="s">
        <v>54</v>
      </c>
      <c r="P762" s="6"/>
    </row>
    <row r="763" spans="1:16" ht="30" customHeight="1" x14ac:dyDescent="0.3">
      <c r="A763" s="7">
        <v>45715.605452083335</v>
      </c>
      <c r="B763" s="6" t="s">
        <v>4</v>
      </c>
      <c r="C763" s="6" t="str">
        <f>VLOOKUP(B761,'Veri doğrulama'!D6:E13,2,0)</f>
        <v>MEHMET YAZICI</v>
      </c>
      <c r="D763" s="6"/>
      <c r="E763" s="6" t="s">
        <v>511</v>
      </c>
      <c r="F763" s="6" t="s">
        <v>26</v>
      </c>
      <c r="G763" s="6" t="s">
        <v>35</v>
      </c>
      <c r="H763" s="6">
        <v>630</v>
      </c>
      <c r="I763" s="6">
        <v>404</v>
      </c>
      <c r="J763" s="6">
        <v>2</v>
      </c>
      <c r="K763" s="10">
        <f t="shared" si="25"/>
        <v>1.5119370000000001</v>
      </c>
      <c r="L763" s="6" t="s">
        <v>102</v>
      </c>
      <c r="M763" s="6" t="s">
        <v>159</v>
      </c>
      <c r="N763" s="6" t="s">
        <v>54</v>
      </c>
      <c r="O763" s="6" t="s">
        <v>54</v>
      </c>
      <c r="P763" s="6" t="s">
        <v>54</v>
      </c>
    </row>
    <row r="764" spans="1:16" ht="30" customHeight="1" x14ac:dyDescent="0.3">
      <c r="A764" s="7">
        <v>45715.604971875</v>
      </c>
      <c r="B764" s="6" t="s">
        <v>7</v>
      </c>
      <c r="C764" s="6" t="str">
        <f>VLOOKUP(B762,'Veri doğrulama'!D6:E13,2,0)</f>
        <v>MEHMET ÖZEN</v>
      </c>
      <c r="D764" s="6" t="s">
        <v>501</v>
      </c>
      <c r="E764" s="6" t="s">
        <v>500</v>
      </c>
      <c r="F764" s="6" t="s">
        <v>15</v>
      </c>
      <c r="G764" s="6" t="s">
        <v>34</v>
      </c>
      <c r="H764" s="6">
        <v>1620</v>
      </c>
      <c r="I764" s="6">
        <v>1520</v>
      </c>
      <c r="J764" s="6">
        <v>1</v>
      </c>
      <c r="K764" s="10">
        <f t="shared" si="25"/>
        <v>0.50904000000000005</v>
      </c>
      <c r="L764" s="6" t="s">
        <v>75</v>
      </c>
      <c r="M764" s="6"/>
      <c r="N764" s="6" t="s">
        <v>54</v>
      </c>
      <c r="O764" s="6" t="s">
        <v>54</v>
      </c>
      <c r="P764" s="6"/>
    </row>
    <row r="765" spans="1:16" ht="30" customHeight="1" x14ac:dyDescent="0.3">
      <c r="A765" s="7">
        <v>45715.559750115739</v>
      </c>
      <c r="B765" s="6" t="s">
        <v>7</v>
      </c>
      <c r="C765" s="6" t="str">
        <f>VLOOKUP(B763,'Veri doğrulama'!D6:E13,2,0)</f>
        <v>MEHMET YAZICI</v>
      </c>
      <c r="D765" s="6" t="s">
        <v>514</v>
      </c>
      <c r="E765" s="6" t="s">
        <v>489</v>
      </c>
      <c r="F765" s="6" t="s">
        <v>15</v>
      </c>
      <c r="G765" s="6" t="s">
        <v>34</v>
      </c>
      <c r="H765" s="6">
        <v>1800</v>
      </c>
      <c r="I765" s="6">
        <v>450</v>
      </c>
      <c r="J765" s="6">
        <v>2</v>
      </c>
      <c r="K765" s="10">
        <f t="shared" si="25"/>
        <v>4.9248000000000003</v>
      </c>
      <c r="L765" s="6" t="s">
        <v>75</v>
      </c>
      <c r="M765" s="6" t="s">
        <v>209</v>
      </c>
      <c r="N765" s="6" t="s">
        <v>54</v>
      </c>
      <c r="O765" s="6" t="s">
        <v>54</v>
      </c>
      <c r="P765" s="6" t="s">
        <v>54</v>
      </c>
    </row>
    <row r="766" spans="1:16" ht="30" customHeight="1" x14ac:dyDescent="0.3">
      <c r="A766" s="7">
        <v>45715.457381250002</v>
      </c>
      <c r="B766" s="6" t="s">
        <v>4</v>
      </c>
      <c r="C766" s="6" t="str">
        <f>VLOOKUP(B764,'Veri doğrulama'!D6:E13,2,0)</f>
        <v>SIDDIK KAPLAN</v>
      </c>
      <c r="D766" s="6"/>
      <c r="E766" s="6" t="s">
        <v>584</v>
      </c>
      <c r="F766" s="6" t="s">
        <v>23</v>
      </c>
      <c r="G766" s="6" t="s">
        <v>34</v>
      </c>
      <c r="H766" s="6">
        <v>720</v>
      </c>
      <c r="I766" s="6">
        <v>340</v>
      </c>
      <c r="J766" s="6">
        <v>2</v>
      </c>
      <c r="K766" s="10">
        <f t="shared" si="25"/>
        <v>0.81</v>
      </c>
      <c r="L766" s="6" t="s">
        <v>102</v>
      </c>
      <c r="M766" s="6" t="s">
        <v>385</v>
      </c>
      <c r="N766" s="6" t="s">
        <v>54</v>
      </c>
      <c r="O766" s="6" t="s">
        <v>54</v>
      </c>
      <c r="P766" s="6" t="s">
        <v>54</v>
      </c>
    </row>
    <row r="767" spans="1:16" ht="30" customHeight="1" x14ac:dyDescent="0.3">
      <c r="A767" s="7">
        <v>45715.378590740744</v>
      </c>
      <c r="B767" s="6" t="s">
        <v>4</v>
      </c>
      <c r="C767" s="6" t="str">
        <f>VLOOKUP(B765,'Veri doğrulama'!D6:E13,2,0)</f>
        <v>SIDDIK KAPLAN</v>
      </c>
      <c r="D767" s="6"/>
      <c r="E767" s="6" t="s">
        <v>262</v>
      </c>
      <c r="F767" s="6" t="s">
        <v>17</v>
      </c>
      <c r="G767" s="6" t="s">
        <v>34</v>
      </c>
      <c r="H767" s="6">
        <v>518</v>
      </c>
      <c r="I767" s="6">
        <v>397</v>
      </c>
      <c r="J767" s="6">
        <v>1</v>
      </c>
      <c r="K767" s="10">
        <f t="shared" si="25"/>
        <v>0.24479999999999999</v>
      </c>
      <c r="L767" s="6" t="s">
        <v>43</v>
      </c>
      <c r="M767" s="6" t="s">
        <v>389</v>
      </c>
      <c r="N767" s="6" t="s">
        <v>54</v>
      </c>
      <c r="O767" s="6" t="s">
        <v>54</v>
      </c>
      <c r="P767" s="6"/>
    </row>
    <row r="768" spans="1:16" ht="30" customHeight="1" x14ac:dyDescent="0.3">
      <c r="A768" s="7">
        <v>45714.730216203701</v>
      </c>
      <c r="B768" s="6" t="s">
        <v>7</v>
      </c>
      <c r="C768" s="6" t="str">
        <f>VLOOKUP(B766,'Veri doğrulama'!D6:E13,2,0)</f>
        <v>MEHMET YAZICI</v>
      </c>
      <c r="D768" s="6"/>
      <c r="E768" s="6" t="s">
        <v>490</v>
      </c>
      <c r="F768" s="6" t="s">
        <v>26</v>
      </c>
      <c r="G768" s="6" t="s">
        <v>34</v>
      </c>
      <c r="H768" s="6">
        <v>650</v>
      </c>
      <c r="I768" s="6">
        <v>500</v>
      </c>
      <c r="J768" s="6">
        <v>1</v>
      </c>
      <c r="K768" s="10">
        <f t="shared" si="25"/>
        <v>0.205646</v>
      </c>
      <c r="L768" s="6" t="s">
        <v>75</v>
      </c>
      <c r="M768" s="6" t="s">
        <v>505</v>
      </c>
      <c r="N768" s="6" t="s">
        <v>54</v>
      </c>
      <c r="O768" s="6" t="s">
        <v>54</v>
      </c>
    </row>
    <row r="769" spans="1:16" ht="30" customHeight="1" x14ac:dyDescent="0.3">
      <c r="A769" s="7">
        <v>45714.571422222223</v>
      </c>
      <c r="B769" s="6" t="s">
        <v>4</v>
      </c>
      <c r="C769" s="6" t="str">
        <f>VLOOKUP(B767,'Veri doğrulama'!D6:E13,2,0)</f>
        <v>MEHMET YAZICI</v>
      </c>
      <c r="D769" s="6" t="s">
        <v>519</v>
      </c>
      <c r="E769" s="6" t="s">
        <v>493</v>
      </c>
      <c r="F769" s="6" t="s">
        <v>18</v>
      </c>
      <c r="G769" s="6" t="s">
        <v>34</v>
      </c>
      <c r="H769" s="6">
        <v>1100</v>
      </c>
      <c r="I769" s="6">
        <v>360</v>
      </c>
      <c r="J769" s="6">
        <v>1</v>
      </c>
      <c r="K769" s="10">
        <f t="shared" si="25"/>
        <v>0.32500000000000001</v>
      </c>
      <c r="L769" s="6" t="s">
        <v>156</v>
      </c>
      <c r="M769" s="6" t="s">
        <v>494</v>
      </c>
      <c r="N769" s="6" t="s">
        <v>54</v>
      </c>
      <c r="O769" s="6" t="s">
        <v>54</v>
      </c>
      <c r="P769" s="6" t="s">
        <v>54</v>
      </c>
    </row>
    <row r="770" spans="1:16" ht="30" customHeight="1" x14ac:dyDescent="0.3">
      <c r="A770" s="7">
        <v>45714.406902314811</v>
      </c>
      <c r="B770" s="6" t="s">
        <v>5</v>
      </c>
      <c r="C770" s="6" t="str">
        <f>VLOOKUP(B768,'Veri doğrulama'!D6:E13,2,0)</f>
        <v>SIDDIK KAPLAN</v>
      </c>
      <c r="D770" s="6"/>
      <c r="E770" s="6" t="s">
        <v>491</v>
      </c>
      <c r="F770" s="6" t="s">
        <v>16</v>
      </c>
      <c r="G770" s="6" t="s">
        <v>34</v>
      </c>
      <c r="H770" s="6">
        <v>1990</v>
      </c>
      <c r="I770" s="6">
        <v>840</v>
      </c>
      <c r="J770" s="6">
        <v>1</v>
      </c>
      <c r="K770" s="10">
        <f t="shared" si="25"/>
        <v>0.79200000000000004</v>
      </c>
      <c r="L770" s="6" t="s">
        <v>43</v>
      </c>
      <c r="M770" s="6"/>
      <c r="N770" s="6" t="s">
        <v>54</v>
      </c>
      <c r="O770" s="6" t="s">
        <v>54</v>
      </c>
      <c r="P770" s="6" t="s">
        <v>54</v>
      </c>
    </row>
    <row r="771" spans="1:16" ht="30" customHeight="1" x14ac:dyDescent="0.3">
      <c r="A771" s="7">
        <v>45714.384835069446</v>
      </c>
      <c r="B771" s="6" t="s">
        <v>81</v>
      </c>
      <c r="C771" s="6" t="str">
        <f>VLOOKUP(B769,'Veri doğrulama'!D6:E13,2,0)</f>
        <v>MEHMET YAZICI</v>
      </c>
      <c r="D771" s="6"/>
      <c r="E771" s="6" t="s">
        <v>55</v>
      </c>
      <c r="F771" s="6" t="s">
        <v>16</v>
      </c>
      <c r="G771" s="6" t="s">
        <v>34</v>
      </c>
      <c r="H771" s="6">
        <v>870</v>
      </c>
      <c r="I771" s="6">
        <v>1770</v>
      </c>
      <c r="J771" s="6">
        <v>2</v>
      </c>
      <c r="K771" s="10">
        <f t="shared" si="25"/>
        <v>1.6716</v>
      </c>
      <c r="L771" s="6" t="s">
        <v>43</v>
      </c>
      <c r="M771" s="6" t="s">
        <v>481</v>
      </c>
      <c r="N771" s="6" t="s">
        <v>54</v>
      </c>
      <c r="O771" s="6" t="s">
        <v>54</v>
      </c>
      <c r="P771" s="6"/>
    </row>
    <row r="772" spans="1:16" ht="30" customHeight="1" x14ac:dyDescent="0.3">
      <c r="A772" s="7">
        <v>45714.353488194443</v>
      </c>
      <c r="B772" s="6" t="s">
        <v>5</v>
      </c>
      <c r="C772" s="6" t="str">
        <f>VLOOKUP(B770,'Veri doğrulama'!D6:E13,2,0)</f>
        <v>MEHMET ÖZEN</v>
      </c>
      <c r="D772" s="6">
        <v>21429</v>
      </c>
      <c r="E772" s="6" t="s">
        <v>486</v>
      </c>
      <c r="F772" s="6" t="s">
        <v>23</v>
      </c>
      <c r="G772" s="6" t="s">
        <v>34</v>
      </c>
      <c r="H772" s="6">
        <v>539</v>
      </c>
      <c r="I772" s="6">
        <v>250</v>
      </c>
      <c r="J772" s="6">
        <v>1</v>
      </c>
      <c r="K772" s="10">
        <f t="shared" ref="K772:K803" si="26">H771*I771/1000000*J773</f>
        <v>1.5399</v>
      </c>
      <c r="L772" s="6" t="s">
        <v>43</v>
      </c>
      <c r="M772" s="6"/>
      <c r="N772" s="6" t="s">
        <v>54</v>
      </c>
      <c r="O772" s="6" t="s">
        <v>54</v>
      </c>
      <c r="P772" s="6"/>
    </row>
    <row r="773" spans="1:16" ht="30" customHeight="1" x14ac:dyDescent="0.3">
      <c r="A773" s="7">
        <v>45714.348981828705</v>
      </c>
      <c r="B773" s="6" t="s">
        <v>81</v>
      </c>
      <c r="C773" s="6" t="str">
        <f>VLOOKUP(B771,'Veri doğrulama'!D6:E13,2,0)</f>
        <v>İBRAHİM ÇELİK</v>
      </c>
      <c r="D773" s="6"/>
      <c r="E773" s="6" t="s">
        <v>480</v>
      </c>
      <c r="F773" s="6" t="s">
        <v>16</v>
      </c>
      <c r="G773" s="6" t="s">
        <v>34</v>
      </c>
      <c r="H773" s="6">
        <v>1070</v>
      </c>
      <c r="I773" s="6">
        <v>320</v>
      </c>
      <c r="J773" s="6">
        <v>1</v>
      </c>
      <c r="K773" s="10">
        <f t="shared" si="26"/>
        <v>0.26950000000000002</v>
      </c>
      <c r="L773" s="6" t="s">
        <v>43</v>
      </c>
      <c r="M773" s="6" t="s">
        <v>481</v>
      </c>
      <c r="N773" s="6" t="s">
        <v>54</v>
      </c>
      <c r="O773" s="6" t="s">
        <v>54</v>
      </c>
      <c r="P773" s="6"/>
    </row>
    <row r="774" spans="1:16" ht="30" customHeight="1" x14ac:dyDescent="0.3">
      <c r="A774" s="7">
        <v>45713.757180671295</v>
      </c>
      <c r="B774" s="6" t="s">
        <v>4</v>
      </c>
      <c r="C774" s="6" t="str">
        <f>VLOOKUP(B772,'Veri doğrulama'!D6:E13,2,0)</f>
        <v>MEHMET ÖZEN</v>
      </c>
      <c r="D774" s="6"/>
      <c r="E774" s="6" t="s">
        <v>124</v>
      </c>
      <c r="F774" s="6" t="s">
        <v>16</v>
      </c>
      <c r="G774" s="6" t="s">
        <v>34</v>
      </c>
      <c r="H774" s="6">
        <v>499</v>
      </c>
      <c r="I774" s="6">
        <v>264</v>
      </c>
      <c r="J774" s="6">
        <v>2</v>
      </c>
      <c r="K774" s="10">
        <f t="shared" si="26"/>
        <v>0.68479999999999996</v>
      </c>
      <c r="L774" s="6" t="s">
        <v>103</v>
      </c>
      <c r="M774" s="6" t="s">
        <v>385</v>
      </c>
      <c r="N774" s="6" t="s">
        <v>54</v>
      </c>
      <c r="O774" s="6" t="s">
        <v>54</v>
      </c>
      <c r="P774" s="6" t="s">
        <v>54</v>
      </c>
    </row>
    <row r="775" spans="1:16" ht="30" customHeight="1" x14ac:dyDescent="0.3">
      <c r="A775" s="7">
        <v>45713.355842245372</v>
      </c>
      <c r="B775" s="6" t="s">
        <v>7</v>
      </c>
      <c r="C775" s="6" t="str">
        <f>VLOOKUP(B773,'Veri doğrulama'!D6:E13,2,0)</f>
        <v>İBRAHİM ÇELİK</v>
      </c>
      <c r="D775" s="6">
        <v>21429</v>
      </c>
      <c r="E775" s="6" t="s">
        <v>492</v>
      </c>
      <c r="F775" s="6" t="s">
        <v>14</v>
      </c>
      <c r="G775" s="6" t="s">
        <v>34</v>
      </c>
      <c r="H775" s="6">
        <v>1200</v>
      </c>
      <c r="I775" s="6">
        <v>800</v>
      </c>
      <c r="J775" s="6">
        <v>2</v>
      </c>
      <c r="K775" s="10">
        <f t="shared" si="26"/>
        <v>0.52694399999999997</v>
      </c>
      <c r="L775" s="6" t="s">
        <v>43</v>
      </c>
      <c r="M775" s="6"/>
      <c r="N775" s="6" t="s">
        <v>54</v>
      </c>
      <c r="O775" s="6" t="s">
        <v>54</v>
      </c>
      <c r="P775" s="6"/>
    </row>
    <row r="776" spans="1:16" ht="30" customHeight="1" x14ac:dyDescent="0.3">
      <c r="A776" s="7">
        <v>45712.692974074074</v>
      </c>
      <c r="B776" s="6" t="s">
        <v>7</v>
      </c>
      <c r="C776" s="6" t="str">
        <f>VLOOKUP(B774,'Veri doğrulama'!D6:E13,2,0)</f>
        <v>MEHMET YAZICI</v>
      </c>
      <c r="D776" s="6"/>
      <c r="E776" s="6" t="s">
        <v>504</v>
      </c>
      <c r="F776" s="6" t="s">
        <v>24</v>
      </c>
      <c r="G776" s="6" t="s">
        <v>34</v>
      </c>
      <c r="H776" s="6">
        <v>2000</v>
      </c>
      <c r="I776" s="6">
        <v>840</v>
      </c>
      <c r="J776" s="6">
        <v>4</v>
      </c>
      <c r="K776" s="10">
        <f t="shared" si="26"/>
        <v>0.96</v>
      </c>
      <c r="L776" s="6" t="s">
        <v>75</v>
      </c>
      <c r="M776" s="6" t="s">
        <v>209</v>
      </c>
      <c r="N776" s="6" t="s">
        <v>54</v>
      </c>
      <c r="O776" s="6" t="s">
        <v>54</v>
      </c>
      <c r="P776" s="6"/>
    </row>
    <row r="777" spans="1:16" ht="30" customHeight="1" x14ac:dyDescent="0.3">
      <c r="A777" s="7">
        <v>45712.577259606478</v>
      </c>
      <c r="B777" s="6" t="s">
        <v>5</v>
      </c>
      <c r="C777" s="6" t="str">
        <f>VLOOKUP(B775,'Veri doğrulama'!D6:E13,2,0)</f>
        <v>SIDDIK KAPLAN</v>
      </c>
      <c r="D777" s="6" t="s">
        <v>495</v>
      </c>
      <c r="E777" s="6" t="s">
        <v>487</v>
      </c>
      <c r="F777" s="6" t="s">
        <v>15</v>
      </c>
      <c r="G777" s="6" t="s">
        <v>34</v>
      </c>
      <c r="H777" s="6">
        <v>1500</v>
      </c>
      <c r="I777" s="6">
        <v>500</v>
      </c>
      <c r="J777" s="6">
        <v>1</v>
      </c>
      <c r="K777" s="10">
        <f t="shared" si="26"/>
        <v>1.68</v>
      </c>
      <c r="L777" s="6" t="s">
        <v>43</v>
      </c>
      <c r="M777" s="6" t="s">
        <v>488</v>
      </c>
      <c r="N777" s="6" t="s">
        <v>54</v>
      </c>
      <c r="O777" s="6" t="s">
        <v>54</v>
      </c>
      <c r="P777" s="6" t="s">
        <v>54</v>
      </c>
    </row>
    <row r="778" spans="1:16" ht="30" customHeight="1" x14ac:dyDescent="0.3">
      <c r="A778" s="7">
        <v>45712.57622210648</v>
      </c>
      <c r="B778" s="6" t="s">
        <v>4</v>
      </c>
      <c r="C778" s="6" t="str">
        <f>VLOOKUP(B776,'Veri doğrulama'!D6:E13,2,0)</f>
        <v>SIDDIK KAPLAN</v>
      </c>
      <c r="D778" s="6"/>
      <c r="E778" s="6" t="s">
        <v>100</v>
      </c>
      <c r="F778" s="6" t="s">
        <v>14</v>
      </c>
      <c r="G778" s="6" t="s">
        <v>34</v>
      </c>
      <c r="H778" s="6">
        <v>735</v>
      </c>
      <c r="I778" s="6">
        <v>397</v>
      </c>
      <c r="J778" s="6">
        <v>1</v>
      </c>
      <c r="K778" s="10">
        <f t="shared" si="26"/>
        <v>0.75</v>
      </c>
      <c r="L778" s="6" t="s">
        <v>43</v>
      </c>
      <c r="M778" s="6" t="s">
        <v>385</v>
      </c>
      <c r="N778" s="6" t="s">
        <v>54</v>
      </c>
      <c r="O778" s="6" t="s">
        <v>54</v>
      </c>
      <c r="P778" s="6" t="s">
        <v>54</v>
      </c>
    </row>
    <row r="779" spans="1:16" ht="30" customHeight="1" x14ac:dyDescent="0.3">
      <c r="A779" s="7">
        <v>45712.488504398149</v>
      </c>
      <c r="B779" s="6" t="s">
        <v>4</v>
      </c>
      <c r="C779" s="6" t="str">
        <f>VLOOKUP(B777,'Veri doğrulama'!D6:E13,2,0)</f>
        <v>MEHMET ÖZEN</v>
      </c>
      <c r="D779" s="6"/>
      <c r="E779" s="6" t="s">
        <v>477</v>
      </c>
      <c r="F779" s="6" t="s">
        <v>16</v>
      </c>
      <c r="G779" s="6" t="s">
        <v>34</v>
      </c>
      <c r="H779" s="6">
        <v>2600</v>
      </c>
      <c r="I779" s="6">
        <v>900</v>
      </c>
      <c r="J779" s="6">
        <v>1</v>
      </c>
      <c r="K779" s="10">
        <f t="shared" si="26"/>
        <v>0.29179500000000003</v>
      </c>
      <c r="L779" s="6" t="s">
        <v>41</v>
      </c>
      <c r="M779" s="6" t="s">
        <v>159</v>
      </c>
      <c r="N779" s="6" t="s">
        <v>54</v>
      </c>
      <c r="O779" s="6" t="s">
        <v>54</v>
      </c>
      <c r="P779" s="6"/>
    </row>
    <row r="780" spans="1:16" ht="30" customHeight="1" x14ac:dyDescent="0.3">
      <c r="A780" s="7">
        <v>45712.401949884261</v>
      </c>
      <c r="B780" s="6" t="s">
        <v>5</v>
      </c>
      <c r="C780" s="6" t="str">
        <f>VLOOKUP(B778,'Veri doğrulama'!D6:E13,2,0)</f>
        <v>MEHMET YAZICI</v>
      </c>
      <c r="D780" s="6" t="s">
        <v>478</v>
      </c>
      <c r="E780" s="6" t="s">
        <v>484</v>
      </c>
      <c r="F780" s="6" t="s">
        <v>26</v>
      </c>
      <c r="G780" s="6" t="s">
        <v>34</v>
      </c>
      <c r="H780" s="6">
        <v>1566</v>
      </c>
      <c r="I780" s="6">
        <v>520</v>
      </c>
      <c r="J780" s="6">
        <v>1</v>
      </c>
      <c r="K780" s="10">
        <f t="shared" si="26"/>
        <v>2.34</v>
      </c>
      <c r="L780" s="6" t="s">
        <v>75</v>
      </c>
      <c r="M780" s="6"/>
      <c r="N780" s="6" t="s">
        <v>54</v>
      </c>
      <c r="O780" s="6" t="s">
        <v>54</v>
      </c>
      <c r="P780" s="6"/>
    </row>
    <row r="781" spans="1:16" ht="30" customHeight="1" x14ac:dyDescent="0.3">
      <c r="A781" s="7">
        <v>45712.377897685183</v>
      </c>
      <c r="B781" s="6" t="s">
        <v>4</v>
      </c>
      <c r="C781" s="6" t="str">
        <f>VLOOKUP(B779,'Veri doğrulama'!D6:E13,2,0)</f>
        <v>MEHMET YAZICI</v>
      </c>
      <c r="D781" s="6"/>
      <c r="E781" s="6" t="s">
        <v>471</v>
      </c>
      <c r="F781" s="6" t="s">
        <v>26</v>
      </c>
      <c r="G781" s="6" t="s">
        <v>34</v>
      </c>
      <c r="H781" s="6">
        <v>1500</v>
      </c>
      <c r="I781" s="6">
        <v>520</v>
      </c>
      <c r="J781" s="6">
        <v>1</v>
      </c>
      <c r="K781" s="10">
        <f t="shared" si="26"/>
        <v>0.81432000000000004</v>
      </c>
      <c r="L781" s="6" t="s">
        <v>75</v>
      </c>
      <c r="M781" s="6" t="s">
        <v>385</v>
      </c>
      <c r="N781" s="6" t="s">
        <v>54</v>
      </c>
      <c r="O781" s="6" t="s">
        <v>54</v>
      </c>
      <c r="P781" s="6" t="s">
        <v>54</v>
      </c>
    </row>
    <row r="782" spans="1:16" ht="30" customHeight="1" x14ac:dyDescent="0.3">
      <c r="A782" s="7">
        <v>45712.37736053241</v>
      </c>
      <c r="B782" s="6" t="s">
        <v>4</v>
      </c>
      <c r="C782" s="6" t="str">
        <f>VLOOKUP(B780,'Veri doğrulama'!D6:E13,2,0)</f>
        <v>MEHMET ÖZEN</v>
      </c>
      <c r="D782" s="6"/>
      <c r="E782" s="6" t="s">
        <v>482</v>
      </c>
      <c r="F782" s="6" t="s">
        <v>18</v>
      </c>
      <c r="G782" s="6" t="s">
        <v>34</v>
      </c>
      <c r="H782" s="6">
        <v>2163</v>
      </c>
      <c r="I782" s="6">
        <v>720</v>
      </c>
      <c r="J782" s="6">
        <v>1</v>
      </c>
      <c r="K782" s="10">
        <f t="shared" si="26"/>
        <v>0.78</v>
      </c>
      <c r="L782" s="6" t="s">
        <v>252</v>
      </c>
      <c r="M782" s="6" t="s">
        <v>483</v>
      </c>
      <c r="N782" s="6" t="s">
        <v>54</v>
      </c>
      <c r="O782" s="6" t="s">
        <v>54</v>
      </c>
      <c r="P782" s="6"/>
    </row>
    <row r="783" spans="1:16" ht="30" customHeight="1" x14ac:dyDescent="0.3">
      <c r="A783" s="7">
        <v>45712.376747222224</v>
      </c>
      <c r="B783" s="6" t="s">
        <v>5</v>
      </c>
      <c r="C783" s="6" t="str">
        <f>VLOOKUP(B781,'Veri doğrulama'!D6:E13,2,0)</f>
        <v>MEHMET YAZICI</v>
      </c>
      <c r="D783" s="6" t="s">
        <v>448</v>
      </c>
      <c r="E783" s="6" t="s">
        <v>540</v>
      </c>
      <c r="F783" s="6" t="s">
        <v>19</v>
      </c>
      <c r="G783" s="6" t="s">
        <v>34</v>
      </c>
      <c r="H783" s="6">
        <v>489</v>
      </c>
      <c r="I783" s="6">
        <v>440</v>
      </c>
      <c r="J783" s="6">
        <v>1</v>
      </c>
      <c r="K783" s="10">
        <f t="shared" si="26"/>
        <v>1.5573600000000001</v>
      </c>
      <c r="L783" s="6" t="s">
        <v>103</v>
      </c>
      <c r="M783" s="6" t="s">
        <v>385</v>
      </c>
      <c r="N783" s="6" t="s">
        <v>54</v>
      </c>
      <c r="O783" s="6" t="s">
        <v>54</v>
      </c>
      <c r="P783" s="6"/>
    </row>
    <row r="784" spans="1:16" ht="30" customHeight="1" x14ac:dyDescent="0.3">
      <c r="A784" s="7">
        <v>45709.489852662038</v>
      </c>
      <c r="B784" s="6" t="s">
        <v>4</v>
      </c>
      <c r="C784" s="6" t="str">
        <f>VLOOKUP(B782,'Veri doğrulama'!D6:E13,2,0)</f>
        <v>MEHMET YAZICI</v>
      </c>
      <c r="D784" s="6"/>
      <c r="E784" s="6" t="s">
        <v>101</v>
      </c>
      <c r="F784" s="6" t="s">
        <v>16</v>
      </c>
      <c r="G784" s="6" t="s">
        <v>34</v>
      </c>
      <c r="H784" s="6">
        <v>800</v>
      </c>
      <c r="I784" s="6">
        <v>385</v>
      </c>
      <c r="J784" s="6">
        <v>1</v>
      </c>
      <c r="K784" s="10">
        <f t="shared" si="26"/>
        <v>0.21515999999999999</v>
      </c>
      <c r="L784" s="6" t="s">
        <v>39</v>
      </c>
      <c r="M784" s="6" t="s">
        <v>399</v>
      </c>
      <c r="N784" s="6" t="s">
        <v>54</v>
      </c>
      <c r="O784" s="6" t="s">
        <v>54</v>
      </c>
      <c r="P784" s="6" t="s">
        <v>54</v>
      </c>
    </row>
    <row r="785" spans="1:16" ht="30" customHeight="1" x14ac:dyDescent="0.3">
      <c r="A785" s="7">
        <v>45709.488927893515</v>
      </c>
      <c r="B785" s="6" t="s">
        <v>5</v>
      </c>
      <c r="C785" s="6" t="str">
        <f>VLOOKUP(B783,'Veri doğrulama'!D6:E13,2,0)</f>
        <v>MEHMET ÖZEN</v>
      </c>
      <c r="D785" s="6" t="s">
        <v>543</v>
      </c>
      <c r="E785" s="6" t="s">
        <v>265</v>
      </c>
      <c r="F785" s="6" t="s">
        <v>18</v>
      </c>
      <c r="G785" s="6" t="s">
        <v>35</v>
      </c>
      <c r="H785" s="6">
        <v>960</v>
      </c>
      <c r="I785" s="6">
        <v>770</v>
      </c>
      <c r="J785" s="6">
        <v>1</v>
      </c>
      <c r="K785" s="10">
        <f t="shared" si="26"/>
        <v>0.61599999999999999</v>
      </c>
      <c r="L785" s="6" t="s">
        <v>103</v>
      </c>
      <c r="M785" s="6" t="s">
        <v>468</v>
      </c>
      <c r="N785" s="6" t="s">
        <v>54</v>
      </c>
      <c r="O785" s="6" t="s">
        <v>54</v>
      </c>
      <c r="P785" s="6" t="s">
        <v>54</v>
      </c>
    </row>
    <row r="786" spans="1:16" ht="30" customHeight="1" x14ac:dyDescent="0.3">
      <c r="A786" s="7">
        <v>45709.488071064814</v>
      </c>
      <c r="B786" s="6" t="s">
        <v>4</v>
      </c>
      <c r="C786" s="6" t="str">
        <f>VLOOKUP(B784,'Veri doğrulama'!D6:E13,2,0)</f>
        <v>MEHMET YAZICI</v>
      </c>
      <c r="D786" s="6" t="s">
        <v>473</v>
      </c>
      <c r="E786" s="6" t="s">
        <v>529</v>
      </c>
      <c r="F786" s="6" t="s">
        <v>28</v>
      </c>
      <c r="G786" s="6" t="s">
        <v>34</v>
      </c>
      <c r="H786" s="6">
        <v>1800</v>
      </c>
      <c r="I786" s="6">
        <v>686</v>
      </c>
      <c r="J786" s="6">
        <v>2</v>
      </c>
      <c r="K786" s="10">
        <f t="shared" si="26"/>
        <v>0.73919999999999997</v>
      </c>
      <c r="L786" s="6" t="s">
        <v>103</v>
      </c>
      <c r="M786" s="6" t="s">
        <v>179</v>
      </c>
      <c r="N786" s="6" t="s">
        <v>54</v>
      </c>
      <c r="O786" s="6" t="s">
        <v>54</v>
      </c>
      <c r="P786" s="6" t="s">
        <v>54</v>
      </c>
    </row>
    <row r="787" spans="1:16" ht="30" customHeight="1" x14ac:dyDescent="0.3">
      <c r="A787" s="7">
        <v>45709.486535069445</v>
      </c>
      <c r="B787" s="6" t="s">
        <v>5</v>
      </c>
      <c r="C787" s="6" t="str">
        <f>VLOOKUP(B785,'Veri doğrulama'!D6:E13,2,0)</f>
        <v>MEHMET ÖZEN</v>
      </c>
      <c r="D787" s="6"/>
      <c r="E787" s="6" t="s">
        <v>479</v>
      </c>
      <c r="F787" s="6" t="s">
        <v>23</v>
      </c>
      <c r="G787" s="6" t="s">
        <v>35</v>
      </c>
      <c r="H787" s="6">
        <v>1148</v>
      </c>
      <c r="I787" s="6">
        <v>557</v>
      </c>
      <c r="J787" s="6">
        <v>1</v>
      </c>
      <c r="K787" s="10">
        <f t="shared" si="26"/>
        <v>1.2347999999999999</v>
      </c>
      <c r="L787" s="6" t="s">
        <v>42</v>
      </c>
      <c r="M787" s="6" t="s">
        <v>53</v>
      </c>
      <c r="N787" s="6" t="s">
        <v>54</v>
      </c>
      <c r="O787" s="6" t="s">
        <v>54</v>
      </c>
      <c r="P787" s="6" t="s">
        <v>54</v>
      </c>
    </row>
    <row r="788" spans="1:16" ht="30" customHeight="1" x14ac:dyDescent="0.3">
      <c r="A788" s="7">
        <v>45709.406002199074</v>
      </c>
      <c r="B788" s="6" t="s">
        <v>4</v>
      </c>
      <c r="C788" s="6" t="str">
        <f>VLOOKUP(B786,'Veri doğrulama'!D6:E13,2,0)</f>
        <v>MEHMET YAZICI</v>
      </c>
      <c r="D788" s="6"/>
      <c r="E788" s="6" t="s">
        <v>602</v>
      </c>
      <c r="F788" s="6" t="s">
        <v>21</v>
      </c>
      <c r="G788" s="6" t="s">
        <v>34</v>
      </c>
      <c r="H788" s="6">
        <v>600</v>
      </c>
      <c r="I788" s="6">
        <v>326</v>
      </c>
      <c r="J788" s="6">
        <v>1</v>
      </c>
      <c r="K788" s="10">
        <f t="shared" si="26"/>
        <v>0.639436</v>
      </c>
      <c r="L788" s="6" t="s">
        <v>75</v>
      </c>
      <c r="M788" s="6"/>
      <c r="N788" s="6" t="s">
        <v>54</v>
      </c>
      <c r="O788" s="6" t="s">
        <v>54</v>
      </c>
      <c r="P788" s="6" t="s">
        <v>54</v>
      </c>
    </row>
    <row r="789" spans="1:16" ht="30" customHeight="1" x14ac:dyDescent="0.3">
      <c r="A789" s="7">
        <v>45709.402803703706</v>
      </c>
      <c r="B789" s="6" t="s">
        <v>5</v>
      </c>
      <c r="C789" s="6" t="str">
        <f>VLOOKUP(B787,'Veri doğrulama'!D6:E13,2,0)</f>
        <v>MEHMET ÖZEN</v>
      </c>
      <c r="D789" s="6"/>
      <c r="E789" s="6" t="s">
        <v>467</v>
      </c>
      <c r="F789" s="6" t="s">
        <v>16</v>
      </c>
      <c r="G789" s="6" t="s">
        <v>34</v>
      </c>
      <c r="H789" s="6">
        <v>1895</v>
      </c>
      <c r="I789" s="6">
        <v>870</v>
      </c>
      <c r="J789" s="6">
        <v>1</v>
      </c>
      <c r="K789" s="10">
        <f t="shared" si="26"/>
        <v>0.39119999999999999</v>
      </c>
      <c r="L789" s="6" t="s">
        <v>38</v>
      </c>
      <c r="M789" s="6" t="s">
        <v>468</v>
      </c>
      <c r="N789" s="6" t="s">
        <v>54</v>
      </c>
      <c r="O789" s="6" t="s">
        <v>54</v>
      </c>
      <c r="P789" s="6"/>
    </row>
    <row r="790" spans="1:16" ht="30" customHeight="1" x14ac:dyDescent="0.3">
      <c r="A790" s="7">
        <v>45709.401793055556</v>
      </c>
      <c r="B790" s="6" t="s">
        <v>6</v>
      </c>
      <c r="C790" s="6" t="str">
        <f>VLOOKUP(B788,'Veri doğrulama'!D6:E13,2,0)</f>
        <v>MEHMET YAZICI</v>
      </c>
      <c r="D790" s="6"/>
      <c r="E790" s="6" t="s">
        <v>485</v>
      </c>
      <c r="F790" s="6" t="s">
        <v>17</v>
      </c>
      <c r="G790" s="6" t="s">
        <v>34</v>
      </c>
      <c r="H790" s="6">
        <v>1770</v>
      </c>
      <c r="I790" s="6">
        <v>870</v>
      </c>
      <c r="J790" s="6">
        <v>2</v>
      </c>
      <c r="K790" s="10">
        <f t="shared" si="26"/>
        <v>1.6486499999999999</v>
      </c>
      <c r="L790" s="6" t="s">
        <v>103</v>
      </c>
      <c r="M790" s="6"/>
      <c r="N790" s="6" t="s">
        <v>54</v>
      </c>
      <c r="O790" s="6" t="s">
        <v>54</v>
      </c>
      <c r="P790" s="6" t="s">
        <v>54</v>
      </c>
    </row>
    <row r="791" spans="1:16" ht="30" customHeight="1" x14ac:dyDescent="0.3">
      <c r="A791" s="7">
        <v>45709.355894444445</v>
      </c>
      <c r="B791" s="6" t="s">
        <v>5</v>
      </c>
      <c r="C791" s="6" t="str">
        <f>VLOOKUP(B789,'Veri doğrulama'!D6:E13,2,0)</f>
        <v>MEHMET ÖZEN</v>
      </c>
      <c r="D791" s="6"/>
      <c r="E791" s="6" t="s">
        <v>469</v>
      </c>
      <c r="F791" s="6" t="s">
        <v>19</v>
      </c>
      <c r="G791" s="6" t="s">
        <v>34</v>
      </c>
      <c r="H791" s="6">
        <v>1370</v>
      </c>
      <c r="I791" s="6">
        <v>1370</v>
      </c>
      <c r="J791" s="6">
        <v>1</v>
      </c>
      <c r="K791" s="10">
        <f t="shared" si="26"/>
        <v>1.5399</v>
      </c>
      <c r="L791" s="6" t="s">
        <v>42</v>
      </c>
      <c r="M791" s="6" t="s">
        <v>468</v>
      </c>
      <c r="N791" s="6" t="s">
        <v>54</v>
      </c>
      <c r="O791" s="6" t="s">
        <v>54</v>
      </c>
      <c r="P791" s="6" t="s">
        <v>54</v>
      </c>
    </row>
    <row r="792" spans="1:16" ht="30" customHeight="1" x14ac:dyDescent="0.3">
      <c r="A792" s="7">
        <v>45708.658907407407</v>
      </c>
      <c r="B792" s="6" t="s">
        <v>5</v>
      </c>
      <c r="C792" s="6" t="str">
        <f>VLOOKUP(B790,'Veri doğrulama'!D6:E13,2,0)</f>
        <v>SERVET KAPLAN</v>
      </c>
      <c r="D792" s="6"/>
      <c r="E792" s="6" t="s">
        <v>460</v>
      </c>
      <c r="F792" s="6" t="s">
        <v>16</v>
      </c>
      <c r="G792" s="6" t="s">
        <v>34</v>
      </c>
      <c r="H792" s="6">
        <v>1320</v>
      </c>
      <c r="I792" s="6">
        <v>1320</v>
      </c>
      <c r="J792" s="6">
        <v>1</v>
      </c>
      <c r="K792" s="10">
        <f t="shared" si="26"/>
        <v>1.8769</v>
      </c>
      <c r="L792" s="6" t="s">
        <v>43</v>
      </c>
      <c r="M792" s="6"/>
      <c r="N792" s="6" t="s">
        <v>54</v>
      </c>
      <c r="O792" s="6" t="s">
        <v>54</v>
      </c>
      <c r="P792" s="6" t="s">
        <v>54</v>
      </c>
    </row>
    <row r="793" spans="1:16" ht="30" customHeight="1" x14ac:dyDescent="0.3">
      <c r="A793" s="7">
        <v>45708.650886805553</v>
      </c>
      <c r="B793" s="6" t="s">
        <v>4</v>
      </c>
      <c r="C793" s="6" t="str">
        <f>VLOOKUP(B791,'Veri doğrulama'!D6:E13,2,0)</f>
        <v>MEHMET ÖZEN</v>
      </c>
      <c r="D793" s="6"/>
      <c r="E793" s="6" t="s">
        <v>506</v>
      </c>
      <c r="F793" s="6" t="s">
        <v>13</v>
      </c>
      <c r="G793" s="6" t="s">
        <v>35</v>
      </c>
      <c r="H793" s="6">
        <v>397</v>
      </c>
      <c r="I793" s="6">
        <v>397</v>
      </c>
      <c r="J793" s="6">
        <v>1</v>
      </c>
      <c r="K793" s="10">
        <f t="shared" si="26"/>
        <v>1.7423999999999999</v>
      </c>
      <c r="L793" s="6" t="s">
        <v>41</v>
      </c>
      <c r="M793" s="6" t="s">
        <v>399</v>
      </c>
      <c r="N793" s="6" t="s">
        <v>54</v>
      </c>
      <c r="O793" s="6" t="s">
        <v>54</v>
      </c>
      <c r="P793" s="6"/>
    </row>
    <row r="794" spans="1:16" ht="30" customHeight="1" x14ac:dyDescent="0.3">
      <c r="A794" s="7">
        <v>45708.649999652778</v>
      </c>
      <c r="B794" s="6" t="s">
        <v>5</v>
      </c>
      <c r="C794" s="6" t="str">
        <f>VLOOKUP(B792,'Veri doğrulama'!D6:E13,2,0)</f>
        <v>MEHMET ÖZEN</v>
      </c>
      <c r="D794" s="6"/>
      <c r="E794" s="6" t="s">
        <v>455</v>
      </c>
      <c r="F794" s="6" t="s">
        <v>13</v>
      </c>
      <c r="G794" s="6" t="s">
        <v>34</v>
      </c>
      <c r="H794" s="6">
        <v>860</v>
      </c>
      <c r="I794" s="6">
        <v>340</v>
      </c>
      <c r="J794" s="6">
        <v>1</v>
      </c>
      <c r="K794" s="10">
        <f t="shared" si="26"/>
        <v>0.157609</v>
      </c>
      <c r="L794" s="6" t="s">
        <v>37</v>
      </c>
      <c r="M794" s="6"/>
      <c r="N794" s="6" t="s">
        <v>54</v>
      </c>
      <c r="O794" s="6" t="s">
        <v>54</v>
      </c>
      <c r="P794" s="6"/>
    </row>
    <row r="795" spans="1:16" ht="30" customHeight="1" x14ac:dyDescent="0.3">
      <c r="A795" s="7">
        <v>45708.414918402777</v>
      </c>
      <c r="B795" s="6" t="s">
        <v>4</v>
      </c>
      <c r="C795" s="6" t="str">
        <f>VLOOKUP(B793,'Veri doğrulama'!D6:E13,2,0)</f>
        <v>MEHMET YAZICI</v>
      </c>
      <c r="D795" s="6" t="s">
        <v>509</v>
      </c>
      <c r="E795" s="6" t="s">
        <v>474</v>
      </c>
      <c r="F795" s="6" t="s">
        <v>15</v>
      </c>
      <c r="G795" s="6" t="s">
        <v>34</v>
      </c>
      <c r="H795" s="6">
        <v>530</v>
      </c>
      <c r="I795" s="6">
        <v>436</v>
      </c>
      <c r="J795" s="6">
        <v>1</v>
      </c>
      <c r="K795" s="10">
        <f t="shared" si="26"/>
        <v>0.58479999999999999</v>
      </c>
      <c r="L795" s="6" t="s">
        <v>103</v>
      </c>
      <c r="M795" s="6" t="s">
        <v>399</v>
      </c>
      <c r="N795" s="6" t="s">
        <v>54</v>
      </c>
      <c r="O795" s="6" t="s">
        <v>54</v>
      </c>
      <c r="P795" s="6" t="s">
        <v>54</v>
      </c>
    </row>
    <row r="796" spans="1:16" ht="30" customHeight="1" x14ac:dyDescent="0.3">
      <c r="A796" s="7">
        <v>45708.414431249999</v>
      </c>
      <c r="B796" s="6" t="s">
        <v>4</v>
      </c>
      <c r="C796" s="6" t="str">
        <f>VLOOKUP(B794,'Veri doğrulama'!D6:E13,2,0)</f>
        <v>MEHMET ÖZEN</v>
      </c>
      <c r="D796" s="6" t="s">
        <v>451</v>
      </c>
      <c r="E796" s="6" t="s">
        <v>142</v>
      </c>
      <c r="F796" s="6" t="s">
        <v>19</v>
      </c>
      <c r="G796" s="6" t="s">
        <v>34</v>
      </c>
      <c r="H796" s="6">
        <v>785</v>
      </c>
      <c r="I796" s="6">
        <v>415</v>
      </c>
      <c r="J796" s="6">
        <v>2</v>
      </c>
      <c r="K796" s="10">
        <f t="shared" si="26"/>
        <v>0.23108000000000001</v>
      </c>
      <c r="L796" s="6" t="s">
        <v>37</v>
      </c>
      <c r="M796" s="6" t="s">
        <v>385</v>
      </c>
      <c r="N796" s="6" t="s">
        <v>54</v>
      </c>
      <c r="O796" s="6" t="s">
        <v>54</v>
      </c>
      <c r="P796" s="6" t="s">
        <v>54</v>
      </c>
    </row>
    <row r="797" spans="1:16" ht="30" customHeight="1" x14ac:dyDescent="0.3">
      <c r="A797" s="7">
        <v>45707.663111689813</v>
      </c>
      <c r="B797" s="6" t="s">
        <v>4</v>
      </c>
      <c r="C797" s="6" t="str">
        <f>VLOOKUP(B795,'Veri doğrulama'!D6:E13,2,0)</f>
        <v>MEHMET YAZICI</v>
      </c>
      <c r="D797" s="6" t="s">
        <v>475</v>
      </c>
      <c r="E797" s="6" t="s">
        <v>453</v>
      </c>
      <c r="F797" s="6" t="s">
        <v>19</v>
      </c>
      <c r="G797" s="6" t="s">
        <v>34</v>
      </c>
      <c r="H797" s="6">
        <v>300</v>
      </c>
      <c r="I797" s="6">
        <v>1930</v>
      </c>
      <c r="J797" s="6">
        <v>1</v>
      </c>
      <c r="K797" s="10">
        <f t="shared" si="26"/>
        <v>0.65154999999999996</v>
      </c>
      <c r="L797" s="6" t="s">
        <v>103</v>
      </c>
      <c r="M797" s="6" t="s">
        <v>159</v>
      </c>
      <c r="N797" s="6" t="s">
        <v>54</v>
      </c>
      <c r="O797" s="6" t="s">
        <v>54</v>
      </c>
      <c r="P797" s="6"/>
    </row>
    <row r="798" spans="1:16" ht="30" customHeight="1" x14ac:dyDescent="0.3">
      <c r="A798" s="7">
        <v>45707.556781018517</v>
      </c>
      <c r="B798" s="6" t="s">
        <v>4</v>
      </c>
      <c r="C798" s="6" t="str">
        <f>VLOOKUP(B796,'Veri doğrulama'!D6:E13,2,0)</f>
        <v>MEHMET YAZICI</v>
      </c>
      <c r="D798" s="6"/>
      <c r="E798" s="6" t="s">
        <v>434</v>
      </c>
      <c r="F798" s="6" t="s">
        <v>15</v>
      </c>
      <c r="G798" s="6" t="s">
        <v>34</v>
      </c>
      <c r="H798" s="6">
        <v>1763</v>
      </c>
      <c r="I798" s="6">
        <v>699</v>
      </c>
      <c r="J798" s="6">
        <v>2</v>
      </c>
      <c r="K798" s="10">
        <f t="shared" si="26"/>
        <v>0.57899999999999996</v>
      </c>
      <c r="L798" s="6" t="s">
        <v>102</v>
      </c>
      <c r="M798" s="6" t="s">
        <v>385</v>
      </c>
      <c r="N798" s="6" t="s">
        <v>54</v>
      </c>
      <c r="O798" s="6" t="s">
        <v>54</v>
      </c>
      <c r="P798" s="6"/>
    </row>
    <row r="799" spans="1:16" ht="30" customHeight="1" x14ac:dyDescent="0.3">
      <c r="A799" s="7">
        <v>45707.556198726852</v>
      </c>
      <c r="B799" s="6" t="s">
        <v>4</v>
      </c>
      <c r="C799" s="6" t="str">
        <f>VLOOKUP(B797,'Veri doğrulama'!D6:E13,2,0)</f>
        <v>MEHMET YAZICI</v>
      </c>
      <c r="D799" s="6"/>
      <c r="E799" s="6" t="s">
        <v>458</v>
      </c>
      <c r="F799" s="6" t="s">
        <v>17</v>
      </c>
      <c r="G799" s="6" t="s">
        <v>35</v>
      </c>
      <c r="H799" s="6">
        <v>2163</v>
      </c>
      <c r="I799" s="6">
        <v>150</v>
      </c>
      <c r="J799" s="6">
        <v>1</v>
      </c>
      <c r="K799" s="10">
        <f t="shared" si="26"/>
        <v>1.232337</v>
      </c>
      <c r="L799" s="6" t="s">
        <v>75</v>
      </c>
      <c r="M799" s="6" t="s">
        <v>385</v>
      </c>
      <c r="N799" s="6" t="s">
        <v>54</v>
      </c>
      <c r="O799" s="6" t="s">
        <v>54</v>
      </c>
      <c r="P799" s="6" t="s">
        <v>54</v>
      </c>
    </row>
    <row r="800" spans="1:16" ht="30" customHeight="1" x14ac:dyDescent="0.3">
      <c r="A800" s="7">
        <v>45707.408537384261</v>
      </c>
      <c r="B800" s="6" t="s">
        <v>4</v>
      </c>
      <c r="C800" s="6" t="str">
        <f>VLOOKUP(B798,'Veri doğrulama'!D6:E13,2,0)</f>
        <v>MEHMET YAZICI</v>
      </c>
      <c r="D800" s="6"/>
      <c r="E800" s="6" t="s">
        <v>472</v>
      </c>
      <c r="F800" s="6" t="s">
        <v>14</v>
      </c>
      <c r="G800" s="6" t="s">
        <v>34</v>
      </c>
      <c r="H800" s="6">
        <v>1500</v>
      </c>
      <c r="I800" s="6">
        <v>1010</v>
      </c>
      <c r="J800" s="6">
        <v>1</v>
      </c>
      <c r="K800" s="10">
        <f t="shared" si="26"/>
        <v>0.32445000000000002</v>
      </c>
      <c r="L800" s="6" t="s">
        <v>102</v>
      </c>
      <c r="M800" s="6" t="s">
        <v>402</v>
      </c>
      <c r="N800" s="6" t="s">
        <v>54</v>
      </c>
      <c r="O800" s="6" t="s">
        <v>54</v>
      </c>
      <c r="P800" s="6" t="s">
        <v>54</v>
      </c>
    </row>
    <row r="801" spans="1:16" ht="30" customHeight="1" x14ac:dyDescent="0.3">
      <c r="A801" s="7">
        <v>45707.363220833337</v>
      </c>
      <c r="B801" s="6" t="s">
        <v>4</v>
      </c>
      <c r="C801" s="6" t="str">
        <f>VLOOKUP(B799,'Veri doğrulama'!D6:E13,2,0)</f>
        <v>MEHMET YAZICI</v>
      </c>
      <c r="D801" s="6" t="s">
        <v>461</v>
      </c>
      <c r="E801" s="6" t="s">
        <v>459</v>
      </c>
      <c r="F801" s="6" t="s">
        <v>16</v>
      </c>
      <c r="G801" s="6" t="s">
        <v>34</v>
      </c>
      <c r="H801" s="6">
        <v>1100</v>
      </c>
      <c r="I801" s="6">
        <v>320</v>
      </c>
      <c r="J801" s="6">
        <v>1</v>
      </c>
      <c r="K801" s="10">
        <f t="shared" si="26"/>
        <v>1.5149999999999999</v>
      </c>
      <c r="L801" s="6" t="s">
        <v>75</v>
      </c>
      <c r="M801" s="6" t="s">
        <v>399</v>
      </c>
      <c r="N801" s="6" t="s">
        <v>54</v>
      </c>
      <c r="O801" s="6" t="s">
        <v>54</v>
      </c>
      <c r="P801" s="6"/>
    </row>
    <row r="802" spans="1:16" ht="30" customHeight="1" x14ac:dyDescent="0.3">
      <c r="A802" s="7">
        <v>45707.339649305555</v>
      </c>
      <c r="B802" s="6" t="s">
        <v>4</v>
      </c>
      <c r="C802" s="6" t="str">
        <f>VLOOKUP(B800,'Veri doğrulama'!D6:E13,2,0)</f>
        <v>MEHMET YAZICI</v>
      </c>
      <c r="D802" s="6"/>
      <c r="E802" s="6" t="s">
        <v>510</v>
      </c>
      <c r="F802" s="6" t="s">
        <v>20</v>
      </c>
      <c r="G802" s="6" t="s">
        <v>34</v>
      </c>
      <c r="H802" s="6">
        <v>800</v>
      </c>
      <c r="I802" s="6">
        <v>550</v>
      </c>
      <c r="J802" s="6">
        <v>1</v>
      </c>
      <c r="K802" s="10">
        <f t="shared" si="26"/>
        <v>0.70399999999999996</v>
      </c>
      <c r="L802" s="6" t="s">
        <v>102</v>
      </c>
      <c r="M802" s="6" t="s">
        <v>159</v>
      </c>
      <c r="N802" s="6" t="s">
        <v>54</v>
      </c>
      <c r="O802" s="6" t="s">
        <v>54</v>
      </c>
      <c r="P802" s="6" t="s">
        <v>54</v>
      </c>
    </row>
    <row r="803" spans="1:16" ht="30" customHeight="1" x14ac:dyDescent="0.3">
      <c r="A803" s="7">
        <v>45706.661558564818</v>
      </c>
      <c r="B803" s="6" t="s">
        <v>4</v>
      </c>
      <c r="C803" s="6" t="str">
        <f>VLOOKUP(B801,'Veri doğrulama'!D6:E13,2,0)</f>
        <v>MEHMET YAZICI</v>
      </c>
      <c r="D803" s="6" t="s">
        <v>457</v>
      </c>
      <c r="E803" s="6" t="s">
        <v>466</v>
      </c>
      <c r="F803" s="11" t="s">
        <v>18</v>
      </c>
      <c r="G803" s="6" t="s">
        <v>35</v>
      </c>
      <c r="H803" s="6">
        <v>2200</v>
      </c>
      <c r="I803" s="6">
        <v>150</v>
      </c>
      <c r="J803" s="6">
        <v>2</v>
      </c>
      <c r="K803" s="10">
        <f t="shared" si="26"/>
        <v>0.44</v>
      </c>
      <c r="L803" s="6" t="s">
        <v>103</v>
      </c>
      <c r="M803" s="6" t="s">
        <v>385</v>
      </c>
      <c r="N803" s="6" t="s">
        <v>54</v>
      </c>
      <c r="O803" s="6" t="s">
        <v>54</v>
      </c>
      <c r="P803" s="6"/>
    </row>
    <row r="804" spans="1:16" ht="30" customHeight="1" x14ac:dyDescent="0.3">
      <c r="A804" s="7">
        <v>45706.660429976851</v>
      </c>
      <c r="B804" s="6" t="s">
        <v>5</v>
      </c>
      <c r="C804" s="6" t="str">
        <f>VLOOKUP(B802,'Veri doğrulama'!D6:E13,2,0)</f>
        <v>MEHMET YAZICI</v>
      </c>
      <c r="D804" s="6" t="s">
        <v>512</v>
      </c>
      <c r="E804" s="6" t="s">
        <v>454</v>
      </c>
      <c r="F804" s="6" t="s">
        <v>13</v>
      </c>
      <c r="G804" s="6" t="s">
        <v>35</v>
      </c>
      <c r="H804" s="6">
        <v>540</v>
      </c>
      <c r="I804" s="6">
        <v>344</v>
      </c>
      <c r="J804" s="6">
        <v>1</v>
      </c>
      <c r="K804" s="10">
        <f t="shared" ref="K804:K835" si="27">H803*I803/1000000*J805</f>
        <v>0.33</v>
      </c>
      <c r="L804" s="6" t="s">
        <v>75</v>
      </c>
      <c r="M804" s="6"/>
      <c r="N804" s="6" t="s">
        <v>54</v>
      </c>
      <c r="O804" s="6" t="s">
        <v>54</v>
      </c>
      <c r="P804" s="6" t="s">
        <v>54</v>
      </c>
    </row>
    <row r="805" spans="1:16" ht="30" customHeight="1" x14ac:dyDescent="0.3">
      <c r="A805" s="7">
        <v>45706.501526041669</v>
      </c>
      <c r="B805" s="6" t="s">
        <v>4</v>
      </c>
      <c r="C805" s="6" t="str">
        <f>VLOOKUP(B803,'Veri doğrulama'!D6:E13,2,0)</f>
        <v>MEHMET YAZICI</v>
      </c>
      <c r="D805" s="6"/>
      <c r="E805" s="6" t="s">
        <v>99</v>
      </c>
      <c r="F805" s="6" t="s">
        <v>17</v>
      </c>
      <c r="G805" s="6" t="s">
        <v>34</v>
      </c>
      <c r="H805" s="6">
        <v>1435</v>
      </c>
      <c r="I805" s="6">
        <v>360</v>
      </c>
      <c r="J805" s="6">
        <v>1</v>
      </c>
      <c r="K805" s="10">
        <f t="shared" si="27"/>
        <v>0.18576000000000001</v>
      </c>
      <c r="L805" s="6" t="s">
        <v>75</v>
      </c>
      <c r="M805" s="6" t="s">
        <v>385</v>
      </c>
      <c r="N805" s="6" t="s">
        <v>54</v>
      </c>
      <c r="O805" s="6" t="s">
        <v>54</v>
      </c>
      <c r="P805" s="6"/>
    </row>
    <row r="806" spans="1:16" ht="30" customHeight="1" x14ac:dyDescent="0.3">
      <c r="A806" s="7">
        <v>45706.439099421295</v>
      </c>
      <c r="B806" s="6" t="s">
        <v>4</v>
      </c>
      <c r="C806" s="6" t="str">
        <f>VLOOKUP(B804,'Veri doğrulama'!D6:E13,2,0)</f>
        <v>MEHMET ÖZEN</v>
      </c>
      <c r="D806" s="6" t="s">
        <v>456</v>
      </c>
      <c r="E806" s="6" t="s">
        <v>446</v>
      </c>
      <c r="F806" s="6" t="s">
        <v>16</v>
      </c>
      <c r="G806" s="6" t="s">
        <v>34</v>
      </c>
      <c r="H806" s="6">
        <v>1800</v>
      </c>
      <c r="I806" s="6">
        <v>400</v>
      </c>
      <c r="J806" s="6">
        <v>1</v>
      </c>
      <c r="K806" s="10">
        <f t="shared" si="27"/>
        <v>0.51659999999999995</v>
      </c>
      <c r="L806" s="6" t="s">
        <v>37</v>
      </c>
      <c r="M806" s="6" t="s">
        <v>447</v>
      </c>
      <c r="N806" s="6" t="s">
        <v>54</v>
      </c>
      <c r="O806" s="6" t="s">
        <v>54</v>
      </c>
      <c r="P806" s="6"/>
    </row>
    <row r="807" spans="1:16" ht="30" customHeight="1" x14ac:dyDescent="0.3">
      <c r="A807" s="7">
        <v>45706.417589699071</v>
      </c>
      <c r="B807" s="6" t="s">
        <v>4</v>
      </c>
      <c r="C807" s="6" t="str">
        <f>VLOOKUP(B805,'Veri doğrulama'!D6:E13,2,0)</f>
        <v>MEHMET YAZICI</v>
      </c>
      <c r="D807" s="6" t="s">
        <v>451</v>
      </c>
      <c r="E807" s="6" t="s">
        <v>100</v>
      </c>
      <c r="F807" s="6" t="s">
        <v>17</v>
      </c>
      <c r="G807" s="6" t="s">
        <v>35</v>
      </c>
      <c r="H807" s="6">
        <v>1450</v>
      </c>
      <c r="I807" s="6">
        <v>397</v>
      </c>
      <c r="J807" s="6">
        <v>1</v>
      </c>
      <c r="K807" s="10">
        <f t="shared" si="27"/>
        <v>0.72</v>
      </c>
      <c r="L807" s="6" t="s">
        <v>103</v>
      </c>
      <c r="M807" s="6" t="s">
        <v>399</v>
      </c>
      <c r="N807" s="6" t="s">
        <v>54</v>
      </c>
      <c r="O807" s="6" t="s">
        <v>54</v>
      </c>
      <c r="P807" s="6" t="s">
        <v>54</v>
      </c>
    </row>
    <row r="808" spans="1:16" ht="30" customHeight="1" x14ac:dyDescent="0.3">
      <c r="A808" s="7">
        <v>45706.363985532407</v>
      </c>
      <c r="B808" s="6" t="s">
        <v>4</v>
      </c>
      <c r="C808" s="6" t="str">
        <f>VLOOKUP(B806,'Veri doğrulama'!D6:E13,2,0)</f>
        <v>MEHMET YAZICI</v>
      </c>
      <c r="D808" s="6"/>
      <c r="E808" s="6" t="s">
        <v>80</v>
      </c>
      <c r="F808" s="6" t="s">
        <v>24</v>
      </c>
      <c r="G808" s="6" t="s">
        <v>34</v>
      </c>
      <c r="H808" s="6">
        <v>1400</v>
      </c>
      <c r="I808" s="6">
        <v>800</v>
      </c>
      <c r="J808" s="6">
        <v>1</v>
      </c>
      <c r="K808" s="10">
        <f t="shared" si="27"/>
        <v>0.57565</v>
      </c>
      <c r="L808" s="6" t="s">
        <v>39</v>
      </c>
      <c r="M808" s="6" t="s">
        <v>399</v>
      </c>
      <c r="N808" s="6" t="s">
        <v>54</v>
      </c>
      <c r="O808" s="6" t="s">
        <v>54</v>
      </c>
      <c r="P808" s="6" t="s">
        <v>54</v>
      </c>
    </row>
    <row r="809" spans="1:16" ht="30" customHeight="1" x14ac:dyDescent="0.3">
      <c r="A809" s="7">
        <v>45706.363444675924</v>
      </c>
      <c r="B809" s="6" t="s">
        <v>5</v>
      </c>
      <c r="C809" s="6" t="str">
        <f>VLOOKUP(B807,'Veri doğrulama'!D6:E13,2,0)</f>
        <v>MEHMET YAZICI</v>
      </c>
      <c r="D809" s="6"/>
      <c r="E809" s="6" t="s">
        <v>450</v>
      </c>
      <c r="F809" s="6" t="s">
        <v>15</v>
      </c>
      <c r="G809" s="6" t="s">
        <v>34</v>
      </c>
      <c r="H809" s="6">
        <v>1620</v>
      </c>
      <c r="I809" s="6">
        <v>1420</v>
      </c>
      <c r="J809" s="6">
        <v>1</v>
      </c>
      <c r="K809" s="10">
        <f t="shared" si="27"/>
        <v>2.2400000000000002</v>
      </c>
      <c r="L809" s="6" t="s">
        <v>103</v>
      </c>
      <c r="M809" s="6" t="s">
        <v>411</v>
      </c>
      <c r="N809" s="6" t="s">
        <v>54</v>
      </c>
      <c r="O809" s="6" t="s">
        <v>54</v>
      </c>
      <c r="P809" s="6" t="s">
        <v>54</v>
      </c>
    </row>
    <row r="810" spans="1:16" ht="30" customHeight="1" x14ac:dyDescent="0.3">
      <c r="A810" s="7">
        <v>45705.716419791665</v>
      </c>
      <c r="B810" s="6" t="s">
        <v>4</v>
      </c>
      <c r="C810" s="6" t="str">
        <f>VLOOKUP(B808,'Veri doğrulama'!D6:E13,2,0)</f>
        <v>MEHMET YAZICI</v>
      </c>
      <c r="D810" s="6" t="s">
        <v>476</v>
      </c>
      <c r="E810" s="6" t="s">
        <v>463</v>
      </c>
      <c r="F810" s="6" t="s">
        <v>23</v>
      </c>
      <c r="G810" s="6" t="s">
        <v>34</v>
      </c>
      <c r="H810" s="6">
        <v>539</v>
      </c>
      <c r="I810" s="6">
        <v>250</v>
      </c>
      <c r="J810" s="6">
        <v>2</v>
      </c>
      <c r="K810" s="10">
        <f t="shared" si="27"/>
        <v>2.3003999999999998</v>
      </c>
      <c r="L810" s="6" t="s">
        <v>156</v>
      </c>
      <c r="M810" s="6" t="s">
        <v>385</v>
      </c>
      <c r="N810" s="6" t="s">
        <v>54</v>
      </c>
      <c r="O810" s="6" t="s">
        <v>54</v>
      </c>
      <c r="P810" s="6"/>
    </row>
    <row r="811" spans="1:16" ht="30" customHeight="1" x14ac:dyDescent="0.3">
      <c r="A811" s="7">
        <v>45705.714853240737</v>
      </c>
      <c r="B811" s="6" t="s">
        <v>4</v>
      </c>
      <c r="C811" s="6" t="str">
        <f>VLOOKUP(B809,'Veri doğrulama'!D6:E13,2,0)</f>
        <v>MEHMET ÖZEN</v>
      </c>
      <c r="D811" s="6" t="s">
        <v>452</v>
      </c>
      <c r="E811" s="6" t="s">
        <v>470</v>
      </c>
      <c r="F811" s="6" t="s">
        <v>26</v>
      </c>
      <c r="G811" s="6" t="s">
        <v>34</v>
      </c>
      <c r="H811" s="6">
        <v>1566</v>
      </c>
      <c r="I811" s="6">
        <v>520</v>
      </c>
      <c r="J811" s="6">
        <v>1</v>
      </c>
      <c r="K811" s="10">
        <f t="shared" si="27"/>
        <v>0.26950000000000002</v>
      </c>
      <c r="L811" s="6" t="s">
        <v>42</v>
      </c>
      <c r="M811" s="6" t="s">
        <v>385</v>
      </c>
      <c r="N811" s="6" t="s">
        <v>54</v>
      </c>
      <c r="O811" s="6" t="s">
        <v>54</v>
      </c>
      <c r="P811" s="6" t="s">
        <v>54</v>
      </c>
    </row>
    <row r="812" spans="1:16" ht="30" customHeight="1" x14ac:dyDescent="0.3">
      <c r="A812" s="7">
        <v>45705.713950810183</v>
      </c>
      <c r="B812" s="6" t="s">
        <v>7</v>
      </c>
      <c r="C812" s="6" t="str">
        <f>VLOOKUP(B810,'Veri doğrulama'!D6:E13,2,0)</f>
        <v>MEHMET YAZICI</v>
      </c>
      <c r="D812" s="6" t="s">
        <v>465</v>
      </c>
      <c r="E812" s="6" t="s">
        <v>432</v>
      </c>
      <c r="F812" s="6" t="s">
        <v>26</v>
      </c>
      <c r="G812" s="6" t="s">
        <v>34</v>
      </c>
      <c r="H812" s="6">
        <v>470</v>
      </c>
      <c r="I812" s="6">
        <v>447</v>
      </c>
      <c r="J812" s="6">
        <v>2</v>
      </c>
      <c r="K812" s="10">
        <f t="shared" si="27"/>
        <v>0.81432000000000004</v>
      </c>
      <c r="L812" s="6" t="s">
        <v>75</v>
      </c>
      <c r="M812" s="6" t="s">
        <v>431</v>
      </c>
      <c r="N812" s="6" t="s">
        <v>54</v>
      </c>
      <c r="O812" s="6" t="s">
        <v>54</v>
      </c>
      <c r="P812" s="6"/>
    </row>
    <row r="813" spans="1:16" ht="30" customHeight="1" x14ac:dyDescent="0.3">
      <c r="A813" s="7">
        <v>45705.377432638888</v>
      </c>
      <c r="B813" s="6" t="s">
        <v>7</v>
      </c>
      <c r="C813" s="6" t="str">
        <f>VLOOKUP(B811,'Veri doğrulama'!D6:E13,2,0)</f>
        <v>MEHMET YAZICI</v>
      </c>
      <c r="D813" s="6"/>
      <c r="E813" s="6" t="s">
        <v>430</v>
      </c>
      <c r="F813" s="6" t="s">
        <v>26</v>
      </c>
      <c r="G813" s="6" t="s">
        <v>34</v>
      </c>
      <c r="H813" s="6">
        <v>1598</v>
      </c>
      <c r="I813" s="6">
        <v>557</v>
      </c>
      <c r="J813" s="6">
        <v>1</v>
      </c>
      <c r="K813" s="10">
        <f t="shared" si="27"/>
        <v>0.21009</v>
      </c>
      <c r="L813" s="6" t="s">
        <v>103</v>
      </c>
      <c r="M813" s="6" t="s">
        <v>431</v>
      </c>
      <c r="N813" s="6" t="s">
        <v>54</v>
      </c>
      <c r="O813" s="6" t="s">
        <v>54</v>
      </c>
      <c r="P813" s="6" t="s">
        <v>54</v>
      </c>
    </row>
    <row r="814" spans="1:16" ht="30" customHeight="1" x14ac:dyDescent="0.3">
      <c r="A814" s="7">
        <v>45705.375980092591</v>
      </c>
      <c r="B814" s="6" t="s">
        <v>5</v>
      </c>
      <c r="C814" s="6" t="str">
        <f>VLOOKUP(B812,'Veri doğrulama'!D6:E13,2,0)</f>
        <v>SIDDIK KAPLAN</v>
      </c>
      <c r="D814" s="6" t="s">
        <v>433</v>
      </c>
      <c r="E814" s="6" t="s">
        <v>444</v>
      </c>
      <c r="F814" s="6" t="s">
        <v>18</v>
      </c>
      <c r="G814" s="6" t="s">
        <v>34</v>
      </c>
      <c r="H814" s="6">
        <v>1600</v>
      </c>
      <c r="I814" s="6">
        <v>800</v>
      </c>
      <c r="J814" s="6">
        <v>1</v>
      </c>
      <c r="K814" s="10">
        <f t="shared" si="27"/>
        <v>0.89008600000000004</v>
      </c>
      <c r="L814" s="6" t="s">
        <v>43</v>
      </c>
      <c r="M814" s="6"/>
      <c r="N814" s="6" t="s">
        <v>54</v>
      </c>
      <c r="O814" s="6" t="s">
        <v>54</v>
      </c>
      <c r="P814" s="6" t="s">
        <v>54</v>
      </c>
    </row>
    <row r="815" spans="1:16" ht="30" customHeight="1" x14ac:dyDescent="0.3">
      <c r="A815" s="7">
        <v>45702.621437731483</v>
      </c>
      <c r="B815" s="6" t="s">
        <v>4</v>
      </c>
      <c r="C815" s="6" t="str">
        <f>VLOOKUP(B813,'Veri doğrulama'!D6:E13,2,0)</f>
        <v>SIDDIK KAPLAN</v>
      </c>
      <c r="D815" s="6"/>
      <c r="E815" s="6" t="s">
        <v>436</v>
      </c>
      <c r="F815" s="6" t="s">
        <v>24</v>
      </c>
      <c r="G815" s="6" t="s">
        <v>34</v>
      </c>
      <c r="H815" s="6">
        <v>2386</v>
      </c>
      <c r="I815" s="6">
        <v>586</v>
      </c>
      <c r="J815" s="6">
        <v>1</v>
      </c>
      <c r="K815" s="10">
        <f t="shared" si="27"/>
        <v>2.56</v>
      </c>
      <c r="L815" s="6" t="s">
        <v>43</v>
      </c>
      <c r="M815" s="6" t="s">
        <v>385</v>
      </c>
      <c r="N815" s="6" t="s">
        <v>54</v>
      </c>
      <c r="O815" s="6" t="s">
        <v>54</v>
      </c>
      <c r="P815" s="6"/>
    </row>
    <row r="816" spans="1:16" ht="30" customHeight="1" x14ac:dyDescent="0.3">
      <c r="A816" s="7">
        <v>45702.490216550927</v>
      </c>
      <c r="B816" s="6" t="s">
        <v>5</v>
      </c>
      <c r="C816" s="6" t="str">
        <f>VLOOKUP(B814,'Veri doğrulama'!D6:E13,2,0)</f>
        <v>MEHMET ÖZEN</v>
      </c>
      <c r="D816" s="6"/>
      <c r="E816" s="6" t="s">
        <v>429</v>
      </c>
      <c r="F816" s="6" t="s">
        <v>18</v>
      </c>
      <c r="G816" s="6" t="s">
        <v>34</v>
      </c>
      <c r="H816" s="6">
        <v>1500</v>
      </c>
      <c r="I816" s="6">
        <v>520</v>
      </c>
      <c r="J816" s="6">
        <v>2</v>
      </c>
      <c r="K816" s="10">
        <f t="shared" si="27"/>
        <v>1.398196</v>
      </c>
      <c r="L816" s="6" t="s">
        <v>43</v>
      </c>
      <c r="M816" s="6"/>
      <c r="N816" s="6" t="s">
        <v>54</v>
      </c>
      <c r="O816" s="6" t="s">
        <v>54</v>
      </c>
      <c r="P816" s="6" t="s">
        <v>54</v>
      </c>
    </row>
    <row r="817" spans="1:16" ht="30" customHeight="1" x14ac:dyDescent="0.3">
      <c r="A817" s="7">
        <v>45702.341036689817</v>
      </c>
      <c r="B817" s="6" t="s">
        <v>4</v>
      </c>
      <c r="C817" s="6" t="str">
        <f>VLOOKUP(B815,'Veri doğrulama'!D6:E13,2,0)</f>
        <v>MEHMET YAZICI</v>
      </c>
      <c r="D817" s="6"/>
      <c r="E817" s="6" t="s">
        <v>92</v>
      </c>
      <c r="F817" s="6" t="s">
        <v>26</v>
      </c>
      <c r="G817" s="6" t="s">
        <v>34</v>
      </c>
      <c r="H817" s="6">
        <v>2200</v>
      </c>
      <c r="I817" s="6">
        <v>445</v>
      </c>
      <c r="J817" s="6">
        <v>1</v>
      </c>
      <c r="K817" s="10">
        <f t="shared" si="27"/>
        <v>0.78</v>
      </c>
      <c r="L817" s="6" t="s">
        <v>156</v>
      </c>
      <c r="M817" s="6" t="s">
        <v>389</v>
      </c>
      <c r="N817" s="6" t="s">
        <v>54</v>
      </c>
      <c r="O817" s="6" t="s">
        <v>54</v>
      </c>
      <c r="P817" s="6" t="s">
        <v>54</v>
      </c>
    </row>
    <row r="818" spans="1:16" ht="30" customHeight="1" x14ac:dyDescent="0.3">
      <c r="A818" s="7">
        <v>45701.750847453703</v>
      </c>
      <c r="B818" s="6" t="s">
        <v>4</v>
      </c>
      <c r="C818" s="6" t="str">
        <f>VLOOKUP(B816,'Veri doğrulama'!D6:E13,2,0)</f>
        <v>MEHMET ÖZEN</v>
      </c>
      <c r="D818" s="6"/>
      <c r="E818" s="6" t="s">
        <v>427</v>
      </c>
      <c r="F818" s="6" t="s">
        <v>26</v>
      </c>
      <c r="G818" s="6" t="s">
        <v>35</v>
      </c>
      <c r="H818" s="6">
        <v>470</v>
      </c>
      <c r="I818" s="6">
        <v>447</v>
      </c>
      <c r="J818" s="6">
        <v>1</v>
      </c>
      <c r="K818" s="10">
        <f t="shared" si="27"/>
        <v>0.97899999999999998</v>
      </c>
      <c r="L818" s="6" t="s">
        <v>43</v>
      </c>
      <c r="M818" s="6" t="s">
        <v>385</v>
      </c>
      <c r="N818" s="6" t="s">
        <v>54</v>
      </c>
      <c r="O818" s="6" t="s">
        <v>54</v>
      </c>
      <c r="P818" s="6"/>
    </row>
    <row r="819" spans="1:16" ht="30" customHeight="1" x14ac:dyDescent="0.3">
      <c r="A819" s="7">
        <v>45701.750328587965</v>
      </c>
      <c r="B819" s="6" t="s">
        <v>4</v>
      </c>
      <c r="C819" s="6" t="str">
        <f>VLOOKUP(B817,'Veri doğrulama'!D6:E13,2,0)</f>
        <v>MEHMET YAZICI</v>
      </c>
      <c r="D819" s="6"/>
      <c r="E819" s="6" t="s">
        <v>434</v>
      </c>
      <c r="F819" s="6" t="s">
        <v>15</v>
      </c>
      <c r="G819" s="6" t="s">
        <v>34</v>
      </c>
      <c r="H819" s="6">
        <v>1763</v>
      </c>
      <c r="I819" s="6">
        <v>699</v>
      </c>
      <c r="J819" s="6">
        <v>1</v>
      </c>
      <c r="K819" s="10">
        <f t="shared" si="27"/>
        <v>0.42018</v>
      </c>
      <c r="L819" s="6" t="s">
        <v>43</v>
      </c>
      <c r="M819" s="6" t="s">
        <v>385</v>
      </c>
      <c r="N819" s="6" t="s">
        <v>54</v>
      </c>
      <c r="O819" s="6" t="s">
        <v>54</v>
      </c>
      <c r="P819" s="6"/>
    </row>
    <row r="820" spans="1:16" ht="30" customHeight="1" x14ac:dyDescent="0.3">
      <c r="A820" s="7">
        <v>45701.749372569444</v>
      </c>
      <c r="B820" s="6" t="s">
        <v>5</v>
      </c>
      <c r="C820" s="6" t="str">
        <f>VLOOKUP(B818,'Veri doğrulama'!D6:E13,2,0)</f>
        <v>MEHMET YAZICI</v>
      </c>
      <c r="D820" s="6" t="s">
        <v>428</v>
      </c>
      <c r="E820" s="6" t="s">
        <v>145</v>
      </c>
      <c r="F820" s="6" t="s">
        <v>146</v>
      </c>
      <c r="G820" s="6" t="s">
        <v>35</v>
      </c>
      <c r="H820" s="6">
        <v>2600</v>
      </c>
      <c r="I820" s="6">
        <v>300</v>
      </c>
      <c r="J820" s="6">
        <v>2</v>
      </c>
      <c r="K820" s="10">
        <f t="shared" si="27"/>
        <v>1.232337</v>
      </c>
      <c r="L820" s="6" t="s">
        <v>156</v>
      </c>
      <c r="M820" s="6"/>
      <c r="N820" s="6" t="s">
        <v>54</v>
      </c>
      <c r="O820" s="6" t="s">
        <v>54</v>
      </c>
      <c r="P820" s="6" t="s">
        <v>54</v>
      </c>
    </row>
    <row r="821" spans="1:16" ht="30" customHeight="1" x14ac:dyDescent="0.3">
      <c r="A821" s="7">
        <v>45701.701309143522</v>
      </c>
      <c r="B821" s="6" t="s">
        <v>7</v>
      </c>
      <c r="C821" s="6" t="str">
        <f>VLOOKUP(B819,'Veri doğrulama'!D6:E13,2,0)</f>
        <v>MEHMET YAZICI</v>
      </c>
      <c r="D821" s="6"/>
      <c r="E821" s="6" t="s">
        <v>437</v>
      </c>
      <c r="F821" s="6" t="s">
        <v>17</v>
      </c>
      <c r="G821" s="6" t="s">
        <v>34</v>
      </c>
      <c r="H821" s="6">
        <v>732</v>
      </c>
      <c r="I821" s="6">
        <v>679</v>
      </c>
      <c r="J821" s="6">
        <v>1</v>
      </c>
      <c r="K821" s="10">
        <f t="shared" si="27"/>
        <v>0.78</v>
      </c>
      <c r="L821" s="6" t="s">
        <v>103</v>
      </c>
      <c r="M821" s="6" t="s">
        <v>438</v>
      </c>
      <c r="N821" s="6" t="s">
        <v>54</v>
      </c>
      <c r="O821" s="6" t="s">
        <v>54</v>
      </c>
      <c r="P821" s="6"/>
    </row>
    <row r="822" spans="1:16" ht="30" customHeight="1" x14ac:dyDescent="0.3">
      <c r="A822" s="7">
        <v>45701.677833333335</v>
      </c>
      <c r="B822" s="6" t="s">
        <v>4</v>
      </c>
      <c r="C822" s="6" t="s">
        <v>53</v>
      </c>
      <c r="D822" s="6" t="s">
        <v>147</v>
      </c>
      <c r="E822" s="6" t="s">
        <v>427</v>
      </c>
      <c r="F822" s="6" t="s">
        <v>18</v>
      </c>
      <c r="G822" s="6" t="s">
        <v>34</v>
      </c>
      <c r="H822" s="6">
        <v>470</v>
      </c>
      <c r="I822" s="6">
        <v>447</v>
      </c>
      <c r="J822" s="6">
        <v>1</v>
      </c>
      <c r="K822" s="10">
        <f t="shared" si="27"/>
        <v>0.49702800000000003</v>
      </c>
      <c r="L822" s="6" t="s">
        <v>37</v>
      </c>
      <c r="M822" s="6" t="s">
        <v>385</v>
      </c>
      <c r="N822" s="6" t="s">
        <v>54</v>
      </c>
      <c r="O822" s="6" t="s">
        <v>54</v>
      </c>
      <c r="P822" s="6"/>
    </row>
    <row r="823" spans="1:16" ht="30" customHeight="1" x14ac:dyDescent="0.3">
      <c r="A823" s="7">
        <v>45701.509720717593</v>
      </c>
      <c r="B823" s="6" t="s">
        <v>4</v>
      </c>
      <c r="C823" s="6" t="str">
        <f>VLOOKUP(B821,'Veri doğrulama'!D6:E13,2,0)</f>
        <v>SIDDIK KAPLAN</v>
      </c>
      <c r="D823" s="6" t="s">
        <v>441</v>
      </c>
      <c r="E823" s="6" t="s">
        <v>421</v>
      </c>
      <c r="F823" s="6" t="s">
        <v>18</v>
      </c>
      <c r="G823" s="6" t="s">
        <v>34</v>
      </c>
      <c r="H823" s="6">
        <v>352</v>
      </c>
      <c r="I823" s="6">
        <v>448</v>
      </c>
      <c r="J823" s="6">
        <v>1</v>
      </c>
      <c r="K823" s="10">
        <f t="shared" si="27"/>
        <v>0.21009</v>
      </c>
      <c r="L823" s="6" t="s">
        <v>43</v>
      </c>
      <c r="M823" s="6" t="s">
        <v>389</v>
      </c>
      <c r="N823" s="6" t="s">
        <v>54</v>
      </c>
      <c r="O823" s="6" t="s">
        <v>54</v>
      </c>
      <c r="P823" s="6" t="s">
        <v>54</v>
      </c>
    </row>
    <row r="824" spans="1:16" ht="30" customHeight="1" x14ac:dyDescent="0.3">
      <c r="A824" s="7">
        <v>45701.375991782406</v>
      </c>
      <c r="B824" s="6" t="s">
        <v>4</v>
      </c>
      <c r="C824" s="6" t="str">
        <f>VLOOKUP(B822,'Veri doğrulama'!D6:E13,2,0)</f>
        <v>MEHMET YAZICI</v>
      </c>
      <c r="D824" s="6"/>
      <c r="E824" s="6" t="s">
        <v>80</v>
      </c>
      <c r="F824" s="6" t="s">
        <v>20</v>
      </c>
      <c r="G824" s="6" t="s">
        <v>34</v>
      </c>
      <c r="H824" s="6">
        <v>1600</v>
      </c>
      <c r="I824" s="6">
        <v>800</v>
      </c>
      <c r="J824" s="6">
        <v>1</v>
      </c>
      <c r="K824" s="10">
        <f t="shared" si="27"/>
        <v>0.157696</v>
      </c>
      <c r="L824" s="6" t="s">
        <v>103</v>
      </c>
      <c r="M824" s="6" t="s">
        <v>445</v>
      </c>
      <c r="N824" s="6" t="s">
        <v>54</v>
      </c>
      <c r="O824" s="6" t="s">
        <v>54</v>
      </c>
      <c r="P824" s="6"/>
    </row>
    <row r="825" spans="1:16" ht="30" customHeight="1" x14ac:dyDescent="0.3">
      <c r="A825" s="7">
        <v>45701.336681712964</v>
      </c>
      <c r="B825" s="6" t="s">
        <v>6</v>
      </c>
      <c r="C825" s="6" t="str">
        <f>VLOOKUP(B823,'Veri doğrulama'!D6:E13,2,0)</f>
        <v>MEHMET YAZICI</v>
      </c>
      <c r="D825" s="6" t="s">
        <v>423</v>
      </c>
      <c r="E825" s="6" t="s">
        <v>420</v>
      </c>
      <c r="F825" s="6" t="s">
        <v>18</v>
      </c>
      <c r="G825" s="6" t="s">
        <v>34</v>
      </c>
      <c r="H825" s="6">
        <v>1500</v>
      </c>
      <c r="I825" s="6">
        <v>500</v>
      </c>
      <c r="J825" s="6">
        <v>1</v>
      </c>
      <c r="K825" s="10">
        <f t="shared" si="27"/>
        <v>1.28</v>
      </c>
      <c r="L825" s="6" t="s">
        <v>102</v>
      </c>
      <c r="M825" s="6"/>
      <c r="N825" s="6" t="s">
        <v>54</v>
      </c>
      <c r="O825" s="6" t="s">
        <v>54</v>
      </c>
      <c r="P825" s="6" t="s">
        <v>54</v>
      </c>
    </row>
    <row r="826" spans="1:16" ht="30" customHeight="1" x14ac:dyDescent="0.3">
      <c r="A826" s="7">
        <v>45700.732650231483</v>
      </c>
      <c r="B826" s="6" t="s">
        <v>5</v>
      </c>
      <c r="C826" s="6" t="str">
        <f>VLOOKUP(B824,'Veri doğrulama'!D6:E13,2,0)</f>
        <v>MEHMET YAZICI</v>
      </c>
      <c r="D826" s="6" t="s">
        <v>448</v>
      </c>
      <c r="E826" s="6" t="s">
        <v>254</v>
      </c>
      <c r="F826" s="6" t="s">
        <v>15</v>
      </c>
      <c r="G826" s="6" t="s">
        <v>34</v>
      </c>
      <c r="H826" s="6">
        <v>1800</v>
      </c>
      <c r="I826" s="6">
        <v>800</v>
      </c>
      <c r="J826" s="6">
        <v>1</v>
      </c>
      <c r="K826" s="10">
        <f t="shared" si="27"/>
        <v>0.75</v>
      </c>
      <c r="L826" s="6" t="s">
        <v>103</v>
      </c>
      <c r="M826" s="6"/>
      <c r="N826" s="6" t="s">
        <v>54</v>
      </c>
      <c r="O826" s="6" t="s">
        <v>54</v>
      </c>
      <c r="P826" s="6" t="s">
        <v>54</v>
      </c>
    </row>
    <row r="827" spans="1:16" ht="30" customHeight="1" x14ac:dyDescent="0.3">
      <c r="A827" s="7">
        <v>45700.685016087962</v>
      </c>
      <c r="B827" s="6" t="s">
        <v>4</v>
      </c>
      <c r="C827" s="6" t="str">
        <f>VLOOKUP(B825,'Veri doğrulama'!D6:E13,2,0)</f>
        <v>SERVET KAPLAN</v>
      </c>
      <c r="D827" s="6"/>
      <c r="E827" s="6" t="s">
        <v>422</v>
      </c>
      <c r="F827" s="6" t="s">
        <v>17</v>
      </c>
      <c r="G827" s="6" t="s">
        <v>34</v>
      </c>
      <c r="H827" s="6">
        <v>1600</v>
      </c>
      <c r="I827" s="6">
        <v>800</v>
      </c>
      <c r="J827" s="6">
        <v>1</v>
      </c>
      <c r="K827" s="10">
        <f t="shared" si="27"/>
        <v>1.44</v>
      </c>
      <c r="L827" s="6" t="s">
        <v>43</v>
      </c>
      <c r="M827" s="6" t="s">
        <v>399</v>
      </c>
      <c r="N827" s="6" t="s">
        <v>54</v>
      </c>
      <c r="O827" s="6" t="s">
        <v>54</v>
      </c>
      <c r="P827" s="6" t="s">
        <v>54</v>
      </c>
    </row>
    <row r="828" spans="1:16" ht="30" customHeight="1" x14ac:dyDescent="0.3">
      <c r="A828" s="7">
        <v>45700.680667708337</v>
      </c>
      <c r="B828" s="6" t="s">
        <v>4</v>
      </c>
      <c r="C828" s="6" t="str">
        <f>VLOOKUP(B826,'Veri doğrulama'!D6:E13,2,0)</f>
        <v>MEHMET ÖZEN</v>
      </c>
      <c r="D828" s="6" t="s">
        <v>425</v>
      </c>
      <c r="E828" s="6" t="s">
        <v>142</v>
      </c>
      <c r="F828" s="6" t="s">
        <v>19</v>
      </c>
      <c r="G828" s="6" t="s">
        <v>34</v>
      </c>
      <c r="H828" s="6">
        <v>785</v>
      </c>
      <c r="I828" s="6">
        <v>415</v>
      </c>
      <c r="J828" s="6">
        <v>1</v>
      </c>
      <c r="K828" s="10">
        <f t="shared" si="27"/>
        <v>1.28</v>
      </c>
      <c r="L828" s="6" t="s">
        <v>37</v>
      </c>
      <c r="M828" s="6" t="s">
        <v>159</v>
      </c>
      <c r="N828" s="6" t="s">
        <v>54</v>
      </c>
      <c r="O828" s="6" t="s">
        <v>54</v>
      </c>
      <c r="P828" s="6" t="s">
        <v>54</v>
      </c>
    </row>
    <row r="829" spans="1:16" ht="30" customHeight="1" x14ac:dyDescent="0.3">
      <c r="A829" s="7">
        <v>45700.56794050926</v>
      </c>
      <c r="B829" s="6" t="s">
        <v>4</v>
      </c>
      <c r="C829" s="6" t="str">
        <f>VLOOKUP(B827,'Veri doğrulama'!D6:E13,2,0)</f>
        <v>MEHMET YAZICI</v>
      </c>
      <c r="D829" s="6"/>
      <c r="E829" s="6" t="s">
        <v>80</v>
      </c>
      <c r="F829" s="6" t="s">
        <v>24</v>
      </c>
      <c r="G829" s="6" t="s">
        <v>34</v>
      </c>
      <c r="H829" s="6">
        <v>1600</v>
      </c>
      <c r="I829" s="6">
        <v>800</v>
      </c>
      <c r="J829" s="6">
        <v>1</v>
      </c>
      <c r="K829" s="10">
        <f t="shared" si="27"/>
        <v>0.32577499999999998</v>
      </c>
      <c r="L829" s="6" t="s">
        <v>102</v>
      </c>
      <c r="M829" s="6" t="s">
        <v>385</v>
      </c>
      <c r="N829" s="6" t="s">
        <v>54</v>
      </c>
      <c r="O829" s="6" t="s">
        <v>54</v>
      </c>
      <c r="P829" s="6"/>
    </row>
    <row r="830" spans="1:16" ht="30" customHeight="1" x14ac:dyDescent="0.3">
      <c r="A830" s="7">
        <v>45700.567158449077</v>
      </c>
      <c r="B830" s="6" t="s">
        <v>4</v>
      </c>
      <c r="C830" s="6" t="str">
        <f>VLOOKUP(B828,'Veri doğrulama'!D6:E13,2,0)</f>
        <v>MEHMET YAZICI</v>
      </c>
      <c r="D830" s="6"/>
      <c r="E830" s="6" t="s">
        <v>417</v>
      </c>
      <c r="F830" s="6" t="s">
        <v>17</v>
      </c>
      <c r="G830" s="6" t="s">
        <v>34</v>
      </c>
      <c r="H830" s="6">
        <v>535</v>
      </c>
      <c r="I830" s="6">
        <v>392</v>
      </c>
      <c r="J830" s="6">
        <v>1</v>
      </c>
      <c r="K830" s="10">
        <f t="shared" si="27"/>
        <v>1.28</v>
      </c>
      <c r="L830" s="6" t="s">
        <v>75</v>
      </c>
      <c r="M830" s="6" t="s">
        <v>385</v>
      </c>
      <c r="N830" s="6" t="s">
        <v>54</v>
      </c>
      <c r="O830" s="6" t="s">
        <v>54</v>
      </c>
      <c r="P830" s="6" t="s">
        <v>54</v>
      </c>
    </row>
    <row r="831" spans="1:16" ht="30" customHeight="1" x14ac:dyDescent="0.3">
      <c r="A831" s="7">
        <v>45700.566283912034</v>
      </c>
      <c r="B831" s="6" t="s">
        <v>7</v>
      </c>
      <c r="C831" s="6" t="str">
        <f>VLOOKUP(B829,'Veri doğrulama'!D6:E13,2,0)</f>
        <v>MEHMET YAZICI</v>
      </c>
      <c r="D831" s="6"/>
      <c r="E831" s="6" t="s">
        <v>439</v>
      </c>
      <c r="F831" s="6" t="s">
        <v>16</v>
      </c>
      <c r="G831" s="6" t="s">
        <v>34</v>
      </c>
      <c r="H831" s="6">
        <v>940</v>
      </c>
      <c r="I831" s="6">
        <v>680</v>
      </c>
      <c r="J831" s="6">
        <v>1</v>
      </c>
      <c r="K831" s="10">
        <f t="shared" si="27"/>
        <v>0.41943999999999998</v>
      </c>
      <c r="L831" s="6" t="s">
        <v>75</v>
      </c>
      <c r="M831" s="6" t="s">
        <v>440</v>
      </c>
      <c r="N831" s="6" t="s">
        <v>54</v>
      </c>
      <c r="O831" s="6" t="s">
        <v>54</v>
      </c>
      <c r="P831" s="6" t="s">
        <v>54</v>
      </c>
    </row>
    <row r="832" spans="1:16" ht="30" customHeight="1" x14ac:dyDescent="0.3">
      <c r="A832" s="7">
        <v>45700.565106944443</v>
      </c>
      <c r="B832" s="6" t="s">
        <v>4</v>
      </c>
      <c r="C832" s="6" t="str">
        <f>VLOOKUP(B830,'Veri doğrulama'!D6:E13,2,0)</f>
        <v>MEHMET YAZICI</v>
      </c>
      <c r="D832" s="6"/>
      <c r="E832" s="6" t="s">
        <v>424</v>
      </c>
      <c r="F832" s="6" t="s">
        <v>22</v>
      </c>
      <c r="G832" s="6" t="s">
        <v>34</v>
      </c>
      <c r="H832" s="6">
        <v>2000</v>
      </c>
      <c r="I832" s="6">
        <v>1100</v>
      </c>
      <c r="J832" s="6">
        <v>2</v>
      </c>
      <c r="K832" s="10">
        <f t="shared" si="27"/>
        <v>0.63919999999999999</v>
      </c>
      <c r="L832" s="6" t="s">
        <v>102</v>
      </c>
      <c r="M832" s="6" t="s">
        <v>389</v>
      </c>
      <c r="N832" s="6" t="s">
        <v>54</v>
      </c>
      <c r="O832" s="6" t="s">
        <v>54</v>
      </c>
      <c r="P832" s="6" t="s">
        <v>54</v>
      </c>
    </row>
    <row r="833" spans="1:16" ht="30" customHeight="1" x14ac:dyDescent="0.3">
      <c r="A833" s="7">
        <v>45700.397055439818</v>
      </c>
      <c r="B833" s="6" t="s">
        <v>4</v>
      </c>
      <c r="C833" s="6" t="str">
        <f>VLOOKUP(B831,'Veri doğrulama'!D6:E13,2,0)</f>
        <v>SIDDIK KAPLAN</v>
      </c>
      <c r="D833" s="6" t="s">
        <v>442</v>
      </c>
      <c r="E833" s="6" t="s">
        <v>418</v>
      </c>
      <c r="F833" s="6" t="s">
        <v>15</v>
      </c>
      <c r="G833" s="6" t="s">
        <v>34</v>
      </c>
      <c r="H833" s="6">
        <v>800</v>
      </c>
      <c r="I833" s="6">
        <v>500</v>
      </c>
      <c r="J833" s="6">
        <v>1</v>
      </c>
      <c r="K833" s="10">
        <f t="shared" si="27"/>
        <v>2.2000000000000002</v>
      </c>
      <c r="L833" s="6" t="s">
        <v>43</v>
      </c>
      <c r="M833" s="6" t="s">
        <v>399</v>
      </c>
      <c r="N833" s="6" t="s">
        <v>54</v>
      </c>
      <c r="O833" s="6" t="s">
        <v>54</v>
      </c>
      <c r="P833" s="6" t="s">
        <v>54</v>
      </c>
    </row>
    <row r="834" spans="1:16" ht="30" customHeight="1" x14ac:dyDescent="0.3">
      <c r="A834" s="7">
        <v>45699.745364467592</v>
      </c>
      <c r="B834" s="6" t="s">
        <v>5</v>
      </c>
      <c r="C834" s="6" t="str">
        <f>VLOOKUP(B832,'Veri doğrulama'!D6:E13,2,0)</f>
        <v>MEHMET YAZICI</v>
      </c>
      <c r="D834" s="6" t="s">
        <v>425</v>
      </c>
      <c r="E834" s="6" t="s">
        <v>496</v>
      </c>
      <c r="F834" s="6" t="s">
        <v>27</v>
      </c>
      <c r="G834" s="6" t="s">
        <v>34</v>
      </c>
      <c r="H834" s="6">
        <v>910</v>
      </c>
      <c r="I834" s="6">
        <v>910</v>
      </c>
      <c r="J834" s="6">
        <v>1</v>
      </c>
      <c r="K834" s="10">
        <f t="shared" si="27"/>
        <v>0.4</v>
      </c>
      <c r="L834" s="6" t="s">
        <v>39</v>
      </c>
      <c r="M834" s="6" t="s">
        <v>497</v>
      </c>
      <c r="N834" s="6" t="s">
        <v>54</v>
      </c>
      <c r="O834" s="6" t="s">
        <v>54</v>
      </c>
      <c r="P834" s="6"/>
    </row>
    <row r="835" spans="1:16" ht="30" customHeight="1" x14ac:dyDescent="0.3">
      <c r="A835" s="7">
        <v>45699.743953819445</v>
      </c>
      <c r="B835" s="6" t="s">
        <v>5</v>
      </c>
      <c r="C835" s="6" t="str">
        <f>VLOOKUP(B833,'Veri doğrulama'!D6:E13,2,0)</f>
        <v>MEHMET YAZICI</v>
      </c>
      <c r="D835" s="6"/>
      <c r="E835" s="6" t="s">
        <v>410</v>
      </c>
      <c r="F835" s="6" t="s">
        <v>16</v>
      </c>
      <c r="G835" s="6" t="s">
        <v>34</v>
      </c>
      <c r="H835" s="6">
        <v>1795</v>
      </c>
      <c r="I835" s="6">
        <v>870</v>
      </c>
      <c r="J835" s="6">
        <v>1</v>
      </c>
      <c r="K835" s="10">
        <f t="shared" si="27"/>
        <v>0.82809999999999995</v>
      </c>
      <c r="L835" s="6" t="s">
        <v>75</v>
      </c>
      <c r="M835" s="6" t="s">
        <v>411</v>
      </c>
      <c r="N835" s="6" t="s">
        <v>54</v>
      </c>
      <c r="O835" s="6" t="s">
        <v>54</v>
      </c>
      <c r="P835" s="6"/>
    </row>
    <row r="836" spans="1:16" ht="30" customHeight="1" x14ac:dyDescent="0.3">
      <c r="A836" s="7">
        <v>45699.411954976851</v>
      </c>
      <c r="B836" s="6" t="s">
        <v>4</v>
      </c>
      <c r="C836" s="6" t="str">
        <f>VLOOKUP(B834,'Veri doğrulama'!D6:E13,2,0)</f>
        <v>MEHMET ÖZEN</v>
      </c>
      <c r="D836" s="6"/>
      <c r="E836" s="6" t="s">
        <v>412</v>
      </c>
      <c r="F836" s="6" t="s">
        <v>17</v>
      </c>
      <c r="G836" s="6" t="s">
        <v>34</v>
      </c>
      <c r="H836" s="6">
        <v>680</v>
      </c>
      <c r="I836" s="6">
        <v>940</v>
      </c>
      <c r="J836" s="6">
        <v>1</v>
      </c>
      <c r="K836" s="10">
        <f t="shared" ref="K836:K867" si="28">H835*I835/1000000*J837</f>
        <v>1.56165</v>
      </c>
      <c r="L836" s="6" t="s">
        <v>42</v>
      </c>
      <c r="M836" s="6" t="s">
        <v>399</v>
      </c>
      <c r="N836" s="6" t="s">
        <v>54</v>
      </c>
      <c r="O836" s="6" t="s">
        <v>54</v>
      </c>
      <c r="P836" s="6" t="s">
        <v>54</v>
      </c>
    </row>
    <row r="837" spans="1:16" ht="30" customHeight="1" x14ac:dyDescent="0.3">
      <c r="A837" s="7">
        <v>45699.348765509261</v>
      </c>
      <c r="B837" s="6" t="s">
        <v>4</v>
      </c>
      <c r="C837" s="6" t="str">
        <f>VLOOKUP(B835,'Veri doğrulama'!D6:E13,2,0)</f>
        <v>MEHMET ÖZEN</v>
      </c>
      <c r="D837" s="6" t="s">
        <v>413</v>
      </c>
      <c r="E837" s="6" t="s">
        <v>403</v>
      </c>
      <c r="F837" s="6" t="s">
        <v>17</v>
      </c>
      <c r="G837" s="6" t="s">
        <v>34</v>
      </c>
      <c r="H837" s="6">
        <v>558</v>
      </c>
      <c r="I837" s="6">
        <v>1148</v>
      </c>
      <c r="J837" s="6">
        <v>1</v>
      </c>
      <c r="K837" s="10">
        <f t="shared" si="28"/>
        <v>0.63919999999999999</v>
      </c>
      <c r="L837" s="6" t="s">
        <v>42</v>
      </c>
      <c r="M837" s="6" t="s">
        <v>399</v>
      </c>
      <c r="N837" s="6" t="s">
        <v>54</v>
      </c>
      <c r="O837" s="6" t="s">
        <v>54</v>
      </c>
      <c r="P837" s="6"/>
    </row>
    <row r="838" spans="1:16" ht="30" customHeight="1" x14ac:dyDescent="0.3">
      <c r="A838" s="7">
        <v>45699.348232407407</v>
      </c>
      <c r="B838" s="6" t="s">
        <v>4</v>
      </c>
      <c r="C838" s="6" t="str">
        <f>VLOOKUP(B836,'Veri doğrulama'!D6:E13,2,0)</f>
        <v>MEHMET YAZICI</v>
      </c>
      <c r="D838" s="6" t="s">
        <v>415</v>
      </c>
      <c r="E838" s="6" t="s">
        <v>449</v>
      </c>
      <c r="F838" s="6" t="s">
        <v>14</v>
      </c>
      <c r="G838" s="6" t="s">
        <v>34</v>
      </c>
      <c r="H838" s="6">
        <v>1750</v>
      </c>
      <c r="I838" s="6">
        <v>344</v>
      </c>
      <c r="J838" s="6">
        <v>1</v>
      </c>
      <c r="K838" s="10">
        <f t="shared" si="28"/>
        <v>0.64058400000000004</v>
      </c>
      <c r="L838" s="6" t="s">
        <v>102</v>
      </c>
      <c r="M838" s="6" t="s">
        <v>399</v>
      </c>
      <c r="N838" s="6" t="s">
        <v>54</v>
      </c>
      <c r="O838" s="6" t="s">
        <v>54</v>
      </c>
      <c r="P838" s="6" t="s">
        <v>54</v>
      </c>
    </row>
    <row r="839" spans="1:16" ht="30" customHeight="1" x14ac:dyDescent="0.3">
      <c r="A839" s="7">
        <v>45699.347576388885</v>
      </c>
      <c r="B839" s="6" t="s">
        <v>4</v>
      </c>
      <c r="C839" s="6" t="str">
        <f>VLOOKUP(B837,'Veri doğrulama'!D6:E13,2,0)</f>
        <v>MEHMET YAZICI</v>
      </c>
      <c r="D839" s="6"/>
      <c r="E839" s="6" t="s">
        <v>404</v>
      </c>
      <c r="F839" s="6" t="s">
        <v>16</v>
      </c>
      <c r="G839" s="6" t="s">
        <v>34</v>
      </c>
      <c r="H839" s="6">
        <v>940</v>
      </c>
      <c r="I839" s="6">
        <v>2200</v>
      </c>
      <c r="J839" s="6">
        <v>1</v>
      </c>
      <c r="K839" s="10">
        <f t="shared" si="28"/>
        <v>0.60199999999999998</v>
      </c>
      <c r="L839" s="6" t="s">
        <v>102</v>
      </c>
      <c r="M839" s="6" t="s">
        <v>399</v>
      </c>
      <c r="N839" s="6" t="s">
        <v>54</v>
      </c>
      <c r="O839" s="6" t="s">
        <v>54</v>
      </c>
      <c r="P839" s="6" t="s">
        <v>54</v>
      </c>
    </row>
    <row r="840" spans="1:16" ht="30" customHeight="1" x14ac:dyDescent="0.3">
      <c r="A840" s="7">
        <v>45698.720543981479</v>
      </c>
      <c r="B840" s="6" t="s">
        <v>4</v>
      </c>
      <c r="C840" s="6" t="str">
        <f>VLOOKUP(B838,'Veri doğrulama'!D6:E13,2,0)</f>
        <v>MEHMET YAZICI</v>
      </c>
      <c r="D840" s="6"/>
      <c r="E840" s="6" t="s">
        <v>141</v>
      </c>
      <c r="F840" s="6" t="s">
        <v>18</v>
      </c>
      <c r="G840" s="6" t="s">
        <v>34</v>
      </c>
      <c r="H840" s="6">
        <v>1100</v>
      </c>
      <c r="I840" s="6">
        <v>360</v>
      </c>
      <c r="J840" s="6">
        <v>1</v>
      </c>
      <c r="K840" s="10">
        <f t="shared" si="28"/>
        <v>2.0680000000000001</v>
      </c>
      <c r="L840" s="6" t="s">
        <v>39</v>
      </c>
      <c r="M840" s="6" t="s">
        <v>399</v>
      </c>
      <c r="N840" s="6" t="s">
        <v>54</v>
      </c>
      <c r="O840" s="6" t="s">
        <v>54</v>
      </c>
      <c r="P840" s="6" t="s">
        <v>54</v>
      </c>
    </row>
    <row r="841" spans="1:16" ht="30" customHeight="1" x14ac:dyDescent="0.3">
      <c r="A841" s="7">
        <v>45698.694952777776</v>
      </c>
      <c r="B841" s="6" t="s">
        <v>4</v>
      </c>
      <c r="C841" s="6" t="str">
        <f>VLOOKUP(B839,'Veri doğrulama'!D6:E13,2,0)</f>
        <v>MEHMET YAZICI</v>
      </c>
      <c r="D841" s="6" t="s">
        <v>405</v>
      </c>
      <c r="E841" s="6" t="s">
        <v>396</v>
      </c>
      <c r="F841" s="6" t="s">
        <v>18</v>
      </c>
      <c r="G841" s="6" t="s">
        <v>34</v>
      </c>
      <c r="H841" s="6">
        <v>1450</v>
      </c>
      <c r="I841" s="6">
        <v>397</v>
      </c>
      <c r="J841" s="6">
        <v>1</v>
      </c>
      <c r="K841" s="10">
        <f t="shared" si="28"/>
        <v>0.39600000000000002</v>
      </c>
      <c r="L841" s="6" t="s">
        <v>156</v>
      </c>
      <c r="M841" s="6" t="s">
        <v>385</v>
      </c>
      <c r="N841" s="6" t="s">
        <v>54</v>
      </c>
      <c r="O841" s="6" t="s">
        <v>54</v>
      </c>
      <c r="P841" s="6"/>
    </row>
    <row r="842" spans="1:16" ht="30" customHeight="1" x14ac:dyDescent="0.3">
      <c r="A842" s="7">
        <v>45698.694041319446</v>
      </c>
      <c r="B842" s="6" t="s">
        <v>4</v>
      </c>
      <c r="C842" s="6" t="str">
        <f>VLOOKUP(B840,'Veri doğrulama'!D6:E13,2,0)</f>
        <v>MEHMET YAZICI</v>
      </c>
      <c r="D842" s="6"/>
      <c r="E842" s="6" t="s">
        <v>406</v>
      </c>
      <c r="F842" s="6" t="s">
        <v>15</v>
      </c>
      <c r="G842" s="6" t="s">
        <v>34</v>
      </c>
      <c r="H842" s="6">
        <v>800</v>
      </c>
      <c r="I842" s="6">
        <v>500</v>
      </c>
      <c r="J842" s="6">
        <v>1</v>
      </c>
      <c r="K842" s="10">
        <f t="shared" si="28"/>
        <v>0.57565</v>
      </c>
      <c r="L842" s="6" t="s">
        <v>103</v>
      </c>
      <c r="M842" s="6" t="s">
        <v>407</v>
      </c>
      <c r="N842" s="6" t="s">
        <v>54</v>
      </c>
      <c r="O842" s="6" t="s">
        <v>54</v>
      </c>
      <c r="P842" s="6"/>
    </row>
    <row r="843" spans="1:16" ht="30" customHeight="1" x14ac:dyDescent="0.3">
      <c r="A843" s="7">
        <v>45698.609026851853</v>
      </c>
      <c r="B843" s="6" t="s">
        <v>5</v>
      </c>
      <c r="C843" s="6" t="str">
        <f>VLOOKUP(B841,'Veri doğrulama'!D6:E13,2,0)</f>
        <v>MEHMET YAZICI</v>
      </c>
      <c r="D843" s="6" t="s">
        <v>400</v>
      </c>
      <c r="E843" s="6" t="s">
        <v>395</v>
      </c>
      <c r="F843" s="6" t="s">
        <v>15</v>
      </c>
      <c r="G843" s="6" t="s">
        <v>34</v>
      </c>
      <c r="H843" s="6">
        <v>1100</v>
      </c>
      <c r="I843" s="6">
        <v>360</v>
      </c>
      <c r="J843" s="6">
        <v>1</v>
      </c>
      <c r="K843" s="10">
        <f t="shared" si="28"/>
        <v>0.4</v>
      </c>
      <c r="L843" s="6" t="s">
        <v>103</v>
      </c>
      <c r="M843" s="6" t="s">
        <v>394</v>
      </c>
      <c r="N843" s="6" t="s">
        <v>54</v>
      </c>
      <c r="O843" s="6" t="s">
        <v>54</v>
      </c>
      <c r="P843" s="6" t="s">
        <v>54</v>
      </c>
    </row>
    <row r="844" spans="1:16" ht="30" customHeight="1" x14ac:dyDescent="0.3">
      <c r="A844" s="7">
        <v>45698.559214699075</v>
      </c>
      <c r="B844" s="6" t="s">
        <v>5</v>
      </c>
      <c r="C844" s="6" t="str">
        <f>VLOOKUP(B842,'Veri doğrulama'!D6:E13,2,0)</f>
        <v>MEHMET YAZICI</v>
      </c>
      <c r="D844" s="6" t="s">
        <v>409</v>
      </c>
      <c r="E844" s="6" t="s">
        <v>96</v>
      </c>
      <c r="F844" s="6" t="s">
        <v>15</v>
      </c>
      <c r="G844" s="6" t="s">
        <v>34</v>
      </c>
      <c r="H844" s="6">
        <v>1600</v>
      </c>
      <c r="I844" s="6">
        <v>800</v>
      </c>
      <c r="J844" s="6">
        <v>1</v>
      </c>
      <c r="K844" s="10">
        <f t="shared" si="28"/>
        <v>0.39600000000000002</v>
      </c>
      <c r="L844" s="6" t="s">
        <v>156</v>
      </c>
      <c r="M844" s="6" t="s">
        <v>394</v>
      </c>
      <c r="N844" s="6" t="s">
        <v>54</v>
      </c>
      <c r="O844" s="6" t="s">
        <v>54</v>
      </c>
      <c r="P844" s="6" t="s">
        <v>54</v>
      </c>
    </row>
    <row r="845" spans="1:16" ht="30" customHeight="1" x14ac:dyDescent="0.3">
      <c r="A845" s="7">
        <v>45698.558449305558</v>
      </c>
      <c r="B845" s="6" t="s">
        <v>4</v>
      </c>
      <c r="C845" s="6" t="str">
        <f>VLOOKUP(B843,'Veri doğrulama'!D6:E13,2,0)</f>
        <v>MEHMET ÖZEN</v>
      </c>
      <c r="D845" s="6" t="s">
        <v>382</v>
      </c>
      <c r="E845" s="6" t="s">
        <v>398</v>
      </c>
      <c r="F845" s="6" t="s">
        <v>16</v>
      </c>
      <c r="G845" s="6" t="s">
        <v>34</v>
      </c>
      <c r="H845" s="6">
        <v>1400</v>
      </c>
      <c r="I845" s="6">
        <v>940</v>
      </c>
      <c r="J845" s="6">
        <v>1</v>
      </c>
      <c r="K845" s="10">
        <f t="shared" si="28"/>
        <v>2.56</v>
      </c>
      <c r="L845" s="6" t="s">
        <v>103</v>
      </c>
      <c r="M845" s="6" t="s">
        <v>399</v>
      </c>
      <c r="N845" s="6" t="s">
        <v>54</v>
      </c>
      <c r="O845" s="6" t="s">
        <v>54</v>
      </c>
      <c r="P845" s="6" t="s">
        <v>54</v>
      </c>
    </row>
    <row r="846" spans="1:16" ht="30" customHeight="1" x14ac:dyDescent="0.3">
      <c r="A846" s="7">
        <v>45698.557268750003</v>
      </c>
      <c r="B846" s="6" t="s">
        <v>4</v>
      </c>
      <c r="C846" s="6" t="str">
        <f>VLOOKUP(B844,'Veri doğrulama'!D6:E13,2,0)</f>
        <v>MEHMET ÖZEN</v>
      </c>
      <c r="D846" s="6"/>
      <c r="E846" s="6" t="s">
        <v>141</v>
      </c>
      <c r="F846" s="6" t="s">
        <v>18</v>
      </c>
      <c r="G846" s="6" t="s">
        <v>34</v>
      </c>
      <c r="H846" s="6">
        <v>1435</v>
      </c>
      <c r="I846" s="6">
        <v>360</v>
      </c>
      <c r="J846" s="6">
        <v>2</v>
      </c>
      <c r="K846" s="10">
        <f t="shared" si="28"/>
        <v>1.3160000000000001</v>
      </c>
      <c r="L846" s="6" t="s">
        <v>103</v>
      </c>
      <c r="M846" s="6" t="s">
        <v>385</v>
      </c>
      <c r="N846" s="6" t="s">
        <v>54</v>
      </c>
      <c r="O846" s="6" t="s">
        <v>54</v>
      </c>
      <c r="P846" s="6"/>
    </row>
    <row r="847" spans="1:16" ht="30" customHeight="1" x14ac:dyDescent="0.3">
      <c r="A847" s="7">
        <v>45698.556601273151</v>
      </c>
      <c r="B847" s="6" t="s">
        <v>5</v>
      </c>
      <c r="C847" s="6" t="str">
        <f>VLOOKUP(B845,'Veri doğrulama'!D6:E13,2,0)</f>
        <v>MEHMET YAZICI</v>
      </c>
      <c r="D847" s="6"/>
      <c r="E847" s="6" t="s">
        <v>172</v>
      </c>
      <c r="F847" s="6" t="s">
        <v>16</v>
      </c>
      <c r="G847" s="6" t="s">
        <v>34</v>
      </c>
      <c r="H847" s="6">
        <v>1990</v>
      </c>
      <c r="I847" s="6">
        <v>840</v>
      </c>
      <c r="J847" s="6">
        <v>1</v>
      </c>
      <c r="K847" s="10">
        <f t="shared" si="28"/>
        <v>1.5497999999999998</v>
      </c>
      <c r="L847" s="6" t="s">
        <v>42</v>
      </c>
      <c r="M847" s="6" t="s">
        <v>392</v>
      </c>
      <c r="N847" s="6" t="s">
        <v>54</v>
      </c>
      <c r="O847" s="6" t="s">
        <v>54</v>
      </c>
      <c r="P847" s="6" t="s">
        <v>54</v>
      </c>
    </row>
    <row r="848" spans="1:16" ht="30" customHeight="1" x14ac:dyDescent="0.3">
      <c r="A848" s="7">
        <v>45698.481910648145</v>
      </c>
      <c r="B848" s="6" t="s">
        <v>4</v>
      </c>
      <c r="C848" s="6" t="str">
        <f>VLOOKUP(B846,'Veri doğrulama'!D6:E13,2,0)</f>
        <v>MEHMET YAZICI</v>
      </c>
      <c r="D848" s="6" t="s">
        <v>397</v>
      </c>
      <c r="E848" s="6" t="s">
        <v>391</v>
      </c>
      <c r="F848" s="6" t="s">
        <v>18</v>
      </c>
      <c r="G848" s="6" t="s">
        <v>34</v>
      </c>
      <c r="H848" s="6">
        <v>1465</v>
      </c>
      <c r="I848" s="6">
        <v>520</v>
      </c>
      <c r="J848" s="6">
        <v>3</v>
      </c>
      <c r="K848" s="10">
        <f t="shared" si="28"/>
        <v>1.6716</v>
      </c>
      <c r="L848" s="6" t="s">
        <v>42</v>
      </c>
      <c r="M848" s="6" t="s">
        <v>385</v>
      </c>
      <c r="N848" s="6" t="s">
        <v>54</v>
      </c>
      <c r="O848" s="6" t="s">
        <v>54</v>
      </c>
      <c r="P848" s="6" t="s">
        <v>54</v>
      </c>
    </row>
    <row r="849" spans="1:16" ht="30" customHeight="1" x14ac:dyDescent="0.3">
      <c r="A849" s="7">
        <v>45698.407231944446</v>
      </c>
      <c r="B849" s="6" t="s">
        <v>4</v>
      </c>
      <c r="C849" s="6" t="str">
        <f>VLOOKUP(B847,'Veri doğrulama'!D6:E13,2,0)</f>
        <v>MEHMET ÖZEN</v>
      </c>
      <c r="D849" s="6"/>
      <c r="E849" s="6" t="s">
        <v>388</v>
      </c>
      <c r="F849" s="6" t="s">
        <v>18</v>
      </c>
      <c r="G849" s="6" t="s">
        <v>34</v>
      </c>
      <c r="H849" s="6">
        <v>1763</v>
      </c>
      <c r="I849" s="6">
        <v>150</v>
      </c>
      <c r="J849" s="6">
        <v>1</v>
      </c>
      <c r="K849" s="10">
        <f t="shared" si="28"/>
        <v>0.76180000000000003</v>
      </c>
      <c r="L849" s="6" t="s">
        <v>103</v>
      </c>
      <c r="M849" s="6" t="s">
        <v>389</v>
      </c>
      <c r="N849" s="6" t="s">
        <v>54</v>
      </c>
      <c r="O849" s="6" t="s">
        <v>54</v>
      </c>
      <c r="P849" s="6" t="s">
        <v>54</v>
      </c>
    </row>
    <row r="850" spans="1:16" ht="30" customHeight="1" x14ac:dyDescent="0.3">
      <c r="A850" s="7">
        <v>45698.405017824072</v>
      </c>
      <c r="B850" s="6" t="s">
        <v>4</v>
      </c>
      <c r="C850" s="6" t="str">
        <f>VLOOKUP(B848,'Veri doğrulama'!D6:E13,2,0)</f>
        <v>MEHMET YAZICI</v>
      </c>
      <c r="D850" s="6"/>
      <c r="E850" s="6" t="s">
        <v>386</v>
      </c>
      <c r="F850" s="6" t="s">
        <v>18</v>
      </c>
      <c r="G850" s="6" t="s">
        <v>34</v>
      </c>
      <c r="H850" s="6">
        <v>762</v>
      </c>
      <c r="I850" s="6">
        <v>320</v>
      </c>
      <c r="J850" s="6">
        <v>1</v>
      </c>
      <c r="K850" s="10">
        <f t="shared" si="28"/>
        <v>0.26445000000000002</v>
      </c>
      <c r="L850" s="6" t="s">
        <v>103</v>
      </c>
      <c r="M850" s="6" t="s">
        <v>385</v>
      </c>
      <c r="N850" s="6" t="s">
        <v>54</v>
      </c>
      <c r="O850" s="6" t="s">
        <v>54</v>
      </c>
      <c r="P850" s="6" t="s">
        <v>54</v>
      </c>
    </row>
    <row r="851" spans="1:16" ht="30" customHeight="1" x14ac:dyDescent="0.3">
      <c r="A851" s="7">
        <v>45698.343588888885</v>
      </c>
      <c r="B851" s="6" t="s">
        <v>4</v>
      </c>
      <c r="C851" s="6" t="str">
        <f>VLOOKUP(B849,'Veri doğrulama'!D6:E13,2,0)</f>
        <v>MEHMET YAZICI</v>
      </c>
      <c r="D851" s="6"/>
      <c r="E851" s="6" t="s">
        <v>384</v>
      </c>
      <c r="F851" s="6" t="s">
        <v>18</v>
      </c>
      <c r="G851" s="6" t="s">
        <v>34</v>
      </c>
      <c r="H851" s="6">
        <v>360</v>
      </c>
      <c r="I851" s="6">
        <v>800</v>
      </c>
      <c r="J851" s="6">
        <v>1</v>
      </c>
      <c r="K851" s="10">
        <f t="shared" si="28"/>
        <v>3.4137599999999999</v>
      </c>
      <c r="L851" s="6" t="s">
        <v>103</v>
      </c>
      <c r="M851" s="6" t="s">
        <v>385</v>
      </c>
      <c r="N851" s="6" t="s">
        <v>54</v>
      </c>
      <c r="O851" s="6" t="s">
        <v>54</v>
      </c>
      <c r="P851" s="6" t="s">
        <v>54</v>
      </c>
    </row>
    <row r="852" spans="1:16" ht="30" customHeight="1" x14ac:dyDescent="0.3">
      <c r="A852" s="7">
        <v>45695.76050196759</v>
      </c>
      <c r="B852" s="6" t="s">
        <v>4</v>
      </c>
      <c r="C852" s="6" t="str">
        <f>VLOOKUP(B850,'Veri doğrulama'!D6:E13,2,0)</f>
        <v>MEHMET YAZICI</v>
      </c>
      <c r="D852" s="6"/>
      <c r="E852" s="6" t="s">
        <v>100</v>
      </c>
      <c r="F852" s="6" t="s">
        <v>18</v>
      </c>
      <c r="G852" s="6" t="s">
        <v>34</v>
      </c>
      <c r="H852" s="6">
        <v>1450</v>
      </c>
      <c r="I852" s="6">
        <v>397</v>
      </c>
      <c r="J852" s="6">
        <v>14</v>
      </c>
      <c r="K852" s="10">
        <f t="shared" si="28"/>
        <v>0.28799999999999998</v>
      </c>
      <c r="L852" s="6" t="s">
        <v>43</v>
      </c>
      <c r="M852" s="6" t="s">
        <v>383</v>
      </c>
      <c r="N852" s="6" t="s">
        <v>54</v>
      </c>
      <c r="O852" s="6" t="s">
        <v>54</v>
      </c>
      <c r="P852" s="6" t="s">
        <v>54</v>
      </c>
    </row>
    <row r="853" spans="1:16" ht="30" customHeight="1" x14ac:dyDescent="0.3">
      <c r="A853" s="7">
        <v>45695.759877893521</v>
      </c>
      <c r="B853" s="6" t="s">
        <v>4</v>
      </c>
      <c r="C853" s="6" t="str">
        <f>VLOOKUP(B851,'Veri doğrulama'!D6:E13,2,0)</f>
        <v>MEHMET YAZICI</v>
      </c>
      <c r="D853" s="6" t="s">
        <v>387</v>
      </c>
      <c r="E853" s="6" t="s">
        <v>127</v>
      </c>
      <c r="F853" s="6" t="s">
        <v>14</v>
      </c>
      <c r="G853" s="6" t="s">
        <v>34</v>
      </c>
      <c r="H853" s="6">
        <v>447</v>
      </c>
      <c r="I853" s="6">
        <v>578</v>
      </c>
      <c r="J853" s="6">
        <v>1</v>
      </c>
      <c r="K853" s="10">
        <f t="shared" si="28"/>
        <v>0.57565</v>
      </c>
      <c r="L853" s="6" t="s">
        <v>103</v>
      </c>
      <c r="M853" s="6" t="s">
        <v>385</v>
      </c>
      <c r="N853" s="6" t="s">
        <v>54</v>
      </c>
      <c r="O853" s="6" t="s">
        <v>54</v>
      </c>
      <c r="P853" s="6" t="s">
        <v>54</v>
      </c>
    </row>
    <row r="854" spans="1:16" ht="30" customHeight="1" x14ac:dyDescent="0.3">
      <c r="A854" s="7">
        <v>45695.591511458333</v>
      </c>
      <c r="B854" s="6" t="s">
        <v>4</v>
      </c>
      <c r="C854" s="6" t="str">
        <f>VLOOKUP(B852,'Veri doğrulama'!D6:E13,2,0)</f>
        <v>MEHMET YAZICI</v>
      </c>
      <c r="D854" s="6"/>
      <c r="E854" s="6" t="s">
        <v>380</v>
      </c>
      <c r="F854" s="6" t="s">
        <v>14</v>
      </c>
      <c r="G854" s="6" t="s">
        <v>34</v>
      </c>
      <c r="H854" s="6">
        <v>2200</v>
      </c>
      <c r="I854" s="6">
        <v>450</v>
      </c>
      <c r="J854" s="6">
        <v>1</v>
      </c>
      <c r="K854" s="10">
        <f t="shared" si="28"/>
        <v>0.25836599999999998</v>
      </c>
      <c r="L854" s="6" t="s">
        <v>103</v>
      </c>
      <c r="M854" s="6" t="s">
        <v>179</v>
      </c>
      <c r="N854" s="6" t="s">
        <v>54</v>
      </c>
      <c r="O854" s="6" t="s">
        <v>54</v>
      </c>
      <c r="P854" s="6" t="s">
        <v>54</v>
      </c>
    </row>
    <row r="855" spans="1:16" ht="30" customHeight="1" x14ac:dyDescent="0.3">
      <c r="A855" s="7">
        <v>45695.34069571759</v>
      </c>
      <c r="B855" s="6" t="s">
        <v>7</v>
      </c>
      <c r="C855" s="6" t="str">
        <f>VLOOKUP(B853,'Veri doğrulama'!D6:E13,2,0)</f>
        <v>MEHMET YAZICI</v>
      </c>
      <c r="D855" s="6"/>
      <c r="E855" s="6" t="s">
        <v>381</v>
      </c>
      <c r="F855" s="6" t="s">
        <v>18</v>
      </c>
      <c r="G855" s="6" t="s">
        <v>34</v>
      </c>
      <c r="H855" s="6">
        <v>1400</v>
      </c>
      <c r="I855" s="6">
        <v>1200</v>
      </c>
      <c r="J855" s="6">
        <v>1</v>
      </c>
      <c r="K855" s="10">
        <f t="shared" si="28"/>
        <v>0.99</v>
      </c>
      <c r="L855" s="6" t="s">
        <v>156</v>
      </c>
      <c r="M855" s="6" t="s">
        <v>209</v>
      </c>
      <c r="N855" s="6" t="s">
        <v>54</v>
      </c>
      <c r="O855" s="6" t="s">
        <v>54</v>
      </c>
      <c r="P855" s="6" t="s">
        <v>54</v>
      </c>
    </row>
    <row r="856" spans="1:16" ht="30" customHeight="1" x14ac:dyDescent="0.3">
      <c r="A856" s="7">
        <v>45694.598207291667</v>
      </c>
      <c r="B856" s="6" t="s">
        <v>4</v>
      </c>
      <c r="C856" s="6" t="str">
        <f>VLOOKUP(B854,'Veri doğrulama'!D6:E13,2,0)</f>
        <v>MEHMET YAZICI</v>
      </c>
      <c r="D856" s="6" t="s">
        <v>382</v>
      </c>
      <c r="E856" s="6" t="s">
        <v>416</v>
      </c>
      <c r="F856" s="6" t="s">
        <v>19</v>
      </c>
      <c r="G856" s="6" t="s">
        <v>34</v>
      </c>
      <c r="H856" s="6">
        <v>470</v>
      </c>
      <c r="I856" s="6">
        <v>447</v>
      </c>
      <c r="J856" s="6">
        <v>1</v>
      </c>
      <c r="K856" s="10">
        <f t="shared" si="28"/>
        <v>1.68</v>
      </c>
      <c r="L856" s="6" t="s">
        <v>102</v>
      </c>
      <c r="M856" s="6" t="s">
        <v>385</v>
      </c>
      <c r="N856" s="6" t="s">
        <v>54</v>
      </c>
      <c r="O856" s="6" t="s">
        <v>54</v>
      </c>
      <c r="P856" s="6" t="s">
        <v>54</v>
      </c>
    </row>
    <row r="857" spans="1:16" ht="30" customHeight="1" x14ac:dyDescent="0.3">
      <c r="A857" s="7">
        <v>45694.474668055555</v>
      </c>
      <c r="B857" s="6" t="s">
        <v>4</v>
      </c>
      <c r="C857" s="6" t="str">
        <f>VLOOKUP(B855,'Veri doğrulama'!D6:E13,2,0)</f>
        <v>SIDDIK KAPLAN</v>
      </c>
      <c r="D857" s="6"/>
      <c r="E857" s="6" t="s">
        <v>414</v>
      </c>
      <c r="F857" s="6" t="s">
        <v>24</v>
      </c>
      <c r="G857" s="6" t="s">
        <v>34</v>
      </c>
      <c r="H857" s="6">
        <v>682</v>
      </c>
      <c r="I857" s="6">
        <v>412</v>
      </c>
      <c r="J857" s="6">
        <v>1</v>
      </c>
      <c r="K857" s="10">
        <f t="shared" si="28"/>
        <v>0.21009</v>
      </c>
      <c r="L857" s="6" t="s">
        <v>43</v>
      </c>
      <c r="M857" s="6" t="s">
        <v>399</v>
      </c>
      <c r="N857" s="6" t="s">
        <v>54</v>
      </c>
      <c r="O857" s="6" t="s">
        <v>54</v>
      </c>
      <c r="P857" s="6" t="s">
        <v>54</v>
      </c>
    </row>
    <row r="858" spans="1:16" ht="30" customHeight="1" x14ac:dyDescent="0.3">
      <c r="A858" s="7">
        <v>45694.456095601854</v>
      </c>
      <c r="B858" s="6" t="s">
        <v>5</v>
      </c>
      <c r="C858" s="6" t="str">
        <f>VLOOKUP(B856,'Veri doğrulama'!D6:E13,2,0)</f>
        <v>MEHMET YAZICI</v>
      </c>
      <c r="D858" s="6" t="s">
        <v>405</v>
      </c>
      <c r="E858" s="6" t="s">
        <v>376</v>
      </c>
      <c r="F858" s="6" t="s">
        <v>18</v>
      </c>
      <c r="G858" s="6" t="s">
        <v>34</v>
      </c>
      <c r="H858" s="6">
        <v>1400</v>
      </c>
      <c r="I858" s="6">
        <v>1200</v>
      </c>
      <c r="J858" s="6">
        <v>1</v>
      </c>
      <c r="K858" s="10">
        <f t="shared" si="28"/>
        <v>0.56196800000000002</v>
      </c>
      <c r="L858" s="6" t="s">
        <v>156</v>
      </c>
      <c r="M858" s="6" t="s">
        <v>195</v>
      </c>
      <c r="N858" s="6" t="s">
        <v>54</v>
      </c>
      <c r="O858" s="6" t="s">
        <v>54</v>
      </c>
      <c r="P858" s="6" t="s">
        <v>54</v>
      </c>
    </row>
    <row r="859" spans="1:16" ht="30" customHeight="1" x14ac:dyDescent="0.3">
      <c r="A859" s="7">
        <v>45694.455469675922</v>
      </c>
      <c r="B859" s="6" t="s">
        <v>4</v>
      </c>
      <c r="C859" s="6" t="str">
        <f>VLOOKUP(B857,'Veri doğrulama'!D6:E13,2,0)</f>
        <v>MEHMET YAZICI</v>
      </c>
      <c r="D859" s="6"/>
      <c r="E859" s="6" t="s">
        <v>401</v>
      </c>
      <c r="F859" s="6" t="s">
        <v>17</v>
      </c>
      <c r="G859" s="6" t="s">
        <v>34</v>
      </c>
      <c r="H859" s="6">
        <v>2200</v>
      </c>
      <c r="I859" s="6">
        <v>940</v>
      </c>
      <c r="J859" s="6">
        <v>2</v>
      </c>
      <c r="K859" s="10">
        <f t="shared" si="28"/>
        <v>1.68</v>
      </c>
      <c r="L859" s="6" t="s">
        <v>103</v>
      </c>
      <c r="M859" s="6" t="s">
        <v>402</v>
      </c>
      <c r="N859" s="6" t="s">
        <v>54</v>
      </c>
      <c r="O859" s="6" t="s">
        <v>54</v>
      </c>
      <c r="P859" s="6" t="s">
        <v>54</v>
      </c>
    </row>
    <row r="860" spans="1:16" ht="30" customHeight="1" x14ac:dyDescent="0.3">
      <c r="A860" s="7">
        <v>45694.359768402777</v>
      </c>
      <c r="B860" s="6" t="s">
        <v>4</v>
      </c>
      <c r="C860" s="6" t="str">
        <f>VLOOKUP(B858,'Veri doğrulama'!D6:E13,2,0)</f>
        <v>MEHMET ÖZEN</v>
      </c>
      <c r="D860" s="6" t="s">
        <v>379</v>
      </c>
      <c r="E860" s="6" t="s">
        <v>372</v>
      </c>
      <c r="F860" s="6" t="s">
        <v>17</v>
      </c>
      <c r="G860" s="6" t="s">
        <v>34</v>
      </c>
      <c r="H860" s="6">
        <v>698</v>
      </c>
      <c r="I860" s="6">
        <v>430</v>
      </c>
      <c r="J860" s="6">
        <v>1</v>
      </c>
      <c r="K860" s="10">
        <f t="shared" si="28"/>
        <v>2.0680000000000001</v>
      </c>
      <c r="L860" s="6" t="s">
        <v>38</v>
      </c>
      <c r="M860" s="6">
        <v>1</v>
      </c>
      <c r="N860" s="6" t="s">
        <v>54</v>
      </c>
      <c r="O860" s="6" t="s">
        <v>54</v>
      </c>
      <c r="P860" s="6"/>
    </row>
    <row r="861" spans="1:16" ht="30" customHeight="1" x14ac:dyDescent="0.3">
      <c r="A861" s="7">
        <v>45693.59700833333</v>
      </c>
      <c r="B861" s="6" t="s">
        <v>5</v>
      </c>
      <c r="C861" s="6" t="str">
        <f>VLOOKUP(B859,'Veri doğrulama'!D6:E13,2,0)</f>
        <v>MEHMET YAZICI</v>
      </c>
      <c r="D861" s="6"/>
      <c r="E861" s="6" t="s">
        <v>94</v>
      </c>
      <c r="F861" s="6" t="s">
        <v>19</v>
      </c>
      <c r="G861" s="6" t="s">
        <v>34</v>
      </c>
      <c r="H861" s="6">
        <v>2200</v>
      </c>
      <c r="I861" s="6">
        <v>900</v>
      </c>
      <c r="J861" s="6">
        <v>1</v>
      </c>
      <c r="K861" s="10">
        <f t="shared" si="28"/>
        <v>0.30014000000000002</v>
      </c>
      <c r="L861" s="6" t="s">
        <v>102</v>
      </c>
      <c r="M861" s="6"/>
      <c r="N861" s="6" t="s">
        <v>54</v>
      </c>
      <c r="O861" s="6" t="s">
        <v>54</v>
      </c>
      <c r="P861" s="6" t="s">
        <v>54</v>
      </c>
    </row>
    <row r="862" spans="1:16" ht="30" customHeight="1" x14ac:dyDescent="0.3">
      <c r="A862" s="7">
        <v>45693.590124768518</v>
      </c>
      <c r="B862" s="6" t="s">
        <v>4</v>
      </c>
      <c r="C862" s="6" t="str">
        <f>VLOOKUP(B860,'Veri doğrulama'!D6:E13,2,0)</f>
        <v>MEHMET YAZICI</v>
      </c>
      <c r="D862" s="6"/>
      <c r="E862" s="6" t="s">
        <v>390</v>
      </c>
      <c r="F862" s="6" t="s">
        <v>16</v>
      </c>
      <c r="G862" s="6" t="s">
        <v>34</v>
      </c>
      <c r="H862" s="6">
        <v>630</v>
      </c>
      <c r="I862" s="6">
        <v>405</v>
      </c>
      <c r="J862" s="6">
        <v>1</v>
      </c>
      <c r="K862" s="10">
        <f t="shared" si="28"/>
        <v>1.98</v>
      </c>
      <c r="L862" s="6" t="s">
        <v>102</v>
      </c>
      <c r="M862" s="6" t="s">
        <v>385</v>
      </c>
      <c r="N862" s="6" t="s">
        <v>54</v>
      </c>
      <c r="O862" s="6" t="s">
        <v>54</v>
      </c>
      <c r="P862" s="6" t="s">
        <v>54</v>
      </c>
    </row>
    <row r="863" spans="1:16" ht="30" customHeight="1" x14ac:dyDescent="0.3">
      <c r="A863" s="7">
        <v>45693.583019097219</v>
      </c>
      <c r="B863" s="6" t="s">
        <v>4</v>
      </c>
      <c r="C863" s="6" t="str">
        <f>VLOOKUP(B861,'Veri doğrulama'!D6:E13,2,0)</f>
        <v>MEHMET ÖZEN</v>
      </c>
      <c r="D863" s="6" t="s">
        <v>377</v>
      </c>
      <c r="E863" s="6" t="s">
        <v>443</v>
      </c>
      <c r="F863" s="6" t="s">
        <v>13</v>
      </c>
      <c r="G863" s="6" t="s">
        <v>34</v>
      </c>
      <c r="H863" s="6">
        <v>710</v>
      </c>
      <c r="I863" s="6">
        <v>849</v>
      </c>
      <c r="J863" s="6">
        <v>1</v>
      </c>
      <c r="K863" s="10">
        <f t="shared" si="28"/>
        <v>0.25514999999999999</v>
      </c>
      <c r="L863" s="6" t="s">
        <v>37</v>
      </c>
      <c r="M863" s="6" t="s">
        <v>385</v>
      </c>
      <c r="N863" s="6" t="s">
        <v>54</v>
      </c>
      <c r="O863" s="6" t="s">
        <v>54</v>
      </c>
      <c r="P863" s="6" t="s">
        <v>54</v>
      </c>
    </row>
    <row r="864" spans="1:16" ht="30" customHeight="1" x14ac:dyDescent="0.3">
      <c r="A864" s="7">
        <v>45693.442996180558</v>
      </c>
      <c r="B864" s="6" t="s">
        <v>4</v>
      </c>
      <c r="C864" s="6" t="str">
        <f>VLOOKUP(B862,'Veri doğrulama'!D6:E13,2,0)</f>
        <v>MEHMET YAZICI</v>
      </c>
      <c r="D864" s="6"/>
      <c r="E864" s="6" t="s">
        <v>371</v>
      </c>
      <c r="F864" s="6" t="s">
        <v>17</v>
      </c>
      <c r="G864" s="6" t="s">
        <v>35</v>
      </c>
      <c r="H864" s="6">
        <v>840</v>
      </c>
      <c r="I864" s="6">
        <v>1990</v>
      </c>
      <c r="J864" s="6">
        <v>1</v>
      </c>
      <c r="K864" s="10">
        <f t="shared" si="28"/>
        <v>0.60279000000000005</v>
      </c>
      <c r="L864" s="6" t="s">
        <v>39</v>
      </c>
      <c r="M864" s="6" t="s">
        <v>157</v>
      </c>
      <c r="N864" s="6" t="s">
        <v>54</v>
      </c>
      <c r="O864" s="6" t="s">
        <v>54</v>
      </c>
      <c r="P864" s="6"/>
    </row>
    <row r="865" spans="1:16" ht="30" customHeight="1" x14ac:dyDescent="0.3">
      <c r="A865" s="7">
        <v>45692.697427314815</v>
      </c>
      <c r="B865" s="6" t="s">
        <v>4</v>
      </c>
      <c r="C865" s="6" t="str">
        <f>VLOOKUP(B863,'Veri doğrulama'!D6:E13,2,0)</f>
        <v>MEHMET YAZICI</v>
      </c>
      <c r="D865" s="6"/>
      <c r="E865" s="6" t="s">
        <v>367</v>
      </c>
      <c r="F865" s="6" t="s">
        <v>16</v>
      </c>
      <c r="G865" s="6" t="s">
        <v>34</v>
      </c>
      <c r="H865" s="6">
        <v>575</v>
      </c>
      <c r="I865" s="6">
        <v>410</v>
      </c>
      <c r="J865" s="6">
        <v>1</v>
      </c>
      <c r="K865" s="10">
        <f t="shared" si="28"/>
        <v>1.6716</v>
      </c>
      <c r="L865" s="6" t="s">
        <v>103</v>
      </c>
      <c r="M865" s="6" t="s">
        <v>157</v>
      </c>
      <c r="N865" s="6" t="s">
        <v>54</v>
      </c>
      <c r="O865" s="6" t="s">
        <v>54</v>
      </c>
      <c r="P865" s="6"/>
    </row>
    <row r="866" spans="1:16" ht="30" customHeight="1" x14ac:dyDescent="0.3">
      <c r="A866" s="7">
        <v>45692.651513888886</v>
      </c>
      <c r="B866" s="6" t="s">
        <v>5</v>
      </c>
      <c r="C866" s="6" t="str">
        <f>VLOOKUP(B864,'Veri doğrulama'!D6:E13,2,0)</f>
        <v>MEHMET YAZICI</v>
      </c>
      <c r="D866" s="6" t="s">
        <v>373</v>
      </c>
      <c r="E866" s="6" t="s">
        <v>375</v>
      </c>
      <c r="F866" s="6" t="s">
        <v>24</v>
      </c>
      <c r="G866" s="6" t="s">
        <v>34</v>
      </c>
      <c r="H866" s="6">
        <v>1990</v>
      </c>
      <c r="I866" s="6">
        <v>840</v>
      </c>
      <c r="J866" s="6">
        <v>1</v>
      </c>
      <c r="K866" s="10">
        <f t="shared" si="28"/>
        <v>0.47149999999999997</v>
      </c>
      <c r="L866" s="6" t="s">
        <v>103</v>
      </c>
      <c r="M866" s="6">
        <v>1</v>
      </c>
      <c r="N866" s="6" t="s">
        <v>54</v>
      </c>
      <c r="O866" s="6" t="s">
        <v>54</v>
      </c>
      <c r="P866" s="6" t="s">
        <v>54</v>
      </c>
    </row>
    <row r="867" spans="1:16" ht="30" customHeight="1" x14ac:dyDescent="0.3">
      <c r="A867" s="7">
        <v>45692.65102002315</v>
      </c>
      <c r="B867" s="6" t="s">
        <v>4</v>
      </c>
      <c r="C867" s="6" t="str">
        <f>VLOOKUP(B865,'Veri doğrulama'!D6:E13,2,0)</f>
        <v>MEHMET YAZICI</v>
      </c>
      <c r="D867" s="6" t="s">
        <v>370</v>
      </c>
      <c r="E867" s="6" t="s">
        <v>378</v>
      </c>
      <c r="F867" s="6" t="s">
        <v>14</v>
      </c>
      <c r="G867" s="6" t="s">
        <v>34</v>
      </c>
      <c r="H867" s="6">
        <v>544</v>
      </c>
      <c r="I867" s="6">
        <v>549</v>
      </c>
      <c r="J867" s="6">
        <v>2</v>
      </c>
      <c r="K867" s="10">
        <f t="shared" si="28"/>
        <v>1.6716</v>
      </c>
      <c r="L867" s="6" t="s">
        <v>103</v>
      </c>
      <c r="M867" s="6" t="s">
        <v>159</v>
      </c>
      <c r="N867" s="6" t="s">
        <v>54</v>
      </c>
      <c r="O867" s="6" t="s">
        <v>54</v>
      </c>
      <c r="P867" s="6" t="s">
        <v>54</v>
      </c>
    </row>
    <row r="868" spans="1:16" ht="30" customHeight="1" x14ac:dyDescent="0.3">
      <c r="A868" s="7">
        <v>45692.623866435184</v>
      </c>
      <c r="B868" s="6" t="s">
        <v>4</v>
      </c>
      <c r="C868" s="6" t="str">
        <f>VLOOKUP(B866,'Veri doğrulama'!D6:E13,2,0)</f>
        <v>MEHMET ÖZEN</v>
      </c>
      <c r="D868" s="6"/>
      <c r="E868" s="6" t="s">
        <v>462</v>
      </c>
      <c r="F868" s="6" t="s">
        <v>21</v>
      </c>
      <c r="G868" s="6" t="s">
        <v>34</v>
      </c>
      <c r="H868" s="6">
        <v>600</v>
      </c>
      <c r="I868" s="6">
        <v>326</v>
      </c>
      <c r="J868" s="6">
        <v>1</v>
      </c>
      <c r="K868" s="10">
        <f t="shared" ref="K868:K888" si="29">H867*I867/1000000*J869</f>
        <v>0.29865599999999998</v>
      </c>
      <c r="L868" s="6" t="s">
        <v>103</v>
      </c>
      <c r="M868" s="6" t="s">
        <v>385</v>
      </c>
      <c r="N868" s="6" t="s">
        <v>54</v>
      </c>
      <c r="O868" s="6" t="s">
        <v>54</v>
      </c>
      <c r="P868" s="6" t="s">
        <v>54</v>
      </c>
    </row>
    <row r="869" spans="1:16" ht="30" customHeight="1" x14ac:dyDescent="0.3">
      <c r="A869" s="7">
        <v>45692.56413796296</v>
      </c>
      <c r="B869" s="6" t="s">
        <v>4</v>
      </c>
      <c r="C869" s="6" t="str">
        <f>VLOOKUP(B867,'Veri doğrulama'!D6:E13,2,0)</f>
        <v>MEHMET YAZICI</v>
      </c>
      <c r="D869" s="6"/>
      <c r="E869" s="6" t="s">
        <v>365</v>
      </c>
      <c r="F869" s="6" t="s">
        <v>17</v>
      </c>
      <c r="G869" s="6" t="s">
        <v>34</v>
      </c>
      <c r="H869" s="6">
        <v>320</v>
      </c>
      <c r="I869" s="6">
        <v>1300</v>
      </c>
      <c r="J869" s="6">
        <v>1</v>
      </c>
      <c r="K869" s="10">
        <f t="shared" si="29"/>
        <v>0.1956</v>
      </c>
      <c r="L869" s="6" t="s">
        <v>43</v>
      </c>
      <c r="M869" s="6" t="s">
        <v>157</v>
      </c>
      <c r="N869" s="6" t="s">
        <v>54</v>
      </c>
      <c r="O869" s="6" t="s">
        <v>54</v>
      </c>
      <c r="P869" s="6" t="s">
        <v>54</v>
      </c>
    </row>
    <row r="870" spans="1:16" ht="30" customHeight="1" x14ac:dyDescent="0.3">
      <c r="A870" s="7">
        <v>45692.466904976849</v>
      </c>
      <c r="B870" s="6" t="s">
        <v>5</v>
      </c>
      <c r="C870" s="6" t="str">
        <f>VLOOKUP(B868,'Veri doğrulama'!D6:E13,2,0)</f>
        <v>MEHMET YAZICI</v>
      </c>
      <c r="D870" s="6" t="s">
        <v>464</v>
      </c>
      <c r="E870" s="6" t="s">
        <v>363</v>
      </c>
      <c r="F870" s="6" t="s">
        <v>16</v>
      </c>
      <c r="G870" s="6" t="s">
        <v>34</v>
      </c>
      <c r="H870" s="6">
        <v>397</v>
      </c>
      <c r="I870" s="6">
        <v>701</v>
      </c>
      <c r="J870" s="6">
        <v>1</v>
      </c>
      <c r="K870" s="10">
        <f t="shared" si="29"/>
        <v>0.41599999999999998</v>
      </c>
      <c r="L870" s="6" t="s">
        <v>156</v>
      </c>
      <c r="M870" s="6" t="s">
        <v>157</v>
      </c>
      <c r="N870" s="6" t="s">
        <v>54</v>
      </c>
      <c r="O870" s="6" t="s">
        <v>54</v>
      </c>
      <c r="P870" s="6" t="s">
        <v>54</v>
      </c>
    </row>
    <row r="871" spans="1:16" ht="30" customHeight="1" x14ac:dyDescent="0.3">
      <c r="A871" s="7">
        <v>45692.465843865742</v>
      </c>
      <c r="B871" s="6" t="s">
        <v>5</v>
      </c>
      <c r="C871" s="6" t="str">
        <f>VLOOKUP(B869,'Veri doğrulama'!D6:E13,2,0)</f>
        <v>MEHMET YAZICI</v>
      </c>
      <c r="D871" s="6"/>
      <c r="E871" s="6" t="s">
        <v>357</v>
      </c>
      <c r="F871" s="6" t="s">
        <v>16</v>
      </c>
      <c r="G871" s="6" t="s">
        <v>34</v>
      </c>
      <c r="H871" s="6">
        <v>2163</v>
      </c>
      <c r="I871" s="6">
        <v>699</v>
      </c>
      <c r="J871" s="6">
        <v>1</v>
      </c>
      <c r="K871" s="10">
        <f t="shared" si="29"/>
        <v>0.27829700000000002</v>
      </c>
      <c r="L871" s="6" t="s">
        <v>75</v>
      </c>
      <c r="M871" s="6" t="s">
        <v>195</v>
      </c>
      <c r="N871" s="6" t="s">
        <v>54</v>
      </c>
      <c r="O871" s="6" t="s">
        <v>54</v>
      </c>
      <c r="P871" s="6" t="s">
        <v>54</v>
      </c>
    </row>
    <row r="872" spans="1:16" ht="30" customHeight="1" x14ac:dyDescent="0.3">
      <c r="A872" s="7">
        <v>45692.394878009261</v>
      </c>
      <c r="B872" s="6" t="s">
        <v>4</v>
      </c>
      <c r="C872" s="6" t="s">
        <v>125</v>
      </c>
      <c r="D872" s="6" t="s">
        <v>366</v>
      </c>
      <c r="E872" s="6" t="s">
        <v>368</v>
      </c>
      <c r="F872" s="6" t="s">
        <v>19</v>
      </c>
      <c r="G872" s="6" t="s">
        <v>35</v>
      </c>
      <c r="H872" s="6">
        <v>1600</v>
      </c>
      <c r="I872" s="6">
        <v>800</v>
      </c>
      <c r="J872" s="6">
        <v>1</v>
      </c>
      <c r="K872" s="10">
        <f t="shared" si="29"/>
        <v>1.5119370000000001</v>
      </c>
      <c r="L872" s="6" t="s">
        <v>75</v>
      </c>
      <c r="M872" s="6" t="s">
        <v>369</v>
      </c>
      <c r="N872" s="6" t="s">
        <v>54</v>
      </c>
      <c r="O872" s="6" t="s">
        <v>54</v>
      </c>
      <c r="P872" s="6" t="s">
        <v>54</v>
      </c>
    </row>
    <row r="873" spans="1:16" ht="30" customHeight="1" x14ac:dyDescent="0.3">
      <c r="A873" s="7">
        <v>45692.347936689817</v>
      </c>
      <c r="B873" s="6" t="s">
        <v>4</v>
      </c>
      <c r="C873" s="6" t="str">
        <f>VLOOKUP(B871,'Veri doğrulama'!D6:E13,2,0)</f>
        <v>MEHMET ÖZEN</v>
      </c>
      <c r="D873" s="6" t="s">
        <v>359</v>
      </c>
      <c r="E873" s="6" t="s">
        <v>358</v>
      </c>
      <c r="F873" s="6" t="s">
        <v>21</v>
      </c>
      <c r="G873" s="6" t="s">
        <v>34</v>
      </c>
      <c r="H873" s="6">
        <v>1800</v>
      </c>
      <c r="I873" s="6">
        <v>220</v>
      </c>
      <c r="J873" s="6">
        <v>1</v>
      </c>
      <c r="K873" s="10">
        <f t="shared" si="29"/>
        <v>1.28</v>
      </c>
      <c r="L873" s="6" t="s">
        <v>102</v>
      </c>
      <c r="M873" s="6" t="s">
        <v>179</v>
      </c>
      <c r="N873" s="6" t="s">
        <v>54</v>
      </c>
      <c r="O873" s="6" t="s">
        <v>54</v>
      </c>
      <c r="P873" s="6" t="s">
        <v>54</v>
      </c>
    </row>
    <row r="874" spans="1:16" ht="30" customHeight="1" x14ac:dyDescent="0.3">
      <c r="A874" s="7">
        <v>45692.347539467592</v>
      </c>
      <c r="B874" s="6" t="s">
        <v>5</v>
      </c>
      <c r="C874" s="6" t="str">
        <f>VLOOKUP(B872,'Veri doğrulama'!D6:E13,2,0)</f>
        <v>MEHMET YAZICI</v>
      </c>
      <c r="D874" s="6"/>
      <c r="E874" s="6" t="s">
        <v>96</v>
      </c>
      <c r="F874" s="6" t="s">
        <v>15</v>
      </c>
      <c r="G874" s="6" t="s">
        <v>34</v>
      </c>
      <c r="H874" s="6">
        <v>1800</v>
      </c>
      <c r="I874" s="6">
        <v>800</v>
      </c>
      <c r="J874" s="6">
        <v>1</v>
      </c>
      <c r="K874" s="10">
        <f t="shared" si="29"/>
        <v>0.39600000000000002</v>
      </c>
      <c r="L874" s="6" t="s">
        <v>43</v>
      </c>
      <c r="M874" s="6" t="s">
        <v>393</v>
      </c>
      <c r="N874" s="6" t="s">
        <v>54</v>
      </c>
      <c r="O874" s="6" t="s">
        <v>54</v>
      </c>
      <c r="P874" s="6"/>
    </row>
    <row r="875" spans="1:16" ht="30" customHeight="1" x14ac:dyDescent="0.3">
      <c r="A875" s="7">
        <v>45691.759190856479</v>
      </c>
      <c r="B875" s="6" t="s">
        <v>5</v>
      </c>
      <c r="C875" s="6" t="str">
        <f>VLOOKUP(B873,'Veri doğrulama'!D6:E13,2,0)</f>
        <v>MEHMET YAZICI</v>
      </c>
      <c r="D875" s="6" t="s">
        <v>361</v>
      </c>
      <c r="E875" s="6" t="s">
        <v>118</v>
      </c>
      <c r="F875" s="6" t="s">
        <v>13</v>
      </c>
      <c r="G875" s="6" t="s">
        <v>34</v>
      </c>
      <c r="H875" s="6">
        <v>650</v>
      </c>
      <c r="I875" s="6">
        <v>500</v>
      </c>
      <c r="J875" s="6">
        <v>1</v>
      </c>
      <c r="K875" s="10">
        <f t="shared" si="29"/>
        <v>1.44</v>
      </c>
      <c r="L875" s="6" t="s">
        <v>75</v>
      </c>
      <c r="M875" s="6" t="s">
        <v>179</v>
      </c>
      <c r="N875" s="6" t="s">
        <v>54</v>
      </c>
      <c r="O875" s="6" t="s">
        <v>54</v>
      </c>
      <c r="P875" s="6" t="s">
        <v>54</v>
      </c>
    </row>
    <row r="876" spans="1:16" ht="30" customHeight="1" x14ac:dyDescent="0.3">
      <c r="A876" s="7">
        <v>45691.711344212963</v>
      </c>
      <c r="B876" s="6" t="s">
        <v>7</v>
      </c>
      <c r="C876" s="6" t="str">
        <f>VLOOKUP(B874,'Veri doğrulama'!D6:E13,2,0)</f>
        <v>MEHMET ÖZEN</v>
      </c>
      <c r="D876" s="6"/>
      <c r="E876" s="6" t="s">
        <v>354</v>
      </c>
      <c r="F876" s="6" t="s">
        <v>15</v>
      </c>
      <c r="G876" s="6" t="s">
        <v>35</v>
      </c>
      <c r="H876" s="6">
        <v>394</v>
      </c>
      <c r="I876" s="6">
        <v>490</v>
      </c>
      <c r="J876" s="6">
        <v>1</v>
      </c>
      <c r="K876" s="10">
        <f t="shared" si="29"/>
        <v>0.32500000000000001</v>
      </c>
      <c r="L876" s="6" t="s">
        <v>103</v>
      </c>
      <c r="M876" s="6"/>
      <c r="N876" s="6" t="s">
        <v>54</v>
      </c>
      <c r="O876" s="6" t="s">
        <v>54</v>
      </c>
      <c r="P876" s="6"/>
    </row>
    <row r="877" spans="1:16" ht="30" customHeight="1" x14ac:dyDescent="0.3">
      <c r="A877" s="7">
        <v>45691.621017708334</v>
      </c>
      <c r="B877" s="6" t="s">
        <v>4</v>
      </c>
      <c r="C877" s="6" t="s">
        <v>125</v>
      </c>
      <c r="D877" s="6"/>
      <c r="E877" s="6" t="s">
        <v>165</v>
      </c>
      <c r="F877" s="6" t="s">
        <v>19</v>
      </c>
      <c r="G877" s="6" t="s">
        <v>34</v>
      </c>
      <c r="H877" s="6">
        <v>1600</v>
      </c>
      <c r="I877" s="6">
        <v>800</v>
      </c>
      <c r="J877" s="6">
        <v>1</v>
      </c>
      <c r="K877" s="10">
        <f t="shared" si="29"/>
        <v>0.19306000000000001</v>
      </c>
      <c r="L877" s="6" t="s">
        <v>156</v>
      </c>
      <c r="M877" s="6" t="s">
        <v>179</v>
      </c>
      <c r="N877" s="6" t="s">
        <v>54</v>
      </c>
      <c r="O877" s="6" t="s">
        <v>54</v>
      </c>
      <c r="P877" s="6" t="s">
        <v>54</v>
      </c>
    </row>
    <row r="878" spans="1:16" ht="30" customHeight="1" x14ac:dyDescent="0.3">
      <c r="A878" s="7">
        <v>45691.606239814813</v>
      </c>
      <c r="B878" s="6" t="s">
        <v>4</v>
      </c>
      <c r="C878" s="6" t="str">
        <f>VLOOKUP(B876,'Veri doğrulama'!D6:E13,2,0)</f>
        <v>SIDDIK KAPLAN</v>
      </c>
      <c r="D878" s="6"/>
      <c r="E878" s="6" t="s">
        <v>374</v>
      </c>
      <c r="F878" s="6" t="s">
        <v>18</v>
      </c>
      <c r="G878" s="6" t="s">
        <v>34</v>
      </c>
      <c r="H878" s="6">
        <v>684</v>
      </c>
      <c r="I878" s="6">
        <v>330</v>
      </c>
      <c r="J878" s="6">
        <v>1</v>
      </c>
      <c r="K878" s="10">
        <f t="shared" si="29"/>
        <v>1.28</v>
      </c>
      <c r="L878" s="6" t="s">
        <v>43</v>
      </c>
      <c r="M878" s="6" t="s">
        <v>157</v>
      </c>
      <c r="N878" s="6" t="s">
        <v>54</v>
      </c>
      <c r="O878" s="6" t="s">
        <v>54</v>
      </c>
      <c r="P878" s="6"/>
    </row>
    <row r="879" spans="1:16" ht="30" customHeight="1" x14ac:dyDescent="0.3">
      <c r="A879" s="7">
        <v>45691.604501620372</v>
      </c>
      <c r="B879" s="6" t="s">
        <v>4</v>
      </c>
      <c r="C879" s="6" t="str">
        <f>VLOOKUP(B877,'Veri doğrulama'!D6:E13,2,0)</f>
        <v>MEHMET YAZICI</v>
      </c>
      <c r="D879" s="6"/>
      <c r="E879" s="6" t="s">
        <v>426</v>
      </c>
      <c r="F879" s="6" t="s">
        <v>26</v>
      </c>
      <c r="G879" s="6" t="s">
        <v>34</v>
      </c>
      <c r="H879" s="6">
        <v>415</v>
      </c>
      <c r="I879" s="6">
        <v>490</v>
      </c>
      <c r="J879" s="6">
        <v>1</v>
      </c>
      <c r="K879" s="10">
        <f t="shared" si="29"/>
        <v>0.22572</v>
      </c>
      <c r="L879" s="6" t="s">
        <v>103</v>
      </c>
      <c r="M879" s="6" t="s">
        <v>389</v>
      </c>
      <c r="N879" s="6" t="s">
        <v>54</v>
      </c>
      <c r="O879" s="6" t="s">
        <v>54</v>
      </c>
      <c r="P879" s="6" t="s">
        <v>54</v>
      </c>
    </row>
    <row r="880" spans="1:16" ht="30" customHeight="1" x14ac:dyDescent="0.3">
      <c r="A880" s="7">
        <v>45691.571822685182</v>
      </c>
      <c r="B880" s="6" t="s">
        <v>4</v>
      </c>
      <c r="C880" s="6" t="str">
        <f>VLOOKUP(B878,'Veri doğrulama'!D6:E13,2,0)</f>
        <v>MEHMET YAZICI</v>
      </c>
      <c r="D880" s="6"/>
      <c r="E880" s="6" t="s">
        <v>350</v>
      </c>
      <c r="F880" s="6" t="s">
        <v>17</v>
      </c>
      <c r="G880" s="6" t="s">
        <v>34</v>
      </c>
      <c r="H880" s="6">
        <v>2200</v>
      </c>
      <c r="I880" s="6">
        <v>317</v>
      </c>
      <c r="J880" s="6">
        <v>1</v>
      </c>
      <c r="K880" s="10">
        <f t="shared" si="29"/>
        <v>0.20335</v>
      </c>
      <c r="L880" s="6" t="s">
        <v>42</v>
      </c>
      <c r="M880" s="6" t="s">
        <v>339</v>
      </c>
      <c r="N880" s="6" t="s">
        <v>54</v>
      </c>
      <c r="O880" s="6" t="s">
        <v>54</v>
      </c>
      <c r="P880" s="6"/>
    </row>
    <row r="881" spans="1:16" ht="30" customHeight="1" x14ac:dyDescent="0.3">
      <c r="A881" s="7">
        <v>45691.570942939812</v>
      </c>
      <c r="B881" s="6" t="s">
        <v>4</v>
      </c>
      <c r="C881" s="6" t="str">
        <f>VLOOKUP(B879,'Veri doğrulama'!D6:E13,2,0)</f>
        <v>MEHMET YAZICI</v>
      </c>
      <c r="D881" s="6"/>
      <c r="E881" s="6" t="s">
        <v>117</v>
      </c>
      <c r="F881" s="6" t="s">
        <v>26</v>
      </c>
      <c r="G881" s="6" t="s">
        <v>34</v>
      </c>
      <c r="H881" s="6">
        <v>1962</v>
      </c>
      <c r="I881" s="6">
        <v>324</v>
      </c>
      <c r="J881" s="6">
        <v>1</v>
      </c>
      <c r="K881" s="10">
        <f t="shared" si="29"/>
        <v>0.69740000000000002</v>
      </c>
      <c r="L881" s="6" t="s">
        <v>39</v>
      </c>
      <c r="M881" s="6" t="s">
        <v>157</v>
      </c>
      <c r="N881" s="6" t="s">
        <v>54</v>
      </c>
      <c r="O881" s="6" t="s">
        <v>54</v>
      </c>
      <c r="P881" s="6" t="s">
        <v>54</v>
      </c>
    </row>
    <row r="882" spans="1:16" ht="30" customHeight="1" x14ac:dyDescent="0.3">
      <c r="A882" s="7">
        <v>45691.570205555552</v>
      </c>
      <c r="B882" s="6" t="s">
        <v>5</v>
      </c>
      <c r="C882" s="6" t="str">
        <f>VLOOKUP(B880,'Veri doğrulama'!D6:E13,2,0)</f>
        <v>MEHMET YAZICI</v>
      </c>
      <c r="D882" s="6"/>
      <c r="E882" s="6" t="s">
        <v>161</v>
      </c>
      <c r="F882" s="6" t="s">
        <v>15</v>
      </c>
      <c r="G882" s="6" t="s">
        <v>34</v>
      </c>
      <c r="H882" s="6">
        <v>1200</v>
      </c>
      <c r="I882" s="6">
        <v>700</v>
      </c>
      <c r="J882" s="6">
        <v>1</v>
      </c>
      <c r="K882" s="10">
        <f t="shared" si="29"/>
        <v>0.63568800000000003</v>
      </c>
      <c r="L882" s="6" t="s">
        <v>75</v>
      </c>
      <c r="M882" s="6"/>
      <c r="N882" s="6" t="s">
        <v>54</v>
      </c>
      <c r="O882" s="6" t="s">
        <v>54</v>
      </c>
      <c r="P882" s="6" t="s">
        <v>54</v>
      </c>
    </row>
    <row r="883" spans="1:16" ht="30" customHeight="1" x14ac:dyDescent="0.3">
      <c r="A883" s="7">
        <v>45691.569352199076</v>
      </c>
      <c r="B883" s="6" t="s">
        <v>4</v>
      </c>
      <c r="C883" s="6" t="str">
        <f>VLOOKUP(B881,'Veri doğrulama'!D6:E13,2,0)</f>
        <v>MEHMET YAZICI</v>
      </c>
      <c r="D883" s="6" t="s">
        <v>352</v>
      </c>
      <c r="E883" s="6" t="s">
        <v>150</v>
      </c>
      <c r="F883" s="6" t="s">
        <v>16</v>
      </c>
      <c r="G883" s="6" t="s">
        <v>34</v>
      </c>
      <c r="H883" s="6">
        <v>1400</v>
      </c>
      <c r="I883" s="6">
        <v>800</v>
      </c>
      <c r="J883" s="6">
        <v>1</v>
      </c>
      <c r="K883" s="10">
        <f t="shared" si="29"/>
        <v>0.84</v>
      </c>
      <c r="L883" s="6" t="s">
        <v>43</v>
      </c>
      <c r="M883" s="6" t="s">
        <v>179</v>
      </c>
      <c r="N883" s="6" t="s">
        <v>54</v>
      </c>
      <c r="O883" s="6" t="s">
        <v>54</v>
      </c>
      <c r="P883" s="6" t="s">
        <v>54</v>
      </c>
    </row>
    <row r="884" spans="1:16" ht="30" customHeight="1" x14ac:dyDescent="0.3">
      <c r="A884" s="7">
        <v>45691.503371874998</v>
      </c>
      <c r="B884" s="6" t="s">
        <v>4</v>
      </c>
      <c r="C884" s="6" t="str">
        <f>VLOOKUP(B882,'Veri doğrulama'!D6:E13,2,0)</f>
        <v>MEHMET ÖZEN</v>
      </c>
      <c r="D884" s="6"/>
      <c r="E884" s="6" t="s">
        <v>100</v>
      </c>
      <c r="F884" s="6" t="s">
        <v>15</v>
      </c>
      <c r="G884" s="6" t="s">
        <v>34</v>
      </c>
      <c r="H884" s="6">
        <v>1450</v>
      </c>
      <c r="I884" s="6">
        <v>397</v>
      </c>
      <c r="J884" s="6">
        <v>1</v>
      </c>
      <c r="K884" s="10">
        <f t="shared" si="29"/>
        <v>1.1200000000000001</v>
      </c>
      <c r="L884" s="6" t="s">
        <v>43</v>
      </c>
      <c r="M884" s="6" t="s">
        <v>369</v>
      </c>
      <c r="N884" s="6" t="s">
        <v>54</v>
      </c>
      <c r="O884" s="6" t="s">
        <v>54</v>
      </c>
      <c r="P884" s="6"/>
    </row>
    <row r="885" spans="1:16" ht="30" customHeight="1" x14ac:dyDescent="0.3">
      <c r="A885" s="7">
        <v>45691.404536921298</v>
      </c>
      <c r="B885" s="6" t="s">
        <v>4</v>
      </c>
      <c r="C885" s="6" t="str">
        <f>VLOOKUP(B883,'Veri doğrulama'!D6:E13,2,0)</f>
        <v>MEHMET YAZICI</v>
      </c>
      <c r="D885" s="6"/>
      <c r="E885" s="6" t="s">
        <v>353</v>
      </c>
      <c r="F885" s="6" t="s">
        <v>13</v>
      </c>
      <c r="G885" s="6" t="s">
        <v>34</v>
      </c>
      <c r="H885" s="6">
        <v>2000</v>
      </c>
      <c r="I885" s="6">
        <v>900</v>
      </c>
      <c r="J885" s="6">
        <v>1</v>
      </c>
      <c r="K885" s="10">
        <f t="shared" si="29"/>
        <v>0.57565</v>
      </c>
      <c r="L885" s="6" t="s">
        <v>103</v>
      </c>
      <c r="M885" s="6" t="s">
        <v>179</v>
      </c>
      <c r="N885" s="6" t="s">
        <v>54</v>
      </c>
      <c r="O885" s="6" t="s">
        <v>54</v>
      </c>
      <c r="P885" s="6"/>
    </row>
    <row r="886" spans="1:16" ht="30" customHeight="1" x14ac:dyDescent="0.3">
      <c r="A886" s="7">
        <v>45691.345734606482</v>
      </c>
      <c r="B886" s="6" t="s">
        <v>5</v>
      </c>
      <c r="C886" s="6" t="str">
        <f>VLOOKUP(B884,'Veri doğrulama'!D6:E13,2,0)</f>
        <v>MEHMET YAZICI</v>
      </c>
      <c r="D886" s="6">
        <v>21002</v>
      </c>
      <c r="E886" s="6" t="s">
        <v>172</v>
      </c>
      <c r="F886" s="6" t="s">
        <v>27</v>
      </c>
      <c r="G886" s="6" t="s">
        <v>34</v>
      </c>
      <c r="H886" s="6">
        <v>1990</v>
      </c>
      <c r="I886" s="6">
        <v>840</v>
      </c>
      <c r="J886" s="6">
        <v>1</v>
      </c>
      <c r="K886" s="10">
        <f t="shared" si="29"/>
        <v>1.8</v>
      </c>
      <c r="L886" s="6" t="s">
        <v>43</v>
      </c>
      <c r="M886" s="6" t="s">
        <v>392</v>
      </c>
      <c r="N886" s="6" t="s">
        <v>54</v>
      </c>
      <c r="O886" s="6" t="s">
        <v>54</v>
      </c>
      <c r="P886" s="6"/>
    </row>
    <row r="887" spans="1:16" ht="30" customHeight="1" x14ac:dyDescent="0.3">
      <c r="A887" s="7">
        <v>45691.34440717593</v>
      </c>
      <c r="B887" s="6" t="s">
        <v>4</v>
      </c>
      <c r="C887" s="6" t="str">
        <f>VLOOKUP(B885,'Veri doğrulama'!D6:E13,2,0)</f>
        <v>MEHMET YAZICI</v>
      </c>
      <c r="D887" s="6" t="s">
        <v>355</v>
      </c>
      <c r="E887" s="6" t="s">
        <v>99</v>
      </c>
      <c r="F887" s="6" t="s">
        <v>13</v>
      </c>
      <c r="G887" s="6" t="s">
        <v>34</v>
      </c>
      <c r="H887" s="6">
        <v>1800</v>
      </c>
      <c r="I887" s="6">
        <v>360</v>
      </c>
      <c r="J887" s="6">
        <v>1</v>
      </c>
      <c r="K887" s="10">
        <f t="shared" si="29"/>
        <v>1.6716</v>
      </c>
      <c r="L887" s="6" t="s">
        <v>43</v>
      </c>
      <c r="M887" s="6" t="s">
        <v>157</v>
      </c>
      <c r="N887" s="6" t="s">
        <v>54</v>
      </c>
      <c r="O887" s="6" t="s">
        <v>54</v>
      </c>
      <c r="P887" s="6" t="s">
        <v>54</v>
      </c>
    </row>
    <row r="888" spans="1:16" ht="30" customHeight="1" x14ac:dyDescent="0.3">
      <c r="A888" s="7">
        <v>45688.767050000002</v>
      </c>
      <c r="B888" s="6" t="s">
        <v>4</v>
      </c>
      <c r="C888" s="6" t="str">
        <f>VLOOKUP(B886,'Veri doğrulama'!D6:E13,2,0)</f>
        <v>MEHMET ÖZEN</v>
      </c>
      <c r="D888" s="6" t="s">
        <v>408</v>
      </c>
      <c r="E888" s="6" t="s">
        <v>321</v>
      </c>
      <c r="F888" s="6" t="s">
        <v>19</v>
      </c>
      <c r="G888" s="6" t="s">
        <v>34</v>
      </c>
      <c r="H888" s="6">
        <v>1600</v>
      </c>
      <c r="I888" s="6">
        <v>800</v>
      </c>
      <c r="J888" s="6">
        <v>1</v>
      </c>
      <c r="K888" s="10">
        <f t="shared" si="29"/>
        <v>0.64800000000000002</v>
      </c>
      <c r="L888" s="6" t="s">
        <v>103</v>
      </c>
      <c r="M888" s="6"/>
      <c r="N888" s="6" t="s">
        <v>54</v>
      </c>
      <c r="O888" s="6" t="s">
        <v>54</v>
      </c>
      <c r="P888" s="6" t="s">
        <v>54</v>
      </c>
    </row>
    <row r="889" spans="1:16" ht="30" customHeight="1" x14ac:dyDescent="0.3">
      <c r="A889" s="7">
        <v>45688.687212037039</v>
      </c>
      <c r="B889" s="6" t="s">
        <v>5</v>
      </c>
      <c r="C889" s="6" t="str">
        <f>VLOOKUP(B887,'Veri doğrulama'!D6:E13,2,0)</f>
        <v>MEHMET YAZICI</v>
      </c>
      <c r="D889" s="6"/>
      <c r="E889" s="6" t="s">
        <v>348</v>
      </c>
      <c r="F889" s="6" t="s">
        <v>16</v>
      </c>
      <c r="G889" s="6" t="s">
        <v>34</v>
      </c>
      <c r="H889" s="6">
        <v>1100</v>
      </c>
      <c r="I889" s="6">
        <v>360</v>
      </c>
      <c r="J889" s="6">
        <v>1</v>
      </c>
      <c r="K889" s="10">
        <f t="shared" ref="K889:K920" si="30">I888*H888/1000000*J890</f>
        <v>1.28</v>
      </c>
      <c r="L889" s="6" t="s">
        <v>103</v>
      </c>
      <c r="M889" s="6" t="s">
        <v>285</v>
      </c>
      <c r="N889" s="6" t="s">
        <v>54</v>
      </c>
      <c r="O889" s="6" t="s">
        <v>54</v>
      </c>
      <c r="P889" s="6" t="s">
        <v>54</v>
      </c>
    </row>
    <row r="890" spans="1:16" ht="30" customHeight="1" x14ac:dyDescent="0.3">
      <c r="A890" s="7">
        <v>45688.377193287037</v>
      </c>
      <c r="B890" s="6" t="s">
        <v>4</v>
      </c>
      <c r="C890" s="6" t="str">
        <f>VLOOKUP(B888,'Veri doğrulama'!D6:E13,2,0)</f>
        <v>MEHMET YAZICI</v>
      </c>
      <c r="D890" s="6"/>
      <c r="E890" s="6" t="s">
        <v>362</v>
      </c>
      <c r="F890" s="6" t="s">
        <v>24</v>
      </c>
      <c r="G890" s="6" t="s">
        <v>34</v>
      </c>
      <c r="H890" s="6">
        <v>2600</v>
      </c>
      <c r="I890" s="6">
        <v>600</v>
      </c>
      <c r="J890" s="6">
        <v>1</v>
      </c>
      <c r="K890" s="10">
        <f t="shared" si="30"/>
        <v>1.5840000000000001</v>
      </c>
      <c r="L890" s="6" t="s">
        <v>102</v>
      </c>
      <c r="M890" s="6" t="s">
        <v>179</v>
      </c>
      <c r="N890" s="6" t="s">
        <v>54</v>
      </c>
      <c r="O890" s="6" t="s">
        <v>54</v>
      </c>
      <c r="P890" s="6" t="s">
        <v>54</v>
      </c>
    </row>
    <row r="891" spans="1:16" ht="30" customHeight="1" x14ac:dyDescent="0.3">
      <c r="A891" s="7">
        <v>45688.376072222221</v>
      </c>
      <c r="B891" s="6" t="s">
        <v>4</v>
      </c>
      <c r="C891" s="6" t="str">
        <f>VLOOKUP(B889,'Veri doğrulama'!D6:E13,2,0)</f>
        <v>MEHMET ÖZEN</v>
      </c>
      <c r="D891" s="6" t="s">
        <v>335</v>
      </c>
      <c r="E891" s="6" t="s">
        <v>350</v>
      </c>
      <c r="F891" s="6" t="s">
        <v>17</v>
      </c>
      <c r="G891" s="6" t="s">
        <v>34</v>
      </c>
      <c r="H891" s="6">
        <v>317</v>
      </c>
      <c r="I891" s="6">
        <v>2200</v>
      </c>
      <c r="J891" s="6">
        <v>4</v>
      </c>
      <c r="K891" s="10">
        <f t="shared" si="30"/>
        <v>1.56</v>
      </c>
      <c r="L891" s="6" t="s">
        <v>43</v>
      </c>
      <c r="M891" s="6" t="s">
        <v>157</v>
      </c>
      <c r="N891" s="6" t="s">
        <v>54</v>
      </c>
      <c r="O891" s="6" t="s">
        <v>54</v>
      </c>
      <c r="P891" s="6" t="s">
        <v>54</v>
      </c>
    </row>
    <row r="892" spans="1:16" ht="30" customHeight="1" x14ac:dyDescent="0.3">
      <c r="A892" s="7">
        <v>45688.375178703704</v>
      </c>
      <c r="B892" s="6" t="s">
        <v>4</v>
      </c>
      <c r="C892" s="6" t="str">
        <f>VLOOKUP(B890,'Veri doğrulama'!D6:E13,2,0)</f>
        <v>MEHMET YAZICI</v>
      </c>
      <c r="D892" s="6" t="s">
        <v>364</v>
      </c>
      <c r="E892" s="6" t="s">
        <v>351</v>
      </c>
      <c r="F892" s="6" t="s">
        <v>18</v>
      </c>
      <c r="G892" s="6" t="s">
        <v>34</v>
      </c>
      <c r="H892" s="6">
        <v>320</v>
      </c>
      <c r="I892" s="6">
        <v>339</v>
      </c>
      <c r="J892" s="6">
        <v>1</v>
      </c>
      <c r="K892" s="10">
        <f t="shared" si="30"/>
        <v>0.69740000000000002</v>
      </c>
      <c r="L892" s="6" t="s">
        <v>103</v>
      </c>
      <c r="M892" s="6" t="s">
        <v>157</v>
      </c>
      <c r="N892" s="6" t="s">
        <v>54</v>
      </c>
      <c r="O892" s="6" t="s">
        <v>54</v>
      </c>
      <c r="P892" s="6"/>
    </row>
    <row r="893" spans="1:16" ht="30" customHeight="1" x14ac:dyDescent="0.3">
      <c r="A893" s="7">
        <v>45688.350979050927</v>
      </c>
      <c r="B893" s="6" t="s">
        <v>4</v>
      </c>
      <c r="C893" s="6" t="str">
        <f>VLOOKUP(B891,'Veri doğrulama'!D6:E13,2,0)</f>
        <v>MEHMET YAZICI</v>
      </c>
      <c r="D893" s="6" t="s">
        <v>335</v>
      </c>
      <c r="E893" s="6" t="s">
        <v>349</v>
      </c>
      <c r="F893" s="6" t="s">
        <v>26</v>
      </c>
      <c r="G893" s="6" t="s">
        <v>34</v>
      </c>
      <c r="H893" s="6">
        <v>2000</v>
      </c>
      <c r="I893" s="6">
        <v>600</v>
      </c>
      <c r="J893" s="6">
        <v>1</v>
      </c>
      <c r="K893" s="10">
        <f t="shared" si="30"/>
        <v>0.10847999999999999</v>
      </c>
      <c r="L893" s="6" t="s">
        <v>39</v>
      </c>
      <c r="M893" s="6" t="s">
        <v>157</v>
      </c>
      <c r="N893" s="6" t="s">
        <v>54</v>
      </c>
      <c r="O893" s="6" t="s">
        <v>54</v>
      </c>
      <c r="P893" s="6" t="s">
        <v>54</v>
      </c>
    </row>
    <row r="894" spans="1:16" ht="30" customHeight="1" x14ac:dyDescent="0.3">
      <c r="A894" s="7">
        <v>45687.70030462963</v>
      </c>
      <c r="B894" s="6" t="s">
        <v>4</v>
      </c>
      <c r="C894" s="6" t="str">
        <f>VLOOKUP(B892,'Veri doğrulama'!D6:E13,2,0)</f>
        <v>MEHMET YAZICI</v>
      </c>
      <c r="D894" s="6"/>
      <c r="E894" s="6" t="s">
        <v>342</v>
      </c>
      <c r="F894" s="6" t="s">
        <v>16</v>
      </c>
      <c r="G894" s="6" t="s">
        <v>34</v>
      </c>
      <c r="H894" s="6">
        <v>2400</v>
      </c>
      <c r="I894" s="6">
        <v>1100</v>
      </c>
      <c r="J894" s="6">
        <v>1</v>
      </c>
      <c r="K894" s="10">
        <f t="shared" si="30"/>
        <v>2.4</v>
      </c>
      <c r="L894" s="6" t="s">
        <v>103</v>
      </c>
      <c r="M894" s="6" t="s">
        <v>179</v>
      </c>
      <c r="N894" s="6" t="s">
        <v>54</v>
      </c>
      <c r="O894" s="6" t="s">
        <v>54</v>
      </c>
      <c r="P894" s="6" t="s">
        <v>54</v>
      </c>
    </row>
    <row r="895" spans="1:16" ht="30" customHeight="1" x14ac:dyDescent="0.3">
      <c r="A895" s="7">
        <v>45687.655999768518</v>
      </c>
      <c r="B895" s="6" t="s">
        <v>4</v>
      </c>
      <c r="C895" s="6" t="str">
        <f>VLOOKUP(B893,'Veri doğrulama'!D6:E13,2,0)</f>
        <v>MEHMET YAZICI</v>
      </c>
      <c r="D895" s="6" t="s">
        <v>335</v>
      </c>
      <c r="E895" s="6" t="s">
        <v>345</v>
      </c>
      <c r="F895" s="6" t="s">
        <v>13</v>
      </c>
      <c r="G895" s="6" t="s">
        <v>34</v>
      </c>
      <c r="H895" s="6">
        <v>1600</v>
      </c>
      <c r="I895" s="6">
        <v>1600</v>
      </c>
      <c r="J895" s="6">
        <v>2</v>
      </c>
      <c r="K895" s="10">
        <f t="shared" si="30"/>
        <v>2.64</v>
      </c>
      <c r="L895" s="6" t="s">
        <v>39</v>
      </c>
      <c r="M895" s="6" t="s">
        <v>339</v>
      </c>
      <c r="N895" s="6" t="s">
        <v>54</v>
      </c>
      <c r="O895" s="6" t="s">
        <v>54</v>
      </c>
      <c r="P895" s="6" t="s">
        <v>54</v>
      </c>
    </row>
    <row r="896" spans="1:16" ht="30" customHeight="1" x14ac:dyDescent="0.3">
      <c r="A896" s="7">
        <v>45687.488814930555</v>
      </c>
      <c r="B896" s="6" t="s">
        <v>4</v>
      </c>
      <c r="C896" s="6" t="str">
        <f>VLOOKUP(B894,'Veri doğrulama'!D6:E13,2,0)</f>
        <v>MEHMET YAZICI</v>
      </c>
      <c r="D896" s="6" t="s">
        <v>344</v>
      </c>
      <c r="E896" s="6" t="s">
        <v>158</v>
      </c>
      <c r="F896" s="6" t="s">
        <v>28</v>
      </c>
      <c r="G896" s="6" t="s">
        <v>34</v>
      </c>
      <c r="H896" s="6">
        <v>1815</v>
      </c>
      <c r="I896" s="6">
        <v>397</v>
      </c>
      <c r="J896" s="6">
        <v>1</v>
      </c>
      <c r="K896" s="10">
        <f t="shared" si="30"/>
        <v>2.56</v>
      </c>
      <c r="L896" s="6" t="s">
        <v>43</v>
      </c>
      <c r="M896" s="6" t="s">
        <v>159</v>
      </c>
      <c r="N896" s="6" t="s">
        <v>54</v>
      </c>
      <c r="O896" s="6" t="s">
        <v>54</v>
      </c>
      <c r="P896" s="6"/>
    </row>
    <row r="897" spans="1:16" ht="30" customHeight="1" x14ac:dyDescent="0.3">
      <c r="A897" s="7">
        <v>45687.483348611109</v>
      </c>
      <c r="B897" s="6" t="s">
        <v>4</v>
      </c>
      <c r="C897" s="6" t="str">
        <f>VLOOKUP(B895,'Veri doğrulama'!D6:E13,2,0)</f>
        <v>MEHMET YAZICI</v>
      </c>
      <c r="D897" s="6"/>
      <c r="E897" s="6" t="s">
        <v>165</v>
      </c>
      <c r="F897" s="6" t="s">
        <v>19</v>
      </c>
      <c r="G897" s="6" t="s">
        <v>34</v>
      </c>
      <c r="H897" s="6">
        <v>1400</v>
      </c>
      <c r="I897" s="6">
        <v>800</v>
      </c>
      <c r="J897" s="6">
        <v>1</v>
      </c>
      <c r="K897" s="10">
        <f t="shared" si="30"/>
        <v>0.72055499999999995</v>
      </c>
      <c r="L897" s="6" t="s">
        <v>42</v>
      </c>
      <c r="M897" s="6" t="s">
        <v>179</v>
      </c>
      <c r="N897" s="6" t="s">
        <v>54</v>
      </c>
      <c r="O897" s="6" t="s">
        <v>54</v>
      </c>
      <c r="P897" s="6" t="s">
        <v>54</v>
      </c>
    </row>
    <row r="898" spans="1:16" ht="30" customHeight="1" x14ac:dyDescent="0.3">
      <c r="A898" s="7">
        <v>45687.482693287035</v>
      </c>
      <c r="B898" s="6" t="s">
        <v>4</v>
      </c>
      <c r="C898" s="6" t="str">
        <f>VLOOKUP(B896,'Veri doğrulama'!D6:E13,2,0)</f>
        <v>MEHMET YAZICI</v>
      </c>
      <c r="D898" s="6"/>
      <c r="E898" s="6" t="s">
        <v>160</v>
      </c>
      <c r="F898" s="6" t="s">
        <v>16</v>
      </c>
      <c r="G898" s="6" t="s">
        <v>34</v>
      </c>
      <c r="H898" s="6">
        <v>1400</v>
      </c>
      <c r="I898" s="6">
        <v>1600</v>
      </c>
      <c r="J898" s="6">
        <v>1</v>
      </c>
      <c r="K898" s="10">
        <f t="shared" si="30"/>
        <v>1.1200000000000001</v>
      </c>
      <c r="L898" s="6" t="s">
        <v>75</v>
      </c>
      <c r="M898" s="6" t="s">
        <v>157</v>
      </c>
      <c r="N898" s="6" t="s">
        <v>54</v>
      </c>
      <c r="O898" s="6" t="s">
        <v>54</v>
      </c>
      <c r="P898" s="6" t="s">
        <v>54</v>
      </c>
    </row>
    <row r="899" spans="1:16" ht="30" customHeight="1" x14ac:dyDescent="0.3">
      <c r="A899" s="7">
        <v>45687</v>
      </c>
      <c r="B899" s="6" t="s">
        <v>5</v>
      </c>
      <c r="C899" s="6" t="str">
        <f>VLOOKUP(B897,'Veri doğrulama'!D6:E13,2,0)</f>
        <v>MEHMET YAZICI</v>
      </c>
      <c r="D899" s="6" t="s">
        <v>346</v>
      </c>
      <c r="E899" s="6" t="s">
        <v>271</v>
      </c>
      <c r="F899" s="6" t="s">
        <v>16</v>
      </c>
      <c r="G899" s="6" t="s">
        <v>34</v>
      </c>
      <c r="H899" s="6">
        <v>900</v>
      </c>
      <c r="I899" s="6">
        <v>600</v>
      </c>
      <c r="J899" s="6">
        <v>1</v>
      </c>
      <c r="K899" s="10">
        <f t="shared" si="30"/>
        <v>6.7200000000000006</v>
      </c>
      <c r="L899" s="6" t="s">
        <v>102</v>
      </c>
      <c r="M899" s="6" t="s">
        <v>179</v>
      </c>
      <c r="N899" s="6" t="s">
        <v>54</v>
      </c>
      <c r="O899" s="6" t="s">
        <v>54</v>
      </c>
      <c r="P899" s="6" t="s">
        <v>54</v>
      </c>
    </row>
    <row r="900" spans="1:16" ht="30" customHeight="1" x14ac:dyDescent="0.3">
      <c r="A900" s="7">
        <v>45687</v>
      </c>
      <c r="B900" s="6" t="s">
        <v>4</v>
      </c>
      <c r="C900" s="6" t="str">
        <f>VLOOKUP(B898,'Veri doğrulama'!D6:E13,2,0)</f>
        <v>MEHMET YAZICI</v>
      </c>
      <c r="D900" s="6" t="s">
        <v>337</v>
      </c>
      <c r="E900" s="6" t="s">
        <v>109</v>
      </c>
      <c r="F900" s="6" t="s">
        <v>16</v>
      </c>
      <c r="G900" s="6" t="s">
        <v>34</v>
      </c>
      <c r="H900" s="6">
        <v>2000</v>
      </c>
      <c r="I900" s="6">
        <v>600</v>
      </c>
      <c r="J900" s="6">
        <v>3</v>
      </c>
      <c r="K900" s="10">
        <f t="shared" si="30"/>
        <v>0.54</v>
      </c>
      <c r="L900" s="6" t="s">
        <v>75</v>
      </c>
      <c r="M900" s="6" t="s">
        <v>179</v>
      </c>
      <c r="N900" s="6" t="s">
        <v>54</v>
      </c>
      <c r="O900" s="6" t="s">
        <v>54</v>
      </c>
      <c r="P900" s="6" t="s">
        <v>54</v>
      </c>
    </row>
    <row r="901" spans="1:16" ht="30" customHeight="1" x14ac:dyDescent="0.3">
      <c r="A901" s="7">
        <v>45687</v>
      </c>
      <c r="B901" s="6" t="s">
        <v>4</v>
      </c>
      <c r="C901" s="6" t="str">
        <f>VLOOKUP(B899,'Veri doğrulama'!D6:E13,2,0)</f>
        <v>MEHMET ÖZEN</v>
      </c>
      <c r="D901" s="6"/>
      <c r="E901" s="6" t="s">
        <v>329</v>
      </c>
      <c r="F901" s="6" t="s">
        <v>16</v>
      </c>
      <c r="G901" s="6" t="s">
        <v>34</v>
      </c>
      <c r="H901" s="6">
        <v>800</v>
      </c>
      <c r="I901" s="6">
        <v>500</v>
      </c>
      <c r="J901" s="6">
        <v>1</v>
      </c>
      <c r="K901" s="10">
        <f t="shared" si="30"/>
        <v>1.2</v>
      </c>
      <c r="L901" s="6" t="s">
        <v>39</v>
      </c>
      <c r="M901" s="6" t="s">
        <v>157</v>
      </c>
      <c r="N901" s="6" t="s">
        <v>54</v>
      </c>
      <c r="O901" s="6" t="s">
        <v>54</v>
      </c>
      <c r="P901" s="6" t="s">
        <v>54</v>
      </c>
    </row>
    <row r="902" spans="1:16" ht="30" customHeight="1" x14ac:dyDescent="0.3">
      <c r="A902" s="7">
        <v>45686</v>
      </c>
      <c r="B902" s="6" t="s">
        <v>5</v>
      </c>
      <c r="C902" s="6" t="str">
        <f>VLOOKUP(B900,'Veri doğrulama'!D6:E13,2,0)</f>
        <v>MEHMET YAZICI</v>
      </c>
      <c r="D902" s="6"/>
      <c r="E902" s="6" t="s">
        <v>207</v>
      </c>
      <c r="F902" s="6" t="s">
        <v>208</v>
      </c>
      <c r="G902" s="6" t="s">
        <v>34</v>
      </c>
      <c r="H902" s="6">
        <v>2000</v>
      </c>
      <c r="I902" s="6">
        <v>900</v>
      </c>
      <c r="J902" s="6">
        <v>1</v>
      </c>
      <c r="K902" s="10">
        <f t="shared" si="30"/>
        <v>0.4</v>
      </c>
      <c r="L902" s="6" t="s">
        <v>103</v>
      </c>
      <c r="M902" s="6" t="s">
        <v>209</v>
      </c>
      <c r="N902" s="6" t="s">
        <v>54</v>
      </c>
      <c r="O902" s="6" t="s">
        <v>54</v>
      </c>
      <c r="P902" s="6"/>
    </row>
    <row r="903" spans="1:16" ht="30" customHeight="1" x14ac:dyDescent="0.3">
      <c r="A903" s="7">
        <v>45686</v>
      </c>
      <c r="B903" s="6" t="s">
        <v>4</v>
      </c>
      <c r="C903" s="6" t="str">
        <f>VLOOKUP(B901,'Veri doğrulama'!D6:E13,2,0)</f>
        <v>MEHMET YAZICI</v>
      </c>
      <c r="D903" s="6"/>
      <c r="E903" s="6" t="s">
        <v>94</v>
      </c>
      <c r="F903" s="6" t="s">
        <v>22</v>
      </c>
      <c r="G903" s="6" t="s">
        <v>34</v>
      </c>
      <c r="H903" s="6">
        <v>2200</v>
      </c>
      <c r="I903" s="6">
        <v>450</v>
      </c>
      <c r="J903" s="6">
        <v>1</v>
      </c>
      <c r="K903" s="10">
        <f t="shared" si="30"/>
        <v>1.8</v>
      </c>
      <c r="L903" s="6" t="s">
        <v>156</v>
      </c>
      <c r="M903" s="6" t="s">
        <v>389</v>
      </c>
      <c r="N903" s="6" t="s">
        <v>54</v>
      </c>
      <c r="O903" s="6" t="s">
        <v>54</v>
      </c>
      <c r="P903" s="6" t="s">
        <v>54</v>
      </c>
    </row>
    <row r="904" spans="1:16" ht="30" customHeight="1" x14ac:dyDescent="0.3">
      <c r="A904" s="7">
        <v>45686</v>
      </c>
      <c r="B904" s="6" t="s">
        <v>4</v>
      </c>
      <c r="C904" s="6" t="str">
        <f>VLOOKUP(B902,'Veri doğrulama'!D6:E13,2,0)</f>
        <v>MEHMET ÖZEN</v>
      </c>
      <c r="D904" s="6"/>
      <c r="E904" s="6" t="s">
        <v>356</v>
      </c>
      <c r="F904" s="6" t="s">
        <v>21</v>
      </c>
      <c r="G904" s="6" t="s">
        <v>34</v>
      </c>
      <c r="H904" s="6">
        <v>600</v>
      </c>
      <c r="I904" s="6">
        <v>354</v>
      </c>
      <c r="J904" s="6">
        <v>1</v>
      </c>
      <c r="K904" s="10">
        <f t="shared" si="30"/>
        <v>0.99</v>
      </c>
      <c r="L904" s="6" t="s">
        <v>43</v>
      </c>
      <c r="M904" s="6" t="s">
        <v>157</v>
      </c>
      <c r="N904" s="6" t="s">
        <v>54</v>
      </c>
      <c r="O904" s="6" t="s">
        <v>54</v>
      </c>
      <c r="P904" s="6"/>
    </row>
    <row r="905" spans="1:16" ht="30" customHeight="1" x14ac:dyDescent="0.3">
      <c r="A905" s="7">
        <v>45686</v>
      </c>
      <c r="B905" s="6" t="s">
        <v>4</v>
      </c>
      <c r="C905" s="6" t="str">
        <f>VLOOKUP(B903,'Veri doğrulama'!D6:E13,2,0)</f>
        <v>MEHMET YAZICI</v>
      </c>
      <c r="D905" s="6"/>
      <c r="E905" s="6" t="s">
        <v>86</v>
      </c>
      <c r="F905" s="6" t="s">
        <v>21</v>
      </c>
      <c r="G905" s="6" t="s">
        <v>34</v>
      </c>
      <c r="H905" s="6">
        <v>393</v>
      </c>
      <c r="I905" s="6">
        <v>535</v>
      </c>
      <c r="J905" s="6">
        <v>1</v>
      </c>
      <c r="K905" s="10">
        <f t="shared" si="30"/>
        <v>0.21240000000000001</v>
      </c>
      <c r="L905" s="6" t="s">
        <v>39</v>
      </c>
      <c r="M905" s="6" t="s">
        <v>179</v>
      </c>
      <c r="N905" s="6" t="s">
        <v>54</v>
      </c>
      <c r="O905" s="6" t="s">
        <v>54</v>
      </c>
      <c r="P905" s="6" t="s">
        <v>54</v>
      </c>
    </row>
    <row r="906" spans="1:16" ht="30" customHeight="1" x14ac:dyDescent="0.3">
      <c r="A906" s="7">
        <v>45686</v>
      </c>
      <c r="B906" s="6" t="s">
        <v>7</v>
      </c>
      <c r="C906" s="6" t="str">
        <f>VLOOKUP(B904,'Veri doğrulama'!D6:E13,2,0)</f>
        <v>MEHMET YAZICI</v>
      </c>
      <c r="D906" s="6"/>
      <c r="E906" s="6" t="s">
        <v>100</v>
      </c>
      <c r="F906" s="6" t="s">
        <v>15</v>
      </c>
      <c r="G906" s="6" t="s">
        <v>34</v>
      </c>
      <c r="H906" s="6">
        <v>1450</v>
      </c>
      <c r="I906" s="6">
        <v>396</v>
      </c>
      <c r="J906" s="6">
        <v>1</v>
      </c>
      <c r="K906" s="10">
        <f t="shared" si="30"/>
        <v>0.210255</v>
      </c>
      <c r="L906" s="6" t="s">
        <v>103</v>
      </c>
      <c r="M906" s="6" t="s">
        <v>266</v>
      </c>
      <c r="N906" s="6" t="s">
        <v>54</v>
      </c>
      <c r="O906" s="6" t="s">
        <v>54</v>
      </c>
      <c r="P906" s="6" t="s">
        <v>54</v>
      </c>
    </row>
    <row r="907" spans="1:16" ht="30" customHeight="1" x14ac:dyDescent="0.3">
      <c r="A907" s="7">
        <v>45686</v>
      </c>
      <c r="B907" s="6" t="s">
        <v>4</v>
      </c>
      <c r="C907" s="6" t="str">
        <f>VLOOKUP(B905,'Veri doğrulama'!D6:E13,2,0)</f>
        <v>MEHMET YAZICI</v>
      </c>
      <c r="D907" s="6" t="s">
        <v>330</v>
      </c>
      <c r="E907" s="6" t="s">
        <v>100</v>
      </c>
      <c r="F907" s="6" t="s">
        <v>15</v>
      </c>
      <c r="G907" s="6" t="s">
        <v>34</v>
      </c>
      <c r="H907" s="6">
        <v>1450</v>
      </c>
      <c r="I907" s="6">
        <v>397</v>
      </c>
      <c r="J907" s="6">
        <v>1</v>
      </c>
      <c r="K907" s="10">
        <f t="shared" si="30"/>
        <v>0.57420000000000004</v>
      </c>
      <c r="L907" s="6" t="s">
        <v>75</v>
      </c>
      <c r="M907" s="6" t="s">
        <v>157</v>
      </c>
      <c r="N907" s="6" t="s">
        <v>54</v>
      </c>
      <c r="O907" s="6" t="s">
        <v>54</v>
      </c>
      <c r="P907" s="6" t="s">
        <v>54</v>
      </c>
    </row>
    <row r="908" spans="1:16" ht="30" customHeight="1" x14ac:dyDescent="0.3">
      <c r="A908" s="7">
        <v>45686</v>
      </c>
      <c r="B908" s="6" t="s">
        <v>5</v>
      </c>
      <c r="C908" s="6" t="str">
        <f>VLOOKUP(B906,'Veri doğrulama'!D6:E13,2,0)</f>
        <v>SIDDIK KAPLAN</v>
      </c>
      <c r="D908" s="6"/>
      <c r="E908" s="6" t="s">
        <v>327</v>
      </c>
      <c r="F908" s="6" t="s">
        <v>15</v>
      </c>
      <c r="G908" s="6" t="s">
        <v>34</v>
      </c>
      <c r="H908" s="6">
        <v>1435</v>
      </c>
      <c r="I908" s="6">
        <v>360</v>
      </c>
      <c r="J908" s="6">
        <v>1</v>
      </c>
      <c r="K908" s="10">
        <f t="shared" si="30"/>
        <v>1.72695</v>
      </c>
      <c r="L908" s="6" t="s">
        <v>43</v>
      </c>
      <c r="M908" s="6"/>
      <c r="N908" s="6" t="s">
        <v>54</v>
      </c>
      <c r="O908" s="6" t="s">
        <v>54</v>
      </c>
      <c r="P908" s="6" t="s">
        <v>54</v>
      </c>
    </row>
    <row r="909" spans="1:16" ht="30" customHeight="1" x14ac:dyDescent="0.3">
      <c r="A909" s="7">
        <v>45686</v>
      </c>
      <c r="B909" s="6" t="s">
        <v>4</v>
      </c>
      <c r="C909" s="6" t="str">
        <f>VLOOKUP(B907,'Veri doğrulama'!D6:E13,2,0)</f>
        <v>MEHMET YAZICI</v>
      </c>
      <c r="D909" s="6"/>
      <c r="E909" s="6" t="s">
        <v>336</v>
      </c>
      <c r="F909" s="6" t="s">
        <v>26</v>
      </c>
      <c r="G909" s="6" t="s">
        <v>34</v>
      </c>
      <c r="H909" s="6">
        <v>2000</v>
      </c>
      <c r="I909" s="6">
        <v>600</v>
      </c>
      <c r="J909" s="6">
        <v>3</v>
      </c>
      <c r="K909" s="10">
        <f t="shared" si="30"/>
        <v>0.51659999999999995</v>
      </c>
      <c r="L909" s="6" t="s">
        <v>103</v>
      </c>
      <c r="M909" s="6" t="s">
        <v>157</v>
      </c>
      <c r="N909" s="6" t="s">
        <v>54</v>
      </c>
      <c r="O909" s="6" t="s">
        <v>54</v>
      </c>
      <c r="P909" s="6"/>
    </row>
    <row r="910" spans="1:16" ht="30" customHeight="1" x14ac:dyDescent="0.3">
      <c r="A910" s="7">
        <v>45686</v>
      </c>
      <c r="B910" s="6" t="s">
        <v>4</v>
      </c>
      <c r="C910" s="6" t="str">
        <f>VLOOKUP(B908,'Veri doğrulama'!D6:E13,2,0)</f>
        <v>MEHMET ÖZEN</v>
      </c>
      <c r="D910" s="6" t="s">
        <v>328</v>
      </c>
      <c r="E910" s="6" t="s">
        <v>116</v>
      </c>
      <c r="F910" s="6" t="s">
        <v>19</v>
      </c>
      <c r="G910" s="6" t="s">
        <v>34</v>
      </c>
      <c r="H910" s="6">
        <v>2600</v>
      </c>
      <c r="I910" s="6">
        <v>300</v>
      </c>
      <c r="J910" s="6">
        <v>1</v>
      </c>
      <c r="K910" s="10">
        <f t="shared" si="30"/>
        <v>1.2</v>
      </c>
      <c r="L910" s="6" t="s">
        <v>43</v>
      </c>
      <c r="M910" s="6" t="s">
        <v>179</v>
      </c>
      <c r="N910" s="6" t="s">
        <v>54</v>
      </c>
      <c r="O910" s="6" t="s">
        <v>54</v>
      </c>
      <c r="P910" s="6" t="s">
        <v>54</v>
      </c>
    </row>
    <row r="911" spans="1:16" ht="30" customHeight="1" x14ac:dyDescent="0.3">
      <c r="A911" s="7">
        <v>45686</v>
      </c>
      <c r="B911" s="6" t="s">
        <v>4</v>
      </c>
      <c r="C911" s="6" t="str">
        <f>VLOOKUP(B909,'Veri doğrulama'!D6:E13,2,0)</f>
        <v>MEHMET YAZICI</v>
      </c>
      <c r="D911" s="6"/>
      <c r="E911" s="6" t="s">
        <v>307</v>
      </c>
      <c r="F911" s="6" t="s">
        <v>19</v>
      </c>
      <c r="G911" s="6" t="s">
        <v>34</v>
      </c>
      <c r="H911" s="6">
        <v>2600</v>
      </c>
      <c r="I911" s="6">
        <v>300</v>
      </c>
      <c r="J911" s="6">
        <v>1</v>
      </c>
      <c r="K911" s="10">
        <f t="shared" si="30"/>
        <v>0.78</v>
      </c>
      <c r="L911" s="6" t="s">
        <v>75</v>
      </c>
      <c r="M911" s="6" t="s">
        <v>179</v>
      </c>
      <c r="N911" s="6" t="s">
        <v>54</v>
      </c>
      <c r="O911" s="6" t="s">
        <v>54</v>
      </c>
      <c r="P911" s="6" t="s">
        <v>54</v>
      </c>
    </row>
    <row r="912" spans="1:16" ht="30" customHeight="1" x14ac:dyDescent="0.3">
      <c r="A912" s="7">
        <v>45685</v>
      </c>
      <c r="B912" s="6" t="s">
        <v>4</v>
      </c>
      <c r="C912" s="6" t="str">
        <f>VLOOKUP(B910,'Veri doğrulama'!D6:E13,2,0)</f>
        <v>MEHMET YAZICI</v>
      </c>
      <c r="D912" s="6"/>
      <c r="E912" s="6" t="s">
        <v>133</v>
      </c>
      <c r="F912" s="6" t="s">
        <v>16</v>
      </c>
      <c r="G912" s="6" t="s">
        <v>34</v>
      </c>
      <c r="H912" s="6">
        <v>435</v>
      </c>
      <c r="I912" s="6">
        <v>449</v>
      </c>
      <c r="J912" s="6">
        <v>1</v>
      </c>
      <c r="K912" s="10">
        <f t="shared" si="30"/>
        <v>0.78</v>
      </c>
      <c r="L912" s="6" t="s">
        <v>103</v>
      </c>
      <c r="M912" s="6" t="s">
        <v>179</v>
      </c>
      <c r="N912" s="6" t="s">
        <v>54</v>
      </c>
      <c r="O912" s="6" t="s">
        <v>54</v>
      </c>
      <c r="P912" s="6" t="s">
        <v>54</v>
      </c>
    </row>
    <row r="913" spans="1:16" ht="30" customHeight="1" x14ac:dyDescent="0.3">
      <c r="A913" s="7">
        <v>45685</v>
      </c>
      <c r="B913" s="6" t="s">
        <v>4</v>
      </c>
      <c r="C913" s="6" t="str">
        <f>VLOOKUP(B911,'Veri doğrulama'!D6:E13,2,0)</f>
        <v>MEHMET YAZICI</v>
      </c>
      <c r="D913" s="6">
        <v>21364</v>
      </c>
      <c r="E913" s="6" t="s">
        <v>530</v>
      </c>
      <c r="F913" s="6" t="s">
        <v>29</v>
      </c>
      <c r="G913" s="6" t="s">
        <v>34</v>
      </c>
      <c r="H913" s="6">
        <v>410</v>
      </c>
      <c r="I913" s="6">
        <v>499</v>
      </c>
      <c r="J913" s="6">
        <v>1</v>
      </c>
      <c r="K913" s="10">
        <f t="shared" si="30"/>
        <v>0.19531499999999999</v>
      </c>
      <c r="L913" s="6" t="s">
        <v>39</v>
      </c>
      <c r="M913" s="6" t="s">
        <v>179</v>
      </c>
      <c r="N913" s="6" t="s">
        <v>54</v>
      </c>
      <c r="O913" s="6" t="s">
        <v>54</v>
      </c>
      <c r="P913" s="6" t="s">
        <v>54</v>
      </c>
    </row>
    <row r="914" spans="1:16" ht="30" customHeight="1" x14ac:dyDescent="0.3">
      <c r="A914" s="7">
        <v>45685</v>
      </c>
      <c r="B914" s="6" t="s">
        <v>4</v>
      </c>
      <c r="C914" s="6" t="str">
        <f>VLOOKUP(B912,'Veri doğrulama'!D6:E13,2,0)</f>
        <v>MEHMET YAZICI</v>
      </c>
      <c r="D914" s="6"/>
      <c r="E914" s="6" t="s">
        <v>338</v>
      </c>
      <c r="F914" s="6" t="s">
        <v>18</v>
      </c>
      <c r="G914" s="6" t="s">
        <v>35</v>
      </c>
      <c r="H914" s="6">
        <v>2200</v>
      </c>
      <c r="I914" s="6">
        <v>150</v>
      </c>
      <c r="J914" s="6">
        <v>1</v>
      </c>
      <c r="K914" s="10">
        <f t="shared" si="30"/>
        <v>0.20458999999999999</v>
      </c>
      <c r="L914" s="6" t="s">
        <v>39</v>
      </c>
      <c r="M914" s="6" t="s">
        <v>339</v>
      </c>
      <c r="N914" s="6" t="s">
        <v>54</v>
      </c>
      <c r="O914" s="6" t="s">
        <v>54</v>
      </c>
      <c r="P914" s="6" t="s">
        <v>54</v>
      </c>
    </row>
    <row r="915" spans="1:16" ht="30" customHeight="1" x14ac:dyDescent="0.3">
      <c r="A915" s="7">
        <v>45685</v>
      </c>
      <c r="B915" s="6" t="s">
        <v>4</v>
      </c>
      <c r="C915" s="6" t="str">
        <f>VLOOKUP(B913,'Veri doğrulama'!D6:E13,2,0)</f>
        <v>MEHMET YAZICI</v>
      </c>
      <c r="D915" s="6" t="s">
        <v>532</v>
      </c>
      <c r="E915" s="6" t="s">
        <v>321</v>
      </c>
      <c r="F915" s="6" t="s">
        <v>18</v>
      </c>
      <c r="G915" s="6" t="s">
        <v>35</v>
      </c>
      <c r="H915" s="6">
        <v>1100</v>
      </c>
      <c r="I915" s="6">
        <v>700</v>
      </c>
      <c r="J915" s="6">
        <v>1</v>
      </c>
      <c r="K915" s="10">
        <f t="shared" si="30"/>
        <v>0.33</v>
      </c>
      <c r="L915" s="6" t="s">
        <v>75</v>
      </c>
      <c r="M915" s="6" t="s">
        <v>157</v>
      </c>
      <c r="N915" s="6" t="s">
        <v>54</v>
      </c>
      <c r="O915" s="6" t="s">
        <v>54</v>
      </c>
      <c r="P915" s="6" t="s">
        <v>54</v>
      </c>
    </row>
    <row r="916" spans="1:16" ht="30" customHeight="1" x14ac:dyDescent="0.3">
      <c r="A916" s="7">
        <v>45685</v>
      </c>
      <c r="B916" s="6" t="s">
        <v>7</v>
      </c>
      <c r="C916" s="6" t="str">
        <f>VLOOKUP(B914,'Veri doğrulama'!D6:E13,2,0)</f>
        <v>MEHMET YAZICI</v>
      </c>
      <c r="D916" s="6"/>
      <c r="E916" s="6"/>
      <c r="F916" s="6" t="s">
        <v>13</v>
      </c>
      <c r="G916" s="6" t="s">
        <v>34</v>
      </c>
      <c r="H916" s="6">
        <v>2200</v>
      </c>
      <c r="I916" s="6">
        <v>450</v>
      </c>
      <c r="J916" s="6">
        <v>1</v>
      </c>
      <c r="K916" s="10">
        <f t="shared" si="30"/>
        <v>0.77</v>
      </c>
      <c r="L916" s="6" t="s">
        <v>75</v>
      </c>
      <c r="M916" s="6" t="s">
        <v>11</v>
      </c>
      <c r="N916" s="6" t="s">
        <v>54</v>
      </c>
      <c r="O916" s="6" t="s">
        <v>54</v>
      </c>
      <c r="P916" s="6" t="s">
        <v>54</v>
      </c>
    </row>
    <row r="917" spans="1:16" ht="30" customHeight="1" x14ac:dyDescent="0.3">
      <c r="A917" s="7">
        <v>45685</v>
      </c>
      <c r="B917" s="6" t="s">
        <v>5</v>
      </c>
      <c r="C917" s="6" t="str">
        <f>VLOOKUP(B915,'Veri doğrulama'!D6:E13,2,0)</f>
        <v>MEHMET YAZICI</v>
      </c>
      <c r="D917" s="6" t="s">
        <v>325</v>
      </c>
      <c r="E917" s="6" t="s">
        <v>419</v>
      </c>
      <c r="F917" s="6" t="s">
        <v>20</v>
      </c>
      <c r="G917" s="6" t="s">
        <v>34</v>
      </c>
      <c r="H917" s="6">
        <v>1400</v>
      </c>
      <c r="I917" s="6">
        <v>1600</v>
      </c>
      <c r="J917" s="6">
        <v>1</v>
      </c>
      <c r="K917" s="10">
        <f t="shared" si="30"/>
        <v>0.99</v>
      </c>
      <c r="L917" s="6" t="s">
        <v>75</v>
      </c>
      <c r="M917" s="6" t="s">
        <v>195</v>
      </c>
      <c r="N917" s="6" t="s">
        <v>54</v>
      </c>
      <c r="O917" s="6" t="s">
        <v>54</v>
      </c>
      <c r="P917" s="6" t="s">
        <v>54</v>
      </c>
    </row>
    <row r="918" spans="1:16" ht="30" customHeight="1" x14ac:dyDescent="0.3">
      <c r="A918" s="7">
        <v>45685</v>
      </c>
      <c r="B918" s="6" t="s">
        <v>7</v>
      </c>
      <c r="C918" s="6" t="str">
        <f>VLOOKUP(B916,'Veri doğrulama'!D6:E13,2,0)</f>
        <v>SIDDIK KAPLAN</v>
      </c>
      <c r="D918" s="6" t="s">
        <v>335</v>
      </c>
      <c r="E918" s="6" t="s">
        <v>319</v>
      </c>
      <c r="F918" s="6" t="s">
        <v>20</v>
      </c>
      <c r="G918" s="6" t="s">
        <v>34</v>
      </c>
      <c r="H918" s="6">
        <v>1800</v>
      </c>
      <c r="I918" s="6">
        <v>800</v>
      </c>
      <c r="J918" s="6">
        <v>1</v>
      </c>
      <c r="K918" s="10">
        <f t="shared" si="30"/>
        <v>2.2400000000000002</v>
      </c>
      <c r="L918" s="6" t="s">
        <v>42</v>
      </c>
      <c r="M918" s="6"/>
      <c r="N918" s="6" t="s">
        <v>54</v>
      </c>
      <c r="O918" s="6" t="s">
        <v>54</v>
      </c>
      <c r="P918" s="6" t="s">
        <v>54</v>
      </c>
    </row>
    <row r="919" spans="1:16" ht="30" customHeight="1" x14ac:dyDescent="0.3">
      <c r="A919" s="7">
        <v>45685</v>
      </c>
      <c r="B919" s="6" t="s">
        <v>5</v>
      </c>
      <c r="C919" s="6" t="str">
        <f>VLOOKUP(B917,'Veri doğrulama'!D6:E13,2,0)</f>
        <v>MEHMET ÖZEN</v>
      </c>
      <c r="D919" s="6"/>
      <c r="E919" s="6" t="s">
        <v>340</v>
      </c>
      <c r="F919" s="6" t="s">
        <v>17</v>
      </c>
      <c r="G919" s="6" t="s">
        <v>34</v>
      </c>
      <c r="H919" s="6">
        <v>698</v>
      </c>
      <c r="I919" s="6">
        <v>430</v>
      </c>
      <c r="J919" s="6">
        <v>1</v>
      </c>
      <c r="K919" s="10">
        <f t="shared" si="30"/>
        <v>1.44</v>
      </c>
      <c r="L919" s="6" t="s">
        <v>38</v>
      </c>
      <c r="M919" s="6"/>
      <c r="N919" s="6" t="s">
        <v>54</v>
      </c>
      <c r="O919" s="6" t="s">
        <v>54</v>
      </c>
      <c r="P919" s="6" t="s">
        <v>54</v>
      </c>
    </row>
    <row r="920" spans="1:16" ht="30" customHeight="1" x14ac:dyDescent="0.3">
      <c r="A920" s="7">
        <v>45685</v>
      </c>
      <c r="B920" s="6" t="s">
        <v>4</v>
      </c>
      <c r="C920" s="6" t="str">
        <f>VLOOKUP(B918,'Veri doğrulama'!D6:E13,2,0)</f>
        <v>SIDDIK KAPLAN</v>
      </c>
      <c r="D920" s="6" t="s">
        <v>322</v>
      </c>
      <c r="E920" s="6" t="s">
        <v>316</v>
      </c>
      <c r="F920" s="6" t="s">
        <v>17</v>
      </c>
      <c r="G920" s="6" t="s">
        <v>34</v>
      </c>
      <c r="H920" s="6">
        <v>580</v>
      </c>
      <c r="I920" s="6">
        <v>324</v>
      </c>
      <c r="J920" s="6">
        <v>1</v>
      </c>
      <c r="K920" s="10">
        <f t="shared" si="30"/>
        <v>1.5007000000000001</v>
      </c>
      <c r="L920" s="6" t="s">
        <v>43</v>
      </c>
      <c r="M920" s="6" t="s">
        <v>157</v>
      </c>
      <c r="N920" s="6" t="s">
        <v>54</v>
      </c>
      <c r="O920" s="6" t="s">
        <v>54</v>
      </c>
      <c r="P920" s="6"/>
    </row>
    <row r="921" spans="1:16" ht="30" customHeight="1" x14ac:dyDescent="0.3">
      <c r="A921" s="7">
        <v>45685</v>
      </c>
      <c r="B921" s="6" t="s">
        <v>5</v>
      </c>
      <c r="C921" s="6" t="str">
        <f>VLOOKUP(B919,'Veri doğrulama'!D6:E13,2,0)</f>
        <v>MEHMET ÖZEN</v>
      </c>
      <c r="D921" s="6"/>
      <c r="E921" s="6" t="s">
        <v>309</v>
      </c>
      <c r="F921" s="6" t="s">
        <v>16</v>
      </c>
      <c r="G921" s="6" t="s">
        <v>34</v>
      </c>
      <c r="H921" s="6">
        <v>2260</v>
      </c>
      <c r="I921" s="6">
        <v>440</v>
      </c>
      <c r="J921" s="6">
        <v>5</v>
      </c>
      <c r="K921" s="10">
        <f t="shared" ref="K921:K952" si="31">I920*H920/1000000*J922</f>
        <v>0.18792</v>
      </c>
      <c r="L921" s="6" t="s">
        <v>42</v>
      </c>
      <c r="M921" s="6" t="s">
        <v>310</v>
      </c>
      <c r="N921" s="6" t="s">
        <v>54</v>
      </c>
      <c r="O921" s="6" t="s">
        <v>54</v>
      </c>
      <c r="P921" s="6" t="s">
        <v>54</v>
      </c>
    </row>
    <row r="922" spans="1:16" ht="30" customHeight="1" x14ac:dyDescent="0.3">
      <c r="A922" s="7">
        <v>45685</v>
      </c>
      <c r="B922" s="6" t="s">
        <v>4</v>
      </c>
      <c r="C922" s="6" t="str">
        <f>VLOOKUP(B920,'Veri doğrulama'!D6:E13,2,0)</f>
        <v>MEHMET YAZICI</v>
      </c>
      <c r="D922" s="6"/>
      <c r="E922" s="6" t="s">
        <v>299</v>
      </c>
      <c r="F922" s="6" t="s">
        <v>16</v>
      </c>
      <c r="G922" s="6" t="s">
        <v>34</v>
      </c>
      <c r="H922" s="6">
        <v>1148</v>
      </c>
      <c r="I922" s="6">
        <v>557</v>
      </c>
      <c r="J922" s="6">
        <v>1</v>
      </c>
      <c r="K922" s="10">
        <f t="shared" si="31"/>
        <v>0.99439999999999995</v>
      </c>
      <c r="L922" s="6" t="s">
        <v>75</v>
      </c>
      <c r="M922" s="6" t="s">
        <v>179</v>
      </c>
      <c r="N922" s="6" t="s">
        <v>54</v>
      </c>
      <c r="O922" s="6" t="s">
        <v>54</v>
      </c>
      <c r="P922" s="6"/>
    </row>
    <row r="923" spans="1:16" ht="30" customHeight="1" x14ac:dyDescent="0.3">
      <c r="A923" s="7">
        <v>45684</v>
      </c>
      <c r="B923" s="6" t="s">
        <v>5</v>
      </c>
      <c r="C923" s="6" t="str">
        <f>VLOOKUP(B921,'Veri doğrulama'!D6:E13,2,0)</f>
        <v>MEHMET ÖZEN</v>
      </c>
      <c r="D923" s="6" t="s">
        <v>313</v>
      </c>
      <c r="E923" s="6" t="s">
        <v>308</v>
      </c>
      <c r="F923" s="6" t="s">
        <v>29</v>
      </c>
      <c r="G923" s="6" t="s">
        <v>34</v>
      </c>
      <c r="H923" s="6">
        <v>735</v>
      </c>
      <c r="I923" s="6">
        <v>397</v>
      </c>
      <c r="J923" s="6">
        <v>1</v>
      </c>
      <c r="K923" s="10">
        <f t="shared" si="31"/>
        <v>1.278872</v>
      </c>
      <c r="L923" s="6" t="s">
        <v>43</v>
      </c>
      <c r="M923" s="6"/>
      <c r="N923" s="6" t="s">
        <v>54</v>
      </c>
      <c r="O923" s="6" t="s">
        <v>54</v>
      </c>
      <c r="P923" s="6" t="s">
        <v>54</v>
      </c>
    </row>
    <row r="924" spans="1:16" ht="30" customHeight="1" x14ac:dyDescent="0.3">
      <c r="A924" s="7">
        <v>45684</v>
      </c>
      <c r="B924" s="6" t="s">
        <v>4</v>
      </c>
      <c r="C924" s="6" t="str">
        <f>VLOOKUP(B922,'Veri doğrulama'!D6:E13,2,0)</f>
        <v>MEHMET YAZICI</v>
      </c>
      <c r="D924" s="6" t="s">
        <v>302</v>
      </c>
      <c r="E924" s="6" t="s">
        <v>321</v>
      </c>
      <c r="F924" s="6" t="s">
        <v>18</v>
      </c>
      <c r="G924" s="6" t="s">
        <v>34</v>
      </c>
      <c r="H924" s="6">
        <v>1400</v>
      </c>
      <c r="I924" s="6">
        <v>1200</v>
      </c>
      <c r="J924" s="6">
        <v>2</v>
      </c>
      <c r="K924" s="10">
        <f t="shared" si="31"/>
        <v>0.29179500000000003</v>
      </c>
      <c r="L924" s="6" t="s">
        <v>103</v>
      </c>
      <c r="M924" s="6" t="s">
        <v>157</v>
      </c>
      <c r="N924" s="6" t="s">
        <v>54</v>
      </c>
      <c r="O924" s="6" t="s">
        <v>54</v>
      </c>
      <c r="P924" s="6"/>
    </row>
    <row r="925" spans="1:16" ht="30" customHeight="1" x14ac:dyDescent="0.3">
      <c r="A925" s="7">
        <v>45684</v>
      </c>
      <c r="B925" s="6" t="s">
        <v>7</v>
      </c>
      <c r="C925" s="6" t="str">
        <f>VLOOKUP(B923,'Veri doğrulama'!D6:E13,2,0)</f>
        <v>MEHMET ÖZEN</v>
      </c>
      <c r="D925" s="6" t="s">
        <v>311</v>
      </c>
      <c r="E925" s="6" t="s">
        <v>305</v>
      </c>
      <c r="F925" s="6" t="s">
        <v>18</v>
      </c>
      <c r="G925" s="6" t="s">
        <v>34</v>
      </c>
      <c r="H925" s="6">
        <v>557</v>
      </c>
      <c r="I925" s="6">
        <v>247</v>
      </c>
      <c r="J925" s="6">
        <v>1</v>
      </c>
      <c r="K925" s="10">
        <f t="shared" si="31"/>
        <v>1.68</v>
      </c>
      <c r="L925" s="6" t="s">
        <v>43</v>
      </c>
      <c r="M925" s="6" t="s">
        <v>11</v>
      </c>
      <c r="N925" s="6" t="s">
        <v>54</v>
      </c>
      <c r="O925" s="6" t="s">
        <v>54</v>
      </c>
      <c r="P925" s="6" t="s">
        <v>54</v>
      </c>
    </row>
    <row r="926" spans="1:16" ht="30" customHeight="1" x14ac:dyDescent="0.3">
      <c r="A926" s="7">
        <v>45684</v>
      </c>
      <c r="B926" s="6" t="s">
        <v>7</v>
      </c>
      <c r="C926" s="6" t="str">
        <f>VLOOKUP(B924,'Veri doğrulama'!D6:E13,2,0)</f>
        <v>MEHMET YAZICI</v>
      </c>
      <c r="D926" s="6"/>
      <c r="E926" s="6" t="s">
        <v>305</v>
      </c>
      <c r="F926" s="6" t="s">
        <v>18</v>
      </c>
      <c r="G926" s="6" t="s">
        <v>34</v>
      </c>
      <c r="H926" s="6">
        <v>353</v>
      </c>
      <c r="I926" s="6">
        <v>448</v>
      </c>
      <c r="J926" s="6">
        <v>1</v>
      </c>
      <c r="K926" s="10">
        <f t="shared" si="31"/>
        <v>0.13757900000000001</v>
      </c>
      <c r="L926" s="6" t="s">
        <v>75</v>
      </c>
      <c r="M926" s="6" t="s">
        <v>11</v>
      </c>
      <c r="N926" s="6" t="s">
        <v>54</v>
      </c>
      <c r="O926" s="6" t="s">
        <v>54</v>
      </c>
      <c r="P926" s="6" t="s">
        <v>54</v>
      </c>
    </row>
    <row r="927" spans="1:16" ht="30" customHeight="1" x14ac:dyDescent="0.3">
      <c r="A927" s="7">
        <v>45684</v>
      </c>
      <c r="B927" s="6" t="s">
        <v>7</v>
      </c>
      <c r="C927" s="6" t="str">
        <f>VLOOKUP(B925,'Veri doğrulama'!D6:E13,2,0)</f>
        <v>SIDDIK KAPLAN</v>
      </c>
      <c r="D927" s="6" t="s">
        <v>289</v>
      </c>
      <c r="E927" s="6" t="s">
        <v>305</v>
      </c>
      <c r="F927" s="6" t="s">
        <v>18</v>
      </c>
      <c r="G927" s="6" t="s">
        <v>34</v>
      </c>
      <c r="H927" s="6">
        <v>555</v>
      </c>
      <c r="I927" s="6">
        <v>448</v>
      </c>
      <c r="J927" s="6">
        <v>1</v>
      </c>
      <c r="K927" s="10">
        <f t="shared" si="31"/>
        <v>0.31628800000000001</v>
      </c>
      <c r="L927" s="6" t="s">
        <v>43</v>
      </c>
      <c r="M927" s="6" t="s">
        <v>11</v>
      </c>
      <c r="N927" s="6" t="s">
        <v>54</v>
      </c>
      <c r="O927" s="6" t="s">
        <v>54</v>
      </c>
      <c r="P927" s="6" t="s">
        <v>54</v>
      </c>
    </row>
    <row r="928" spans="1:16" ht="30" customHeight="1" x14ac:dyDescent="0.3">
      <c r="A928" s="7">
        <v>45684</v>
      </c>
      <c r="B928" s="6" t="s">
        <v>4</v>
      </c>
      <c r="C928" s="6" t="str">
        <f>VLOOKUP(B926,'Veri doğrulama'!D6:E13,2,0)</f>
        <v>SIDDIK KAPLAN</v>
      </c>
      <c r="D928" s="6"/>
      <c r="E928" s="6" t="s">
        <v>303</v>
      </c>
      <c r="F928" s="6" t="s">
        <v>18</v>
      </c>
      <c r="G928" s="6" t="s">
        <v>34</v>
      </c>
      <c r="H928" s="6">
        <v>698</v>
      </c>
      <c r="I928" s="6">
        <v>435</v>
      </c>
      <c r="J928" s="6">
        <v>2</v>
      </c>
      <c r="K928" s="10">
        <f t="shared" si="31"/>
        <v>1.4918400000000001</v>
      </c>
      <c r="L928" s="6" t="s">
        <v>43</v>
      </c>
      <c r="M928" s="6" t="s">
        <v>179</v>
      </c>
      <c r="N928" s="6" t="s">
        <v>54</v>
      </c>
      <c r="O928" s="6" t="s">
        <v>54</v>
      </c>
      <c r="P928" s="6"/>
    </row>
    <row r="929" spans="1:16" ht="30" customHeight="1" x14ac:dyDescent="0.3">
      <c r="A929" s="7">
        <v>45684</v>
      </c>
      <c r="B929" s="6" t="s">
        <v>5</v>
      </c>
      <c r="C929" s="6" t="str">
        <f>VLOOKUP(B927,'Veri doğrulama'!D6:E13,2,0)</f>
        <v>SIDDIK KAPLAN</v>
      </c>
      <c r="D929" s="6"/>
      <c r="E929" s="6" t="s">
        <v>317</v>
      </c>
      <c r="F929" s="6" t="s">
        <v>13</v>
      </c>
      <c r="G929" s="6" t="s">
        <v>34</v>
      </c>
      <c r="H929" s="6">
        <v>2000</v>
      </c>
      <c r="I929" s="6">
        <v>850</v>
      </c>
      <c r="J929" s="6">
        <v>6</v>
      </c>
      <c r="K929" s="10">
        <f t="shared" si="31"/>
        <v>0.30363000000000001</v>
      </c>
      <c r="L929" s="6" t="s">
        <v>43</v>
      </c>
      <c r="M929" s="6" t="s">
        <v>318</v>
      </c>
      <c r="N929" s="6" t="s">
        <v>54</v>
      </c>
      <c r="O929" s="6" t="s">
        <v>54</v>
      </c>
      <c r="P929" s="6"/>
    </row>
    <row r="930" spans="1:16" ht="30" customHeight="1" x14ac:dyDescent="0.3">
      <c r="A930" s="7">
        <v>45684</v>
      </c>
      <c r="B930" s="6" t="s">
        <v>4</v>
      </c>
      <c r="C930" s="6" t="str">
        <f>VLOOKUP(B928,'Veri doğrulama'!D6:E13,2,0)</f>
        <v>MEHMET YAZICI</v>
      </c>
      <c r="D930" s="6"/>
      <c r="E930" s="6" t="s">
        <v>341</v>
      </c>
      <c r="F930" s="6" t="s">
        <v>24</v>
      </c>
      <c r="G930" s="6" t="s">
        <v>35</v>
      </c>
      <c r="H930" s="6">
        <v>2028</v>
      </c>
      <c r="I930" s="6">
        <v>380</v>
      </c>
      <c r="J930" s="6">
        <v>1</v>
      </c>
      <c r="K930" s="10">
        <f t="shared" si="31"/>
        <v>1.7</v>
      </c>
      <c r="L930" s="6" t="s">
        <v>102</v>
      </c>
      <c r="M930" s="6" t="s">
        <v>179</v>
      </c>
      <c r="N930" s="6" t="s">
        <v>54</v>
      </c>
      <c r="O930" s="6" t="s">
        <v>54</v>
      </c>
      <c r="P930" s="6"/>
    </row>
    <row r="931" spans="1:16" ht="30" customHeight="1" x14ac:dyDescent="0.3">
      <c r="A931" s="7">
        <v>45684</v>
      </c>
      <c r="B931" s="6" t="s">
        <v>7</v>
      </c>
      <c r="C931" s="6" t="str">
        <f>VLOOKUP(B929,'Veri doğrulama'!D6:E13,2,0)</f>
        <v>MEHMET ÖZEN</v>
      </c>
      <c r="D931" s="6" t="s">
        <v>320</v>
      </c>
      <c r="E931" s="6" t="s">
        <v>305</v>
      </c>
      <c r="F931" s="6" t="s">
        <v>24</v>
      </c>
      <c r="G931" s="6" t="s">
        <v>34</v>
      </c>
      <c r="H931" s="6">
        <v>539</v>
      </c>
      <c r="I931" s="6">
        <v>406</v>
      </c>
      <c r="J931" s="6">
        <v>1</v>
      </c>
      <c r="K931" s="10">
        <f t="shared" si="31"/>
        <v>0.77063999999999999</v>
      </c>
      <c r="L931" s="6" t="s">
        <v>43</v>
      </c>
      <c r="M931" s="6" t="s">
        <v>11</v>
      </c>
      <c r="N931" s="6" t="s">
        <v>54</v>
      </c>
      <c r="O931" s="6" t="s">
        <v>54</v>
      </c>
      <c r="P931" s="6"/>
    </row>
    <row r="932" spans="1:16" ht="30" customHeight="1" x14ac:dyDescent="0.3">
      <c r="A932" s="7">
        <v>45684</v>
      </c>
      <c r="B932" s="6" t="s">
        <v>7</v>
      </c>
      <c r="C932" s="6" t="str">
        <f>VLOOKUP(B930,'Veri doğrulama'!D6:E13,2,0)</f>
        <v>MEHMET YAZICI</v>
      </c>
      <c r="D932" s="6" t="s">
        <v>343</v>
      </c>
      <c r="E932" s="6" t="s">
        <v>305</v>
      </c>
      <c r="F932" s="6" t="s">
        <v>24</v>
      </c>
      <c r="G932" s="6" t="s">
        <v>34</v>
      </c>
      <c r="H932" s="6">
        <v>1600</v>
      </c>
      <c r="I932" s="6">
        <v>406</v>
      </c>
      <c r="J932" s="6">
        <v>1</v>
      </c>
      <c r="K932" s="10">
        <f t="shared" si="31"/>
        <v>0.875336</v>
      </c>
      <c r="L932" s="6" t="s">
        <v>43</v>
      </c>
      <c r="M932" s="6" t="s">
        <v>11</v>
      </c>
      <c r="N932" s="6" t="s">
        <v>54</v>
      </c>
      <c r="O932" s="6" t="s">
        <v>54</v>
      </c>
      <c r="P932" s="6" t="s">
        <v>54</v>
      </c>
    </row>
    <row r="933" spans="1:16" ht="30" customHeight="1" x14ac:dyDescent="0.3">
      <c r="A933" s="7">
        <v>45684</v>
      </c>
      <c r="B933" s="6" t="s">
        <v>7</v>
      </c>
      <c r="C933" s="6" t="str">
        <f>VLOOKUP(B931,'Veri doğrulama'!D6:E13,2,0)</f>
        <v>SIDDIK KAPLAN</v>
      </c>
      <c r="D933" s="6"/>
      <c r="E933" s="6" t="s">
        <v>305</v>
      </c>
      <c r="F933" s="6" t="s">
        <v>24</v>
      </c>
      <c r="G933" s="6" t="s">
        <v>34</v>
      </c>
      <c r="H933" s="6">
        <v>1600</v>
      </c>
      <c r="I933" s="6">
        <v>450</v>
      </c>
      <c r="J933" s="6">
        <v>4</v>
      </c>
      <c r="K933" s="10">
        <f t="shared" si="31"/>
        <v>1.2991999999999999</v>
      </c>
      <c r="L933" s="6" t="s">
        <v>43</v>
      </c>
      <c r="M933" s="6" t="s">
        <v>11</v>
      </c>
      <c r="N933" s="6" t="s">
        <v>54</v>
      </c>
      <c r="O933" s="6" t="s">
        <v>54</v>
      </c>
      <c r="P933" s="6" t="s">
        <v>54</v>
      </c>
    </row>
    <row r="934" spans="1:16" ht="30" customHeight="1" x14ac:dyDescent="0.3">
      <c r="A934" s="7">
        <v>45684</v>
      </c>
      <c r="B934" s="6" t="s">
        <v>7</v>
      </c>
      <c r="C934" s="6" t="str">
        <f>VLOOKUP(B932,'Veri doğrulama'!D6:E13,2,0)</f>
        <v>SIDDIK KAPLAN</v>
      </c>
      <c r="D934" s="6"/>
      <c r="E934" s="6" t="s">
        <v>305</v>
      </c>
      <c r="F934" s="6" t="s">
        <v>24</v>
      </c>
      <c r="G934" s="6" t="s">
        <v>34</v>
      </c>
      <c r="H934" s="6">
        <v>539</v>
      </c>
      <c r="I934" s="6">
        <v>406</v>
      </c>
      <c r="J934" s="6">
        <v>2</v>
      </c>
      <c r="K934" s="10">
        <f t="shared" si="31"/>
        <v>2.16</v>
      </c>
      <c r="L934" s="6" t="s">
        <v>43</v>
      </c>
      <c r="M934" s="6" t="s">
        <v>11</v>
      </c>
      <c r="N934" s="6" t="s">
        <v>54</v>
      </c>
      <c r="O934" s="6" t="s">
        <v>54</v>
      </c>
      <c r="P934" s="6"/>
    </row>
    <row r="935" spans="1:16" ht="30" customHeight="1" x14ac:dyDescent="0.3">
      <c r="A935" s="7">
        <v>45684</v>
      </c>
      <c r="B935" s="6" t="s">
        <v>4</v>
      </c>
      <c r="C935" s="6" t="str">
        <f>VLOOKUP(B933,'Veri doğrulama'!D6:E13,2,0)</f>
        <v>SIDDIK KAPLAN</v>
      </c>
      <c r="D935" s="6"/>
      <c r="E935" s="6" t="s">
        <v>306</v>
      </c>
      <c r="F935" s="6" t="s">
        <v>19</v>
      </c>
      <c r="G935" s="6" t="s">
        <v>34</v>
      </c>
      <c r="H935" s="6">
        <v>1800</v>
      </c>
      <c r="I935" s="6">
        <v>800</v>
      </c>
      <c r="J935" s="6">
        <v>3</v>
      </c>
      <c r="K935" s="10">
        <f t="shared" si="31"/>
        <v>0.437668</v>
      </c>
      <c r="L935" s="6" t="s">
        <v>43</v>
      </c>
      <c r="M935" s="6" t="s">
        <v>179</v>
      </c>
      <c r="N935" s="6" t="s">
        <v>54</v>
      </c>
      <c r="O935" s="6" t="s">
        <v>54</v>
      </c>
      <c r="P935" s="6"/>
    </row>
    <row r="936" spans="1:16" ht="30" customHeight="1" x14ac:dyDescent="0.3">
      <c r="A936" s="7">
        <v>45684</v>
      </c>
      <c r="B936" s="6" t="s">
        <v>4</v>
      </c>
      <c r="C936" s="6" t="str">
        <f>VLOOKUP(B934,'Veri doğrulama'!D6:E13,2,0)</f>
        <v>SIDDIK KAPLAN</v>
      </c>
      <c r="D936" s="6"/>
      <c r="E936" s="6" t="s">
        <v>104</v>
      </c>
      <c r="F936" s="6" t="s">
        <v>19</v>
      </c>
      <c r="G936" s="6" t="s">
        <v>34</v>
      </c>
      <c r="H936" s="6">
        <v>575</v>
      </c>
      <c r="I936" s="6">
        <v>410</v>
      </c>
      <c r="J936" s="6">
        <v>2</v>
      </c>
      <c r="K936" s="10">
        <f t="shared" si="31"/>
        <v>1.44</v>
      </c>
      <c r="L936" s="6" t="s">
        <v>43</v>
      </c>
      <c r="M936" s="6" t="s">
        <v>159</v>
      </c>
      <c r="N936" s="6" t="s">
        <v>54</v>
      </c>
      <c r="O936" s="6" t="s">
        <v>54</v>
      </c>
      <c r="P936" s="6"/>
    </row>
    <row r="937" spans="1:16" ht="30" customHeight="1" x14ac:dyDescent="0.3">
      <c r="A937" s="7">
        <v>45681</v>
      </c>
      <c r="B937" s="6" t="s">
        <v>5</v>
      </c>
      <c r="C937" s="6" t="str">
        <f>VLOOKUP(B935,'Veri doğrulama'!D6:E13,2,0)</f>
        <v>MEHMET YAZICI</v>
      </c>
      <c r="D937" s="6"/>
      <c r="E937" s="6" t="s">
        <v>360</v>
      </c>
      <c r="F937" s="6" t="s">
        <v>14</v>
      </c>
      <c r="G937" s="6" t="s">
        <v>34</v>
      </c>
      <c r="H937" s="6">
        <v>2200</v>
      </c>
      <c r="I937" s="6">
        <v>150</v>
      </c>
      <c r="J937" s="6">
        <v>1</v>
      </c>
      <c r="K937" s="10">
        <f t="shared" si="31"/>
        <v>0.47149999999999997</v>
      </c>
      <c r="L937" s="6" t="s">
        <v>75</v>
      </c>
      <c r="M937" s="6" t="s">
        <v>195</v>
      </c>
      <c r="N937" s="6" t="s">
        <v>54</v>
      </c>
      <c r="O937" s="6" t="s">
        <v>54</v>
      </c>
      <c r="P937" s="6" t="s">
        <v>54</v>
      </c>
    </row>
    <row r="938" spans="1:16" ht="30" customHeight="1" x14ac:dyDescent="0.3">
      <c r="A938" s="7">
        <v>45681</v>
      </c>
      <c r="B938" s="6" t="s">
        <v>5</v>
      </c>
      <c r="C938" s="6" t="str">
        <f>VLOOKUP(B936,'Veri doğrulama'!D6:E13,2,0)</f>
        <v>MEHMET YAZICI</v>
      </c>
      <c r="D938" s="6">
        <v>21138</v>
      </c>
      <c r="E938" s="6" t="s">
        <v>298</v>
      </c>
      <c r="F938" s="6" t="s">
        <v>18</v>
      </c>
      <c r="G938" s="6" t="s">
        <v>35</v>
      </c>
      <c r="H938" s="6">
        <v>2000</v>
      </c>
      <c r="I938" s="6">
        <v>1100</v>
      </c>
      <c r="J938" s="6">
        <v>2</v>
      </c>
      <c r="K938" s="10">
        <f t="shared" si="31"/>
        <v>0.33</v>
      </c>
      <c r="L938" s="6" t="s">
        <v>43</v>
      </c>
      <c r="M938" s="6" t="s">
        <v>195</v>
      </c>
      <c r="N938" s="6" t="s">
        <v>54</v>
      </c>
      <c r="O938" s="6" t="s">
        <v>54</v>
      </c>
      <c r="P938" s="6" t="s">
        <v>54</v>
      </c>
    </row>
    <row r="939" spans="1:16" ht="30" customHeight="1" x14ac:dyDescent="0.3">
      <c r="A939" s="7">
        <v>45681</v>
      </c>
      <c r="B939" s="6" t="s">
        <v>7</v>
      </c>
      <c r="C939" s="6" t="str">
        <f>VLOOKUP(B937,'Veri doğrulama'!D6:E13,2,0)</f>
        <v>MEHMET ÖZEN</v>
      </c>
      <c r="D939" s="6"/>
      <c r="E939" s="6" t="s">
        <v>333</v>
      </c>
      <c r="F939" s="6" t="s">
        <v>28</v>
      </c>
      <c r="G939" s="6" t="s">
        <v>34</v>
      </c>
      <c r="H939" s="6">
        <v>2000</v>
      </c>
      <c r="I939" s="6">
        <v>600</v>
      </c>
      <c r="J939" s="6">
        <v>1</v>
      </c>
      <c r="K939" s="10">
        <f t="shared" si="31"/>
        <v>2.2000000000000002</v>
      </c>
      <c r="L939" s="6" t="s">
        <v>42</v>
      </c>
      <c r="M939" s="6" t="s">
        <v>11</v>
      </c>
      <c r="N939" s="6" t="s">
        <v>54</v>
      </c>
      <c r="O939" s="6" t="s">
        <v>54</v>
      </c>
      <c r="P939" s="6" t="s">
        <v>54</v>
      </c>
    </row>
    <row r="940" spans="1:16" ht="30" customHeight="1" x14ac:dyDescent="0.3">
      <c r="A940" s="7">
        <v>45681</v>
      </c>
      <c r="B940" s="6" t="s">
        <v>4</v>
      </c>
      <c r="C940" s="6" t="str">
        <f>VLOOKUP(B938,'Veri doğrulama'!D6:E13,2,0)</f>
        <v>MEHMET ÖZEN</v>
      </c>
      <c r="D940" s="6" t="s">
        <v>300</v>
      </c>
      <c r="E940" s="6" t="s">
        <v>295</v>
      </c>
      <c r="F940" s="6" t="s">
        <v>28</v>
      </c>
      <c r="G940" s="6" t="s">
        <v>34</v>
      </c>
      <c r="H940" s="6">
        <v>800</v>
      </c>
      <c r="I940" s="6">
        <v>550</v>
      </c>
      <c r="J940" s="6">
        <v>1</v>
      </c>
      <c r="K940" s="10">
        <f t="shared" si="31"/>
        <v>2.4</v>
      </c>
      <c r="L940" s="6" t="s">
        <v>43</v>
      </c>
      <c r="M940" s="6" t="s">
        <v>179</v>
      </c>
      <c r="N940" s="6" t="s">
        <v>54</v>
      </c>
      <c r="O940" s="6" t="s">
        <v>54</v>
      </c>
      <c r="P940" s="6" t="s">
        <v>54</v>
      </c>
    </row>
    <row r="941" spans="1:16" ht="30" customHeight="1" x14ac:dyDescent="0.3">
      <c r="A941" s="7">
        <v>45681</v>
      </c>
      <c r="B941" s="6" t="s">
        <v>4</v>
      </c>
      <c r="C941" s="6" t="str">
        <f>VLOOKUP(B939,'Veri doğrulama'!D6:E13,2,0)</f>
        <v>SIDDIK KAPLAN</v>
      </c>
      <c r="D941" s="6" t="s">
        <v>334</v>
      </c>
      <c r="E941" s="6" t="s">
        <v>293</v>
      </c>
      <c r="F941" s="6" t="s">
        <v>19</v>
      </c>
      <c r="G941" s="6" t="s">
        <v>34</v>
      </c>
      <c r="H941" s="6">
        <v>1800</v>
      </c>
      <c r="I941" s="6">
        <v>800</v>
      </c>
      <c r="J941" s="6">
        <v>2</v>
      </c>
      <c r="K941" s="10">
        <f t="shared" si="31"/>
        <v>0.44</v>
      </c>
      <c r="L941" s="6" t="s">
        <v>43</v>
      </c>
      <c r="M941" s="6" t="s">
        <v>179</v>
      </c>
      <c r="N941" s="6" t="s">
        <v>54</v>
      </c>
      <c r="O941" s="6" t="s">
        <v>54</v>
      </c>
      <c r="P941" s="6" t="s">
        <v>54</v>
      </c>
    </row>
    <row r="942" spans="1:16" ht="30" customHeight="1" x14ac:dyDescent="0.3">
      <c r="A942" s="7">
        <v>45681</v>
      </c>
      <c r="B942" s="6" t="s">
        <v>5</v>
      </c>
      <c r="C942" s="6" t="str">
        <f>VLOOKUP(B940,'Veri doğrulama'!D6:E13,2,0)</f>
        <v>MEHMET YAZICI</v>
      </c>
      <c r="D942" s="6"/>
      <c r="E942" s="6" t="s">
        <v>297</v>
      </c>
      <c r="F942" s="6" t="s">
        <v>16</v>
      </c>
      <c r="G942" s="6" t="s">
        <v>34</v>
      </c>
      <c r="H942" s="6">
        <v>1400</v>
      </c>
      <c r="I942" s="6">
        <v>1200</v>
      </c>
      <c r="J942" s="6">
        <v>1</v>
      </c>
      <c r="K942" s="10">
        <f t="shared" si="31"/>
        <v>1.44</v>
      </c>
      <c r="L942" s="6" t="s">
        <v>75</v>
      </c>
      <c r="M942" s="6" t="s">
        <v>195</v>
      </c>
      <c r="N942" s="6" t="s">
        <v>54</v>
      </c>
      <c r="O942" s="6" t="s">
        <v>54</v>
      </c>
      <c r="P942" s="6"/>
    </row>
    <row r="943" spans="1:16" ht="30" customHeight="1" x14ac:dyDescent="0.3">
      <c r="A943" s="7">
        <v>45680</v>
      </c>
      <c r="B943" s="6" t="s">
        <v>5</v>
      </c>
      <c r="C943" s="6" t="str">
        <f>VLOOKUP(B941,'Veri doğrulama'!D6:E13,2,0)</f>
        <v>MEHMET YAZICI</v>
      </c>
      <c r="D943" s="6" t="s">
        <v>296</v>
      </c>
      <c r="E943" s="6" t="s">
        <v>288</v>
      </c>
      <c r="F943" s="6" t="s">
        <v>16</v>
      </c>
      <c r="G943" s="6" t="s">
        <v>34</v>
      </c>
      <c r="H943" s="6">
        <v>1420</v>
      </c>
      <c r="I943" s="6">
        <v>1420</v>
      </c>
      <c r="J943" s="6">
        <v>1</v>
      </c>
      <c r="K943" s="10">
        <f t="shared" si="31"/>
        <v>3.36</v>
      </c>
      <c r="L943" s="6" t="s">
        <v>75</v>
      </c>
      <c r="M943" s="6" t="s">
        <v>183</v>
      </c>
      <c r="N943" s="6" t="s">
        <v>54</v>
      </c>
      <c r="O943" s="6" t="s">
        <v>54</v>
      </c>
      <c r="P943" s="6" t="s">
        <v>54</v>
      </c>
    </row>
    <row r="944" spans="1:16" ht="30" customHeight="1" x14ac:dyDescent="0.3">
      <c r="A944" s="7">
        <v>45680</v>
      </c>
      <c r="B944" s="6" t="s">
        <v>4</v>
      </c>
      <c r="C944" s="6" t="str">
        <f>VLOOKUP(B942,'Veri doğrulama'!D6:E13,2,0)</f>
        <v>MEHMET ÖZEN</v>
      </c>
      <c r="D944" s="6"/>
      <c r="E944" s="6" t="s">
        <v>80</v>
      </c>
      <c r="F944" s="6" t="s">
        <v>16</v>
      </c>
      <c r="G944" s="6" t="s">
        <v>34</v>
      </c>
      <c r="H944" s="6">
        <v>1400</v>
      </c>
      <c r="I944" s="6">
        <v>1200</v>
      </c>
      <c r="J944" s="6">
        <v>2</v>
      </c>
      <c r="K944" s="10">
        <f t="shared" si="31"/>
        <v>2.0164</v>
      </c>
      <c r="L944" s="6" t="s">
        <v>103</v>
      </c>
      <c r="M944" s="6" t="s">
        <v>185</v>
      </c>
      <c r="N944" s="6" t="s">
        <v>54</v>
      </c>
      <c r="O944" s="6" t="s">
        <v>54</v>
      </c>
      <c r="P944" s="6" t="s">
        <v>54</v>
      </c>
    </row>
    <row r="945" spans="1:16" ht="30" customHeight="1" x14ac:dyDescent="0.3">
      <c r="A945" s="7">
        <v>45680</v>
      </c>
      <c r="B945" s="6" t="s">
        <v>4</v>
      </c>
      <c r="C945" s="6" t="str">
        <f>VLOOKUP(B943,'Veri doğrulama'!D6:E13,2,0)</f>
        <v>MEHMET ÖZEN</v>
      </c>
      <c r="D945" s="6" t="s">
        <v>289</v>
      </c>
      <c r="E945" s="6" t="s">
        <v>80</v>
      </c>
      <c r="F945" s="6" t="s">
        <v>16</v>
      </c>
      <c r="G945" s="6" t="s">
        <v>34</v>
      </c>
      <c r="H945" s="6">
        <v>1400</v>
      </c>
      <c r="I945" s="6">
        <v>1200</v>
      </c>
      <c r="J945" s="6">
        <v>1</v>
      </c>
      <c r="K945" s="10">
        <f t="shared" si="31"/>
        <v>1.68</v>
      </c>
      <c r="L945" s="6" t="s">
        <v>103</v>
      </c>
      <c r="M945" s="6" t="s">
        <v>185</v>
      </c>
      <c r="N945" s="6" t="s">
        <v>54</v>
      </c>
      <c r="O945" s="6" t="s">
        <v>54</v>
      </c>
      <c r="P945" s="6"/>
    </row>
    <row r="946" spans="1:16" ht="30" customHeight="1" x14ac:dyDescent="0.3">
      <c r="A946" s="7">
        <v>45680</v>
      </c>
      <c r="B946" s="6" t="s">
        <v>4</v>
      </c>
      <c r="C946" s="6" t="str">
        <f>VLOOKUP(B944,'Veri doğrulama'!D6:E13,2,0)</f>
        <v>MEHMET YAZICI</v>
      </c>
      <c r="D946" s="6" t="s">
        <v>286</v>
      </c>
      <c r="E946" s="6" t="s">
        <v>74</v>
      </c>
      <c r="F946" s="6" t="s">
        <v>18</v>
      </c>
      <c r="G946" s="6" t="s">
        <v>34</v>
      </c>
      <c r="H946" s="6">
        <v>2370</v>
      </c>
      <c r="I946" s="6">
        <v>400</v>
      </c>
      <c r="J946" s="6">
        <v>1</v>
      </c>
      <c r="K946" s="10">
        <f t="shared" si="31"/>
        <v>3.36</v>
      </c>
      <c r="L946" s="6" t="s">
        <v>39</v>
      </c>
      <c r="M946" s="6" t="s">
        <v>179</v>
      </c>
      <c r="N946" s="6" t="s">
        <v>54</v>
      </c>
      <c r="O946" s="6" t="s">
        <v>54</v>
      </c>
      <c r="P946" s="6"/>
    </row>
    <row r="947" spans="1:16" ht="30" customHeight="1" x14ac:dyDescent="0.3">
      <c r="A947" s="7">
        <v>45680</v>
      </c>
      <c r="B947" s="6" t="s">
        <v>5</v>
      </c>
      <c r="C947" s="6" t="str">
        <f>VLOOKUP(B945,'Veri doğrulama'!D6:E13,2,0)</f>
        <v>MEHMET YAZICI</v>
      </c>
      <c r="D947" s="6"/>
      <c r="E947" s="6" t="s">
        <v>326</v>
      </c>
      <c r="F947" s="6" t="s">
        <v>15</v>
      </c>
      <c r="G947" s="6" t="s">
        <v>35</v>
      </c>
      <c r="H947" s="6">
        <v>1763</v>
      </c>
      <c r="I947" s="6">
        <v>720</v>
      </c>
      <c r="J947" s="6">
        <v>2</v>
      </c>
      <c r="K947" s="10">
        <f t="shared" si="31"/>
        <v>0.94799999999999995</v>
      </c>
      <c r="L947" s="6" t="s">
        <v>102</v>
      </c>
      <c r="M947" s="6" t="s">
        <v>53</v>
      </c>
      <c r="N947" s="6" t="s">
        <v>54</v>
      </c>
      <c r="O947" s="6" t="s">
        <v>54</v>
      </c>
      <c r="P947" s="6" t="s">
        <v>54</v>
      </c>
    </row>
    <row r="948" spans="1:16" ht="30" customHeight="1" x14ac:dyDescent="0.3">
      <c r="A948" s="7">
        <v>45680</v>
      </c>
      <c r="B948" s="6" t="s">
        <v>4</v>
      </c>
      <c r="C948" s="6" t="str">
        <f>VLOOKUP(B946,'Veri doğrulama'!D6:E13,2,0)</f>
        <v>MEHMET YAZICI</v>
      </c>
      <c r="D948" s="6" t="s">
        <v>291</v>
      </c>
      <c r="E948" s="6" t="s">
        <v>301</v>
      </c>
      <c r="F948" s="6" t="s">
        <v>24</v>
      </c>
      <c r="G948" s="6" t="s">
        <v>34</v>
      </c>
      <c r="H948" s="6">
        <v>1020</v>
      </c>
      <c r="I948" s="6">
        <v>805</v>
      </c>
      <c r="J948" s="6">
        <v>1</v>
      </c>
      <c r="K948" s="10">
        <f t="shared" si="31"/>
        <v>1.26936</v>
      </c>
      <c r="L948" s="6" t="s">
        <v>102</v>
      </c>
      <c r="M948" s="6" t="s">
        <v>159</v>
      </c>
      <c r="N948" s="6" t="s">
        <v>54</v>
      </c>
      <c r="O948" s="6" t="s">
        <v>54</v>
      </c>
      <c r="P948" s="6"/>
    </row>
    <row r="949" spans="1:16" ht="30" customHeight="1" x14ac:dyDescent="0.3">
      <c r="A949" s="7">
        <v>45680</v>
      </c>
      <c r="B949" s="6" t="s">
        <v>5</v>
      </c>
      <c r="C949" s="6" t="str">
        <f>VLOOKUP(B947,'Veri doğrulama'!D6:E13,2,0)</f>
        <v>MEHMET ÖZEN</v>
      </c>
      <c r="D949" s="6" t="s">
        <v>328</v>
      </c>
      <c r="E949" s="6" t="s">
        <v>283</v>
      </c>
      <c r="F949" s="6" t="s">
        <v>15</v>
      </c>
      <c r="G949" s="6" t="s">
        <v>34</v>
      </c>
      <c r="H949" s="6">
        <v>487</v>
      </c>
      <c r="I949" s="6">
        <v>504</v>
      </c>
      <c r="J949" s="6">
        <v>1</v>
      </c>
      <c r="K949" s="10">
        <f t="shared" si="31"/>
        <v>0.82110000000000005</v>
      </c>
      <c r="L949" s="6" t="s">
        <v>43</v>
      </c>
      <c r="M949" s="6" t="s">
        <v>195</v>
      </c>
      <c r="N949" s="6" t="s">
        <v>54</v>
      </c>
      <c r="O949" s="6" t="s">
        <v>54</v>
      </c>
      <c r="P949" s="6"/>
    </row>
    <row r="950" spans="1:16" ht="30" customHeight="1" x14ac:dyDescent="0.3">
      <c r="A950" s="7">
        <v>45680</v>
      </c>
      <c r="B950" s="6" t="s">
        <v>4</v>
      </c>
      <c r="C950" s="6" t="str">
        <f>VLOOKUP(B948,'Veri doğrulama'!D6:E13,2,0)</f>
        <v>MEHMET YAZICI</v>
      </c>
      <c r="D950" s="6"/>
      <c r="E950" s="6" t="s">
        <v>331</v>
      </c>
      <c r="F950" s="6" t="s">
        <v>26</v>
      </c>
      <c r="G950" s="6" t="s">
        <v>34</v>
      </c>
      <c r="H950" s="6">
        <v>2200</v>
      </c>
      <c r="I950" s="6">
        <v>445</v>
      </c>
      <c r="J950" s="6">
        <v>1</v>
      </c>
      <c r="K950" s="10">
        <f t="shared" si="31"/>
        <v>0.981792</v>
      </c>
      <c r="L950" s="6" t="s">
        <v>39</v>
      </c>
      <c r="M950" s="6" t="s">
        <v>179</v>
      </c>
      <c r="N950" s="6" t="s">
        <v>54</v>
      </c>
      <c r="O950" s="6" t="s">
        <v>54</v>
      </c>
      <c r="P950" s="6"/>
    </row>
    <row r="951" spans="1:16" ht="30" customHeight="1" x14ac:dyDescent="0.3">
      <c r="A951" s="7">
        <v>45679</v>
      </c>
      <c r="B951" s="6" t="s">
        <v>4</v>
      </c>
      <c r="C951" s="6" t="str">
        <f>VLOOKUP(B949,'Veri doğrulama'!D6:E13,2,0)</f>
        <v>MEHMET ÖZEN</v>
      </c>
      <c r="D951" s="6"/>
      <c r="E951" s="6" t="s">
        <v>312</v>
      </c>
      <c r="F951" s="6" t="s">
        <v>17</v>
      </c>
      <c r="G951" s="6" t="s">
        <v>35</v>
      </c>
      <c r="H951" s="6">
        <v>447</v>
      </c>
      <c r="I951" s="6">
        <v>470</v>
      </c>
      <c r="J951" s="6">
        <v>4</v>
      </c>
      <c r="K951" s="10">
        <f t="shared" si="31"/>
        <v>0.97899999999999998</v>
      </c>
      <c r="L951" s="6" t="s">
        <v>42</v>
      </c>
      <c r="M951" s="6" t="s">
        <v>179</v>
      </c>
      <c r="N951" s="6" t="s">
        <v>54</v>
      </c>
      <c r="O951" s="6" t="s">
        <v>54</v>
      </c>
      <c r="P951" s="6"/>
    </row>
    <row r="952" spans="1:16" ht="30" customHeight="1" x14ac:dyDescent="0.3">
      <c r="A952" s="7">
        <v>45679</v>
      </c>
      <c r="B952" s="6" t="s">
        <v>4</v>
      </c>
      <c r="C952" s="6" t="str">
        <f>VLOOKUP(B950,'Veri doğrulama'!D6:E13,2,0)</f>
        <v>MEHMET YAZICI</v>
      </c>
      <c r="D952" s="6"/>
      <c r="E952" s="6" t="s">
        <v>292</v>
      </c>
      <c r="F952" s="6" t="s">
        <v>14</v>
      </c>
      <c r="G952" s="6" t="s">
        <v>34</v>
      </c>
      <c r="H952" s="6">
        <v>435</v>
      </c>
      <c r="I952" s="6">
        <v>260</v>
      </c>
      <c r="J952" s="6">
        <v>1</v>
      </c>
      <c r="K952" s="10">
        <f t="shared" si="31"/>
        <v>0.21009</v>
      </c>
      <c r="L952" s="6" t="s">
        <v>43</v>
      </c>
      <c r="M952" s="6" t="s">
        <v>179</v>
      </c>
      <c r="N952" s="6" t="s">
        <v>54</v>
      </c>
      <c r="O952" s="6" t="s">
        <v>54</v>
      </c>
      <c r="P952" s="6" t="s">
        <v>54</v>
      </c>
    </row>
    <row r="953" spans="1:16" ht="30" customHeight="1" x14ac:dyDescent="0.3">
      <c r="A953" s="7">
        <v>45679</v>
      </c>
      <c r="B953" s="6" t="s">
        <v>7</v>
      </c>
      <c r="C953" s="6" t="str">
        <f>VLOOKUP(B951,'Veri doğrulama'!D6:E13,2,0)</f>
        <v>MEHMET YAZICI</v>
      </c>
      <c r="D953" s="6" t="s">
        <v>315</v>
      </c>
      <c r="E953" s="6" t="s">
        <v>811</v>
      </c>
      <c r="F953" s="6" t="s">
        <v>146</v>
      </c>
      <c r="G953" s="6" t="s">
        <v>34</v>
      </c>
      <c r="H953" s="6">
        <v>1210</v>
      </c>
      <c r="I953" s="6">
        <v>810</v>
      </c>
      <c r="J953" s="6">
        <v>1</v>
      </c>
      <c r="K953" s="10">
        <f t="shared" ref="K953:K987" si="32">I952*H952/1000000*J954</f>
        <v>0.11310000000000001</v>
      </c>
      <c r="L953" s="6" t="s">
        <v>102</v>
      </c>
      <c r="M953" s="6" t="s">
        <v>209</v>
      </c>
      <c r="N953" s="6" t="s">
        <v>54</v>
      </c>
      <c r="O953" s="6" t="s">
        <v>54</v>
      </c>
      <c r="P953" s="6" t="s">
        <v>54</v>
      </c>
    </row>
    <row r="954" spans="1:16" ht="30" customHeight="1" x14ac:dyDescent="0.3">
      <c r="A954" s="7">
        <v>45678</v>
      </c>
      <c r="B954" s="6" t="s">
        <v>4</v>
      </c>
      <c r="C954" s="6" t="str">
        <f>VLOOKUP(B952,'Veri doğrulama'!D6:E13,2,0)</f>
        <v>MEHMET YAZICI</v>
      </c>
      <c r="D954" s="6" t="s">
        <v>294</v>
      </c>
      <c r="E954" s="6" t="s">
        <v>290</v>
      </c>
      <c r="F954" s="6" t="s">
        <v>28</v>
      </c>
      <c r="G954" s="6" t="s">
        <v>34</v>
      </c>
      <c r="H954" s="6">
        <v>705</v>
      </c>
      <c r="I954" s="6">
        <v>324</v>
      </c>
      <c r="J954" s="6">
        <v>1</v>
      </c>
      <c r="K954" s="10">
        <f t="shared" si="32"/>
        <v>0.98009999999999997</v>
      </c>
      <c r="L954" s="6" t="s">
        <v>75</v>
      </c>
      <c r="M954" s="6" t="s">
        <v>159</v>
      </c>
      <c r="N954" s="6" t="s">
        <v>54</v>
      </c>
      <c r="O954" s="6" t="s">
        <v>54</v>
      </c>
      <c r="P954" s="6"/>
    </row>
    <row r="955" spans="1:16" ht="30" customHeight="1" x14ac:dyDescent="0.3">
      <c r="A955" s="7">
        <v>45678</v>
      </c>
      <c r="B955" s="6" t="s">
        <v>5</v>
      </c>
      <c r="C955" s="6" t="str">
        <f>VLOOKUP(B953,'Veri doğrulama'!D6:E13,2,0)</f>
        <v>SIDDIK KAPLAN</v>
      </c>
      <c r="D955" s="6"/>
      <c r="E955" s="6" t="s">
        <v>280</v>
      </c>
      <c r="F955" s="6" t="s">
        <v>15</v>
      </c>
      <c r="G955" s="6" t="s">
        <v>34</v>
      </c>
      <c r="H955" s="6">
        <v>2410</v>
      </c>
      <c r="I955" s="6">
        <v>1210</v>
      </c>
      <c r="J955" s="6">
        <v>1</v>
      </c>
      <c r="K955" s="10">
        <f t="shared" si="32"/>
        <v>0.22842000000000001</v>
      </c>
      <c r="L955" s="6" t="s">
        <v>43</v>
      </c>
      <c r="M955" s="6" t="s">
        <v>310</v>
      </c>
      <c r="N955" s="6" t="s">
        <v>54</v>
      </c>
      <c r="O955" s="6" t="s">
        <v>54</v>
      </c>
      <c r="P955" s="6"/>
    </row>
    <row r="956" spans="1:16" ht="30" customHeight="1" x14ac:dyDescent="0.3">
      <c r="A956" s="7">
        <v>45678</v>
      </c>
      <c r="B956" s="6" t="s">
        <v>5</v>
      </c>
      <c r="C956" s="6" t="str">
        <f>VLOOKUP(B954,'Veri doğrulama'!D6:E13,2,0)</f>
        <v>MEHMET YAZICI</v>
      </c>
      <c r="D956" s="6"/>
      <c r="E956" s="6" t="s">
        <v>282</v>
      </c>
      <c r="F956" s="6" t="s">
        <v>26</v>
      </c>
      <c r="G956" s="6" t="s">
        <v>34</v>
      </c>
      <c r="H956" s="6">
        <v>2240</v>
      </c>
      <c r="I956" s="6">
        <v>350</v>
      </c>
      <c r="J956" s="6">
        <v>1</v>
      </c>
      <c r="K956" s="10">
        <f t="shared" si="32"/>
        <v>2.9161000000000001</v>
      </c>
      <c r="L956" s="6" t="s">
        <v>75</v>
      </c>
      <c r="M956" s="6" t="s">
        <v>159</v>
      </c>
      <c r="N956" s="6" t="s">
        <v>54</v>
      </c>
      <c r="O956" s="6" t="s">
        <v>54</v>
      </c>
      <c r="P956" s="6" t="s">
        <v>54</v>
      </c>
    </row>
    <row r="957" spans="1:16" ht="30" customHeight="1" x14ac:dyDescent="0.3">
      <c r="A957" s="7">
        <v>45678</v>
      </c>
      <c r="B957" s="6" t="s">
        <v>7</v>
      </c>
      <c r="C957" s="6" t="str">
        <f>VLOOKUP(B955,'Veri doğrulama'!D6:E13,2,0)</f>
        <v>MEHMET ÖZEN</v>
      </c>
      <c r="D957" s="6" t="s">
        <v>278</v>
      </c>
      <c r="E957" s="6" t="s">
        <v>791</v>
      </c>
      <c r="F957" s="6"/>
      <c r="G957" s="6" t="s">
        <v>34</v>
      </c>
      <c r="H957" s="6">
        <v>950</v>
      </c>
      <c r="I957" s="6">
        <v>750</v>
      </c>
      <c r="J957" s="6">
        <v>1</v>
      </c>
      <c r="K957" s="10">
        <f t="shared" si="32"/>
        <v>0.78400000000000003</v>
      </c>
      <c r="L957" s="6" t="s">
        <v>42</v>
      </c>
      <c r="M957" s="6"/>
      <c r="N957" s="6" t="s">
        <v>54</v>
      </c>
      <c r="O957" s="6" t="s">
        <v>54</v>
      </c>
      <c r="P957" s="6"/>
    </row>
    <row r="958" spans="1:16" ht="30" customHeight="1" x14ac:dyDescent="0.3">
      <c r="A958" s="7">
        <v>45678</v>
      </c>
      <c r="B958" s="6" t="s">
        <v>5</v>
      </c>
      <c r="C958" s="6" t="str">
        <f>VLOOKUP(B956,'Veri doğrulama'!D6:E13,2,0)</f>
        <v>MEHMET ÖZEN</v>
      </c>
      <c r="D958" s="6"/>
      <c r="E958" s="6" t="s">
        <v>130</v>
      </c>
      <c r="F958" s="6" t="s">
        <v>19</v>
      </c>
      <c r="G958" s="6" t="s">
        <v>34</v>
      </c>
      <c r="H958" s="6">
        <v>2200</v>
      </c>
      <c r="I958" s="6">
        <v>410</v>
      </c>
      <c r="J958" s="6">
        <v>1</v>
      </c>
      <c r="K958" s="10">
        <f t="shared" si="32"/>
        <v>0.71250000000000002</v>
      </c>
      <c r="L958" s="6" t="s">
        <v>39</v>
      </c>
      <c r="M958" s="6" t="s">
        <v>285</v>
      </c>
      <c r="N958" s="6" t="s">
        <v>54</v>
      </c>
      <c r="O958" s="6" t="s">
        <v>54</v>
      </c>
      <c r="P958" s="6" t="s">
        <v>54</v>
      </c>
    </row>
    <row r="959" spans="1:16" ht="30" customHeight="1" x14ac:dyDescent="0.3">
      <c r="A959" s="7">
        <v>45678</v>
      </c>
      <c r="B959" s="6" t="s">
        <v>4</v>
      </c>
      <c r="C959" s="6" t="str">
        <f>VLOOKUP(B957,'Veri doğrulama'!D6:E13,2,0)</f>
        <v>SIDDIK KAPLAN</v>
      </c>
      <c r="D959" s="6"/>
      <c r="E959" s="6" t="s">
        <v>273</v>
      </c>
      <c r="F959" s="6" t="s">
        <v>14</v>
      </c>
      <c r="G959" s="6" t="s">
        <v>34</v>
      </c>
      <c r="H959" s="6">
        <v>555</v>
      </c>
      <c r="I959" s="6">
        <v>448</v>
      </c>
      <c r="J959" s="6">
        <v>1</v>
      </c>
      <c r="K959" s="10">
        <f t="shared" si="32"/>
        <v>0.90200000000000002</v>
      </c>
      <c r="L959" s="6" t="s">
        <v>43</v>
      </c>
      <c r="M959" s="6" t="s">
        <v>185</v>
      </c>
      <c r="N959" s="6" t="s">
        <v>54</v>
      </c>
      <c r="O959" s="6" t="s">
        <v>54</v>
      </c>
      <c r="P959" s="6"/>
    </row>
    <row r="960" spans="1:16" ht="30" customHeight="1" x14ac:dyDescent="0.3">
      <c r="A960" s="7">
        <v>45677</v>
      </c>
      <c r="B960" s="6" t="s">
        <v>5</v>
      </c>
      <c r="C960" s="6" t="str">
        <f>VLOOKUP(B958,'Veri doğrulama'!D6:E13,2,0)</f>
        <v>MEHMET ÖZEN</v>
      </c>
      <c r="D960" s="6"/>
      <c r="E960" s="6" t="s">
        <v>284</v>
      </c>
      <c r="F960" s="6" t="s">
        <v>16</v>
      </c>
      <c r="G960" s="6" t="s">
        <v>34</v>
      </c>
      <c r="H960" s="6">
        <v>1420</v>
      </c>
      <c r="I960" s="6">
        <v>1420</v>
      </c>
      <c r="J960" s="6">
        <v>1</v>
      </c>
      <c r="K960" s="10">
        <f t="shared" si="32"/>
        <v>0.24864</v>
      </c>
      <c r="L960" s="6" t="s">
        <v>43</v>
      </c>
      <c r="M960" s="6" t="s">
        <v>183</v>
      </c>
      <c r="N960" s="6" t="s">
        <v>54</v>
      </c>
      <c r="O960" s="6" t="s">
        <v>54</v>
      </c>
      <c r="P960" s="6" t="s">
        <v>54</v>
      </c>
    </row>
    <row r="961" spans="1:16" ht="30" customHeight="1" x14ac:dyDescent="0.3">
      <c r="A961" s="7">
        <v>45677</v>
      </c>
      <c r="B961" s="6" t="s">
        <v>4</v>
      </c>
      <c r="C961" s="6" t="str">
        <f>VLOOKUP(B959,'Veri doğrulama'!D6:E13,2,0)</f>
        <v>MEHMET YAZICI</v>
      </c>
      <c r="D961" s="6"/>
      <c r="E961" s="6" t="s">
        <v>270</v>
      </c>
      <c r="F961" s="6" t="s">
        <v>16</v>
      </c>
      <c r="G961" s="6" t="s">
        <v>34</v>
      </c>
      <c r="H961" s="6">
        <v>840</v>
      </c>
      <c r="I961" s="6">
        <v>1990</v>
      </c>
      <c r="J961" s="6">
        <v>1</v>
      </c>
      <c r="K961" s="10">
        <f t="shared" si="32"/>
        <v>2.0164</v>
      </c>
      <c r="L961" s="6" t="s">
        <v>102</v>
      </c>
      <c r="M961" s="6" t="s">
        <v>179</v>
      </c>
      <c r="N961" s="6" t="s">
        <v>54</v>
      </c>
      <c r="O961" s="6" t="s">
        <v>54</v>
      </c>
      <c r="P961" s="6" t="s">
        <v>54</v>
      </c>
    </row>
    <row r="962" spans="1:16" ht="30" customHeight="1" x14ac:dyDescent="0.3">
      <c r="A962" s="7">
        <v>45677</v>
      </c>
      <c r="B962" s="6" t="s">
        <v>4</v>
      </c>
      <c r="C962" s="6" t="str">
        <f>VLOOKUP(B960,'Veri doğrulama'!D6:E13,2,0)</f>
        <v>MEHMET ÖZEN</v>
      </c>
      <c r="D962" s="6"/>
      <c r="E962" s="6" t="s">
        <v>80</v>
      </c>
      <c r="F962" s="6" t="s">
        <v>18</v>
      </c>
      <c r="G962" s="6" t="s">
        <v>34</v>
      </c>
      <c r="H962" s="6">
        <v>1400</v>
      </c>
      <c r="I962" s="6">
        <v>1200</v>
      </c>
      <c r="J962" s="6">
        <v>1</v>
      </c>
      <c r="K962" s="10">
        <f t="shared" si="32"/>
        <v>3.3431999999999999</v>
      </c>
      <c r="L962" s="6" t="s">
        <v>75</v>
      </c>
      <c r="M962" s="6" t="s">
        <v>185</v>
      </c>
      <c r="N962" s="6" t="s">
        <v>54</v>
      </c>
      <c r="O962" s="6" t="s">
        <v>54</v>
      </c>
      <c r="P962" s="6" t="s">
        <v>54</v>
      </c>
    </row>
    <row r="963" spans="1:16" ht="30" customHeight="1" x14ac:dyDescent="0.3">
      <c r="A963" s="7">
        <v>45677</v>
      </c>
      <c r="B963" s="6" t="s">
        <v>5</v>
      </c>
      <c r="C963" s="6" t="str">
        <f>VLOOKUP(B961,'Veri doğrulama'!D6:E13,2,0)</f>
        <v>MEHMET YAZICI</v>
      </c>
      <c r="D963" s="6"/>
      <c r="E963" s="6" t="s">
        <v>304</v>
      </c>
      <c r="F963" s="6" t="s">
        <v>13</v>
      </c>
      <c r="G963" s="6" t="s">
        <v>34</v>
      </c>
      <c r="H963" s="6">
        <v>680</v>
      </c>
      <c r="I963" s="6">
        <v>450</v>
      </c>
      <c r="J963" s="6">
        <v>2</v>
      </c>
      <c r="K963" s="10">
        <f t="shared" si="32"/>
        <v>1.68</v>
      </c>
      <c r="L963" s="6" t="s">
        <v>102</v>
      </c>
      <c r="M963" s="6" t="s">
        <v>195</v>
      </c>
      <c r="N963" s="6" t="s">
        <v>54</v>
      </c>
      <c r="O963" s="6" t="s">
        <v>54</v>
      </c>
      <c r="P963" s="6"/>
    </row>
    <row r="964" spans="1:16" ht="30" customHeight="1" x14ac:dyDescent="0.3">
      <c r="A964" s="7">
        <v>45677</v>
      </c>
      <c r="B964" s="6" t="s">
        <v>4</v>
      </c>
      <c r="C964" s="6" t="str">
        <f>VLOOKUP(B962,'Veri doğrulama'!D6:E13,2,0)</f>
        <v>MEHMET YAZICI</v>
      </c>
      <c r="D964" s="6" t="s">
        <v>287</v>
      </c>
      <c r="E964" s="6" t="s">
        <v>264</v>
      </c>
      <c r="F964" s="6" t="s">
        <v>13</v>
      </c>
      <c r="G964" s="6" t="s">
        <v>34</v>
      </c>
      <c r="H964" s="6">
        <v>2200</v>
      </c>
      <c r="I964" s="6">
        <v>445</v>
      </c>
      <c r="J964" s="6">
        <v>1</v>
      </c>
      <c r="K964" s="10">
        <f t="shared" si="32"/>
        <v>0.61199999999999999</v>
      </c>
      <c r="L964" s="6" t="s">
        <v>102</v>
      </c>
      <c r="M964" s="6" t="s">
        <v>179</v>
      </c>
      <c r="N964" s="6" t="s">
        <v>54</v>
      </c>
      <c r="O964" s="6" t="s">
        <v>54</v>
      </c>
      <c r="P964" s="6" t="s">
        <v>54</v>
      </c>
    </row>
    <row r="965" spans="1:16" ht="30" customHeight="1" x14ac:dyDescent="0.3">
      <c r="A965" s="7">
        <v>45677</v>
      </c>
      <c r="B965" s="6" t="s">
        <v>5</v>
      </c>
      <c r="C965" s="6" t="str">
        <f>VLOOKUP(B963,'Veri doğrulama'!D6:E13,2,0)</f>
        <v>MEHMET ÖZEN</v>
      </c>
      <c r="D965" s="6"/>
      <c r="E965" s="6" t="s">
        <v>279</v>
      </c>
      <c r="F965" s="6" t="s">
        <v>26</v>
      </c>
      <c r="G965" s="6" t="s">
        <v>35</v>
      </c>
      <c r="H965" s="6">
        <v>665</v>
      </c>
      <c r="I965" s="6">
        <v>350</v>
      </c>
      <c r="J965" s="6">
        <v>2</v>
      </c>
      <c r="K965" s="10">
        <f t="shared" si="32"/>
        <v>0.97899999999999998</v>
      </c>
      <c r="L965" s="6" t="s">
        <v>38</v>
      </c>
      <c r="M965" s="6" t="s">
        <v>195</v>
      </c>
      <c r="N965" s="6" t="s">
        <v>54</v>
      </c>
      <c r="O965" s="6" t="s">
        <v>54</v>
      </c>
      <c r="P965" s="6"/>
    </row>
    <row r="966" spans="1:16" ht="30" customHeight="1" x14ac:dyDescent="0.3">
      <c r="A966" s="7">
        <v>45677</v>
      </c>
      <c r="B966" s="6" t="s">
        <v>4</v>
      </c>
      <c r="C966" s="6" t="str">
        <f>VLOOKUP(B964,'Veri doğrulama'!D6:E13,2,0)</f>
        <v>MEHMET YAZICI</v>
      </c>
      <c r="D966" s="6"/>
      <c r="E966" s="6" t="s">
        <v>271</v>
      </c>
      <c r="F966" s="6" t="s">
        <v>26</v>
      </c>
      <c r="G966" s="6" t="s">
        <v>34</v>
      </c>
      <c r="H966" s="6">
        <v>900</v>
      </c>
      <c r="I966" s="6">
        <v>600</v>
      </c>
      <c r="J966" s="6">
        <v>1</v>
      </c>
      <c r="K966" s="10">
        <f t="shared" si="32"/>
        <v>0.23275000000000001</v>
      </c>
      <c r="L966" s="6" t="s">
        <v>156</v>
      </c>
      <c r="M966" s="6" t="s">
        <v>159</v>
      </c>
      <c r="N966" s="6" t="s">
        <v>54</v>
      </c>
      <c r="O966" s="6" t="s">
        <v>54</v>
      </c>
      <c r="P966" s="6"/>
    </row>
    <row r="967" spans="1:16" ht="30" customHeight="1" x14ac:dyDescent="0.3">
      <c r="A967" s="7">
        <v>45677</v>
      </c>
      <c r="B967" s="6" t="s">
        <v>5</v>
      </c>
      <c r="C967" s="6" t="str">
        <f>VLOOKUP(B965,'Veri doğrulama'!D6:E13,2,0)</f>
        <v>MEHMET ÖZEN</v>
      </c>
      <c r="D967" s="6"/>
      <c r="E967" s="6" t="s">
        <v>281</v>
      </c>
      <c r="F967" s="6" t="s">
        <v>17</v>
      </c>
      <c r="G967" s="6" t="s">
        <v>34</v>
      </c>
      <c r="H967" s="6">
        <v>1500</v>
      </c>
      <c r="I967" s="6">
        <v>500</v>
      </c>
      <c r="J967" s="6">
        <v>1</v>
      </c>
      <c r="K967" s="10">
        <f t="shared" si="32"/>
        <v>0.54</v>
      </c>
      <c r="L967" s="6" t="s">
        <v>43</v>
      </c>
      <c r="M967" s="6" t="s">
        <v>195</v>
      </c>
      <c r="N967" s="6" t="s">
        <v>54</v>
      </c>
      <c r="O967" s="6" t="s">
        <v>54</v>
      </c>
      <c r="P967" s="6"/>
    </row>
    <row r="968" spans="1:16" ht="30" customHeight="1" x14ac:dyDescent="0.3">
      <c r="A968" s="7">
        <v>45677</v>
      </c>
      <c r="B968" s="6" t="s">
        <v>4</v>
      </c>
      <c r="C968" s="6" t="str">
        <f>VLOOKUP(B966,'Veri doğrulama'!D6:E13,2,0)</f>
        <v>MEHMET YAZICI</v>
      </c>
      <c r="D968" s="6">
        <v>21161</v>
      </c>
      <c r="E968" s="6" t="s">
        <v>220</v>
      </c>
      <c r="F968" s="6" t="s">
        <v>17</v>
      </c>
      <c r="G968" s="6" t="s">
        <v>34</v>
      </c>
      <c r="H968" s="6">
        <v>320</v>
      </c>
      <c r="I968" s="6">
        <v>900</v>
      </c>
      <c r="J968" s="6">
        <v>1</v>
      </c>
      <c r="K968" s="10">
        <f t="shared" si="32"/>
        <v>0.75</v>
      </c>
      <c r="L968" s="6" t="s">
        <v>103</v>
      </c>
      <c r="M968" s="6" t="s">
        <v>185</v>
      </c>
      <c r="N968" s="6" t="s">
        <v>54</v>
      </c>
      <c r="O968" s="6" t="s">
        <v>54</v>
      </c>
      <c r="P968" s="6"/>
    </row>
    <row r="969" spans="1:16" ht="30" customHeight="1" x14ac:dyDescent="0.3">
      <c r="A969" s="7">
        <v>45677</v>
      </c>
      <c r="B969" s="6" t="s">
        <v>5</v>
      </c>
      <c r="C969" s="6" t="str">
        <f>VLOOKUP(B967,'Veri doğrulama'!D6:E13,2,0)</f>
        <v>MEHMET ÖZEN</v>
      </c>
      <c r="D969" s="6"/>
      <c r="E969" s="6" t="s">
        <v>106</v>
      </c>
      <c r="F969" s="6" t="s">
        <v>16</v>
      </c>
      <c r="G969" s="6" t="s">
        <v>34</v>
      </c>
      <c r="H969" s="6">
        <v>698</v>
      </c>
      <c r="I969" s="6">
        <v>430</v>
      </c>
      <c r="J969" s="6">
        <v>1</v>
      </c>
      <c r="K969" s="10">
        <f t="shared" si="32"/>
        <v>0.57599999999999996</v>
      </c>
      <c r="L969" s="6" t="s">
        <v>103</v>
      </c>
      <c r="M969" s="6"/>
      <c r="N969" s="6" t="s">
        <v>54</v>
      </c>
      <c r="O969" s="6" t="s">
        <v>54</v>
      </c>
      <c r="P969" s="6" t="s">
        <v>54</v>
      </c>
    </row>
    <row r="970" spans="1:16" ht="30" customHeight="1" x14ac:dyDescent="0.3">
      <c r="A970" s="7">
        <v>45677</v>
      </c>
      <c r="B970" s="6" t="s">
        <v>4</v>
      </c>
      <c r="C970" s="6" t="str">
        <f>VLOOKUP(B968,'Veri doğrulama'!D6:E13,2,0)</f>
        <v>MEHMET YAZICI</v>
      </c>
      <c r="D970" s="6" t="s">
        <v>263</v>
      </c>
      <c r="E970" s="6" t="s">
        <v>74</v>
      </c>
      <c r="F970" s="6" t="s">
        <v>18</v>
      </c>
      <c r="G970" s="6" t="s">
        <v>34</v>
      </c>
      <c r="H970" s="6">
        <v>2370</v>
      </c>
      <c r="I970" s="6">
        <v>400</v>
      </c>
      <c r="J970" s="6">
        <v>2</v>
      </c>
      <c r="K970" s="10">
        <f t="shared" si="32"/>
        <v>0.60028000000000004</v>
      </c>
      <c r="L970" s="6" t="s">
        <v>102</v>
      </c>
      <c r="M970" s="6" t="s">
        <v>185</v>
      </c>
      <c r="N970" s="6" t="s">
        <v>54</v>
      </c>
      <c r="O970" s="6" t="s">
        <v>54</v>
      </c>
      <c r="P970" s="6"/>
    </row>
    <row r="971" spans="1:16" ht="30" customHeight="1" x14ac:dyDescent="0.3">
      <c r="A971" s="7">
        <v>45674</v>
      </c>
      <c r="B971" s="6" t="s">
        <v>5</v>
      </c>
      <c r="C971" s="6" t="str">
        <f>VLOOKUP(B969,'Veri doğrulama'!D6:E13,2,0)</f>
        <v>MEHMET ÖZEN</v>
      </c>
      <c r="D971" s="6" t="s">
        <v>263</v>
      </c>
      <c r="E971" s="6" t="s">
        <v>275</v>
      </c>
      <c r="F971" s="6" t="s">
        <v>15</v>
      </c>
      <c r="G971" s="6" t="s">
        <v>35</v>
      </c>
      <c r="H971" s="6">
        <v>1600</v>
      </c>
      <c r="I971" s="6">
        <v>800</v>
      </c>
      <c r="J971" s="6">
        <v>2</v>
      </c>
      <c r="K971" s="10">
        <f t="shared" si="32"/>
        <v>0.94799999999999995</v>
      </c>
      <c r="L971" s="6" t="s">
        <v>43</v>
      </c>
      <c r="M971" s="6" t="s">
        <v>195</v>
      </c>
      <c r="N971" s="6" t="s">
        <v>54</v>
      </c>
      <c r="O971" s="6" t="s">
        <v>54</v>
      </c>
      <c r="P971" s="6" t="s">
        <v>54</v>
      </c>
    </row>
    <row r="972" spans="1:16" ht="30" customHeight="1" x14ac:dyDescent="0.3">
      <c r="A972" s="7">
        <v>45674</v>
      </c>
      <c r="B972" s="6" t="s">
        <v>4</v>
      </c>
      <c r="C972" s="6" t="str">
        <f>VLOOKUP(B970,'Veri doğrulama'!D6:E13,2,0)</f>
        <v>MEHMET YAZICI</v>
      </c>
      <c r="D972" s="6" t="s">
        <v>272</v>
      </c>
      <c r="E972" s="6" t="s">
        <v>264</v>
      </c>
      <c r="F972" s="6" t="s">
        <v>13</v>
      </c>
      <c r="G972" s="6" t="s">
        <v>34</v>
      </c>
      <c r="H972" s="6">
        <v>2200</v>
      </c>
      <c r="I972" s="6">
        <v>445</v>
      </c>
      <c r="J972" s="6">
        <v>1</v>
      </c>
      <c r="K972" s="10">
        <f t="shared" si="32"/>
        <v>1.28</v>
      </c>
      <c r="L972" s="6" t="s">
        <v>156</v>
      </c>
      <c r="M972" s="6" t="s">
        <v>179</v>
      </c>
      <c r="N972" s="6" t="s">
        <v>54</v>
      </c>
      <c r="O972" s="6" t="s">
        <v>54</v>
      </c>
      <c r="P972" s="6" t="s">
        <v>54</v>
      </c>
    </row>
    <row r="973" spans="1:16" ht="30" customHeight="1" x14ac:dyDescent="0.3">
      <c r="A973" s="7">
        <v>45674</v>
      </c>
      <c r="B973" s="6" t="s">
        <v>4</v>
      </c>
      <c r="C973" s="6" t="str">
        <f>VLOOKUP(B971,'Veri doğrulama'!D6:E13,2,0)</f>
        <v>MEHMET ÖZEN</v>
      </c>
      <c r="D973" s="6" t="s">
        <v>278</v>
      </c>
      <c r="E973" s="6" t="s">
        <v>262</v>
      </c>
      <c r="F973" s="6" t="s">
        <v>17</v>
      </c>
      <c r="G973" s="6" t="s">
        <v>35</v>
      </c>
      <c r="H973" s="6">
        <v>518</v>
      </c>
      <c r="I973" s="6">
        <v>397</v>
      </c>
      <c r="J973" s="6">
        <v>1</v>
      </c>
      <c r="K973" s="10">
        <f t="shared" si="32"/>
        <v>0.97899999999999998</v>
      </c>
      <c r="L973" s="6" t="s">
        <v>42</v>
      </c>
      <c r="M973" s="6" t="s">
        <v>185</v>
      </c>
      <c r="N973" s="6" t="s">
        <v>54</v>
      </c>
      <c r="O973" s="6" t="s">
        <v>54</v>
      </c>
      <c r="P973" s="6"/>
    </row>
    <row r="974" spans="1:16" ht="30" customHeight="1" x14ac:dyDescent="0.3">
      <c r="A974" s="7">
        <v>45674</v>
      </c>
      <c r="B974" s="6" t="s">
        <v>4</v>
      </c>
      <c r="C974" s="6" t="str">
        <f>VLOOKUP(B972,'Veri doğrulama'!D6:E13,2,0)</f>
        <v>MEHMET YAZICI</v>
      </c>
      <c r="D974" s="6"/>
      <c r="E974" s="6" t="s">
        <v>129</v>
      </c>
      <c r="F974" s="6" t="s">
        <v>17</v>
      </c>
      <c r="G974" s="6" t="s">
        <v>34</v>
      </c>
      <c r="H974" s="6">
        <v>1400</v>
      </c>
      <c r="I974" s="6">
        <v>800</v>
      </c>
      <c r="J974" s="6">
        <v>1</v>
      </c>
      <c r="K974" s="10">
        <f t="shared" si="32"/>
        <v>0.205646</v>
      </c>
      <c r="L974" s="6" t="s">
        <v>103</v>
      </c>
      <c r="M974" s="6" t="s">
        <v>185</v>
      </c>
      <c r="N974" s="6" t="s">
        <v>54</v>
      </c>
      <c r="O974" s="6" t="s">
        <v>54</v>
      </c>
      <c r="P974" s="6" t="s">
        <v>54</v>
      </c>
    </row>
    <row r="975" spans="1:16" ht="30" customHeight="1" x14ac:dyDescent="0.3">
      <c r="A975" s="7">
        <v>45674</v>
      </c>
      <c r="B975" s="6" t="s">
        <v>4</v>
      </c>
      <c r="C975" s="6" t="str">
        <f>VLOOKUP(B973,'Veri doğrulama'!D6:E13,2,0)</f>
        <v>MEHMET YAZICI</v>
      </c>
      <c r="D975" s="6"/>
      <c r="E975" s="6" t="s">
        <v>267</v>
      </c>
      <c r="F975" s="6" t="s">
        <v>19</v>
      </c>
      <c r="G975" s="6" t="s">
        <v>34</v>
      </c>
      <c r="H975" s="6">
        <v>1200</v>
      </c>
      <c r="I975" s="6">
        <v>500</v>
      </c>
      <c r="J975" s="6">
        <v>1</v>
      </c>
      <c r="K975" s="10">
        <f t="shared" si="32"/>
        <v>1.1200000000000001</v>
      </c>
      <c r="L975" s="6" t="s">
        <v>103</v>
      </c>
      <c r="M975" s="6" t="s">
        <v>179</v>
      </c>
      <c r="N975" s="6" t="s">
        <v>54</v>
      </c>
      <c r="O975" s="6" t="s">
        <v>54</v>
      </c>
      <c r="P975" s="6" t="s">
        <v>54</v>
      </c>
    </row>
    <row r="976" spans="1:16" ht="30" customHeight="1" x14ac:dyDescent="0.3">
      <c r="A976" s="7">
        <v>45674</v>
      </c>
      <c r="B976" s="6" t="s">
        <v>4</v>
      </c>
      <c r="C976" s="6" t="str">
        <f>VLOOKUP(B974,'Veri doğrulama'!D6:E13,2,0)</f>
        <v>MEHMET YAZICI</v>
      </c>
      <c r="D976" s="6"/>
      <c r="E976" s="6" t="s">
        <v>251</v>
      </c>
      <c r="F976" s="6" t="s">
        <v>19</v>
      </c>
      <c r="G976" s="6" t="s">
        <v>34</v>
      </c>
      <c r="H976" s="6">
        <v>1200</v>
      </c>
      <c r="I976" s="6">
        <v>500</v>
      </c>
      <c r="J976" s="6">
        <v>1</v>
      </c>
      <c r="K976" s="10">
        <f t="shared" si="32"/>
        <v>0.6</v>
      </c>
      <c r="L976" s="6" t="s">
        <v>75</v>
      </c>
      <c r="M976" s="6" t="s">
        <v>179</v>
      </c>
      <c r="N976" s="6" t="s">
        <v>54</v>
      </c>
      <c r="O976" s="6" t="s">
        <v>54</v>
      </c>
      <c r="P976" s="6" t="s">
        <v>54</v>
      </c>
    </row>
    <row r="977" spans="1:16" ht="30" customHeight="1" x14ac:dyDescent="0.3">
      <c r="A977" s="7">
        <v>45673</v>
      </c>
      <c r="B977" s="6" t="s">
        <v>4</v>
      </c>
      <c r="C977" s="6" t="str">
        <f>VLOOKUP(B975,'Veri doğrulama'!D6:E13,2,0)</f>
        <v>MEHMET YAZICI</v>
      </c>
      <c r="D977" s="6" t="s">
        <v>268</v>
      </c>
      <c r="E977" s="6" t="s">
        <v>124</v>
      </c>
      <c r="F977" s="6" t="s">
        <v>16</v>
      </c>
      <c r="G977" s="6" t="s">
        <v>34</v>
      </c>
      <c r="H977" s="6">
        <v>684</v>
      </c>
      <c r="I977" s="6">
        <v>350</v>
      </c>
      <c r="J977" s="6">
        <v>1</v>
      </c>
      <c r="K977" s="10">
        <f t="shared" si="32"/>
        <v>0.6</v>
      </c>
      <c r="L977" s="6" t="s">
        <v>43</v>
      </c>
      <c r="M977" s="6" t="s">
        <v>185</v>
      </c>
      <c r="N977" s="6" t="s">
        <v>54</v>
      </c>
      <c r="O977" s="6" t="s">
        <v>54</v>
      </c>
      <c r="P977" s="6"/>
    </row>
    <row r="978" spans="1:16" ht="30" customHeight="1" x14ac:dyDescent="0.3">
      <c r="A978" s="7">
        <v>45673</v>
      </c>
      <c r="B978" s="6" t="s">
        <v>4</v>
      </c>
      <c r="C978" s="6" t="str">
        <f>VLOOKUP(B976,'Veri doğrulama'!D6:E13,2,0)</f>
        <v>MEHMET YAZICI</v>
      </c>
      <c r="D978" s="6"/>
      <c r="E978" s="6" t="s">
        <v>250</v>
      </c>
      <c r="F978" s="6" t="s">
        <v>16</v>
      </c>
      <c r="G978" s="6" t="s">
        <v>34</v>
      </c>
      <c r="H978" s="6">
        <v>1800</v>
      </c>
      <c r="I978" s="6">
        <v>390</v>
      </c>
      <c r="J978" s="6">
        <v>1</v>
      </c>
      <c r="K978" s="10">
        <f t="shared" si="32"/>
        <v>0.2394</v>
      </c>
      <c r="L978" s="6" t="s">
        <v>156</v>
      </c>
      <c r="M978" s="6" t="s">
        <v>179</v>
      </c>
      <c r="N978" s="6" t="s">
        <v>54</v>
      </c>
      <c r="O978" s="6" t="s">
        <v>54</v>
      </c>
      <c r="P978" s="6" t="s">
        <v>54</v>
      </c>
    </row>
    <row r="979" spans="1:16" ht="30" customHeight="1" x14ac:dyDescent="0.3">
      <c r="A979" s="7">
        <v>45673</v>
      </c>
      <c r="B979" s="6" t="s">
        <v>5</v>
      </c>
      <c r="C979" s="6" t="str">
        <f>VLOOKUP(B977,'Veri doğrulama'!D6:E13,2,0)</f>
        <v>MEHMET YAZICI</v>
      </c>
      <c r="D979" s="6" t="s">
        <v>258</v>
      </c>
      <c r="E979" s="6" t="s">
        <v>274</v>
      </c>
      <c r="F979" s="6" t="s">
        <v>146</v>
      </c>
      <c r="G979" s="6" t="s">
        <v>34</v>
      </c>
      <c r="H979" s="6">
        <v>1810</v>
      </c>
      <c r="I979" s="6">
        <v>1010</v>
      </c>
      <c r="J979" s="6">
        <v>1</v>
      </c>
      <c r="K979" s="10">
        <f t="shared" si="32"/>
        <v>0.70199999999999996</v>
      </c>
      <c r="L979" s="6" t="s">
        <v>156</v>
      </c>
      <c r="M979" s="6" t="s">
        <v>310</v>
      </c>
      <c r="N979" s="6" t="s">
        <v>54</v>
      </c>
      <c r="O979" s="6" t="s">
        <v>54</v>
      </c>
      <c r="P979" s="6"/>
    </row>
    <row r="980" spans="1:16" ht="30" customHeight="1" x14ac:dyDescent="0.3">
      <c r="A980" s="7">
        <v>45673</v>
      </c>
      <c r="B980" s="6" t="s">
        <v>5</v>
      </c>
      <c r="C980" s="6" t="str">
        <f>VLOOKUP(B978,'Veri doğrulama'!D6:E13,2,0)</f>
        <v>MEHMET YAZICI</v>
      </c>
      <c r="D980" s="6"/>
      <c r="E980" s="6" t="s">
        <v>96</v>
      </c>
      <c r="F980" s="6" t="s">
        <v>18</v>
      </c>
      <c r="G980" s="6" t="s">
        <v>34</v>
      </c>
      <c r="H980" s="6">
        <v>1400</v>
      </c>
      <c r="I980" s="6">
        <v>800</v>
      </c>
      <c r="J980" s="6">
        <v>1</v>
      </c>
      <c r="K980" s="10">
        <f t="shared" si="32"/>
        <v>1.8281000000000001</v>
      </c>
      <c r="L980" s="6" t="s">
        <v>103</v>
      </c>
      <c r="M980" s="6" t="s">
        <v>318</v>
      </c>
      <c r="N980" s="6" t="s">
        <v>54</v>
      </c>
      <c r="O980" s="6" t="s">
        <v>54</v>
      </c>
      <c r="P980" s="6" t="s">
        <v>54</v>
      </c>
    </row>
    <row r="981" spans="1:16" ht="30" customHeight="1" x14ac:dyDescent="0.3">
      <c r="A981" s="7">
        <v>45673</v>
      </c>
      <c r="B981" s="6" t="s">
        <v>5</v>
      </c>
      <c r="C981" s="6" t="str">
        <f>VLOOKUP(B979,'Veri doğrulama'!D6:E13,2,0)</f>
        <v>MEHMET ÖZEN</v>
      </c>
      <c r="D981" s="6" t="s">
        <v>276</v>
      </c>
      <c r="E981" s="6" t="s">
        <v>254</v>
      </c>
      <c r="F981" s="6" t="s">
        <v>18</v>
      </c>
      <c r="G981" s="6" t="s">
        <v>34</v>
      </c>
      <c r="H981" s="6">
        <v>2000</v>
      </c>
      <c r="I981" s="6">
        <v>1100</v>
      </c>
      <c r="J981" s="6">
        <v>1</v>
      </c>
      <c r="K981" s="10">
        <f t="shared" si="32"/>
        <v>1.1200000000000001</v>
      </c>
      <c r="L981" s="6" t="s">
        <v>42</v>
      </c>
      <c r="M981" s="6"/>
      <c r="N981" s="6" t="s">
        <v>54</v>
      </c>
      <c r="O981" s="6"/>
      <c r="P981" s="6"/>
    </row>
    <row r="982" spans="1:16" ht="30" customHeight="1" x14ac:dyDescent="0.3">
      <c r="A982" s="7">
        <v>45673</v>
      </c>
      <c r="B982" s="6" t="s">
        <v>4</v>
      </c>
      <c r="C982" s="6" t="str">
        <f>VLOOKUP(B980,'Veri doğrulama'!D6:E13,2,0)</f>
        <v>MEHMET ÖZEN</v>
      </c>
      <c r="D982" s="6"/>
      <c r="E982" s="6" t="s">
        <v>245</v>
      </c>
      <c r="F982" s="6" t="s">
        <v>18</v>
      </c>
      <c r="G982" s="6" t="s">
        <v>34</v>
      </c>
      <c r="H982" s="6">
        <v>407</v>
      </c>
      <c r="I982" s="6">
        <v>540</v>
      </c>
      <c r="J982" s="6">
        <v>1</v>
      </c>
      <c r="K982" s="10">
        <f t="shared" si="32"/>
        <v>2.2000000000000002</v>
      </c>
      <c r="L982" s="6" t="s">
        <v>102</v>
      </c>
      <c r="M982" s="6" t="s">
        <v>179</v>
      </c>
      <c r="N982" s="6" t="s">
        <v>54</v>
      </c>
      <c r="O982" s="6" t="s">
        <v>54</v>
      </c>
      <c r="P982" s="6" t="s">
        <v>54</v>
      </c>
    </row>
    <row r="983" spans="1:16" ht="30" customHeight="1" x14ac:dyDescent="0.3">
      <c r="A983" s="7">
        <v>45673</v>
      </c>
      <c r="B983" s="6" t="s">
        <v>7</v>
      </c>
      <c r="C983" s="6" t="str">
        <f>VLOOKUP(B981,'Veri doğrulama'!D6:E13,2,0)</f>
        <v>MEHMET ÖZEN</v>
      </c>
      <c r="D983" s="6" t="s">
        <v>249</v>
      </c>
      <c r="E983" s="6" t="s">
        <v>243</v>
      </c>
      <c r="F983" s="6" t="s">
        <v>18</v>
      </c>
      <c r="G983" s="6" t="s">
        <v>34</v>
      </c>
      <c r="H983" s="6">
        <v>1400</v>
      </c>
      <c r="I983" s="6">
        <v>800</v>
      </c>
      <c r="J983" s="6">
        <v>1</v>
      </c>
      <c r="K983" s="10">
        <f t="shared" si="32"/>
        <v>0.21978</v>
      </c>
      <c r="L983" s="6" t="s">
        <v>252</v>
      </c>
      <c r="M983" s="6"/>
      <c r="N983" s="6" t="s">
        <v>54</v>
      </c>
      <c r="O983" s="6" t="s">
        <v>54</v>
      </c>
      <c r="P983" s="6"/>
    </row>
    <row r="984" spans="1:16" ht="30" customHeight="1" x14ac:dyDescent="0.3">
      <c r="A984" s="7">
        <v>45673</v>
      </c>
      <c r="B984" s="6" t="s">
        <v>4</v>
      </c>
      <c r="C984" s="6" t="str">
        <f>VLOOKUP(B982,'Veri doğrulama'!D6:E13,2,0)</f>
        <v>MEHMET YAZICI</v>
      </c>
      <c r="D984" s="6"/>
      <c r="E984" s="6" t="s">
        <v>201</v>
      </c>
      <c r="F984" s="6" t="s">
        <v>15</v>
      </c>
      <c r="G984" s="6" t="s">
        <v>34</v>
      </c>
      <c r="H984" s="6">
        <v>1800</v>
      </c>
      <c r="I984" s="6">
        <v>360</v>
      </c>
      <c r="J984" s="6">
        <v>1</v>
      </c>
      <c r="K984" s="10">
        <f t="shared" si="32"/>
        <v>1.1200000000000001</v>
      </c>
      <c r="L984" s="6" t="s">
        <v>103</v>
      </c>
      <c r="M984" s="6" t="s">
        <v>179</v>
      </c>
      <c r="N984" s="6" t="s">
        <v>54</v>
      </c>
      <c r="O984" s="6" t="s">
        <v>54</v>
      </c>
      <c r="P984" s="6"/>
    </row>
    <row r="985" spans="1:16" ht="30" customHeight="1" x14ac:dyDescent="0.3">
      <c r="A985" s="7">
        <v>45673</v>
      </c>
      <c r="B985" s="6" t="s">
        <v>4</v>
      </c>
      <c r="C985" s="6" t="str">
        <f>VLOOKUP(B983,'Veri doğrulama'!D6:E13,2,0)</f>
        <v>SIDDIK KAPLAN</v>
      </c>
      <c r="D985" s="6"/>
      <c r="E985" s="6" t="s">
        <v>725</v>
      </c>
      <c r="F985" s="6" t="s">
        <v>30</v>
      </c>
      <c r="G985" s="6" t="s">
        <v>34</v>
      </c>
      <c r="H985" s="6">
        <v>1800</v>
      </c>
      <c r="I985" s="6">
        <v>800</v>
      </c>
      <c r="J985" s="6">
        <v>1</v>
      </c>
      <c r="K985" s="10">
        <f t="shared" si="32"/>
        <v>0.64800000000000002</v>
      </c>
      <c r="L985" s="6" t="s">
        <v>43</v>
      </c>
      <c r="M985" s="6" t="s">
        <v>632</v>
      </c>
      <c r="N985" s="6" t="s">
        <v>54</v>
      </c>
      <c r="O985" s="6" t="s">
        <v>54</v>
      </c>
      <c r="P985" s="6" t="s">
        <v>54</v>
      </c>
    </row>
    <row r="986" spans="1:16" ht="30" customHeight="1" x14ac:dyDescent="0.3">
      <c r="A986" s="7">
        <v>45673</v>
      </c>
      <c r="B986" s="6" t="s">
        <v>4</v>
      </c>
      <c r="C986" s="6" t="str">
        <f>VLOOKUP(B984,'Veri doğrulama'!D6:E13,2,0)</f>
        <v>MEHMET YAZICI</v>
      </c>
      <c r="D986" s="6"/>
      <c r="E986" s="6" t="s">
        <v>347</v>
      </c>
      <c r="F986" s="6" t="s">
        <v>27</v>
      </c>
      <c r="G986" s="6" t="s">
        <v>34</v>
      </c>
      <c r="H986" s="6">
        <v>557</v>
      </c>
      <c r="I986" s="6">
        <v>247</v>
      </c>
      <c r="J986" s="6">
        <v>1</v>
      </c>
      <c r="K986" s="10">
        <f t="shared" si="32"/>
        <v>1.44</v>
      </c>
      <c r="L986" s="6" t="s">
        <v>39</v>
      </c>
      <c r="M986" s="6" t="s">
        <v>179</v>
      </c>
      <c r="N986" s="6" t="s">
        <v>54</v>
      </c>
      <c r="O986" s="6" t="s">
        <v>54</v>
      </c>
      <c r="P986" s="6"/>
    </row>
    <row r="987" spans="1:16" ht="30" customHeight="1" x14ac:dyDescent="0.3">
      <c r="A987" s="7">
        <v>45673</v>
      </c>
      <c r="B987" s="6" t="s">
        <v>5</v>
      </c>
      <c r="C987" s="6" t="str">
        <f>VLOOKUP(B985,'Veri doğrulama'!D6:E13,2,0)</f>
        <v>MEHMET YAZICI</v>
      </c>
      <c r="D987" s="6"/>
      <c r="E987" s="6" t="s">
        <v>248</v>
      </c>
      <c r="F987" s="6" t="s">
        <v>19</v>
      </c>
      <c r="G987" s="6" t="s">
        <v>34</v>
      </c>
      <c r="H987" s="6">
        <v>1800</v>
      </c>
      <c r="I987" s="6">
        <v>800</v>
      </c>
      <c r="J987" s="6">
        <v>1</v>
      </c>
      <c r="K987" s="10">
        <f t="shared" si="32"/>
        <v>0.13757900000000001</v>
      </c>
      <c r="L987" s="6" t="s">
        <v>103</v>
      </c>
      <c r="M987" s="6"/>
      <c r="N987" s="6" t="s">
        <v>54</v>
      </c>
      <c r="O987" s="6" t="s">
        <v>54</v>
      </c>
      <c r="P987" s="6"/>
    </row>
    <row r="988" spans="1:16" ht="30" customHeight="1" x14ac:dyDescent="0.3">
      <c r="A988" s="7">
        <v>45672</v>
      </c>
      <c r="B988" s="6" t="s">
        <v>4</v>
      </c>
      <c r="C988" s="6" t="str">
        <f>VLOOKUP(B986,'Veri doğrulama'!D6:E13,2,0)</f>
        <v>MEHMET YAZICI</v>
      </c>
      <c r="D988" s="6"/>
      <c r="E988" s="6" t="s">
        <v>244</v>
      </c>
      <c r="F988" s="6" t="s">
        <v>16</v>
      </c>
      <c r="G988" s="6" t="s">
        <v>34</v>
      </c>
      <c r="H988" s="6">
        <v>1930</v>
      </c>
      <c r="I988" s="6">
        <v>300</v>
      </c>
      <c r="J988" s="6">
        <v>1</v>
      </c>
      <c r="K988" s="10">
        <f>H987*I987/1000000*J989</f>
        <v>1.44</v>
      </c>
      <c r="L988" s="6" t="s">
        <v>75</v>
      </c>
      <c r="M988" s="6" t="s">
        <v>185</v>
      </c>
      <c r="N988" s="6" t="s">
        <v>54</v>
      </c>
      <c r="O988" s="6" t="s">
        <v>54</v>
      </c>
      <c r="P988" s="6" t="s">
        <v>54</v>
      </c>
    </row>
    <row r="989" spans="1:16" ht="30" customHeight="1" x14ac:dyDescent="0.3">
      <c r="A989" s="7">
        <v>45672</v>
      </c>
      <c r="B989" s="6" t="s">
        <v>5</v>
      </c>
      <c r="C989" s="6" t="str">
        <f>VLOOKUP(B987,'Veri doğrulama'!D6:E13,2,0)</f>
        <v>MEHMET ÖZEN</v>
      </c>
      <c r="D989" s="6"/>
      <c r="E989" s="6" t="s">
        <v>232</v>
      </c>
      <c r="F989" s="6" t="s">
        <v>16</v>
      </c>
      <c r="G989" s="6" t="s">
        <v>34</v>
      </c>
      <c r="H989" s="6">
        <v>2420</v>
      </c>
      <c r="I989" s="6">
        <v>1120</v>
      </c>
      <c r="J989" s="6">
        <v>1</v>
      </c>
      <c r="K989" s="10">
        <f t="shared" ref="K989:K1018" si="33">I988*H988/1000000*J990</f>
        <v>0.57899999999999996</v>
      </c>
      <c r="L989" s="6" t="s">
        <v>43</v>
      </c>
      <c r="M989" s="6" t="s">
        <v>310</v>
      </c>
      <c r="N989" s="6" t="s">
        <v>54</v>
      </c>
      <c r="O989" s="6" t="s">
        <v>54</v>
      </c>
      <c r="P989" s="6" t="s">
        <v>54</v>
      </c>
    </row>
    <row r="990" spans="1:16" ht="30" customHeight="1" x14ac:dyDescent="0.3">
      <c r="A990" s="7">
        <v>45672</v>
      </c>
      <c r="B990" s="6" t="s">
        <v>5</v>
      </c>
      <c r="C990" s="6" t="str">
        <f>VLOOKUP(B988,'Veri doğrulama'!D6:E13,2,0)</f>
        <v>MEHMET YAZICI</v>
      </c>
      <c r="D990" s="6" t="s">
        <v>246</v>
      </c>
      <c r="E990" s="6" t="s">
        <v>107</v>
      </c>
      <c r="F990" s="6" t="s">
        <v>16</v>
      </c>
      <c r="G990" s="6" t="s">
        <v>34</v>
      </c>
      <c r="H990" s="6">
        <v>1800</v>
      </c>
      <c r="I990" s="6">
        <v>390</v>
      </c>
      <c r="J990" s="6">
        <v>1</v>
      </c>
      <c r="K990" s="10">
        <f t="shared" si="33"/>
        <v>2.7103999999999999</v>
      </c>
      <c r="L990" s="6" t="s">
        <v>103</v>
      </c>
      <c r="M990" s="6" t="s">
        <v>318</v>
      </c>
      <c r="N990" s="6" t="s">
        <v>54</v>
      </c>
      <c r="O990" s="6" t="s">
        <v>54</v>
      </c>
      <c r="P990" s="6" t="s">
        <v>54</v>
      </c>
    </row>
    <row r="991" spans="1:16" ht="30" customHeight="1" x14ac:dyDescent="0.3">
      <c r="A991" s="7">
        <v>45672</v>
      </c>
      <c r="B991" s="6" t="s">
        <v>4</v>
      </c>
      <c r="C991" s="6" t="str">
        <f>VLOOKUP(B989,'Veri doğrulama'!D6:E13,2,0)</f>
        <v>MEHMET ÖZEN</v>
      </c>
      <c r="D991" s="6" t="s">
        <v>235</v>
      </c>
      <c r="E991" s="6" t="s">
        <v>149</v>
      </c>
      <c r="F991" s="6" t="s">
        <v>18</v>
      </c>
      <c r="G991" s="6" t="s">
        <v>34</v>
      </c>
      <c r="H991" s="6">
        <v>557</v>
      </c>
      <c r="I991" s="6">
        <v>247</v>
      </c>
      <c r="J991" s="6">
        <v>1</v>
      </c>
      <c r="K991" s="10">
        <f t="shared" si="33"/>
        <v>0.70199999999999996</v>
      </c>
      <c r="L991" s="6" t="s">
        <v>43</v>
      </c>
      <c r="M991" s="6" t="s">
        <v>179</v>
      </c>
      <c r="N991" s="6" t="s">
        <v>54</v>
      </c>
      <c r="O991" s="6" t="s">
        <v>54</v>
      </c>
      <c r="P991" s="6" t="s">
        <v>54</v>
      </c>
    </row>
    <row r="992" spans="1:16" ht="30" customHeight="1" x14ac:dyDescent="0.3">
      <c r="A992" s="7">
        <v>45672</v>
      </c>
      <c r="B992" s="6" t="s">
        <v>5</v>
      </c>
      <c r="C992" s="6" t="str">
        <f>VLOOKUP(B990,'Veri doğrulama'!D6:E13,2,0)</f>
        <v>MEHMET ÖZEN</v>
      </c>
      <c r="D992" s="6" t="s">
        <v>233</v>
      </c>
      <c r="E992" s="6" t="s">
        <v>277</v>
      </c>
      <c r="F992" s="6" t="s">
        <v>28</v>
      </c>
      <c r="G992" s="6" t="s">
        <v>34</v>
      </c>
      <c r="H992" s="6">
        <v>264</v>
      </c>
      <c r="I992" s="6">
        <v>447</v>
      </c>
      <c r="J992" s="6">
        <v>1</v>
      </c>
      <c r="K992" s="10">
        <f t="shared" si="33"/>
        <v>0.13757900000000001</v>
      </c>
      <c r="L992" s="6" t="s">
        <v>42</v>
      </c>
      <c r="M992" s="6" t="s">
        <v>195</v>
      </c>
      <c r="N992" s="6" t="s">
        <v>54</v>
      </c>
      <c r="O992" s="6" t="s">
        <v>54</v>
      </c>
      <c r="P992" s="6"/>
    </row>
    <row r="993" spans="1:16" ht="30" customHeight="1" x14ac:dyDescent="0.3">
      <c r="A993" s="7">
        <v>45672</v>
      </c>
      <c r="B993" s="6" t="s">
        <v>4</v>
      </c>
      <c r="C993" s="6" t="str">
        <f>VLOOKUP(B991,'Veri doğrulama'!D6:E13,2,0)</f>
        <v>MEHMET YAZICI</v>
      </c>
      <c r="D993" s="6"/>
      <c r="E993" s="6" t="s">
        <v>247</v>
      </c>
      <c r="F993" s="6" t="s">
        <v>15</v>
      </c>
      <c r="G993" s="6" t="s">
        <v>34</v>
      </c>
      <c r="H993" s="6">
        <v>1600</v>
      </c>
      <c r="I993" s="6">
        <v>800</v>
      </c>
      <c r="J993" s="6">
        <v>1</v>
      </c>
      <c r="K993" s="10">
        <f t="shared" si="33"/>
        <v>0.118008</v>
      </c>
      <c r="L993" s="6" t="s">
        <v>156</v>
      </c>
      <c r="M993" s="6" t="s">
        <v>179</v>
      </c>
      <c r="N993" s="6" t="s">
        <v>54</v>
      </c>
      <c r="O993" s="6" t="s">
        <v>54</v>
      </c>
      <c r="P993" s="6"/>
    </row>
    <row r="994" spans="1:16" ht="30" customHeight="1" x14ac:dyDescent="0.3">
      <c r="A994" s="7">
        <v>45672</v>
      </c>
      <c r="B994" s="6" t="s">
        <v>4</v>
      </c>
      <c r="C994" s="6" t="str">
        <f>VLOOKUP(B992,'Veri doğrulama'!D6:E13,2,0)</f>
        <v>MEHMET ÖZEN</v>
      </c>
      <c r="D994" s="6"/>
      <c r="E994" s="6" t="s">
        <v>141</v>
      </c>
      <c r="F994" s="6" t="s">
        <v>15</v>
      </c>
      <c r="G994" s="6" t="s">
        <v>34</v>
      </c>
      <c r="H994" s="6">
        <v>1100</v>
      </c>
      <c r="I994" s="6">
        <v>360</v>
      </c>
      <c r="J994" s="6">
        <v>1</v>
      </c>
      <c r="K994" s="10">
        <f t="shared" si="33"/>
        <v>1.28</v>
      </c>
      <c r="L994" s="6" t="s">
        <v>43</v>
      </c>
      <c r="M994" s="6" t="s">
        <v>185</v>
      </c>
      <c r="N994" s="6" t="s">
        <v>54</v>
      </c>
      <c r="O994" s="6" t="s">
        <v>54</v>
      </c>
      <c r="P994" s="6" t="s">
        <v>54</v>
      </c>
    </row>
    <row r="995" spans="1:16" ht="30" customHeight="1" x14ac:dyDescent="0.3">
      <c r="A995" s="7">
        <v>45672</v>
      </c>
      <c r="B995" s="6" t="s">
        <v>4</v>
      </c>
      <c r="C995" s="6" t="str">
        <f>VLOOKUP(B993,'Veri doğrulama'!D6:E13,2,0)</f>
        <v>MEHMET YAZICI</v>
      </c>
      <c r="D995" s="6"/>
      <c r="E995" s="6" t="s">
        <v>269</v>
      </c>
      <c r="F995" s="6" t="s">
        <v>26</v>
      </c>
      <c r="G995" s="6" t="s">
        <v>34</v>
      </c>
      <c r="H995" s="6">
        <v>524</v>
      </c>
      <c r="I995" s="6">
        <v>470</v>
      </c>
      <c r="J995" s="6">
        <v>1</v>
      </c>
      <c r="K995" s="10">
        <f t="shared" si="33"/>
        <v>0.39600000000000002</v>
      </c>
      <c r="L995" s="6" t="s">
        <v>75</v>
      </c>
      <c r="M995" s="6" t="s">
        <v>185</v>
      </c>
      <c r="N995" s="6" t="s">
        <v>54</v>
      </c>
      <c r="O995" s="6" t="s">
        <v>54</v>
      </c>
      <c r="P995" s="6" t="s">
        <v>54</v>
      </c>
    </row>
    <row r="996" spans="1:16" ht="30" customHeight="1" x14ac:dyDescent="0.3">
      <c r="A996" s="7">
        <v>45672</v>
      </c>
      <c r="B996" s="6" t="s">
        <v>4</v>
      </c>
      <c r="C996" s="6" t="str">
        <f>VLOOKUP(B994,'Veri doğrulama'!D6:E13,2,0)</f>
        <v>MEHMET YAZICI</v>
      </c>
      <c r="D996" s="6" t="s">
        <v>238</v>
      </c>
      <c r="E996" s="6" t="s">
        <v>133</v>
      </c>
      <c r="F996" s="6" t="s">
        <v>26</v>
      </c>
      <c r="G996" s="6" t="s">
        <v>34</v>
      </c>
      <c r="H996" s="6">
        <v>435</v>
      </c>
      <c r="I996" s="6">
        <v>449</v>
      </c>
      <c r="J996" s="6">
        <v>1</v>
      </c>
      <c r="K996" s="10">
        <f t="shared" si="33"/>
        <v>0.24628</v>
      </c>
      <c r="L996" s="6" t="s">
        <v>43</v>
      </c>
      <c r="M996" s="6" t="s">
        <v>159</v>
      </c>
      <c r="N996" s="6" t="s">
        <v>54</v>
      </c>
      <c r="O996" s="6" t="s">
        <v>54</v>
      </c>
      <c r="P996" s="6" t="s">
        <v>54</v>
      </c>
    </row>
    <row r="997" spans="1:16" ht="30" customHeight="1" x14ac:dyDescent="0.3">
      <c r="A997" s="7">
        <v>45672</v>
      </c>
      <c r="B997" s="6" t="s">
        <v>4</v>
      </c>
      <c r="C997" s="6" t="str">
        <f>VLOOKUP(B995,'Veri doğrulama'!D6:E13,2,0)</f>
        <v>MEHMET YAZICI</v>
      </c>
      <c r="D997" s="6"/>
      <c r="E997" s="6" t="s">
        <v>256</v>
      </c>
      <c r="F997" s="6" t="s">
        <v>17</v>
      </c>
      <c r="G997" s="6" t="s">
        <v>34</v>
      </c>
      <c r="H997" s="6">
        <v>818</v>
      </c>
      <c r="I997" s="6">
        <v>450</v>
      </c>
      <c r="J997" s="6">
        <v>1</v>
      </c>
      <c r="K997" s="10">
        <f t="shared" si="33"/>
        <v>0.19531499999999999</v>
      </c>
      <c r="L997" s="6" t="s">
        <v>156</v>
      </c>
      <c r="M997" s="6" t="s">
        <v>159</v>
      </c>
      <c r="N997" s="6" t="s">
        <v>54</v>
      </c>
      <c r="O997" s="6" t="s">
        <v>54</v>
      </c>
      <c r="P997" s="6" t="s">
        <v>54</v>
      </c>
    </row>
    <row r="998" spans="1:16" ht="30" customHeight="1" x14ac:dyDescent="0.3">
      <c r="A998" s="7">
        <v>45672</v>
      </c>
      <c r="B998" s="6" t="s">
        <v>4</v>
      </c>
      <c r="C998" s="6" t="str">
        <f>VLOOKUP(B996,'Veri doğrulama'!D6:E13,2,0)</f>
        <v>MEHMET YAZICI</v>
      </c>
      <c r="D998" s="6"/>
      <c r="E998" s="6" t="s">
        <v>234</v>
      </c>
      <c r="F998" s="6" t="s">
        <v>17</v>
      </c>
      <c r="G998" s="6" t="s">
        <v>34</v>
      </c>
      <c r="H998" s="6">
        <v>435</v>
      </c>
      <c r="I998" s="6">
        <v>381</v>
      </c>
      <c r="J998" s="6">
        <v>1</v>
      </c>
      <c r="K998" s="10">
        <f t="shared" si="33"/>
        <v>0.36809999999999998</v>
      </c>
      <c r="L998" s="6" t="s">
        <v>102</v>
      </c>
      <c r="M998" s="6" t="s">
        <v>179</v>
      </c>
      <c r="N998" s="6" t="s">
        <v>54</v>
      </c>
      <c r="O998" s="6" t="s">
        <v>54</v>
      </c>
      <c r="P998" s="6" t="s">
        <v>54</v>
      </c>
    </row>
    <row r="999" spans="1:16" ht="30" customHeight="1" x14ac:dyDescent="0.3">
      <c r="A999" s="7">
        <v>45672</v>
      </c>
      <c r="B999" s="6" t="s">
        <v>7</v>
      </c>
      <c r="C999" s="6" t="str">
        <f>VLOOKUP(B997,'Veri doğrulama'!D6:E13,2,0)</f>
        <v>MEHMET YAZICI</v>
      </c>
      <c r="D999" s="6" t="s">
        <v>257</v>
      </c>
      <c r="E999" s="6" t="s">
        <v>230</v>
      </c>
      <c r="F999" s="6" t="s">
        <v>16</v>
      </c>
      <c r="G999" s="6" t="s">
        <v>34</v>
      </c>
      <c r="H999" s="6">
        <v>2600</v>
      </c>
      <c r="I999" s="6">
        <v>600</v>
      </c>
      <c r="J999" s="6">
        <v>1</v>
      </c>
      <c r="K999" s="10">
        <f t="shared" si="33"/>
        <v>0.16573499999999999</v>
      </c>
      <c r="L999" s="6" t="s">
        <v>75</v>
      </c>
      <c r="M999" s="6" t="s">
        <v>231</v>
      </c>
      <c r="N999" s="6" t="s">
        <v>54</v>
      </c>
      <c r="O999" s="6" t="s">
        <v>54</v>
      </c>
      <c r="P999" s="6" t="s">
        <v>54</v>
      </c>
    </row>
    <row r="1000" spans="1:16" ht="30" customHeight="1" x14ac:dyDescent="0.3">
      <c r="A1000" s="7">
        <v>45672</v>
      </c>
      <c r="B1000" s="6" t="s">
        <v>4</v>
      </c>
      <c r="C1000" s="6" t="str">
        <f>VLOOKUP(B998,'Veri doğrulama'!D6:E13,2,0)</f>
        <v>MEHMET YAZICI</v>
      </c>
      <c r="D1000" s="6" t="s">
        <v>236</v>
      </c>
      <c r="E1000" s="6" t="s">
        <v>239</v>
      </c>
      <c r="F1000" s="6" t="s">
        <v>18</v>
      </c>
      <c r="G1000" s="6" t="s">
        <v>34</v>
      </c>
      <c r="H1000" s="6">
        <v>1148</v>
      </c>
      <c r="I1000" s="6">
        <v>557</v>
      </c>
      <c r="J1000" s="6">
        <v>1</v>
      </c>
      <c r="K1000" s="10">
        <f t="shared" si="33"/>
        <v>1.56</v>
      </c>
      <c r="L1000" s="6" t="s">
        <v>43</v>
      </c>
      <c r="M1000" s="6" t="s">
        <v>185</v>
      </c>
      <c r="N1000" s="6" t="s">
        <v>54</v>
      </c>
      <c r="O1000" s="6" t="s">
        <v>54</v>
      </c>
      <c r="P1000" s="6" t="s">
        <v>54</v>
      </c>
    </row>
    <row r="1001" spans="1:16" ht="30" customHeight="1" x14ac:dyDescent="0.3">
      <c r="A1001" s="7">
        <v>45671</v>
      </c>
      <c r="B1001" s="6" t="s">
        <v>5</v>
      </c>
      <c r="C1001" s="6" t="str">
        <f>VLOOKUP(B999,'Veri doğrulama'!D6:E13,2,0)</f>
        <v>SIDDIK KAPLAN</v>
      </c>
      <c r="D1001" s="6"/>
      <c r="E1001" s="6" t="s">
        <v>227</v>
      </c>
      <c r="F1001" s="6" t="s">
        <v>18</v>
      </c>
      <c r="G1001" s="6" t="s">
        <v>34</v>
      </c>
      <c r="H1001" s="6">
        <v>2050</v>
      </c>
      <c r="I1001" s="6">
        <v>520</v>
      </c>
      <c r="J1001" s="6">
        <v>1</v>
      </c>
      <c r="K1001" s="10">
        <f t="shared" si="33"/>
        <v>0.639436</v>
      </c>
      <c r="L1001" s="6" t="s">
        <v>43</v>
      </c>
      <c r="M1001" s="6"/>
      <c r="N1001" s="6" t="s">
        <v>54</v>
      </c>
      <c r="O1001" s="6" t="s">
        <v>54</v>
      </c>
      <c r="P1001" s="6"/>
    </row>
    <row r="1002" spans="1:16" ht="30" customHeight="1" x14ac:dyDescent="0.3">
      <c r="A1002" s="7">
        <v>45671</v>
      </c>
      <c r="B1002" s="6" t="s">
        <v>5</v>
      </c>
      <c r="C1002" s="6" t="str">
        <f>VLOOKUP(B1000,'Veri doğrulama'!D6:E13,2,0)</f>
        <v>MEHMET YAZICI</v>
      </c>
      <c r="D1002" s="6"/>
      <c r="E1002" s="6" t="s">
        <v>240</v>
      </c>
      <c r="F1002" s="6" t="s">
        <v>28</v>
      </c>
      <c r="G1002" s="6" t="s">
        <v>34</v>
      </c>
      <c r="H1002" s="6">
        <v>1596</v>
      </c>
      <c r="I1002" s="6">
        <v>564</v>
      </c>
      <c r="J1002" s="6">
        <v>1</v>
      </c>
      <c r="K1002" s="10">
        <f t="shared" si="33"/>
        <v>1.0660000000000001</v>
      </c>
      <c r="L1002" s="6" t="s">
        <v>103</v>
      </c>
      <c r="M1002" s="6"/>
      <c r="N1002" s="6" t="s">
        <v>54</v>
      </c>
      <c r="O1002" s="6" t="s">
        <v>54</v>
      </c>
      <c r="P1002" s="6" t="s">
        <v>54</v>
      </c>
    </row>
    <row r="1003" spans="1:16" ht="30" customHeight="1" x14ac:dyDescent="0.3">
      <c r="A1003" s="7">
        <v>45671</v>
      </c>
      <c r="B1003" s="6" t="s">
        <v>4</v>
      </c>
      <c r="C1003" s="6" t="str">
        <f>VLOOKUP(B1001,'Veri doğrulama'!D6:E13,2,0)</f>
        <v>MEHMET ÖZEN</v>
      </c>
      <c r="D1003" s="6"/>
      <c r="E1003" s="6" t="s">
        <v>314</v>
      </c>
      <c r="F1003" s="6" t="s">
        <v>20</v>
      </c>
      <c r="G1003" s="6" t="s">
        <v>34</v>
      </c>
      <c r="H1003" s="6">
        <v>1800</v>
      </c>
      <c r="I1003" s="6">
        <v>360</v>
      </c>
      <c r="J1003" s="6">
        <v>1</v>
      </c>
      <c r="K1003" s="10">
        <f t="shared" si="33"/>
        <v>0.90014400000000006</v>
      </c>
      <c r="L1003" s="6" t="s">
        <v>43</v>
      </c>
      <c r="M1003" s="6" t="s">
        <v>179</v>
      </c>
      <c r="N1003" s="6" t="s">
        <v>54</v>
      </c>
      <c r="O1003" s="6" t="s">
        <v>54</v>
      </c>
      <c r="P1003" s="6" t="s">
        <v>54</v>
      </c>
    </row>
    <row r="1004" spans="1:16" ht="30" customHeight="1" x14ac:dyDescent="0.3">
      <c r="A1004" s="7">
        <v>45671</v>
      </c>
      <c r="B1004" s="6" t="s">
        <v>4</v>
      </c>
      <c r="C1004" s="6" t="str">
        <f>VLOOKUP(B1002,'Veri doğrulama'!D6:E13,2,0)</f>
        <v>MEHMET ÖZEN</v>
      </c>
      <c r="D1004" s="6" t="s">
        <v>242</v>
      </c>
      <c r="E1004" s="6" t="s">
        <v>237</v>
      </c>
      <c r="F1004" s="6" t="s">
        <v>26</v>
      </c>
      <c r="G1004" s="6" t="s">
        <v>34</v>
      </c>
      <c r="H1004" s="6">
        <v>539</v>
      </c>
      <c r="I1004" s="6">
        <v>406</v>
      </c>
      <c r="J1004" s="6">
        <v>1</v>
      </c>
      <c r="K1004" s="10">
        <f t="shared" si="33"/>
        <v>0.64800000000000002</v>
      </c>
      <c r="L1004" s="6" t="s">
        <v>41</v>
      </c>
      <c r="M1004" s="6" t="s">
        <v>179</v>
      </c>
      <c r="N1004" s="6" t="s">
        <v>54</v>
      </c>
      <c r="O1004" s="6" t="s">
        <v>54</v>
      </c>
      <c r="P1004" s="6"/>
    </row>
    <row r="1005" spans="1:16" ht="30" customHeight="1" x14ac:dyDescent="0.3">
      <c r="A1005" s="7">
        <v>45671</v>
      </c>
      <c r="B1005" s="6" t="s">
        <v>4</v>
      </c>
      <c r="C1005" s="6" t="str">
        <f>VLOOKUP(B1003,'Veri doğrulama'!D6:E13,2,0)</f>
        <v>MEHMET YAZICI</v>
      </c>
      <c r="D1005" s="6"/>
      <c r="E1005" s="6" t="s">
        <v>225</v>
      </c>
      <c r="F1005" s="6" t="s">
        <v>17</v>
      </c>
      <c r="G1005" s="6" t="s">
        <v>34</v>
      </c>
      <c r="H1005" s="6">
        <v>539</v>
      </c>
      <c r="I1005" s="6">
        <v>406</v>
      </c>
      <c r="J1005" s="6">
        <v>1</v>
      </c>
      <c r="K1005" s="10">
        <f t="shared" si="33"/>
        <v>0.218834</v>
      </c>
      <c r="L1005" s="6" t="s">
        <v>103</v>
      </c>
      <c r="M1005" s="6" t="s">
        <v>179</v>
      </c>
      <c r="N1005" s="6" t="s">
        <v>54</v>
      </c>
      <c r="O1005" s="6" t="s">
        <v>54</v>
      </c>
      <c r="P1005" s="6"/>
    </row>
    <row r="1006" spans="1:16" ht="30" customHeight="1" x14ac:dyDescent="0.3">
      <c r="A1006" s="7">
        <v>45671</v>
      </c>
      <c r="B1006" s="6" t="s">
        <v>4</v>
      </c>
      <c r="C1006" s="6" t="str">
        <f>VLOOKUP(B1004,'Veri doğrulama'!D6:E13,2,0)</f>
        <v>MEHMET YAZICI</v>
      </c>
      <c r="D1006" s="6"/>
      <c r="E1006" s="6" t="s">
        <v>225</v>
      </c>
      <c r="F1006" s="6" t="s">
        <v>17</v>
      </c>
      <c r="G1006" s="6" t="s">
        <v>34</v>
      </c>
      <c r="H1006" s="6">
        <v>539</v>
      </c>
      <c r="I1006" s="6">
        <v>406</v>
      </c>
      <c r="J1006" s="6">
        <v>1</v>
      </c>
      <c r="K1006" s="10">
        <f t="shared" si="33"/>
        <v>0.218834</v>
      </c>
      <c r="L1006" s="6" t="s">
        <v>39</v>
      </c>
      <c r="M1006" s="6" t="s">
        <v>179</v>
      </c>
      <c r="N1006" s="6" t="s">
        <v>54</v>
      </c>
      <c r="O1006" s="6" t="s">
        <v>54</v>
      </c>
      <c r="P1006" s="6" t="s">
        <v>54</v>
      </c>
    </row>
    <row r="1007" spans="1:16" ht="30" customHeight="1" x14ac:dyDescent="0.3">
      <c r="A1007" s="7">
        <v>45671</v>
      </c>
      <c r="B1007" s="6" t="s">
        <v>5</v>
      </c>
      <c r="C1007" s="6" t="str">
        <f>VLOOKUP(B1005,'Veri doğrulama'!D6:E13,2,0)</f>
        <v>MEHMET YAZICI</v>
      </c>
      <c r="D1007" s="6"/>
      <c r="E1007" s="6" t="s">
        <v>253</v>
      </c>
      <c r="F1007" s="6" t="s">
        <v>30</v>
      </c>
      <c r="G1007" s="6" t="s">
        <v>34</v>
      </c>
      <c r="H1007" s="6">
        <v>1800</v>
      </c>
      <c r="I1007" s="6">
        <v>800</v>
      </c>
      <c r="J1007" s="6">
        <v>1</v>
      </c>
      <c r="K1007" s="10">
        <f t="shared" si="33"/>
        <v>0.218834</v>
      </c>
      <c r="L1007" s="6" t="s">
        <v>102</v>
      </c>
      <c r="M1007" s="6"/>
      <c r="N1007" s="6" t="s">
        <v>54</v>
      </c>
      <c r="O1007" s="6" t="s">
        <v>54</v>
      </c>
      <c r="P1007" s="6" t="s">
        <v>54</v>
      </c>
    </row>
    <row r="1008" spans="1:16" ht="30" customHeight="1" x14ac:dyDescent="0.3">
      <c r="A1008" s="7">
        <v>45671</v>
      </c>
      <c r="B1008" s="6" t="s">
        <v>5</v>
      </c>
      <c r="C1008" s="6" t="str">
        <f>VLOOKUP(B1006,'Veri doğrulama'!D6:E13,2,0)</f>
        <v>MEHMET YAZICI</v>
      </c>
      <c r="D1008" s="6"/>
      <c r="E1008" s="6" t="s">
        <v>226</v>
      </c>
      <c r="F1008" s="6" t="s">
        <v>30</v>
      </c>
      <c r="G1008" s="6" t="s">
        <v>35</v>
      </c>
      <c r="H1008" s="6">
        <v>2220</v>
      </c>
      <c r="I1008" s="6">
        <v>970</v>
      </c>
      <c r="J1008" s="6">
        <v>1</v>
      </c>
      <c r="K1008" s="10">
        <f t="shared" si="33"/>
        <v>1.44</v>
      </c>
      <c r="L1008" s="6" t="s">
        <v>75</v>
      </c>
      <c r="M1008" s="6"/>
      <c r="N1008" s="6" t="s">
        <v>54</v>
      </c>
      <c r="O1008" s="6" t="s">
        <v>54</v>
      </c>
      <c r="P1008" s="6" t="s">
        <v>54</v>
      </c>
    </row>
    <row r="1009" spans="1:16" ht="30" customHeight="1" x14ac:dyDescent="0.3">
      <c r="A1009" s="7">
        <v>45671</v>
      </c>
      <c r="B1009" s="6" t="s">
        <v>4</v>
      </c>
      <c r="C1009" s="6" t="str">
        <f>VLOOKUP(B1007,'Veri doğrulama'!D6:E13,2,0)</f>
        <v>MEHMET ÖZEN</v>
      </c>
      <c r="D1009" s="6" t="s">
        <v>255</v>
      </c>
      <c r="E1009" s="6" t="s">
        <v>144</v>
      </c>
      <c r="F1009" s="6" t="s">
        <v>19</v>
      </c>
      <c r="G1009" s="6" t="s">
        <v>33</v>
      </c>
      <c r="H1009" s="6">
        <v>1800</v>
      </c>
      <c r="I1009" s="6">
        <v>415</v>
      </c>
      <c r="J1009" s="6">
        <v>1</v>
      </c>
      <c r="K1009" s="10">
        <f t="shared" si="33"/>
        <v>2.1534</v>
      </c>
      <c r="L1009" s="6" t="s">
        <v>103</v>
      </c>
      <c r="M1009" s="6" t="s">
        <v>179</v>
      </c>
      <c r="N1009" s="6" t="s">
        <v>54</v>
      </c>
      <c r="O1009" s="6" t="s">
        <v>54</v>
      </c>
      <c r="P1009" s="6" t="s">
        <v>54</v>
      </c>
    </row>
    <row r="1010" spans="1:16" ht="30" customHeight="1" x14ac:dyDescent="0.3">
      <c r="A1010" s="7">
        <v>45671</v>
      </c>
      <c r="B1010" s="6" t="s">
        <v>7</v>
      </c>
      <c r="C1010" s="6" t="str">
        <f>VLOOKUP(B1008,'Veri doğrulama'!D6:E13,2,0)</f>
        <v>MEHMET ÖZEN</v>
      </c>
      <c r="D1010" s="6"/>
      <c r="E1010" s="6" t="s">
        <v>216</v>
      </c>
      <c r="F1010" s="6" t="s">
        <v>19</v>
      </c>
      <c r="G1010" s="6" t="s">
        <v>34</v>
      </c>
      <c r="H1010" s="6">
        <v>1800</v>
      </c>
      <c r="I1010" s="6">
        <v>415</v>
      </c>
      <c r="J1010" s="6">
        <v>1</v>
      </c>
      <c r="K1010" s="10">
        <f t="shared" si="33"/>
        <v>0.747</v>
      </c>
      <c r="L1010" s="6" t="s">
        <v>43</v>
      </c>
      <c r="M1010" s="6"/>
      <c r="N1010" s="6" t="s">
        <v>54</v>
      </c>
      <c r="O1010" s="6" t="s">
        <v>54</v>
      </c>
      <c r="P1010" s="6"/>
    </row>
    <row r="1011" spans="1:16" ht="30" customHeight="1" x14ac:dyDescent="0.3">
      <c r="A1011" s="7">
        <v>45670</v>
      </c>
      <c r="B1011" s="6" t="s">
        <v>4</v>
      </c>
      <c r="C1011" s="6" t="str">
        <f>VLOOKUP(B1009,'Veri doğrulama'!D6:E13,2,0)</f>
        <v>MEHMET YAZICI</v>
      </c>
      <c r="D1011" s="6"/>
      <c r="E1011" s="6" t="s">
        <v>215</v>
      </c>
      <c r="F1011" s="6" t="s">
        <v>19</v>
      </c>
      <c r="G1011" s="6" t="s">
        <v>34</v>
      </c>
      <c r="H1011" s="6">
        <v>1930</v>
      </c>
      <c r="I1011" s="6">
        <v>300</v>
      </c>
      <c r="J1011" s="6">
        <v>1</v>
      </c>
      <c r="K1011" s="10">
        <f t="shared" si="33"/>
        <v>0.747</v>
      </c>
      <c r="L1011" s="6" t="s">
        <v>156</v>
      </c>
      <c r="M1011" s="6" t="s">
        <v>179</v>
      </c>
      <c r="N1011" s="6" t="s">
        <v>54</v>
      </c>
      <c r="O1011" s="6" t="s">
        <v>54</v>
      </c>
      <c r="P1011" s="6"/>
    </row>
    <row r="1012" spans="1:16" ht="30" customHeight="1" x14ac:dyDescent="0.3">
      <c r="A1012" s="7">
        <v>45670</v>
      </c>
      <c r="B1012" s="6" t="s">
        <v>4</v>
      </c>
      <c r="C1012" s="6" t="str">
        <f>VLOOKUP(B1010,'Veri doğrulama'!D6:E13,2,0)</f>
        <v>SIDDIK KAPLAN</v>
      </c>
      <c r="D1012" s="6" t="s">
        <v>218</v>
      </c>
      <c r="E1012" s="6" t="s">
        <v>213</v>
      </c>
      <c r="F1012" s="6" t="s">
        <v>19</v>
      </c>
      <c r="G1012" s="6" t="s">
        <v>34</v>
      </c>
      <c r="H1012" s="6">
        <v>350</v>
      </c>
      <c r="I1012" s="6">
        <v>2386</v>
      </c>
      <c r="J1012" s="6">
        <v>1</v>
      </c>
      <c r="K1012" s="10">
        <f t="shared" si="33"/>
        <v>0.57899999999999996</v>
      </c>
      <c r="L1012" s="6" t="s">
        <v>43</v>
      </c>
      <c r="M1012" s="6" t="s">
        <v>179</v>
      </c>
      <c r="N1012" s="6" t="s">
        <v>54</v>
      </c>
      <c r="O1012" s="6" t="s">
        <v>54</v>
      </c>
      <c r="P1012" s="6" t="s">
        <v>54</v>
      </c>
    </row>
    <row r="1013" spans="1:16" ht="30" customHeight="1" x14ac:dyDescent="0.3">
      <c r="A1013" s="7">
        <v>45670</v>
      </c>
      <c r="B1013" s="6" t="s">
        <v>7</v>
      </c>
      <c r="C1013" s="6" t="str">
        <f>VLOOKUP(B1011,'Veri doğrulama'!D6:E13,2,0)</f>
        <v>MEHMET YAZICI</v>
      </c>
      <c r="D1013" s="6"/>
      <c r="E1013" s="6" t="s">
        <v>265</v>
      </c>
      <c r="F1013" s="6" t="s">
        <v>14</v>
      </c>
      <c r="G1013" s="6" t="s">
        <v>34</v>
      </c>
      <c r="H1013" s="6">
        <v>750</v>
      </c>
      <c r="I1013" s="6">
        <v>600</v>
      </c>
      <c r="J1013" s="6">
        <v>1</v>
      </c>
      <c r="K1013" s="10">
        <f t="shared" si="33"/>
        <v>0.83509999999999995</v>
      </c>
      <c r="L1013" s="6" t="s">
        <v>75</v>
      </c>
      <c r="M1013" s="6" t="s">
        <v>266</v>
      </c>
      <c r="N1013" s="6" t="s">
        <v>54</v>
      </c>
      <c r="O1013" s="6" t="s">
        <v>54</v>
      </c>
      <c r="P1013" s="6"/>
    </row>
    <row r="1014" spans="1:16" ht="30" customHeight="1" x14ac:dyDescent="0.3">
      <c r="A1014" s="7">
        <v>45670</v>
      </c>
      <c r="B1014" s="6" t="s">
        <v>5</v>
      </c>
      <c r="C1014" s="6" t="str">
        <f>VLOOKUP(B1012,'Veri doğrulama'!D6:E13,2,0)</f>
        <v>MEHMET YAZICI</v>
      </c>
      <c r="D1014" s="6" t="s">
        <v>214</v>
      </c>
      <c r="E1014" s="6" t="s">
        <v>217</v>
      </c>
      <c r="F1014" s="6" t="s">
        <v>14</v>
      </c>
      <c r="G1014" s="6" t="s">
        <v>34</v>
      </c>
      <c r="H1014" s="6">
        <v>2200</v>
      </c>
      <c r="I1014" s="6">
        <v>450</v>
      </c>
      <c r="J1014" s="6">
        <v>1</v>
      </c>
      <c r="K1014" s="10">
        <f t="shared" si="33"/>
        <v>0.45</v>
      </c>
      <c r="L1014" s="6" t="s">
        <v>42</v>
      </c>
      <c r="M1014" s="6" t="s">
        <v>195</v>
      </c>
      <c r="N1014" s="6" t="s">
        <v>54</v>
      </c>
      <c r="O1014" s="6" t="s">
        <v>54</v>
      </c>
      <c r="P1014" s="6" t="s">
        <v>54</v>
      </c>
    </row>
    <row r="1015" spans="1:16" ht="30" customHeight="1" x14ac:dyDescent="0.3">
      <c r="A1015" s="7">
        <v>45670</v>
      </c>
      <c r="B1015" s="6" t="s">
        <v>7</v>
      </c>
      <c r="C1015" s="6" t="str">
        <f>VLOOKUP(B1013,'Veri doğrulama'!D6:E13,2,0)</f>
        <v>SIDDIK KAPLAN</v>
      </c>
      <c r="D1015" s="6" t="s">
        <v>257</v>
      </c>
      <c r="E1015" s="6" t="s">
        <v>259</v>
      </c>
      <c r="F1015" s="6" t="s">
        <v>13</v>
      </c>
      <c r="G1015" s="6" t="s">
        <v>34</v>
      </c>
      <c r="H1015" s="6">
        <v>677</v>
      </c>
      <c r="I1015" s="6">
        <v>447</v>
      </c>
      <c r="J1015" s="6">
        <v>1</v>
      </c>
      <c r="K1015" s="10">
        <f t="shared" si="33"/>
        <v>0.99</v>
      </c>
      <c r="L1015" s="6" t="s">
        <v>43</v>
      </c>
      <c r="M1015" s="6" t="s">
        <v>260</v>
      </c>
      <c r="N1015" s="6" t="s">
        <v>54</v>
      </c>
      <c r="O1015" s="6" t="s">
        <v>54</v>
      </c>
      <c r="P1015" s="6" t="s">
        <v>54</v>
      </c>
    </row>
    <row r="1016" spans="1:16" ht="30" customHeight="1" x14ac:dyDescent="0.3">
      <c r="A1016" s="7">
        <v>45670</v>
      </c>
      <c r="B1016" s="6" t="s">
        <v>4</v>
      </c>
      <c r="C1016" s="6" t="str">
        <f>VLOOKUP(B1014,'Veri doğrulama'!D6:E13,2,0)</f>
        <v>MEHMET ÖZEN</v>
      </c>
      <c r="D1016" s="6" t="s">
        <v>219</v>
      </c>
      <c r="E1016" s="6" t="s">
        <v>211</v>
      </c>
      <c r="F1016" s="15" t="s">
        <v>13</v>
      </c>
      <c r="G1016" s="6" t="s">
        <v>34</v>
      </c>
      <c r="H1016" s="6">
        <v>1400</v>
      </c>
      <c r="I1016" s="6">
        <v>500</v>
      </c>
      <c r="J1016" s="6">
        <v>1</v>
      </c>
      <c r="K1016" s="10">
        <f t="shared" si="33"/>
        <v>0.90785700000000014</v>
      </c>
      <c r="L1016" s="6" t="s">
        <v>103</v>
      </c>
      <c r="M1016" s="6" t="s">
        <v>179</v>
      </c>
      <c r="N1016" s="6" t="s">
        <v>54</v>
      </c>
      <c r="O1016" s="6" t="s">
        <v>54</v>
      </c>
      <c r="P1016" s="6"/>
    </row>
    <row r="1017" spans="1:16" ht="30" customHeight="1" x14ac:dyDescent="0.3">
      <c r="A1017" s="7">
        <v>45670</v>
      </c>
      <c r="B1017" s="6" t="s">
        <v>5</v>
      </c>
      <c r="C1017" s="6" t="str">
        <f>VLOOKUP(B1015,'Veri doğrulama'!D6:E13,2,0)</f>
        <v>SIDDIK KAPLAN</v>
      </c>
      <c r="D1017" s="6" t="s">
        <v>261</v>
      </c>
      <c r="E1017" s="6" t="s">
        <v>241</v>
      </c>
      <c r="F1017" s="15" t="s">
        <v>27</v>
      </c>
      <c r="G1017" s="6" t="s">
        <v>35</v>
      </c>
      <c r="H1017" s="6">
        <v>2000</v>
      </c>
      <c r="I1017" s="6">
        <v>550</v>
      </c>
      <c r="J1017" s="6">
        <v>3</v>
      </c>
      <c r="K1017" s="10">
        <f t="shared" si="33"/>
        <v>0.7</v>
      </c>
      <c r="L1017" s="6" t="s">
        <v>43</v>
      </c>
      <c r="M1017" s="6" t="s">
        <v>195</v>
      </c>
      <c r="N1017" s="6" t="s">
        <v>54</v>
      </c>
      <c r="O1017" s="6" t="s">
        <v>54</v>
      </c>
      <c r="P1017" s="6" t="s">
        <v>54</v>
      </c>
    </row>
    <row r="1018" spans="1:16" ht="30" customHeight="1" x14ac:dyDescent="0.3">
      <c r="A1018" s="7">
        <v>45670</v>
      </c>
      <c r="B1018" s="6" t="s">
        <v>5</v>
      </c>
      <c r="C1018" s="6" t="str">
        <f>VLOOKUP(B1016,'Veri doğrulama'!D6:E13,2,0)</f>
        <v>MEHMET YAZICI</v>
      </c>
      <c r="D1018" s="6"/>
      <c r="E1018" s="6" t="s">
        <v>113</v>
      </c>
      <c r="F1018" s="6" t="s">
        <v>110</v>
      </c>
      <c r="G1018" s="6" t="s">
        <v>34</v>
      </c>
      <c r="H1018" s="6">
        <v>650</v>
      </c>
      <c r="I1018" s="6">
        <v>900</v>
      </c>
      <c r="J1018" s="6">
        <v>1</v>
      </c>
      <c r="K1018" s="10">
        <f t="shared" si="33"/>
        <v>1.1000000000000001</v>
      </c>
      <c r="L1018" s="6" t="s">
        <v>103</v>
      </c>
      <c r="M1018" s="6"/>
      <c r="N1018" s="6" t="s">
        <v>54</v>
      </c>
      <c r="O1018" s="6" t="s">
        <v>54</v>
      </c>
      <c r="P1018" s="6"/>
    </row>
    <row r="1019" spans="1:16" ht="30" customHeight="1" x14ac:dyDescent="0.3">
      <c r="A1019" s="7">
        <v>45667</v>
      </c>
      <c r="B1019" s="6" t="s">
        <v>4</v>
      </c>
      <c r="C1019" s="6" t="str">
        <f>VLOOKUP(B1017,'Veri doğrulama'!D6:E13,2,0)</f>
        <v>MEHMET ÖZEN</v>
      </c>
      <c r="D1019" s="6"/>
      <c r="E1019" s="6" t="s">
        <v>332</v>
      </c>
      <c r="F1019" s="6" t="s">
        <v>22</v>
      </c>
      <c r="G1019" s="6" t="s">
        <v>34</v>
      </c>
      <c r="H1019" s="6">
        <v>955</v>
      </c>
      <c r="I1019" s="6">
        <v>456</v>
      </c>
      <c r="J1019" s="6">
        <v>1</v>
      </c>
      <c r="K1019" s="10">
        <f>H1018*I1018/1000000*J1020</f>
        <v>0.58499999999999996</v>
      </c>
      <c r="L1019" s="6" t="s">
        <v>38</v>
      </c>
      <c r="M1019" s="6" t="s">
        <v>185</v>
      </c>
      <c r="N1019" s="6" t="s">
        <v>54</v>
      </c>
      <c r="O1019" s="6" t="s">
        <v>54</v>
      </c>
      <c r="P1019" s="6" t="s">
        <v>54</v>
      </c>
    </row>
    <row r="1020" spans="1:16" ht="30" customHeight="1" x14ac:dyDescent="0.3">
      <c r="A1020" s="7">
        <v>45667</v>
      </c>
      <c r="B1020" s="6" t="s">
        <v>4</v>
      </c>
      <c r="C1020" s="6" t="s">
        <v>53</v>
      </c>
      <c r="D1020" s="6" t="s">
        <v>114</v>
      </c>
      <c r="E1020" s="6" t="s">
        <v>211</v>
      </c>
      <c r="F1020" s="6" t="s">
        <v>13</v>
      </c>
      <c r="G1020" s="6" t="s">
        <v>34</v>
      </c>
      <c r="H1020" s="6">
        <v>1400</v>
      </c>
      <c r="I1020" s="6">
        <v>500</v>
      </c>
      <c r="J1020" s="6">
        <v>1</v>
      </c>
      <c r="K1020" s="10">
        <f t="shared" ref="K1020:K1066" si="34">I1019*H1019/1000000*J1021</f>
        <v>1.3064399999999998</v>
      </c>
      <c r="L1020" s="6" t="s">
        <v>102</v>
      </c>
      <c r="M1020" s="15" t="s">
        <v>179</v>
      </c>
      <c r="N1020" s="6" t="s">
        <v>54</v>
      </c>
      <c r="O1020" s="6" t="s">
        <v>54</v>
      </c>
      <c r="P1020" s="6"/>
    </row>
    <row r="1021" spans="1:16" ht="30" customHeight="1" x14ac:dyDescent="0.3">
      <c r="A1021" s="7">
        <v>45667</v>
      </c>
      <c r="B1021" s="6" t="s">
        <v>4</v>
      </c>
      <c r="C1021" s="6" t="str">
        <f>VLOOKUP(B1019,'Veri doğrulama'!D6:E13,2,0)</f>
        <v>MEHMET YAZICI</v>
      </c>
      <c r="D1021" s="6"/>
      <c r="E1021" s="6" t="s">
        <v>127</v>
      </c>
      <c r="F1021" s="6" t="s">
        <v>19</v>
      </c>
      <c r="G1021" s="6" t="s">
        <v>35</v>
      </c>
      <c r="H1021" s="6">
        <v>580</v>
      </c>
      <c r="I1021" s="6">
        <v>447</v>
      </c>
      <c r="J1021" s="6">
        <v>3</v>
      </c>
      <c r="K1021" s="10">
        <f t="shared" si="34"/>
        <v>0.7</v>
      </c>
      <c r="L1021" s="6" t="s">
        <v>39</v>
      </c>
      <c r="M1021" s="6" t="s">
        <v>179</v>
      </c>
      <c r="N1021" s="6" t="s">
        <v>54</v>
      </c>
      <c r="O1021" s="6" t="s">
        <v>54</v>
      </c>
      <c r="P1021" s="6" t="s">
        <v>54</v>
      </c>
    </row>
    <row r="1022" spans="1:16" ht="30" customHeight="1" x14ac:dyDescent="0.3">
      <c r="A1022" s="7">
        <v>45667</v>
      </c>
      <c r="B1022" s="6" t="s">
        <v>4</v>
      </c>
      <c r="C1022" s="6" t="str">
        <f>VLOOKUP(B1020,'Veri doğrulama'!D6:E13,2,0)</f>
        <v>MEHMET YAZICI</v>
      </c>
      <c r="D1022" s="6"/>
      <c r="E1022" s="6" t="s">
        <v>201</v>
      </c>
      <c r="F1022" s="6" t="s">
        <v>19</v>
      </c>
      <c r="G1022" s="6" t="s">
        <v>34</v>
      </c>
      <c r="H1022" s="6">
        <v>1800</v>
      </c>
      <c r="I1022" s="6">
        <v>360</v>
      </c>
      <c r="J1022" s="6">
        <v>1</v>
      </c>
      <c r="K1022" s="10">
        <f t="shared" si="34"/>
        <v>0.25925999999999999</v>
      </c>
      <c r="L1022" s="15" t="s">
        <v>75</v>
      </c>
      <c r="M1022" s="6" t="s">
        <v>179</v>
      </c>
      <c r="N1022" s="6" t="s">
        <v>54</v>
      </c>
      <c r="O1022" s="6" t="s">
        <v>54</v>
      </c>
      <c r="P1022" s="6" t="s">
        <v>54</v>
      </c>
    </row>
    <row r="1023" spans="1:16" ht="30" customHeight="1" x14ac:dyDescent="0.3">
      <c r="A1023" s="7">
        <v>45666</v>
      </c>
      <c r="B1023" s="6" t="s">
        <v>5</v>
      </c>
      <c r="C1023" s="6" t="str">
        <f>VLOOKUP(B1021,'Veri doğrulama'!D6:E13,2,0)</f>
        <v>MEHMET YAZICI</v>
      </c>
      <c r="D1023" s="6"/>
      <c r="E1023" s="6" t="s">
        <v>226</v>
      </c>
      <c r="F1023" s="6" t="s">
        <v>16</v>
      </c>
      <c r="G1023" s="6" t="s">
        <v>34</v>
      </c>
      <c r="H1023" s="6">
        <v>1120</v>
      </c>
      <c r="I1023" s="6">
        <v>530</v>
      </c>
      <c r="J1023" s="6">
        <v>1</v>
      </c>
      <c r="K1023" s="10">
        <f t="shared" si="34"/>
        <v>0.64800000000000002</v>
      </c>
      <c r="L1023" s="6" t="s">
        <v>102</v>
      </c>
      <c r="M1023" s="6"/>
      <c r="N1023" s="6" t="s">
        <v>54</v>
      </c>
      <c r="O1023" s="6" t="s">
        <v>54</v>
      </c>
      <c r="P1023" s="6" t="s">
        <v>54</v>
      </c>
    </row>
    <row r="1024" spans="1:16" ht="30" customHeight="1" x14ac:dyDescent="0.3">
      <c r="A1024" s="7">
        <v>45666</v>
      </c>
      <c r="B1024" s="6" t="s">
        <v>4</v>
      </c>
      <c r="C1024" s="6" t="s">
        <v>125</v>
      </c>
      <c r="D1024" s="6">
        <v>20900</v>
      </c>
      <c r="E1024" s="6" t="s">
        <v>133</v>
      </c>
      <c r="F1024" s="6" t="s">
        <v>16</v>
      </c>
      <c r="G1024" s="6" t="s">
        <v>34</v>
      </c>
      <c r="H1024" s="6">
        <v>449</v>
      </c>
      <c r="I1024" s="6">
        <v>435</v>
      </c>
      <c r="J1024" s="6">
        <v>1</v>
      </c>
      <c r="K1024" s="10">
        <f t="shared" si="34"/>
        <v>0.59360000000000002</v>
      </c>
      <c r="L1024" s="6" t="s">
        <v>43</v>
      </c>
      <c r="M1024" s="6" t="s">
        <v>185</v>
      </c>
      <c r="N1024" s="6" t="s">
        <v>54</v>
      </c>
      <c r="O1024" s="6" t="s">
        <v>54</v>
      </c>
      <c r="P1024" s="6" t="s">
        <v>54</v>
      </c>
    </row>
    <row r="1025" spans="1:16" ht="30" customHeight="1" x14ac:dyDescent="0.3">
      <c r="A1025" s="7">
        <v>45666</v>
      </c>
      <c r="B1025" s="6" t="s">
        <v>5</v>
      </c>
      <c r="C1025" s="6" t="str">
        <f>VLOOKUP(B1023,'Veri doğrulama'!D6:E13,2,0)</f>
        <v>MEHMET ÖZEN</v>
      </c>
      <c r="D1025" s="6" t="s">
        <v>228</v>
      </c>
      <c r="E1025" s="6" t="s">
        <v>197</v>
      </c>
      <c r="F1025" s="6" t="s">
        <v>16</v>
      </c>
      <c r="G1025" s="6" t="s">
        <v>34</v>
      </c>
      <c r="H1025" s="6">
        <v>2220</v>
      </c>
      <c r="I1025" s="6">
        <v>970</v>
      </c>
      <c r="J1025" s="6">
        <v>1</v>
      </c>
      <c r="K1025" s="10">
        <f t="shared" si="34"/>
        <v>0.19531499999999999</v>
      </c>
      <c r="L1025" s="6" t="s">
        <v>43</v>
      </c>
      <c r="M1025" s="6"/>
      <c r="N1025" s="6" t="s">
        <v>54</v>
      </c>
      <c r="O1025" s="6" t="s">
        <v>54</v>
      </c>
      <c r="P1025" s="6"/>
    </row>
    <row r="1026" spans="1:16" ht="30" customHeight="1" x14ac:dyDescent="0.3">
      <c r="A1026" s="7">
        <v>45666</v>
      </c>
      <c r="B1026" s="6" t="s">
        <v>5</v>
      </c>
      <c r="C1026" s="6" t="s">
        <v>125</v>
      </c>
      <c r="D1026" s="6" t="s">
        <v>203</v>
      </c>
      <c r="E1026" s="6" t="s">
        <v>197</v>
      </c>
      <c r="F1026" s="6" t="s">
        <v>16</v>
      </c>
      <c r="G1026" s="6" t="s">
        <v>33</v>
      </c>
      <c r="H1026" s="6">
        <v>2220</v>
      </c>
      <c r="I1026" s="6">
        <v>970</v>
      </c>
      <c r="J1026" s="6">
        <v>1</v>
      </c>
      <c r="K1026" s="10">
        <f t="shared" si="34"/>
        <v>6.4602000000000004</v>
      </c>
      <c r="L1026" s="6" t="s">
        <v>43</v>
      </c>
      <c r="M1026" s="15"/>
      <c r="N1026" s="6" t="s">
        <v>54</v>
      </c>
      <c r="O1026" s="6" t="s">
        <v>54</v>
      </c>
      <c r="P1026" s="6"/>
    </row>
    <row r="1027" spans="1:16" ht="30" customHeight="1" x14ac:dyDescent="0.3">
      <c r="A1027" s="7">
        <v>45666</v>
      </c>
      <c r="B1027" s="6" t="s">
        <v>4</v>
      </c>
      <c r="C1027" s="6" t="s">
        <v>10</v>
      </c>
      <c r="D1027" s="6"/>
      <c r="E1027" s="6" t="s">
        <v>211</v>
      </c>
      <c r="F1027" s="6" t="s">
        <v>23</v>
      </c>
      <c r="G1027" s="6" t="s">
        <v>34</v>
      </c>
      <c r="H1027" s="6">
        <v>1400</v>
      </c>
      <c r="I1027" s="6">
        <v>500</v>
      </c>
      <c r="J1027" s="6">
        <v>3</v>
      </c>
      <c r="K1027" s="10">
        <f t="shared" si="34"/>
        <v>6.4602000000000004</v>
      </c>
      <c r="L1027" s="6" t="s">
        <v>43</v>
      </c>
      <c r="M1027" s="15" t="s">
        <v>385</v>
      </c>
      <c r="N1027" s="6" t="s">
        <v>54</v>
      </c>
      <c r="O1027" s="6" t="s">
        <v>54</v>
      </c>
      <c r="P1027" s="6" t="s">
        <v>54</v>
      </c>
    </row>
    <row r="1028" spans="1:16" ht="30" customHeight="1" x14ac:dyDescent="0.3">
      <c r="A1028" s="7">
        <v>45666</v>
      </c>
      <c r="B1028" s="6" t="s">
        <v>4</v>
      </c>
      <c r="C1028" s="6" t="s">
        <v>10</v>
      </c>
      <c r="D1028" s="6"/>
      <c r="E1028" s="6" t="s">
        <v>220</v>
      </c>
      <c r="F1028" s="6" t="s">
        <v>18</v>
      </c>
      <c r="G1028" s="6" t="s">
        <v>35</v>
      </c>
      <c r="H1028" s="6">
        <v>900</v>
      </c>
      <c r="I1028" s="6">
        <v>320</v>
      </c>
      <c r="J1028" s="6">
        <v>3</v>
      </c>
      <c r="K1028" s="10">
        <f t="shared" si="34"/>
        <v>0.7</v>
      </c>
      <c r="L1028" s="15" t="s">
        <v>43</v>
      </c>
      <c r="M1028" s="15" t="s">
        <v>157</v>
      </c>
      <c r="N1028" s="6" t="s">
        <v>54</v>
      </c>
      <c r="O1028" s="6" t="s">
        <v>54</v>
      </c>
      <c r="P1028" s="6"/>
    </row>
    <row r="1029" spans="1:16" ht="30" customHeight="1" x14ac:dyDescent="0.3">
      <c r="A1029" s="7">
        <v>45666</v>
      </c>
      <c r="B1029" s="6" t="s">
        <v>4</v>
      </c>
      <c r="C1029" s="6" t="str">
        <f>VLOOKUP(B1027,'Veri doğrulama'!D6:E13,2,0)</f>
        <v>MEHMET YAZICI</v>
      </c>
      <c r="D1029" s="6" t="s">
        <v>435</v>
      </c>
      <c r="E1029" s="6" t="s">
        <v>204</v>
      </c>
      <c r="F1029" s="6" t="s">
        <v>13</v>
      </c>
      <c r="G1029" s="6" t="s">
        <v>34</v>
      </c>
      <c r="H1029" s="6">
        <v>2200</v>
      </c>
      <c r="I1029" s="6">
        <v>450</v>
      </c>
      <c r="J1029" s="6">
        <v>1</v>
      </c>
      <c r="K1029" s="10">
        <f t="shared" si="34"/>
        <v>0.28799999999999998</v>
      </c>
      <c r="L1029" s="15" t="s">
        <v>42</v>
      </c>
      <c r="M1029" s="6" t="s">
        <v>185</v>
      </c>
      <c r="N1029" s="6" t="s">
        <v>54</v>
      </c>
      <c r="O1029" s="6" t="s">
        <v>54</v>
      </c>
      <c r="P1029" s="6" t="s">
        <v>54</v>
      </c>
    </row>
    <row r="1030" spans="1:16" ht="30" customHeight="1" x14ac:dyDescent="0.3">
      <c r="A1030" s="7">
        <v>45666</v>
      </c>
      <c r="B1030" s="6" t="s">
        <v>4</v>
      </c>
      <c r="C1030" s="6" t="str">
        <f>VLOOKUP(B1028,'Veri doğrulama'!D6:E13,2,0)</f>
        <v>MEHMET YAZICI</v>
      </c>
      <c r="D1030" s="6"/>
      <c r="E1030" s="6" t="s">
        <v>270</v>
      </c>
      <c r="F1030" s="6" t="s">
        <v>24</v>
      </c>
      <c r="G1030" s="6" t="s">
        <v>34</v>
      </c>
      <c r="H1030" s="6">
        <v>1990</v>
      </c>
      <c r="I1030" s="6">
        <v>840</v>
      </c>
      <c r="J1030" s="6">
        <v>1</v>
      </c>
      <c r="K1030" s="10">
        <f t="shared" si="34"/>
        <v>0.99</v>
      </c>
      <c r="L1030" s="15" t="s">
        <v>43</v>
      </c>
      <c r="M1030" s="6" t="s">
        <v>179</v>
      </c>
      <c r="N1030" s="6" t="s">
        <v>54</v>
      </c>
      <c r="O1030" s="6" t="s">
        <v>54</v>
      </c>
      <c r="P1030" s="6"/>
    </row>
    <row r="1031" spans="1:16" ht="30" customHeight="1" x14ac:dyDescent="0.3">
      <c r="A1031" s="7">
        <v>45666</v>
      </c>
      <c r="B1031" s="6" t="s">
        <v>5</v>
      </c>
      <c r="C1031" s="6" t="str">
        <f>VLOOKUP(B1029,'Veri doğrulama'!D6:E13,2,0)</f>
        <v>MEHMET YAZICI</v>
      </c>
      <c r="D1031" s="6"/>
      <c r="E1031" s="6" t="s">
        <v>205</v>
      </c>
      <c r="F1031" s="6" t="s">
        <v>27</v>
      </c>
      <c r="G1031" s="6" t="s">
        <v>34</v>
      </c>
      <c r="H1031" s="6">
        <v>2200</v>
      </c>
      <c r="I1031" s="6">
        <v>415</v>
      </c>
      <c r="J1031" s="6">
        <v>1</v>
      </c>
      <c r="K1031" s="10">
        <f t="shared" si="34"/>
        <v>1.6716</v>
      </c>
      <c r="L1031" s="6" t="s">
        <v>103</v>
      </c>
      <c r="M1031" s="6" t="s">
        <v>318</v>
      </c>
      <c r="N1031" s="6" t="s">
        <v>54</v>
      </c>
      <c r="O1031" s="6" t="s">
        <v>54</v>
      </c>
      <c r="P1031" s="6" t="s">
        <v>54</v>
      </c>
    </row>
    <row r="1032" spans="1:16" ht="30" customHeight="1" x14ac:dyDescent="0.3">
      <c r="A1032" s="7">
        <v>45666</v>
      </c>
      <c r="B1032" s="6" t="s">
        <v>5</v>
      </c>
      <c r="C1032" s="6" t="str">
        <f>VLOOKUP(B1030,'Veri doğrulama'!D6:E13,2,0)</f>
        <v>MEHMET YAZICI</v>
      </c>
      <c r="D1032" s="6"/>
      <c r="E1032" s="6" t="s">
        <v>196</v>
      </c>
      <c r="F1032" s="6" t="s">
        <v>16</v>
      </c>
      <c r="G1032" s="6" t="s">
        <v>34</v>
      </c>
      <c r="H1032" s="6">
        <v>1400</v>
      </c>
      <c r="I1032" s="6">
        <v>800</v>
      </c>
      <c r="J1032" s="6">
        <v>1</v>
      </c>
      <c r="K1032" s="10">
        <f t="shared" si="34"/>
        <v>0.91300000000000003</v>
      </c>
      <c r="L1032" s="6" t="s">
        <v>75</v>
      </c>
      <c r="M1032" s="6" t="s">
        <v>209</v>
      </c>
      <c r="N1032" s="6" t="s">
        <v>54</v>
      </c>
      <c r="O1032" s="6" t="s">
        <v>54</v>
      </c>
      <c r="P1032" s="6" t="s">
        <v>54</v>
      </c>
    </row>
    <row r="1033" spans="1:16" ht="30" customHeight="1" x14ac:dyDescent="0.3">
      <c r="A1033" s="7">
        <v>45665</v>
      </c>
      <c r="B1033" s="6" t="s">
        <v>5</v>
      </c>
      <c r="C1033" s="6" t="str">
        <f>VLOOKUP(B1031,'Veri doğrulama'!D6:E13,2,0)</f>
        <v>MEHMET ÖZEN</v>
      </c>
      <c r="D1033" s="6">
        <v>2000000</v>
      </c>
      <c r="E1033" s="6" t="s">
        <v>197</v>
      </c>
      <c r="F1033" s="6" t="s">
        <v>18</v>
      </c>
      <c r="G1033" s="6" t="s">
        <v>34</v>
      </c>
      <c r="H1033" s="6">
        <v>1120</v>
      </c>
      <c r="I1033" s="6">
        <v>530</v>
      </c>
      <c r="J1033" s="6">
        <v>1</v>
      </c>
      <c r="K1033" s="10">
        <f t="shared" si="34"/>
        <v>1.1200000000000001</v>
      </c>
      <c r="L1033" s="6" t="s">
        <v>75</v>
      </c>
      <c r="M1033" s="6"/>
      <c r="N1033" s="6" t="s">
        <v>54</v>
      </c>
      <c r="O1033" s="6" t="s">
        <v>54</v>
      </c>
      <c r="P1033" s="6" t="s">
        <v>54</v>
      </c>
    </row>
    <row r="1034" spans="1:16" ht="30" customHeight="1" x14ac:dyDescent="0.3">
      <c r="A1034" s="7">
        <v>45665</v>
      </c>
      <c r="B1034" s="6" t="s">
        <v>4</v>
      </c>
      <c r="C1034" s="6" t="str">
        <f>VLOOKUP(B1032,'Veri doğrulama'!D6:E13,2,0)</f>
        <v>MEHMET ÖZEN</v>
      </c>
      <c r="D1034" s="6"/>
      <c r="E1034" s="6" t="s">
        <v>186</v>
      </c>
      <c r="F1034" s="6" t="s">
        <v>18</v>
      </c>
      <c r="G1034" s="6" t="s">
        <v>34</v>
      </c>
      <c r="H1034" s="6">
        <v>698</v>
      </c>
      <c r="I1034" s="6">
        <v>435</v>
      </c>
      <c r="J1034" s="6">
        <v>1</v>
      </c>
      <c r="K1034" s="10">
        <f t="shared" si="34"/>
        <v>1.7808000000000002</v>
      </c>
      <c r="L1034" s="6" t="s">
        <v>43</v>
      </c>
      <c r="M1034" s="6" t="s">
        <v>157</v>
      </c>
      <c r="N1034" s="6" t="s">
        <v>54</v>
      </c>
      <c r="O1034" s="6" t="s">
        <v>54</v>
      </c>
      <c r="P1034" s="6"/>
    </row>
    <row r="1035" spans="1:16" ht="30" customHeight="1" x14ac:dyDescent="0.3">
      <c r="A1035" s="7">
        <v>45665</v>
      </c>
      <c r="B1035" s="6" t="s">
        <v>4</v>
      </c>
      <c r="C1035" s="6" t="s">
        <v>10</v>
      </c>
      <c r="D1035" s="6" t="s">
        <v>199</v>
      </c>
      <c r="E1035" s="6" t="s">
        <v>184</v>
      </c>
      <c r="F1035" s="6" t="s">
        <v>18</v>
      </c>
      <c r="G1035" s="6" t="s">
        <v>34</v>
      </c>
      <c r="H1035" s="6">
        <v>2016</v>
      </c>
      <c r="I1035" s="6">
        <v>497</v>
      </c>
      <c r="J1035" s="6">
        <v>3</v>
      </c>
      <c r="K1035" s="10">
        <f t="shared" si="34"/>
        <v>0.30363000000000001</v>
      </c>
      <c r="L1035" s="6" t="s">
        <v>43</v>
      </c>
      <c r="M1035" s="6" t="s">
        <v>185</v>
      </c>
      <c r="N1035" s="6" t="s">
        <v>54</v>
      </c>
      <c r="O1035" s="6" t="s">
        <v>54</v>
      </c>
      <c r="P1035" s="6" t="s">
        <v>54</v>
      </c>
    </row>
    <row r="1036" spans="1:16" ht="30" customHeight="1" x14ac:dyDescent="0.3">
      <c r="A1036" s="7">
        <v>45665</v>
      </c>
      <c r="B1036" s="6" t="s">
        <v>7</v>
      </c>
      <c r="C1036" s="6" t="str">
        <f>VLOOKUP(B1034,'Veri doğrulama'!D6:E13,2,0)</f>
        <v>MEHMET YAZICI</v>
      </c>
      <c r="D1036" s="6" t="s">
        <v>188</v>
      </c>
      <c r="E1036" s="6" t="s">
        <v>182</v>
      </c>
      <c r="F1036" s="6" t="s">
        <v>18</v>
      </c>
      <c r="G1036" s="6" t="s">
        <v>34</v>
      </c>
      <c r="H1036" s="6">
        <v>1180</v>
      </c>
      <c r="I1036" s="6">
        <v>550</v>
      </c>
      <c r="J1036" s="6">
        <v>1</v>
      </c>
      <c r="K1036" s="10">
        <f t="shared" si="34"/>
        <v>1.001952</v>
      </c>
      <c r="L1036" s="6" t="s">
        <v>103</v>
      </c>
      <c r="M1036" s="6"/>
      <c r="N1036" s="6" t="s">
        <v>54</v>
      </c>
      <c r="O1036" s="6" t="s">
        <v>54</v>
      </c>
      <c r="P1036" s="6"/>
    </row>
    <row r="1037" spans="1:16" ht="30" customHeight="1" x14ac:dyDescent="0.3">
      <c r="A1037" s="7">
        <v>45665</v>
      </c>
      <c r="B1037" s="6" t="s">
        <v>5</v>
      </c>
      <c r="C1037" s="6" t="str">
        <f>VLOOKUP(B1035,'Veri doğrulama'!D6:E13,2,0)</f>
        <v>MEHMET YAZICI</v>
      </c>
      <c r="D1037" s="6"/>
      <c r="E1037" s="6" t="s">
        <v>198</v>
      </c>
      <c r="F1037" s="6" t="s">
        <v>13</v>
      </c>
      <c r="G1037" s="6" t="s">
        <v>34</v>
      </c>
      <c r="H1037" s="6">
        <v>2090</v>
      </c>
      <c r="I1037" s="6">
        <v>360</v>
      </c>
      <c r="J1037" s="6">
        <v>1</v>
      </c>
      <c r="K1037" s="10">
        <f t="shared" si="34"/>
        <v>1.298</v>
      </c>
      <c r="L1037" s="6" t="s">
        <v>43</v>
      </c>
      <c r="M1037" s="6"/>
      <c r="N1037" s="6" t="s">
        <v>54</v>
      </c>
      <c r="O1037" s="6" t="s">
        <v>54</v>
      </c>
      <c r="P1037" s="6" t="s">
        <v>54</v>
      </c>
    </row>
    <row r="1038" spans="1:16" ht="30" customHeight="1" x14ac:dyDescent="0.3">
      <c r="A1038" s="7">
        <v>45665</v>
      </c>
      <c r="B1038" s="6" t="s">
        <v>4</v>
      </c>
      <c r="C1038" s="6" t="s">
        <v>11</v>
      </c>
      <c r="D1038" s="6"/>
      <c r="E1038" s="6" t="s">
        <v>187</v>
      </c>
      <c r="F1038" s="6" t="s">
        <v>13</v>
      </c>
      <c r="G1038" s="6" t="s">
        <v>34</v>
      </c>
      <c r="H1038" s="6">
        <v>769</v>
      </c>
      <c r="I1038" s="6">
        <v>390</v>
      </c>
      <c r="J1038" s="6">
        <v>2</v>
      </c>
      <c r="K1038" s="10">
        <f t="shared" si="34"/>
        <v>0.75239999999999996</v>
      </c>
      <c r="L1038" s="6" t="s">
        <v>43</v>
      </c>
      <c r="M1038" s="6" t="s">
        <v>157</v>
      </c>
      <c r="N1038" s="6" t="s">
        <v>54</v>
      </c>
      <c r="O1038" s="6" t="s">
        <v>54</v>
      </c>
      <c r="P1038" s="6" t="s">
        <v>54</v>
      </c>
    </row>
    <row r="1039" spans="1:16" ht="30" customHeight="1" x14ac:dyDescent="0.3">
      <c r="A1039" s="7">
        <v>45665</v>
      </c>
      <c r="B1039" s="6" t="s">
        <v>4</v>
      </c>
      <c r="C1039" s="6" t="s">
        <v>10</v>
      </c>
      <c r="D1039" s="6">
        <v>21100.01</v>
      </c>
      <c r="E1039" s="6" t="s">
        <v>222</v>
      </c>
      <c r="F1039" s="6" t="s">
        <v>26</v>
      </c>
      <c r="G1039" s="6" t="s">
        <v>34</v>
      </c>
      <c r="H1039" s="6">
        <v>672</v>
      </c>
      <c r="I1039" s="6">
        <v>446</v>
      </c>
      <c r="J1039" s="6">
        <v>1</v>
      </c>
      <c r="K1039" s="10">
        <f t="shared" si="34"/>
        <v>0.29991000000000001</v>
      </c>
      <c r="L1039" s="6" t="s">
        <v>43</v>
      </c>
      <c r="M1039" s="6" t="s">
        <v>185</v>
      </c>
      <c r="N1039" s="6" t="s">
        <v>54</v>
      </c>
      <c r="O1039" s="6" t="s">
        <v>54</v>
      </c>
      <c r="P1039" s="6" t="s">
        <v>54</v>
      </c>
    </row>
    <row r="1040" spans="1:16" ht="30" customHeight="1" x14ac:dyDescent="0.3">
      <c r="A1040" s="7">
        <v>45665</v>
      </c>
      <c r="B1040" s="6" t="s">
        <v>4</v>
      </c>
      <c r="C1040" s="6" t="str">
        <f>VLOOKUP(B1038,'Veri doğrulama'!D6:E13,2,0)</f>
        <v>MEHMET YAZICI</v>
      </c>
      <c r="D1040" s="6"/>
      <c r="E1040" s="6" t="s">
        <v>193</v>
      </c>
      <c r="F1040" s="6" t="s">
        <v>26</v>
      </c>
      <c r="G1040" s="6" t="s">
        <v>34</v>
      </c>
      <c r="H1040" s="6">
        <v>900</v>
      </c>
      <c r="I1040" s="6">
        <v>600</v>
      </c>
      <c r="J1040" s="6">
        <v>1</v>
      </c>
      <c r="K1040" s="10">
        <f t="shared" si="34"/>
        <v>0.29971199999999998</v>
      </c>
      <c r="L1040" s="6" t="s">
        <v>103</v>
      </c>
      <c r="M1040" s="6" t="s">
        <v>179</v>
      </c>
      <c r="N1040" s="6" t="s">
        <v>54</v>
      </c>
      <c r="O1040" s="6" t="s">
        <v>54</v>
      </c>
      <c r="P1040" s="6"/>
    </row>
    <row r="1041" spans="1:16" ht="30" customHeight="1" x14ac:dyDescent="0.3">
      <c r="A1041" s="7">
        <v>45665</v>
      </c>
      <c r="B1041" s="6" t="s">
        <v>4</v>
      </c>
      <c r="C1041" s="6" t="str">
        <f>VLOOKUP(B1039,'Veri doğrulama'!D6:E13,2,0)</f>
        <v>MEHMET YAZICI</v>
      </c>
      <c r="D1041" s="6" t="s">
        <v>224</v>
      </c>
      <c r="E1041" s="6" t="s">
        <v>223</v>
      </c>
      <c r="F1041" s="6" t="s">
        <v>17</v>
      </c>
      <c r="G1041" s="6" t="s">
        <v>35</v>
      </c>
      <c r="H1041" s="6">
        <v>1600</v>
      </c>
      <c r="I1041" s="6">
        <v>1400</v>
      </c>
      <c r="J1041" s="6">
        <v>1</v>
      </c>
      <c r="K1041" s="10">
        <f t="shared" si="34"/>
        <v>0.54</v>
      </c>
      <c r="L1041" s="6" t="s">
        <v>43</v>
      </c>
      <c r="M1041" s="6" t="s">
        <v>157</v>
      </c>
      <c r="N1041" s="6" t="s">
        <v>54</v>
      </c>
      <c r="O1041" s="6" t="s">
        <v>54</v>
      </c>
      <c r="P1041" s="6" t="s">
        <v>54</v>
      </c>
    </row>
    <row r="1042" spans="1:16" ht="30" customHeight="1" x14ac:dyDescent="0.3">
      <c r="A1042" s="7">
        <v>45665</v>
      </c>
      <c r="B1042" s="6" t="s">
        <v>4</v>
      </c>
      <c r="C1042" s="6" t="str">
        <f>VLOOKUP(B1040,'Veri doğrulama'!D6:E13,2,0)</f>
        <v>MEHMET YAZICI</v>
      </c>
      <c r="D1042" s="6">
        <v>20666</v>
      </c>
      <c r="E1042" s="6" t="s">
        <v>189</v>
      </c>
      <c r="F1042" s="6" t="s">
        <v>17</v>
      </c>
      <c r="G1042" s="6" t="s">
        <v>34</v>
      </c>
      <c r="H1042" s="6">
        <v>1800</v>
      </c>
      <c r="I1042" s="6">
        <v>800</v>
      </c>
      <c r="J1042" s="6">
        <v>1</v>
      </c>
      <c r="K1042" s="10">
        <f t="shared" si="34"/>
        <v>2.2400000000000002</v>
      </c>
      <c r="L1042" s="6" t="s">
        <v>75</v>
      </c>
      <c r="M1042" s="6" t="s">
        <v>185</v>
      </c>
      <c r="N1042" s="6" t="s">
        <v>54</v>
      </c>
      <c r="O1042" s="6" t="s">
        <v>54</v>
      </c>
      <c r="P1042" s="6" t="s">
        <v>54</v>
      </c>
    </row>
    <row r="1043" spans="1:16" ht="30" customHeight="1" x14ac:dyDescent="0.3">
      <c r="A1043" s="7">
        <v>45665</v>
      </c>
      <c r="B1043" s="6" t="s">
        <v>4</v>
      </c>
      <c r="C1043" s="6" t="str">
        <f>VLOOKUP(B1041,'Veri doğrulama'!D6:E13,2,0)</f>
        <v>MEHMET YAZICI</v>
      </c>
      <c r="D1043" s="6"/>
      <c r="E1043" s="6" t="s">
        <v>181</v>
      </c>
      <c r="F1043" s="6" t="s">
        <v>17</v>
      </c>
      <c r="G1043" s="6" t="s">
        <v>34</v>
      </c>
      <c r="H1043" s="6">
        <v>2386</v>
      </c>
      <c r="I1043" s="6">
        <v>586</v>
      </c>
      <c r="J1043" s="6">
        <v>1</v>
      </c>
      <c r="K1043" s="10">
        <f t="shared" si="34"/>
        <v>4.32</v>
      </c>
      <c r="L1043" s="6" t="s">
        <v>102</v>
      </c>
      <c r="M1043" s="6" t="s">
        <v>179</v>
      </c>
      <c r="N1043" s="6" t="s">
        <v>54</v>
      </c>
      <c r="O1043" s="6" t="s">
        <v>54</v>
      </c>
      <c r="P1043" s="6" t="s">
        <v>54</v>
      </c>
    </row>
    <row r="1044" spans="1:16" ht="30" customHeight="1" x14ac:dyDescent="0.3">
      <c r="A1044" s="7">
        <v>45665</v>
      </c>
      <c r="B1044" s="6" t="s">
        <v>5</v>
      </c>
      <c r="C1044" s="6" t="str">
        <f>VLOOKUP(B1042,'Veri doğrulama'!D6:E13,2,0)</f>
        <v>MEHMET YAZICI</v>
      </c>
      <c r="D1044" s="6" t="s">
        <v>191</v>
      </c>
      <c r="E1044" s="6" t="s">
        <v>194</v>
      </c>
      <c r="F1044" s="6" t="s">
        <v>24</v>
      </c>
      <c r="G1044" s="6" t="s">
        <v>34</v>
      </c>
      <c r="H1044" s="6">
        <v>1200</v>
      </c>
      <c r="I1044" s="6">
        <v>1400</v>
      </c>
      <c r="J1044" s="6">
        <v>3</v>
      </c>
      <c r="K1044" s="10">
        <f t="shared" si="34"/>
        <v>1.398196</v>
      </c>
      <c r="L1044" s="6" t="s">
        <v>102</v>
      </c>
      <c r="M1044" s="6" t="s">
        <v>195</v>
      </c>
      <c r="N1044" s="6" t="s">
        <v>54</v>
      </c>
      <c r="O1044" s="6" t="s">
        <v>54</v>
      </c>
      <c r="P1044" s="6" t="s">
        <v>54</v>
      </c>
    </row>
    <row r="1045" spans="1:16" ht="30" customHeight="1" x14ac:dyDescent="0.3">
      <c r="A1045" s="7">
        <v>45665</v>
      </c>
      <c r="B1045" s="6" t="s">
        <v>5</v>
      </c>
      <c r="C1045" s="6" t="str">
        <f>VLOOKUP(B1043,'Veri doğrulama'!D6:E13,2,0)</f>
        <v>MEHMET YAZICI</v>
      </c>
      <c r="D1045" s="6"/>
      <c r="E1045" s="6" t="s">
        <v>190</v>
      </c>
      <c r="F1045" s="6" t="s">
        <v>27</v>
      </c>
      <c r="G1045" s="6" t="s">
        <v>34</v>
      </c>
      <c r="H1045" s="6">
        <v>849</v>
      </c>
      <c r="I1045" s="6">
        <v>350</v>
      </c>
      <c r="J1045" s="6">
        <v>1</v>
      </c>
      <c r="K1045" s="10">
        <f t="shared" si="34"/>
        <v>1.68</v>
      </c>
      <c r="L1045" s="6" t="s">
        <v>102</v>
      </c>
      <c r="M1045" s="6" t="s">
        <v>285</v>
      </c>
      <c r="N1045" s="6" t="s">
        <v>54</v>
      </c>
      <c r="O1045" s="6" t="s">
        <v>54</v>
      </c>
      <c r="P1045" s="6" t="s">
        <v>54</v>
      </c>
    </row>
    <row r="1046" spans="1:16" ht="30" customHeight="1" x14ac:dyDescent="0.3">
      <c r="A1046" s="7">
        <v>45665</v>
      </c>
      <c r="B1046" s="6" t="s">
        <v>4</v>
      </c>
      <c r="C1046" s="6" t="str">
        <f>VLOOKUP(B1044,'Veri doğrulama'!D6:E13,2,0)</f>
        <v>MEHMET ÖZEN</v>
      </c>
      <c r="D1046" s="6"/>
      <c r="E1046" s="6" t="s">
        <v>171</v>
      </c>
      <c r="F1046" s="6" t="s">
        <v>27</v>
      </c>
      <c r="G1046" s="6" t="s">
        <v>35</v>
      </c>
      <c r="H1046" s="6">
        <v>1500</v>
      </c>
      <c r="I1046" s="6">
        <v>500</v>
      </c>
      <c r="J1046" s="6">
        <v>1</v>
      </c>
      <c r="K1046" s="10">
        <f t="shared" si="34"/>
        <v>0.89145000000000008</v>
      </c>
      <c r="L1046" s="6" t="s">
        <v>38</v>
      </c>
      <c r="M1046" s="6" t="s">
        <v>179</v>
      </c>
      <c r="N1046" s="6" t="s">
        <v>54</v>
      </c>
      <c r="O1046" s="6" t="s">
        <v>54</v>
      </c>
      <c r="P1046" s="6" t="s">
        <v>54</v>
      </c>
    </row>
    <row r="1047" spans="1:16" ht="30" customHeight="1" x14ac:dyDescent="0.3">
      <c r="A1047" s="7">
        <v>45664</v>
      </c>
      <c r="B1047" s="6" t="s">
        <v>4</v>
      </c>
      <c r="C1047" s="6" t="str">
        <f>VLOOKUP(B1045,'Veri doğrulama'!D6:E13,2,0)</f>
        <v>MEHMET ÖZEN</v>
      </c>
      <c r="D1047" s="6" t="s">
        <v>192</v>
      </c>
      <c r="E1047" s="6" t="s">
        <v>200</v>
      </c>
      <c r="F1047" s="6" t="s">
        <v>19</v>
      </c>
      <c r="G1047" s="6" t="s">
        <v>34</v>
      </c>
      <c r="H1047" s="6">
        <v>735</v>
      </c>
      <c r="I1047" s="6">
        <v>397</v>
      </c>
      <c r="J1047" s="6">
        <v>3</v>
      </c>
      <c r="K1047" s="10">
        <f t="shared" si="34"/>
        <v>0.75</v>
      </c>
      <c r="L1047" s="6" t="s">
        <v>38</v>
      </c>
      <c r="M1047" s="6" t="s">
        <v>179</v>
      </c>
      <c r="N1047" s="6" t="s">
        <v>54</v>
      </c>
      <c r="O1047" s="6" t="s">
        <v>54</v>
      </c>
      <c r="P1047" s="6" t="s">
        <v>54</v>
      </c>
    </row>
    <row r="1048" spans="1:16" ht="30" customHeight="1" x14ac:dyDescent="0.3">
      <c r="A1048" s="7">
        <v>45664</v>
      </c>
      <c r="B1048" s="6" t="s">
        <v>5</v>
      </c>
      <c r="C1048" s="6" t="str">
        <f>VLOOKUP(B1046,'Veri doğrulama'!D6:E13,2,0)</f>
        <v>MEHMET YAZICI</v>
      </c>
      <c r="D1048" s="6" t="s">
        <v>173</v>
      </c>
      <c r="E1048" s="6" t="s">
        <v>176</v>
      </c>
      <c r="F1048" s="6" t="s">
        <v>19</v>
      </c>
      <c r="G1048" s="6" t="s">
        <v>34</v>
      </c>
      <c r="H1048" s="6">
        <v>673</v>
      </c>
      <c r="I1048" s="6">
        <v>445</v>
      </c>
      <c r="J1048" s="6">
        <v>1</v>
      </c>
      <c r="K1048" s="10">
        <f t="shared" si="34"/>
        <v>0.58359000000000005</v>
      </c>
      <c r="L1048" s="6" t="s">
        <v>75</v>
      </c>
      <c r="M1048" s="6"/>
      <c r="N1048" s="6" t="s">
        <v>54</v>
      </c>
      <c r="O1048" s="6" t="s">
        <v>54</v>
      </c>
      <c r="P1048" s="6" t="s">
        <v>54</v>
      </c>
    </row>
    <row r="1049" spans="1:16" ht="30" customHeight="1" x14ac:dyDescent="0.3">
      <c r="A1049" s="7">
        <v>45664</v>
      </c>
      <c r="B1049" s="6" t="s">
        <v>5</v>
      </c>
      <c r="C1049" s="6" t="s">
        <v>125</v>
      </c>
      <c r="D1049" s="6" t="s">
        <v>202</v>
      </c>
      <c r="E1049" s="6" t="s">
        <v>168</v>
      </c>
      <c r="F1049" s="6" t="s">
        <v>19</v>
      </c>
      <c r="G1049" s="6" t="s">
        <v>34</v>
      </c>
      <c r="H1049" s="6">
        <v>407</v>
      </c>
      <c r="I1049" s="6">
        <v>437</v>
      </c>
      <c r="J1049" s="6">
        <v>2</v>
      </c>
      <c r="K1049" s="10">
        <f t="shared" si="34"/>
        <v>0.299485</v>
      </c>
      <c r="L1049" s="6" t="s">
        <v>102</v>
      </c>
      <c r="M1049" s="6" t="s">
        <v>285</v>
      </c>
      <c r="N1049" s="6" t="s">
        <v>54</v>
      </c>
      <c r="O1049" s="6" t="s">
        <v>54</v>
      </c>
      <c r="P1049" s="6" t="s">
        <v>54</v>
      </c>
    </row>
    <row r="1050" spans="1:16" ht="30" customHeight="1" x14ac:dyDescent="0.3">
      <c r="A1050" s="7">
        <v>45664</v>
      </c>
      <c r="B1050" s="6" t="s">
        <v>4</v>
      </c>
      <c r="C1050" s="6" t="str">
        <f>VLOOKUP(B1048,'Veri doğrulama'!D6:E13,2,0)</f>
        <v>MEHMET ÖZEN</v>
      </c>
      <c r="D1050" s="6" t="s">
        <v>178</v>
      </c>
      <c r="E1050" s="6" t="s">
        <v>210</v>
      </c>
      <c r="F1050" s="6" t="s">
        <v>14</v>
      </c>
      <c r="G1050" s="6" t="s">
        <v>34</v>
      </c>
      <c r="H1050" s="6">
        <v>850</v>
      </c>
      <c r="I1050" s="6">
        <v>710</v>
      </c>
      <c r="J1050" s="6">
        <v>1</v>
      </c>
      <c r="K1050" s="10">
        <f t="shared" si="34"/>
        <v>0.35571799999999998</v>
      </c>
      <c r="L1050" s="6" t="s">
        <v>103</v>
      </c>
      <c r="M1050" s="6" t="s">
        <v>179</v>
      </c>
      <c r="N1050" s="6" t="s">
        <v>54</v>
      </c>
      <c r="O1050" s="6" t="s">
        <v>54</v>
      </c>
      <c r="P1050" s="6" t="s">
        <v>54</v>
      </c>
    </row>
    <row r="1051" spans="1:16" ht="30" customHeight="1" x14ac:dyDescent="0.3">
      <c r="A1051" s="7">
        <v>45664</v>
      </c>
      <c r="B1051" s="6" t="s">
        <v>5</v>
      </c>
      <c r="C1051" s="6" t="str">
        <f>VLOOKUP(B1049,'Veri doğrulama'!D6:E13,2,0)</f>
        <v>MEHMET ÖZEN</v>
      </c>
      <c r="D1051" s="6" t="s">
        <v>169</v>
      </c>
      <c r="E1051" s="6" t="s">
        <v>177</v>
      </c>
      <c r="F1051" s="6" t="s">
        <v>16</v>
      </c>
      <c r="G1051" s="6" t="s">
        <v>35</v>
      </c>
      <c r="H1051" s="6">
        <v>1400</v>
      </c>
      <c r="I1051" s="6">
        <v>800</v>
      </c>
      <c r="J1051" s="6">
        <v>2</v>
      </c>
      <c r="K1051" s="10">
        <f t="shared" si="34"/>
        <v>0.60350000000000004</v>
      </c>
      <c r="L1051" s="6" t="s">
        <v>43</v>
      </c>
      <c r="M1051" s="6" t="s">
        <v>318</v>
      </c>
      <c r="N1051" s="6" t="s">
        <v>54</v>
      </c>
      <c r="O1051" s="6" t="s">
        <v>54</v>
      </c>
      <c r="P1051" s="6"/>
    </row>
    <row r="1052" spans="1:16" ht="30" customHeight="1" x14ac:dyDescent="0.3">
      <c r="A1052" s="7">
        <v>45664</v>
      </c>
      <c r="B1052" s="6" t="s">
        <v>4</v>
      </c>
      <c r="C1052" s="6" t="str">
        <f>VLOOKUP(B1050,'Veri doğrulama'!D6:E13,2,0)</f>
        <v>MEHMET YAZICI</v>
      </c>
      <c r="D1052" s="6" t="s">
        <v>212</v>
      </c>
      <c r="E1052" s="6" t="s">
        <v>175</v>
      </c>
      <c r="F1052" s="6" t="s">
        <v>16</v>
      </c>
      <c r="G1052" s="6" t="s">
        <v>34</v>
      </c>
      <c r="H1052" s="6">
        <v>300</v>
      </c>
      <c r="I1052" s="6">
        <v>252</v>
      </c>
      <c r="J1052" s="6">
        <v>1</v>
      </c>
      <c r="K1052" s="10">
        <f t="shared" si="34"/>
        <v>1.1200000000000001</v>
      </c>
      <c r="L1052" s="6" t="s">
        <v>102</v>
      </c>
      <c r="M1052" s="6" t="s">
        <v>179</v>
      </c>
      <c r="N1052" s="6" t="s">
        <v>54</v>
      </c>
      <c r="O1052" s="6" t="s">
        <v>54</v>
      </c>
      <c r="P1052" s="6"/>
    </row>
    <row r="1053" spans="1:16" ht="30" customHeight="1" x14ac:dyDescent="0.3">
      <c r="A1053" s="7">
        <v>45664</v>
      </c>
      <c r="B1053" s="6" t="s">
        <v>4</v>
      </c>
      <c r="C1053" s="6" t="str">
        <f>VLOOKUP(B1051,'Veri doğrulama'!D6:E13,2,0)</f>
        <v>MEHMET ÖZEN</v>
      </c>
      <c r="D1053" s="6"/>
      <c r="E1053" s="6" t="s">
        <v>135</v>
      </c>
      <c r="F1053" s="6" t="s">
        <v>28</v>
      </c>
      <c r="G1053" s="6" t="s">
        <v>34</v>
      </c>
      <c r="H1053" s="6">
        <v>1800</v>
      </c>
      <c r="I1053" s="6">
        <v>850</v>
      </c>
      <c r="J1053" s="6">
        <v>1</v>
      </c>
      <c r="K1053" s="10">
        <f t="shared" si="34"/>
        <v>7.5600000000000001E-2</v>
      </c>
      <c r="L1053" s="6" t="s">
        <v>103</v>
      </c>
      <c r="M1053" s="6" t="s">
        <v>179</v>
      </c>
      <c r="N1053" s="6" t="s">
        <v>54</v>
      </c>
      <c r="O1053" s="6" t="s">
        <v>54</v>
      </c>
      <c r="P1053" s="6"/>
    </row>
    <row r="1054" spans="1:16" ht="30" customHeight="1" x14ac:dyDescent="0.3">
      <c r="A1054" s="7">
        <v>45664</v>
      </c>
      <c r="B1054" s="6" t="s">
        <v>5</v>
      </c>
      <c r="C1054" s="6" t="str">
        <f>VLOOKUP(B1052,'Veri doğrulama'!D6:E13,2,0)</f>
        <v>MEHMET YAZICI</v>
      </c>
      <c r="D1054" s="6"/>
      <c r="E1054" s="6" t="s">
        <v>172</v>
      </c>
      <c r="F1054" s="6" t="s">
        <v>28</v>
      </c>
      <c r="G1054" s="6" t="s">
        <v>34</v>
      </c>
      <c r="H1054" s="6">
        <v>1790</v>
      </c>
      <c r="I1054" s="6">
        <v>840</v>
      </c>
      <c r="J1054" s="6">
        <v>1</v>
      </c>
      <c r="K1054" s="10">
        <f t="shared" si="34"/>
        <v>1.53</v>
      </c>
      <c r="L1054" s="6" t="s">
        <v>75</v>
      </c>
      <c r="M1054" s="6"/>
      <c r="N1054" s="6" t="s">
        <v>54</v>
      </c>
      <c r="O1054" s="6" t="s">
        <v>54</v>
      </c>
      <c r="P1054" s="6"/>
    </row>
    <row r="1055" spans="1:16" ht="30" customHeight="1" x14ac:dyDescent="0.3">
      <c r="A1055" s="7">
        <v>45664</v>
      </c>
      <c r="B1055" s="6" t="s">
        <v>4</v>
      </c>
      <c r="C1055" s="6" t="str">
        <f>VLOOKUP(B1053,'Veri doğrulama'!D6:E13,2,0)</f>
        <v>MEHMET YAZICI</v>
      </c>
      <c r="D1055" s="6" t="s">
        <v>221</v>
      </c>
      <c r="E1055" s="6" t="s">
        <v>229</v>
      </c>
      <c r="F1055" s="6" t="s">
        <v>15</v>
      </c>
      <c r="G1055" s="6" t="s">
        <v>34</v>
      </c>
      <c r="H1055" s="6">
        <v>1800</v>
      </c>
      <c r="I1055" s="6">
        <v>1200</v>
      </c>
      <c r="J1055" s="6">
        <v>1</v>
      </c>
      <c r="K1055" s="10">
        <f t="shared" si="34"/>
        <v>1.5036</v>
      </c>
      <c r="L1055" s="6" t="s">
        <v>75</v>
      </c>
      <c r="M1055" s="6" t="s">
        <v>157</v>
      </c>
      <c r="N1055" s="6" t="s">
        <v>54</v>
      </c>
      <c r="O1055" s="6" t="s">
        <v>54</v>
      </c>
      <c r="P1055" s="6"/>
    </row>
    <row r="1056" spans="1:16" ht="30" customHeight="1" x14ac:dyDescent="0.3">
      <c r="A1056" s="7">
        <v>45664</v>
      </c>
      <c r="B1056" s="6" t="s">
        <v>4</v>
      </c>
      <c r="C1056" s="6" t="str">
        <f>VLOOKUP(B1054,'Veri doğrulama'!D6:E13,2,0)</f>
        <v>MEHMET ÖZEN</v>
      </c>
      <c r="D1056" s="6" t="s">
        <v>174</v>
      </c>
      <c r="E1056" s="6" t="s">
        <v>161</v>
      </c>
      <c r="F1056" s="6" t="s">
        <v>20</v>
      </c>
      <c r="G1056" s="6" t="s">
        <v>34</v>
      </c>
      <c r="H1056" s="6">
        <v>1600</v>
      </c>
      <c r="I1056" s="6">
        <v>800</v>
      </c>
      <c r="J1056" s="6">
        <v>1</v>
      </c>
      <c r="K1056" s="10">
        <f t="shared" si="34"/>
        <v>2.16</v>
      </c>
      <c r="L1056" s="6" t="s">
        <v>38</v>
      </c>
      <c r="M1056" s="6" t="s">
        <v>159</v>
      </c>
      <c r="N1056" s="6" t="s">
        <v>54</v>
      </c>
      <c r="O1056" s="6" t="s">
        <v>54</v>
      </c>
      <c r="P1056" s="6" t="s">
        <v>54</v>
      </c>
    </row>
    <row r="1057" spans="1:16" ht="30" customHeight="1" x14ac:dyDescent="0.3">
      <c r="A1057" s="7">
        <v>45664</v>
      </c>
      <c r="B1057" s="6" t="s">
        <v>4</v>
      </c>
      <c r="C1057" s="6" t="str">
        <f>VLOOKUP(B1055,'Veri doğrulama'!D6:E13,2,0)</f>
        <v>MEHMET YAZICI</v>
      </c>
      <c r="D1057" s="6" t="s">
        <v>224</v>
      </c>
      <c r="E1057" s="6" t="s">
        <v>717</v>
      </c>
      <c r="F1057" s="6" t="s">
        <v>25</v>
      </c>
      <c r="G1057" s="6" t="s">
        <v>34</v>
      </c>
      <c r="H1057" s="6">
        <v>2370</v>
      </c>
      <c r="I1057" s="6">
        <v>128</v>
      </c>
      <c r="J1057" s="6">
        <v>1</v>
      </c>
      <c r="K1057" s="10">
        <f t="shared" si="34"/>
        <v>1.28</v>
      </c>
      <c r="L1057" s="6" t="s">
        <v>156</v>
      </c>
      <c r="M1057" s="6" t="s">
        <v>716</v>
      </c>
      <c r="N1057" s="6" t="s">
        <v>54</v>
      </c>
      <c r="O1057" s="6" t="s">
        <v>54</v>
      </c>
      <c r="P1057" s="6" t="s">
        <v>54</v>
      </c>
    </row>
    <row r="1058" spans="1:16" ht="30" customHeight="1" x14ac:dyDescent="0.3">
      <c r="A1058" s="7">
        <v>45664</v>
      </c>
      <c r="B1058" s="6" t="s">
        <v>4</v>
      </c>
      <c r="C1058" s="6" t="str">
        <f>VLOOKUP(B1056,'Veri doğrulama'!D6:E13,2,0)</f>
        <v>MEHMET YAZICI</v>
      </c>
      <c r="D1058" s="6"/>
      <c r="E1058" s="6" t="s">
        <v>170</v>
      </c>
      <c r="F1058" s="6" t="s">
        <v>27</v>
      </c>
      <c r="G1058" s="6" t="s">
        <v>35</v>
      </c>
      <c r="H1058" s="6">
        <v>389</v>
      </c>
      <c r="I1058" s="6">
        <v>500</v>
      </c>
      <c r="J1058" s="6">
        <v>1</v>
      </c>
      <c r="K1058" s="10">
        <f t="shared" si="34"/>
        <v>0.30336000000000002</v>
      </c>
      <c r="L1058" s="6" t="s">
        <v>75</v>
      </c>
      <c r="M1058" s="6" t="s">
        <v>179</v>
      </c>
      <c r="N1058" s="6" t="s">
        <v>54</v>
      </c>
      <c r="O1058" s="6" t="s">
        <v>54</v>
      </c>
      <c r="P1058" s="6" t="s">
        <v>54</v>
      </c>
    </row>
    <row r="1059" spans="1:16" ht="30" customHeight="1" x14ac:dyDescent="0.3">
      <c r="A1059" s="7">
        <v>45664</v>
      </c>
      <c r="B1059" s="6" t="s">
        <v>4</v>
      </c>
      <c r="C1059" s="6" t="str">
        <f>VLOOKUP(B1057,'Veri doğrulama'!D6:E13,2,0)</f>
        <v>MEHMET YAZICI</v>
      </c>
      <c r="D1059" s="6">
        <v>22681</v>
      </c>
      <c r="E1059" s="6" t="s">
        <v>163</v>
      </c>
      <c r="F1059" s="6" t="s">
        <v>27</v>
      </c>
      <c r="G1059" s="6" t="s">
        <v>34</v>
      </c>
      <c r="H1059" s="6">
        <v>445</v>
      </c>
      <c r="I1059" s="6">
        <v>171</v>
      </c>
      <c r="J1059" s="6">
        <v>1</v>
      </c>
      <c r="K1059" s="10">
        <f t="shared" si="34"/>
        <v>0.19450000000000001</v>
      </c>
      <c r="L1059" s="6" t="s">
        <v>156</v>
      </c>
      <c r="M1059" s="6" t="s">
        <v>159</v>
      </c>
      <c r="N1059" s="6" t="s">
        <v>54</v>
      </c>
      <c r="O1059" s="6" t="s">
        <v>54</v>
      </c>
      <c r="P1059" s="6"/>
    </row>
    <row r="1060" spans="1:16" ht="30" customHeight="1" x14ac:dyDescent="0.3">
      <c r="A1060" s="7">
        <v>45663</v>
      </c>
      <c r="B1060" s="6" t="s">
        <v>5</v>
      </c>
      <c r="C1060" s="6" t="str">
        <f>VLOOKUP(B1058,'Veri doğrulama'!D6:E13,2,0)</f>
        <v>MEHMET YAZICI</v>
      </c>
      <c r="D1060" s="6"/>
      <c r="E1060" s="6" t="s">
        <v>167</v>
      </c>
      <c r="F1060" s="6" t="s">
        <v>19</v>
      </c>
      <c r="G1060" s="6" t="s">
        <v>34</v>
      </c>
      <c r="H1060" s="6">
        <v>2386</v>
      </c>
      <c r="I1060" s="6">
        <v>350</v>
      </c>
      <c r="J1060" s="6">
        <v>1</v>
      </c>
      <c r="K1060" s="10">
        <f t="shared" si="34"/>
        <v>7.6094999999999996E-2</v>
      </c>
      <c r="L1060" s="6" t="s">
        <v>75</v>
      </c>
      <c r="M1060" s="6" t="s">
        <v>285</v>
      </c>
      <c r="N1060" s="6" t="s">
        <v>54</v>
      </c>
      <c r="O1060" s="6" t="s">
        <v>54</v>
      </c>
      <c r="P1060" s="6" t="s">
        <v>54</v>
      </c>
    </row>
    <row r="1061" spans="1:16" ht="30" customHeight="1" x14ac:dyDescent="0.3">
      <c r="A1061" s="7">
        <v>45663</v>
      </c>
      <c r="B1061" s="6" t="s">
        <v>4</v>
      </c>
      <c r="C1061" s="6" t="str">
        <f>VLOOKUP(B1059,'Veri doğrulama'!D6:E13,2,0)</f>
        <v>MEHMET YAZICI</v>
      </c>
      <c r="D1061" s="6"/>
      <c r="E1061" s="6" t="s">
        <v>165</v>
      </c>
      <c r="F1061" s="6" t="s">
        <v>16</v>
      </c>
      <c r="G1061" s="6" t="s">
        <v>34</v>
      </c>
      <c r="H1061" s="6">
        <v>1400</v>
      </c>
      <c r="I1061" s="6">
        <v>800</v>
      </c>
      <c r="J1061" s="6">
        <v>1</v>
      </c>
      <c r="K1061" s="10">
        <f t="shared" si="34"/>
        <v>0.83509999999999995</v>
      </c>
      <c r="L1061" s="6" t="s">
        <v>102</v>
      </c>
      <c r="M1061" s="6" t="s">
        <v>157</v>
      </c>
      <c r="N1061" s="6" t="s">
        <v>54</v>
      </c>
      <c r="O1061" s="6" t="s">
        <v>54</v>
      </c>
      <c r="P1061" s="6" t="s">
        <v>54</v>
      </c>
    </row>
    <row r="1062" spans="1:16" ht="30" customHeight="1" x14ac:dyDescent="0.3">
      <c r="A1062" s="7">
        <v>45663</v>
      </c>
      <c r="B1062" s="6" t="s">
        <v>4</v>
      </c>
      <c r="C1062" s="6" t="str">
        <f>VLOOKUP(B1060,'Veri doğrulama'!D6:E13,2,0)</f>
        <v>MEHMET ÖZEN</v>
      </c>
      <c r="D1062" s="6"/>
      <c r="E1062" s="6" t="s">
        <v>151</v>
      </c>
      <c r="F1062" s="6" t="s">
        <v>18</v>
      </c>
      <c r="G1062" s="6" t="s">
        <v>34</v>
      </c>
      <c r="H1062" s="6">
        <v>2000</v>
      </c>
      <c r="I1062" s="6">
        <v>900</v>
      </c>
      <c r="J1062" s="6">
        <v>1</v>
      </c>
      <c r="K1062" s="10">
        <f t="shared" si="34"/>
        <v>1.1200000000000001</v>
      </c>
      <c r="L1062" s="6" t="s">
        <v>43</v>
      </c>
      <c r="M1062" s="6" t="s">
        <v>179</v>
      </c>
      <c r="N1062" s="6" t="s">
        <v>54</v>
      </c>
      <c r="O1062" s="6" t="s">
        <v>54</v>
      </c>
      <c r="P1062" s="6"/>
    </row>
    <row r="1063" spans="1:16" ht="30" customHeight="1" x14ac:dyDescent="0.3">
      <c r="A1063" s="7">
        <v>45663</v>
      </c>
      <c r="B1063" s="6" t="s">
        <v>5</v>
      </c>
      <c r="C1063" s="6" t="str">
        <f>VLOOKUP(B1061,'Veri doğrulama'!D6:E13,2,0)</f>
        <v>MEHMET YAZICI</v>
      </c>
      <c r="D1063" s="6"/>
      <c r="E1063" s="6" t="s">
        <v>164</v>
      </c>
      <c r="F1063" s="6" t="s">
        <v>16</v>
      </c>
      <c r="G1063" s="6" t="s">
        <v>34</v>
      </c>
      <c r="H1063" s="6">
        <v>2420</v>
      </c>
      <c r="I1063" s="6">
        <v>1120</v>
      </c>
      <c r="J1063" s="6">
        <v>1</v>
      </c>
      <c r="K1063" s="10">
        <f t="shared" si="34"/>
        <v>1.8</v>
      </c>
      <c r="L1063" s="6" t="s">
        <v>75</v>
      </c>
      <c r="M1063" s="6" t="s">
        <v>310</v>
      </c>
      <c r="N1063" s="6" t="s">
        <v>54</v>
      </c>
      <c r="O1063" s="6" t="s">
        <v>54</v>
      </c>
      <c r="P1063" s="6" t="s">
        <v>54</v>
      </c>
    </row>
    <row r="1064" spans="1:16" ht="30" customHeight="1" x14ac:dyDescent="0.3">
      <c r="A1064" s="7">
        <v>45663</v>
      </c>
      <c r="B1064" s="6" t="s">
        <v>5</v>
      </c>
      <c r="C1064" s="6" t="str">
        <f>VLOOKUP(B1062,'Veri doğrulama'!D6:E13,2,0)</f>
        <v>MEHMET YAZICI</v>
      </c>
      <c r="D1064" s="6" t="s">
        <v>180</v>
      </c>
      <c r="E1064" s="6" t="s">
        <v>161</v>
      </c>
      <c r="F1064" s="6" t="s">
        <v>16</v>
      </c>
      <c r="G1064" s="6" t="s">
        <v>34</v>
      </c>
      <c r="H1064" s="6">
        <v>1800</v>
      </c>
      <c r="I1064" s="6">
        <v>800</v>
      </c>
      <c r="J1064" s="6">
        <v>1</v>
      </c>
      <c r="K1064" s="10">
        <f t="shared" si="34"/>
        <v>2.7103999999999999</v>
      </c>
      <c r="L1064" s="6" t="s">
        <v>43</v>
      </c>
      <c r="M1064" s="6"/>
      <c r="N1064" s="6" t="s">
        <v>54</v>
      </c>
      <c r="O1064" s="6" t="s">
        <v>54</v>
      </c>
      <c r="P1064" s="6"/>
    </row>
    <row r="1065" spans="1:16" ht="30" customHeight="1" x14ac:dyDescent="0.3">
      <c r="A1065" s="7">
        <v>45659</v>
      </c>
      <c r="B1065" s="6" t="s">
        <v>5</v>
      </c>
      <c r="C1065" s="6" t="e">
        <f>VLOOKUP(#REF!,'Veri doğrulama'!D6:E13,2,0)</f>
        <v>#REF!</v>
      </c>
      <c r="D1065" s="6"/>
      <c r="E1065" s="6" t="s">
        <v>161</v>
      </c>
      <c r="F1065" s="6" t="s">
        <v>16</v>
      </c>
      <c r="G1065" s="6" t="s">
        <v>34</v>
      </c>
      <c r="H1065" s="6">
        <v>1800</v>
      </c>
      <c r="I1065" s="6">
        <v>800</v>
      </c>
      <c r="J1065" s="6">
        <v>1</v>
      </c>
      <c r="K1065" s="10">
        <f t="shared" si="34"/>
        <v>1.44</v>
      </c>
      <c r="L1065" s="6" t="s">
        <v>103</v>
      </c>
      <c r="M1065" s="6"/>
      <c r="N1065" s="6" t="s">
        <v>54</v>
      </c>
      <c r="O1065" s="6" t="s">
        <v>54</v>
      </c>
      <c r="P1065" s="6" t="s">
        <v>54</v>
      </c>
    </row>
    <row r="1066" spans="1:16" ht="30" customHeight="1" x14ac:dyDescent="0.3">
      <c r="A1066" s="7">
        <v>45659</v>
      </c>
      <c r="B1066" s="6" t="s">
        <v>4</v>
      </c>
      <c r="C1066" s="6" t="str">
        <f>VLOOKUP(B1064,'Veri doğrulama'!D6:E13,2,0)</f>
        <v>MEHMET ÖZEN</v>
      </c>
      <c r="D1066" s="6" t="s">
        <v>162</v>
      </c>
      <c r="E1066" s="6" t="s">
        <v>160</v>
      </c>
      <c r="F1066" s="6" t="s">
        <v>16</v>
      </c>
      <c r="G1066" s="6" t="s">
        <v>34</v>
      </c>
      <c r="H1066" s="6">
        <v>1800</v>
      </c>
      <c r="I1066" s="6">
        <v>1600</v>
      </c>
      <c r="J1066" s="6">
        <v>1</v>
      </c>
      <c r="K1066" s="10">
        <f t="shared" si="34"/>
        <v>1.44</v>
      </c>
      <c r="L1066" s="6" t="s">
        <v>42</v>
      </c>
      <c r="M1066" s="6" t="s">
        <v>159</v>
      </c>
      <c r="N1066" s="6" t="s">
        <v>54</v>
      </c>
      <c r="O1066" s="6" t="s">
        <v>54</v>
      </c>
      <c r="P1066" s="6"/>
    </row>
    <row r="1067" spans="1:16" ht="30" customHeight="1" x14ac:dyDescent="0.3">
      <c r="A1067" s="7">
        <v>45659</v>
      </c>
      <c r="C1067" s="6" t="str">
        <f>VLOOKUP(B1065,'Veri doğrulama'!D6:E13,2,0)</f>
        <v>MEHMET ÖZEN</v>
      </c>
      <c r="D1067" s="6"/>
      <c r="G1067" s="6" t="s">
        <v>34</v>
      </c>
      <c r="J1067" s="6">
        <v>1</v>
      </c>
      <c r="K1067" s="10" t="e">
        <f>I1066*H1066/1000000*#REF!</f>
        <v>#REF!</v>
      </c>
      <c r="L1067" s="6" t="s">
        <v>43</v>
      </c>
      <c r="N1067" s="6" t="s">
        <v>54</v>
      </c>
      <c r="O1067" s="6" t="s">
        <v>54</v>
      </c>
      <c r="P1067" s="6"/>
    </row>
    <row r="1048425" spans="14:14" ht="30" customHeight="1" x14ac:dyDescent="0.3">
      <c r="N1048425" s="6"/>
    </row>
  </sheetData>
  <autoFilter ref="A1:P1067" xr:uid="{00000000-0009-0000-0000-000002000000}">
    <sortState xmlns:xlrd2="http://schemas.microsoft.com/office/spreadsheetml/2017/richdata2" ref="A2:P1067">
      <sortCondition descending="1" ref="A1:A1067"/>
    </sortState>
  </autoFilter>
  <conditionalFormatting sqref="O650 O651:P1048576 O2:P649 N2:N1048576">
    <cfRule type="containsText" dxfId="0" priority="1" operator="containsText" text="YAPILDI">
      <formula>NOT(ISERROR(SEARCH("YAPILDI",N2)))</formula>
    </cfRule>
  </conditionalFormatting>
  <dataValidations count="6">
    <dataValidation type="list" allowBlank="1" showInputMessage="1" showErrorMessage="1" sqref="O650 O651:P1048576 N2:N1048576 O2:P649" xr:uid="{00000000-0002-0000-0200-000000000000}">
      <formula1>"YAPILDI"</formula1>
    </dataValidation>
    <dataValidation type="list" allowBlank="1" showInputMessage="1" showErrorMessage="1" sqref="F1016:F1018" xr:uid="{00000000-0002-0000-0200-000001000000}">
      <formula1>$G$885:$G$902</formula1>
    </dataValidation>
    <dataValidation type="list" allowBlank="1" showInputMessage="1" showErrorMessage="1" sqref="F804:F881 F2:F802" xr:uid="{00000000-0002-0000-0200-000002000000}">
      <formula1>Renkler</formula1>
    </dataValidation>
    <dataValidation type="list" allowBlank="1" showInputMessage="1" showErrorMessage="1" sqref="G2:G882" xr:uid="{00000000-0002-0000-0200-000003000000}">
      <formula1>Kalınlık</formula1>
    </dataValidation>
    <dataValidation type="list" allowBlank="1" showInputMessage="1" showErrorMessage="1" sqref="B2:B881" xr:uid="{00000000-0002-0000-0200-000004000000}">
      <formula1>Bölüm_Adı</formula1>
    </dataValidation>
    <dataValidation type="list" allowBlank="1" showInputMessage="1" showErrorMessage="1" sqref="L2:L883" xr:uid="{00000000-0002-0000-0200-000005000000}">
      <formula1>Hata_Nedeni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200-000006000000}">
          <x14:formula1>
            <xm:f>'Veri doğrulama'!$G$6:$G$8</xm:f>
          </x14:formula1>
          <xm:sqref>G883:G1067</xm:sqref>
        </x14:dataValidation>
        <x14:dataValidation type="list" allowBlank="1" showInputMessage="1" showErrorMessage="1" xr:uid="{00000000-0002-0000-0200-000007000000}">
          <x14:formula1>
            <xm:f>'Veri doğrulama'!$D$6:$D$12</xm:f>
          </x14:formula1>
          <xm:sqref>B882:B1058</xm:sqref>
        </x14:dataValidation>
        <x14:dataValidation type="list" allowBlank="1" showInputMessage="1" showErrorMessage="1" xr:uid="{00000000-0002-0000-0200-000008000000}">
          <x14:formula1>
            <xm:f>'Veri doğrulama'!$H$6:$H$14</xm:f>
          </x14:formula1>
          <xm:sqref>L884:L1020</xm:sqref>
        </x14:dataValidation>
        <x14:dataValidation type="list" allowBlank="1" showInputMessage="1" showErrorMessage="1" xr:uid="{00000000-0002-0000-0200-000009000000}">
          <x14:formula1>
            <xm:f>'Veri doğrulama'!$F$6:$F$27</xm:f>
          </x14:formula1>
          <xm:sqref>F882:F922</xm:sqref>
        </x14:dataValidation>
        <x14:dataValidation type="list" allowBlank="1" showInputMessage="1" showErrorMessage="1" xr:uid="{00000000-0002-0000-0200-00000A000000}">
          <x14:formula1>
            <xm:f>'Veri doğrulama'!$F$6:$F$26</xm:f>
          </x14:formula1>
          <xm:sqref>F923:F994</xm:sqref>
        </x14:dataValidation>
        <x14:dataValidation type="list" allowBlank="1" showInputMessage="1" showErrorMessage="1" xr:uid="{00000000-0002-0000-0200-00000B000000}">
          <x14:formula1>
            <xm:f>'Veri doğrulama'!$F$6:$F$23</xm:f>
          </x14:formula1>
          <xm:sqref>F1019:F1066</xm:sqref>
        </x14:dataValidation>
        <x14:dataValidation type="list" allowBlank="1" showInputMessage="1" showErrorMessage="1" xr:uid="{00000000-0002-0000-0200-00000C000000}">
          <x14:formula1>
            <xm:f>'Veri doğrulama'!$H$6:$H$13</xm:f>
          </x14:formula1>
          <xm:sqref>L1021:L1067</xm:sqref>
        </x14:dataValidation>
        <x14:dataValidation type="list" allowBlank="1" showInputMessage="1" showErrorMessage="1" xr:uid="{00000000-0002-0000-0200-00000D000000}">
          <x14:formula1>
            <xm:f>'Veri doğrulama'!$D$6:$D$11</xm:f>
          </x14:formula1>
          <xm:sqref>B1059:B1064</xm:sqref>
        </x14:dataValidation>
        <x14:dataValidation type="list" allowBlank="1" showInputMessage="1" showErrorMessage="1" xr:uid="{00000000-0002-0000-0200-00000E000000}">
          <x14:formula1>
            <xm:f>'Veri doğrulama'!$E$6:$E$11</xm:f>
          </x14:formula1>
          <xm:sqref>C1061:C1066</xm:sqref>
        </x14:dataValidation>
        <x14:dataValidation type="list" allowBlank="1" showInputMessage="1" showErrorMessage="1" xr:uid="{00000000-0002-0000-0200-00000F000000}">
          <x14:formula1>
            <xm:f>'Veri doğrulama'!$E$6:$E$9</xm:f>
          </x14:formula1>
          <xm:sqref>C1067</xm:sqref>
        </x14:dataValidation>
        <x14:dataValidation type="list" allowBlank="1" showInputMessage="1" showErrorMessage="1" xr:uid="{00000000-0002-0000-0200-000010000000}">
          <x14:formula1>
            <xm:f>'Veri doğrulama'!$D$6:$D$9</xm:f>
          </x14:formula1>
          <xm:sqref>B1065:B1066</xm:sqref>
        </x14:dataValidation>
        <x14:dataValidation type="list" allowBlank="1" showInputMessage="1" showErrorMessage="1" xr:uid="{00000000-0002-0000-0200-000011000000}">
          <x14:formula1>
            <xm:f>'Veri doğrulama'!$F$6:$F$25</xm:f>
          </x14:formula1>
          <xm:sqref>F995:F1015</xm:sqref>
        </x14:dataValidation>
        <x14:dataValidation type="list" allowBlank="1" showInputMessage="1" showErrorMessage="1" xr:uid="{00000000-0002-0000-0200-000012000000}">
          <x14:formula1>
            <xm:f>'Veri doğrulama'!$E$6:$E$12</xm:f>
          </x14:formula1>
          <xm:sqref>C2:C1060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2"/>
  <dimension ref="D5:I33"/>
  <sheetViews>
    <sheetView topLeftCell="A17" zoomScale="145" zoomScaleNormal="145" workbookViewId="0">
      <selection activeCell="G6" sqref="G6"/>
    </sheetView>
  </sheetViews>
  <sheetFormatPr defaultRowHeight="14.4" x14ac:dyDescent="0.3"/>
  <cols>
    <col min="3" max="3" width="12.21875" customWidth="1"/>
    <col min="4" max="4" width="18.5546875" customWidth="1"/>
    <col min="5" max="5" width="19.21875" customWidth="1"/>
    <col min="6" max="6" width="17.21875" bestFit="1" customWidth="1"/>
    <col min="7" max="7" width="12.21875" customWidth="1"/>
    <col min="8" max="8" width="19" bestFit="1" customWidth="1"/>
    <col min="9" max="9" width="13.77734375" bestFit="1" customWidth="1"/>
  </cols>
  <sheetData>
    <row r="5" spans="4:9" x14ac:dyDescent="0.3">
      <c r="D5" t="s">
        <v>3</v>
      </c>
      <c r="E5" t="s">
        <v>8</v>
      </c>
      <c r="F5" t="s">
        <v>31</v>
      </c>
      <c r="G5" t="s">
        <v>32</v>
      </c>
      <c r="H5" t="s">
        <v>36</v>
      </c>
      <c r="I5" t="s">
        <v>1669</v>
      </c>
    </row>
    <row r="6" spans="4:9" x14ac:dyDescent="0.3">
      <c r="D6" t="s">
        <v>4</v>
      </c>
      <c r="E6" t="s">
        <v>125</v>
      </c>
      <c r="F6" t="s">
        <v>13</v>
      </c>
      <c r="G6" t="s">
        <v>33</v>
      </c>
      <c r="H6" t="s">
        <v>37</v>
      </c>
      <c r="I6" t="s">
        <v>1670</v>
      </c>
    </row>
    <row r="7" spans="4:9" x14ac:dyDescent="0.3">
      <c r="D7" t="s">
        <v>5</v>
      </c>
      <c r="E7" t="s">
        <v>53</v>
      </c>
      <c r="F7" t="s">
        <v>14</v>
      </c>
      <c r="G7" t="s">
        <v>34</v>
      </c>
      <c r="H7" t="s">
        <v>38</v>
      </c>
      <c r="I7" t="s">
        <v>1671</v>
      </c>
    </row>
    <row r="8" spans="4:9" x14ac:dyDescent="0.3">
      <c r="D8" t="s">
        <v>6</v>
      </c>
      <c r="E8" t="s">
        <v>10</v>
      </c>
      <c r="F8" t="s">
        <v>15</v>
      </c>
      <c r="G8" t="s">
        <v>35</v>
      </c>
      <c r="H8" t="s">
        <v>39</v>
      </c>
      <c r="I8" t="s">
        <v>1672</v>
      </c>
    </row>
    <row r="9" spans="4:9" x14ac:dyDescent="0.3">
      <c r="D9" t="s">
        <v>7</v>
      </c>
      <c r="E9" t="s">
        <v>11</v>
      </c>
      <c r="F9" t="s">
        <v>16</v>
      </c>
      <c r="H9" t="s">
        <v>103</v>
      </c>
      <c r="I9" t="s">
        <v>1673</v>
      </c>
    </row>
    <row r="10" spans="4:9" x14ac:dyDescent="0.3">
      <c r="D10" t="s">
        <v>64</v>
      </c>
      <c r="E10" t="s">
        <v>62</v>
      </c>
      <c r="F10" t="s">
        <v>17</v>
      </c>
      <c r="H10" t="s">
        <v>41</v>
      </c>
      <c r="I10" t="s">
        <v>1674</v>
      </c>
    </row>
    <row r="11" spans="4:9" x14ac:dyDescent="0.3">
      <c r="D11" t="s">
        <v>65</v>
      </c>
      <c r="E11" t="s">
        <v>63</v>
      </c>
      <c r="F11" t="s">
        <v>18</v>
      </c>
      <c r="H11" t="s">
        <v>75</v>
      </c>
      <c r="I11" t="s">
        <v>1675</v>
      </c>
    </row>
    <row r="12" spans="4:9" x14ac:dyDescent="0.3">
      <c r="D12" t="s">
        <v>81</v>
      </c>
      <c r="E12" t="s">
        <v>1327</v>
      </c>
      <c r="F12" t="s">
        <v>19</v>
      </c>
      <c r="H12" t="s">
        <v>42</v>
      </c>
      <c r="I12" t="s">
        <v>1676</v>
      </c>
    </row>
    <row r="13" spans="4:9" x14ac:dyDescent="0.3">
      <c r="D13" t="s">
        <v>152</v>
      </c>
      <c r="E13" t="s">
        <v>153</v>
      </c>
      <c r="F13" t="s">
        <v>20</v>
      </c>
      <c r="H13" t="s">
        <v>43</v>
      </c>
      <c r="I13" t="s">
        <v>1677</v>
      </c>
    </row>
    <row r="14" spans="4:9" x14ac:dyDescent="0.3">
      <c r="F14" t="s">
        <v>21</v>
      </c>
      <c r="H14" t="s">
        <v>102</v>
      </c>
    </row>
    <row r="15" spans="4:9" x14ac:dyDescent="0.3">
      <c r="F15" t="s">
        <v>22</v>
      </c>
      <c r="H15" t="s">
        <v>155</v>
      </c>
    </row>
    <row r="16" spans="4:9" x14ac:dyDescent="0.3">
      <c r="F16" t="s">
        <v>23</v>
      </c>
      <c r="H16" t="s">
        <v>156</v>
      </c>
    </row>
    <row r="17" spans="6:8" x14ac:dyDescent="0.3">
      <c r="F17" t="s">
        <v>24</v>
      </c>
      <c r="H17" t="s">
        <v>252</v>
      </c>
    </row>
    <row r="18" spans="6:8" x14ac:dyDescent="0.3">
      <c r="F18" t="s">
        <v>25</v>
      </c>
      <c r="H18" t="s">
        <v>596</v>
      </c>
    </row>
    <row r="19" spans="6:8" x14ac:dyDescent="0.3">
      <c r="F19" t="s">
        <v>26</v>
      </c>
      <c r="H19" t="s">
        <v>1563</v>
      </c>
    </row>
    <row r="20" spans="6:8" x14ac:dyDescent="0.3">
      <c r="F20" t="s">
        <v>27</v>
      </c>
    </row>
    <row r="21" spans="6:8" x14ac:dyDescent="0.3">
      <c r="F21" t="s">
        <v>28</v>
      </c>
    </row>
    <row r="22" spans="6:8" x14ac:dyDescent="0.3">
      <c r="F22" t="s">
        <v>29</v>
      </c>
    </row>
    <row r="23" spans="6:8" x14ac:dyDescent="0.3">
      <c r="F23" t="s">
        <v>30</v>
      </c>
    </row>
    <row r="24" spans="6:8" x14ac:dyDescent="0.3">
      <c r="F24" t="s">
        <v>110</v>
      </c>
    </row>
    <row r="25" spans="6:8" x14ac:dyDescent="0.3">
      <c r="F25" t="s">
        <v>111</v>
      </c>
    </row>
    <row r="26" spans="6:8" x14ac:dyDescent="0.3">
      <c r="F26" t="s">
        <v>119</v>
      </c>
    </row>
    <row r="27" spans="6:8" x14ac:dyDescent="0.3">
      <c r="F27" t="s">
        <v>208</v>
      </c>
    </row>
    <row r="28" spans="6:8" x14ac:dyDescent="0.3">
      <c r="F28" t="s">
        <v>146</v>
      </c>
    </row>
    <row r="29" spans="6:8" x14ac:dyDescent="0.3">
      <c r="F29" t="s">
        <v>324</v>
      </c>
    </row>
    <row r="30" spans="6:8" x14ac:dyDescent="0.3">
      <c r="F30" t="s">
        <v>1004</v>
      </c>
    </row>
    <row r="31" spans="6:8" x14ac:dyDescent="0.3">
      <c r="F31" t="s">
        <v>1010</v>
      </c>
    </row>
    <row r="32" spans="6:8" x14ac:dyDescent="0.3">
      <c r="F32" t="s">
        <v>1392</v>
      </c>
    </row>
    <row r="33" spans="6:6" x14ac:dyDescent="0.3">
      <c r="F33" t="s">
        <v>1497</v>
      </c>
    </row>
  </sheetData>
  <dataValidations count="1">
    <dataValidation type="list" allowBlank="1" showInputMessage="1" showErrorMessage="1" sqref="D6:D13" xr:uid="{00000000-0002-0000-0300-000000000000}">
      <formula1>Bölüm_Adı</formula1>
    </dataValidation>
  </dataValidation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12</vt:i4>
      </vt:variant>
    </vt:vector>
  </HeadingPairs>
  <TitlesOfParts>
    <vt:vector size="16" baseType="lpstr">
      <vt:lpstr>VERİ GİRİŞİ</vt:lpstr>
      <vt:lpstr>VERİ KAYIT</vt:lpstr>
      <vt:lpstr>2 ocak-24 ekim</vt:lpstr>
      <vt:lpstr>Veri doğrulama</vt:lpstr>
      <vt:lpstr>'2 ocak-24 ekim'!Bölüm_Adı</vt:lpstr>
      <vt:lpstr>Bölüm_Adı</vt:lpstr>
      <vt:lpstr>'2 ocak-24 ekim'!Hata_Nedeni</vt:lpstr>
      <vt:lpstr>Hata_Nedeni</vt:lpstr>
      <vt:lpstr>'2 ocak-24 ekim'!Kalınlık</vt:lpstr>
      <vt:lpstr>Kalınlık</vt:lpstr>
      <vt:lpstr>'2 ocak-24 ekim'!Renkler</vt:lpstr>
      <vt:lpstr>Renkler</vt:lpstr>
      <vt:lpstr>'2 ocak-24 ekim'!Talep_Acan</vt:lpstr>
      <vt:lpstr>Talep_Acan</vt:lpstr>
      <vt:lpstr>'2 ocak-24 ekim'!Yazdırma_Alanı</vt:lpstr>
      <vt:lpstr>'VERİ KAYIT'!Yazdırma_Alanı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İsmet KURT</cp:lastModifiedBy>
  <cp:lastPrinted>2024-06-06T13:53:27Z</cp:lastPrinted>
  <dcterms:created xsi:type="dcterms:W3CDTF">2015-06-05T18:19:34Z</dcterms:created>
  <dcterms:modified xsi:type="dcterms:W3CDTF">2026-03-11T09:23:22Z</dcterms:modified>
</cp:coreProperties>
</file>