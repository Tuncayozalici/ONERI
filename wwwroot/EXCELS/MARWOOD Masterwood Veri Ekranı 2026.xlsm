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08" codeName="{643B0D74-A683-FBA9-23B4-8A0AA6E0B6B9}"/>
  <workbookPr codeName="BuÇalışmaKitabı1"/>
  <mc:AlternateContent xmlns:mc="http://schemas.openxmlformats.org/markup-compatibility/2006">
    <mc:Choice Requires="x15">
      <x15ac:absPath xmlns:x15ac="http://schemas.microsoft.com/office/spreadsheetml/2010/11/ac" url="/Users/tuncay/Desktop/GÜNCEL EXCEL/"/>
    </mc:Choice>
  </mc:AlternateContent>
  <xr:revisionPtr revIDLastSave="0" documentId="13_ncr:1_{5D8BF55A-FBE0-E444-969A-1D61E412BA44}" xr6:coauthVersionLast="47" xr6:coauthVersionMax="47" xr10:uidLastSave="{00000000-0000-0000-0000-000000000000}"/>
  <bookViews>
    <workbookView xWindow="0" yWindow="780" windowWidth="34200" windowHeight="21460" activeTab="1" xr2:uid="{00000000-000D-0000-FFFF-FFFF00000000}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RAPORU'!$A$1:$E$1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3" l="1"/>
  <c r="P4" i="3"/>
  <c r="O4" i="3"/>
  <c r="N4" i="3"/>
  <c r="R4" i="3" s="1"/>
  <c r="Q3" i="3"/>
  <c r="P3" i="3"/>
  <c r="O3" i="3"/>
  <c r="N3" i="3"/>
  <c r="R3" i="3" s="1"/>
  <c r="Q2" i="3"/>
  <c r="P2" i="3"/>
  <c r="O2" i="3"/>
  <c r="N2" i="3"/>
  <c r="R2" i="3" s="1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E4" i="1" l="1"/>
</calcChain>
</file>

<file path=xl/sharedStrings.xml><?xml version="1.0" encoding="utf-8"?>
<sst xmlns="http://schemas.openxmlformats.org/spreadsheetml/2006/main" count="195" uniqueCount="39">
  <si>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</si>
  <si>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</si>
  <si>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</si>
  <si>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</si>
  <si>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</si>
  <si>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</si>
  <si>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</si>
  <si>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</si>
  <si>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</si>
  <si>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</si>
  <si>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</si>
  <si>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</si>
  <si>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</si>
  <si>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</si>
  <si>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Masterwood</t>
  </si>
  <si>
    <t>Delik</t>
  </si>
  <si>
    <t>Elektrik Kesilmesi</t>
  </si>
  <si>
    <t>DELİK SAYISI</t>
  </si>
  <si>
    <t>DELİK+FREEZE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</si>
  <si>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</si>
  <si>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</si>
  <si>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</si>
  <si>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</si>
  <si>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</si>
  <si>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</si>
  <si>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Bakım/Onarım</t>
  </si>
  <si>
    <t>İstasyondan İş Bek.</t>
  </si>
  <si>
    <t>Normal Mesai</t>
  </si>
  <si>
    <t>Fazla Mesai</t>
  </si>
  <si>
    <t>Vardiya</t>
  </si>
  <si>
    <t>ÇALIŞMA KOŞULU</t>
  </si>
  <si>
    <t>KULLANILABİLİRLİK</t>
  </si>
  <si>
    <t>PERFONMANS</t>
  </si>
  <si>
    <t>KAYIP SÜRE</t>
  </si>
  <si>
    <t>KALİTE</t>
  </si>
  <si>
    <t>OEE</t>
  </si>
  <si>
    <t>HATALI PARÇA (MASTERWOOD)</t>
  </si>
  <si>
    <t>V EKSENİ BİLYE DAĞILMIŞ</t>
  </si>
  <si>
    <t>v ekseni blye dagıtmiş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</si>
</sst>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1F]d\ mmmm\ yyyy\ h:mm;@"/>
    <numFmt numFmtId="165" formatCode="0.0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4"/>
      <color theme="1"/>
      <name val="BankGothic Md BT"/>
      <family val="2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5"/>
      <color theme="1"/>
      <name val="Calibri"/>
      <family val="2"/>
      <charset val="162"/>
      <scheme val="minor"/>
    </font>
    <font>
      <b/>
      <sz val="15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7" fillId="0" borderId="0" xfId="0" applyFont="1"/>
    <xf numFmtId="0" fontId="0" fillId="0" borderId="0" xfId="0" applyAlignment="1">
      <alignment wrapText="1"/>
    </xf>
    <xf numFmtId="0" fontId="9" fillId="5" borderId="2" xfId="0" applyFont="1" applyFill="1" applyBorder="1"/>
    <xf numFmtId="0" fontId="10" fillId="6" borderId="0" xfId="0" applyFont="1" applyFill="1"/>
    <xf numFmtId="165" fontId="11" fillId="4" borderId="2" xfId="0" applyNumberFormat="1" applyFont="1" applyFill="1" applyBorder="1"/>
    <xf numFmtId="0" fontId="0" fillId="2" borderId="0" xfId="0" applyFill="1" applyProtection="1">
      <protection locked="0"/>
    </xf>
    <xf numFmtId="0" fontId="2" fillId="2" borderId="1" xfId="0" applyFont="1" applyFill="1" applyBorder="1" applyProtection="1">
      <protection locked="0"/>
    </xf>
    <xf numFmtId="0" fontId="0" fillId="3" borderId="0" xfId="0" applyFill="1"/>
    <xf numFmtId="0" fontId="4" fillId="3" borderId="0" xfId="0" applyFont="1" applyFill="1" applyAlignment="1">
      <alignment horizontal="right"/>
    </xf>
    <xf numFmtId="0" fontId="4" fillId="3" borderId="0" xfId="0" applyFont="1" applyFill="1"/>
    <xf numFmtId="0" fontId="2" fillId="8" borderId="1" xfId="0" applyFont="1" applyFill="1" applyBorder="1" applyProtection="1">
      <protection locked="0"/>
    </xf>
    <xf numFmtId="22" fontId="3" fillId="7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 applyProtection="1">
      <alignment horizontal="right" indent="1"/>
      <protection locked="0"/>
    </xf>
    <xf numFmtId="0" fontId="2" fillId="0" borderId="1" xfId="0" applyFont="1" applyBorder="1" applyProtection="1">
      <protection locked="0"/>
    </xf>
    <xf numFmtId="0" fontId="1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9" fontId="12" fillId="0" borderId="0" xfId="0" applyNumberFormat="1" applyFont="1" applyAlignment="1">
      <alignment horizontal="center" vertical="center" wrapText="1"/>
    </xf>
    <xf numFmtId="10" fontId="12" fillId="0" borderId="0" xfId="0" applyNumberFormat="1" applyFont="1" applyAlignment="1">
      <alignment horizontal="center" vertical="center" wrapText="1"/>
    </xf>
    <xf numFmtId="164" fontId="12" fillId="0" borderId="0" xfId="0" applyNumberFormat="1" applyFont="1"/>
    <xf numFmtId="0" fontId="12" fillId="0" borderId="0" xfId="0" applyFont="1"/>
    <xf numFmtId="49" fontId="12" fillId="0" borderId="0" xfId="0" applyNumberFormat="1" applyFont="1"/>
    <xf numFmtId="10" fontId="12" fillId="0" borderId="0" xfId="0" applyNumberFormat="1" applyFont="1"/>
    <xf numFmtId="9" fontId="12" fillId="0" borderId="0" xfId="0" applyNumberFormat="1" applyFont="1"/>
    <xf numFmtId="0" fontId="12" fillId="9" borderId="3" xfId="0" applyFont="1" applyFill="1" applyBorder="1" applyAlignment="1">
      <alignment horizontal="center" vertical="center"/>
    </xf>
    <xf numFmtId="49" fontId="12" fillId="9" borderId="3" xfId="0" applyNumberFormat="1" applyFont="1" applyFill="1" applyBorder="1" applyAlignment="1">
      <alignment horizontal="center" vertical="center"/>
    </xf>
    <xf numFmtId="10" fontId="12" fillId="9" borderId="3" xfId="0" applyNumberFormat="1" applyFont="1" applyFill="1" applyBorder="1" applyAlignment="1">
      <alignment horizontal="center" vertical="center"/>
    </xf>
    <xf numFmtId="9" fontId="12" fillId="9" borderId="3" xfId="0" applyNumberFormat="1" applyFont="1" applyFill="1" applyBorder="1" applyAlignment="1">
      <alignment horizontal="center" vertical="center"/>
    </xf>
    <xf numFmtId="164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/>
    </xf>
    <xf numFmtId="10" fontId="13" fillId="0" borderId="0" xfId="0" applyNumberFormat="1" applyFont="1" applyAlignment="1">
      <alignment horizontal="center" vertical="center" wrapText="1"/>
    </xf>
    <xf numFmtId="9" fontId="13" fillId="0" borderId="0" xfId="0" applyNumberFormat="1" applyFont="1" applyAlignment="1">
      <alignment horizontal="center" vertical="center" wrapText="1"/>
    </xf>
    <xf numFmtId="0" fontId="5" fillId="2" borderId="0" xfId="0" applyFont="1" applyFill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22"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charset val="162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charset val="162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charset val="162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charset val="162"/>
        <scheme val="minor"/>
      </font>
      <numFmt numFmtId="13" formatCode="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charset val="162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charset val="16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charset val="162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charset val="16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charset val="16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charset val="16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charset val="16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charset val="16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charset val="16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charset val="16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charset val="16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charset val="16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charset val="16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charset val="16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charset val="162"/>
        <scheme val="minor"/>
      </font>
      <numFmt numFmtId="164" formatCode="[$-41F]d\ mmmm\ yyyy\ h:mm;@"/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564545</xdr:colOff>
      <xdr:row>2</xdr:row>
      <xdr:rowOff>5518</xdr:rowOff>
    </xdr:from>
    <xdr:to>
      <xdr:col>5</xdr:col>
      <xdr:colOff>24795</xdr:colOff>
      <xdr:row>18</xdr:row>
      <xdr:rowOff>445786</xdr:rowOff>
    </xdr:to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66295" y="889227"/>
          <a:ext cx="6170083" cy="7367059"/>
        </a:xfrm>
        <a:prstGeom prst="rect">
          <a:avLst/>
        </a:prstGeom>
        <a:noFill/>
        <a:ln w="571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1371599</xdr:colOff>
      <xdr:row>16</xdr:row>
      <xdr:rowOff>180974</xdr:rowOff>
    </xdr:from>
    <xdr:to>
      <xdr:col>4</xdr:col>
      <xdr:colOff>1390649</xdr:colOff>
      <xdr:row>18</xdr:row>
      <xdr:rowOff>76199</xdr:rowOff>
    </xdr:to>
    <xdr:sp macro="[0]!VeriKaydet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00399" y="4419599"/>
          <a:ext cx="2124075" cy="79057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gradFill flip="none" rotWithShape="1">
          <a:gsLst>
            <a:gs pos="0">
              <a:schemeClr val="bg1">
                <a:lumMod val="75000"/>
                <a:shade val="30000"/>
                <a:satMod val="115000"/>
              </a:schemeClr>
            </a:gs>
            <a:gs pos="50000">
              <a:schemeClr val="bg1">
                <a:lumMod val="75000"/>
                <a:shade val="67500"/>
                <a:satMod val="115000"/>
              </a:schemeClr>
            </a:gs>
            <a:gs pos="100000">
              <a:schemeClr val="bg1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</a:t>
          </a:r>
          <a:r>
            <a:rPr lang="tr-TR" sz="2200" b="1">
              <a:solidFill>
                <a:sysClr val="windowText" lastClr="000000"/>
              </a:solidFill>
            </a:rPr>
            <a:t>MASTERWOOD VERİ GİRİŞ EKRANI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o1" displayName="Tablo1" ref="A1:R49" totalsRowShown="0" headerRowDxfId="21" dataDxfId="5" headerRowBorderDxfId="20" tableBorderDxfId="19">
  <autoFilter ref="A1:R49" xr:uid="{00000000-0009-0000-0100-000001000000}"/>
  <sortState xmlns:xlrd2="http://schemas.microsoft.com/office/spreadsheetml/2017/richdata2" ref="A2:R46">
    <sortCondition descending="1" ref="A1:A46"/>
  </sortState>
  <tableColumns count="18">
    <tableColumn id="1" xr3:uid="{00000000-0010-0000-0000-000001000000}" name="TARİH" dataDxfId="18"/>
    <tableColumn id="2" xr3:uid="{00000000-0010-0000-0000-000002000000}" name="KİŞİ SAYISI" dataDxfId="17"/>
    <tableColumn id="3" xr3:uid="{00000000-0010-0000-0000-000003000000}" name="DELİK SAYISI" dataDxfId="16"/>
    <tableColumn id="4" xr3:uid="{00000000-0010-0000-0000-000004000000}" name="DELİK+FREEZE SAYISI" dataDxfId="15"/>
    <tableColumn id="5" xr3:uid="{00000000-0010-0000-0000-000005000000}" name="ÇALIŞMA KOŞULU" dataDxfId="14"/>
    <tableColumn id="6" xr3:uid="{00000000-0010-0000-0000-000006000000}" name="DURAKLAMA ZAMANI 1 (DK)" dataDxfId="13"/>
    <tableColumn id="7" xr3:uid="{00000000-0010-0000-0000-000007000000}" name="DURAKLAMA NEDENİ 1" dataDxfId="12"/>
    <tableColumn id="8" xr3:uid="{00000000-0010-0000-0000-000008000000}" name="DURAKLAMA ZAMANI 2 (DK)" dataDxfId="11"/>
    <tableColumn id="9" xr3:uid="{00000000-0010-0000-0000-000009000000}" name="DURAKLAMA NEDENİ 2" dataDxfId="10"/>
    <tableColumn id="10" xr3:uid="{00000000-0010-0000-0000-00000A000000}" name="DURAKLAMA ZAMANI 3 (DK)" dataDxfId="9"/>
    <tableColumn id="11" xr3:uid="{00000000-0010-0000-0000-00000B000000}" name="DURAKLAMA NEDENİ 3" dataDxfId="8"/>
    <tableColumn id="12" xr3:uid="{00000000-0010-0000-0000-00000C000000}" name="HATALI PARÇA (MASTERWOOD)" dataDxfId="7"/>
    <tableColumn id="13" xr3:uid="{00000000-0010-0000-0000-00000D000000}" name="AÇIKLAMA:" dataDxfId="6"/>
    <tableColumn id="14" xr3:uid="{00000000-0010-0000-0000-00000E000000}" name="PERFONMANS" dataDxfId="4">
      <calculatedColumnFormula>(C2+D2)/750</calculatedColumnFormula>
    </tableColumn>
    <tableColumn id="15" xr3:uid="{00000000-0010-0000-0000-00000F000000}" name="KAYIP SÜRE" dataDxfId="3">
      <calculatedColumnFormula>(F2+H2+J2)/510</calculatedColumnFormula>
    </tableColumn>
    <tableColumn id="16" xr3:uid="{00000000-0010-0000-0000-000010000000}" name="KULLANILABİLİRLİK" dataDxfId="2">
      <calculatedColumnFormula>(510-(Tablo1[[#This Row],[DURAKLAMA ZAMANI 1 (DK)]]+Tablo1[[#This Row],[DURAKLAMA ZAMANI 2 (DK)]]+Tablo1[[#This Row],[DURAKLAMA ZAMANI 3 (DK)]]))/510</calculatedColumnFormula>
    </tableColumn>
    <tableColumn id="17" xr3:uid="{00000000-0010-0000-0000-000011000000}" name="KALİTE" dataDxfId="1">
      <calculatedColumnFormula>((C2+D2)-L2)/(C2+D2)</calculatedColumnFormula>
    </tableColumn>
    <tableColumn id="18" xr3:uid="{00000000-0010-0000-0000-000012000000}" name="OEE" dataDxfId="0">
      <calculatedColumnFormula>N2*P2*Q2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_Entry_FORM"/>
  <dimension ref="D1:E19"/>
  <sheetViews>
    <sheetView zoomScale="90" zoomScaleNormal="90" workbookViewId="0">
      <selection activeCell="E17" sqref="E17"/>
    </sheetView>
  </sheetViews>
  <sheetFormatPr baseColWidth="10" defaultColWidth="9.1640625" defaultRowHeight="15"/>
  <cols>
    <col min="1" max="3" width="9.1640625" style="6"/>
    <col min="4" max="4" width="45.33203125" style="6" bestFit="1" customWidth="1"/>
    <col min="5" max="5" width="39.33203125" style="6" customWidth="1"/>
    <col min="6" max="16384" width="9.1640625" style="6"/>
  </cols>
  <sheetData>
    <row r="1" spans="4:5" ht="55.5" customHeight="1">
      <c r="D1" s="35"/>
      <c r="E1" s="35"/>
    </row>
    <row r="3" spans="4:5">
      <c r="D3" s="8"/>
    </row>
    <row r="4" spans="4:5" ht="35.25" customHeight="1">
      <c r="D4" s="9" t="s">
        <v>0</v>
      </c>
      <c r="E4" s="12">
        <f ca="1">TODAY()</f>
        <v>46097</v>
      </c>
    </row>
    <row r="5" spans="4:5" ht="35.25" customHeight="1">
      <c r="D5" s="9" t="s">
        <v>1</v>
      </c>
      <c r="E5" s="11"/>
    </row>
    <row r="6" spans="4:5" ht="35.25" customHeight="1">
      <c r="D6" s="9" t="s">
        <v>17</v>
      </c>
      <c r="E6" s="14"/>
    </row>
    <row r="7" spans="4:5" ht="35.25" customHeight="1">
      <c r="D7" s="9" t="s">
        <v>18</v>
      </c>
      <c r="E7" s="14"/>
    </row>
    <row r="8" spans="4:5" ht="35.25" customHeight="1">
      <c r="D8" s="9" t="s">
        <v>30</v>
      </c>
      <c r="E8" s="11"/>
    </row>
    <row r="9" spans="4:5" ht="35.25" customHeight="1">
      <c r="D9" s="9" t="s">
        <v>19</v>
      </c>
      <c r="E9" s="7"/>
    </row>
    <row r="10" spans="4:5" ht="35.25" customHeight="1">
      <c r="D10" s="9" t="s">
        <v>20</v>
      </c>
      <c r="E10" s="11"/>
    </row>
    <row r="11" spans="4:5" ht="35.25" customHeight="1">
      <c r="D11" s="9" t="s">
        <v>21</v>
      </c>
      <c r="E11" s="7"/>
    </row>
    <row r="12" spans="4:5" ht="35.25" customHeight="1">
      <c r="D12" s="9" t="s">
        <v>22</v>
      </c>
      <c r="E12" s="11"/>
    </row>
    <row r="13" spans="4:5" ht="35.25" customHeight="1">
      <c r="D13" s="9" t="s">
        <v>23</v>
      </c>
      <c r="E13" s="7"/>
    </row>
    <row r="14" spans="4:5" ht="35.25" customHeight="1">
      <c r="D14" s="9" t="s">
        <v>24</v>
      </c>
      <c r="E14" s="11"/>
    </row>
    <row r="15" spans="4:5" ht="35.25" customHeight="1">
      <c r="D15" s="9" t="s">
        <v>36</v>
      </c>
      <c r="E15" s="13"/>
    </row>
    <row r="16" spans="4:5" ht="35.25" customHeight="1">
      <c r="D16" s="9" t="s">
        <v>3</v>
      </c>
      <c r="E16" s="11"/>
    </row>
    <row r="17" spans="4:5" ht="35.25" customHeight="1">
      <c r="D17" s="10"/>
      <c r="E17" s="8"/>
    </row>
    <row r="18" spans="4:5" ht="35.25" customHeight="1">
      <c r="D18" s="10"/>
      <c r="E18" s="10"/>
    </row>
    <row r="19" spans="4:5" ht="35.25" customHeight="1">
      <c r="D19" s="8"/>
      <c r="E19" s="8"/>
    </row>
  </sheetData>
  <dataConsolidate/>
  <mergeCells count="1">
    <mergeCell ref="D1:E1"/>
  </mergeCells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AYARLAR!$J$10:$J$13</xm:f>
          </x14:formula1>
          <xm:sqref>E5</xm:sqref>
        </x14:dataValidation>
        <x14:dataValidation type="list" allowBlank="1" showInputMessage="1" showErrorMessage="1" xr:uid="{00000000-0002-0000-0000-000001000000}">
          <x14:formula1>
            <xm:f>AYARLAR!$N$10:$N$12</xm:f>
          </x14:formula1>
          <xm:sqref>E8</xm:sqref>
        </x14:dataValidation>
        <x14:dataValidation type="list" allowBlank="1" showInputMessage="1" showErrorMessage="1" xr:uid="{00000000-0002-0000-0000-000002000000}">
          <x14:formula1>
            <xm:f>AYARLAR!$P$10:$P$21</xm:f>
          </x14:formula1>
          <xm:sqref>E12 E10 E14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_DB"/>
  <dimension ref="A1:R49"/>
  <sheetViews>
    <sheetView tabSelected="1" zoomScale="109" zoomScaleNormal="66" workbookViewId="0">
      <selection activeCell="C5" sqref="C5"/>
    </sheetView>
  </sheetViews>
  <sheetFormatPr baseColWidth="10" defaultColWidth="8.6640625" defaultRowHeight="27" customHeight="1"/>
  <cols>
    <col min="1" max="1" width="25.83203125" style="21" bestFit="1" customWidth="1"/>
    <col min="2" max="2" width="15.6640625" style="22" bestFit="1" customWidth="1"/>
    <col min="3" max="3" width="18.33203125" style="22" bestFit="1" customWidth="1"/>
    <col min="4" max="4" width="33.6640625" style="22" bestFit="1" customWidth="1"/>
    <col min="5" max="5" width="24.33203125" style="22" bestFit="1" customWidth="1"/>
    <col min="6" max="6" width="43.33203125" style="22" bestFit="1" customWidth="1"/>
    <col min="7" max="7" width="30.33203125" style="22" bestFit="1" customWidth="1"/>
    <col min="8" max="8" width="43.33203125" style="22" bestFit="1" customWidth="1"/>
    <col min="9" max="9" width="30.33203125" style="22" bestFit="1" customWidth="1"/>
    <col min="10" max="10" width="43.33203125" style="22" bestFit="1" customWidth="1"/>
    <col min="11" max="11" width="30.33203125" style="22" bestFit="1" customWidth="1"/>
    <col min="12" max="12" width="47.33203125" style="22" bestFit="1" customWidth="1"/>
    <col min="13" max="13" width="28.33203125" style="23" customWidth="1"/>
    <col min="14" max="14" width="25.6640625" style="24" bestFit="1" customWidth="1"/>
    <col min="15" max="15" width="31.1640625" style="25" customWidth="1"/>
    <col min="16" max="16" width="31.33203125" style="24" bestFit="1" customWidth="1"/>
    <col min="17" max="17" width="16.6640625" style="24" customWidth="1"/>
    <col min="18" max="18" width="17.1640625" style="24" customWidth="1"/>
  </cols>
  <sheetData>
    <row r="1" spans="1:18" s="15" customFormat="1" ht="27" customHeight="1">
      <c r="A1" s="26" t="s">
        <v>0</v>
      </c>
      <c r="B1" s="26" t="s">
        <v>1</v>
      </c>
      <c r="C1" s="26" t="s">
        <v>17</v>
      </c>
      <c r="D1" s="26" t="s">
        <v>18</v>
      </c>
      <c r="E1" s="26" t="s">
        <v>30</v>
      </c>
      <c r="F1" s="26" t="s">
        <v>19</v>
      </c>
      <c r="G1" s="26" t="s">
        <v>20</v>
      </c>
      <c r="H1" s="26" t="s">
        <v>21</v>
      </c>
      <c r="I1" s="26" t="s">
        <v>22</v>
      </c>
      <c r="J1" s="26" t="s">
        <v>23</v>
      </c>
      <c r="K1" s="26" t="s">
        <v>24</v>
      </c>
      <c r="L1" s="26" t="s">
        <v>36</v>
      </c>
      <c r="M1" s="27" t="s">
        <v>3</v>
      </c>
      <c r="N1" s="28" t="s">
        <v>32</v>
      </c>
      <c r="O1" s="29" t="s">
        <v>33</v>
      </c>
      <c r="P1" s="28" t="s">
        <v>31</v>
      </c>
      <c r="Q1" s="28" t="s">
        <v>34</v>
      </c>
      <c r="R1" s="28" t="s">
        <v>35</v>
      </c>
    </row>
    <row r="2" spans="1:18" ht="27" customHeight="1">
      <c r="A2" s="30">
        <v>46094</v>
      </c>
      <c r="B2" s="31">
        <v>2</v>
      </c>
      <c r="C2" s="31"/>
      <c r="D2" s="31">
        <v>495</v>
      </c>
      <c r="E2" s="31" t="s">
        <v>27</v>
      </c>
      <c r="F2" s="31">
        <v>15</v>
      </c>
      <c r="G2" s="31" t="s">
        <v>10</v>
      </c>
      <c r="H2" s="31">
        <v>60</v>
      </c>
      <c r="I2" s="31" t="s">
        <v>4</v>
      </c>
      <c r="J2" s="31"/>
      <c r="K2" s="31"/>
      <c r="L2" s="31"/>
      <c r="M2" s="32"/>
      <c r="N2" s="33">
        <f t="shared" ref="N2:N4" si="0">(C2+D2)/750</f>
        <v>0.66</v>
      </c>
      <c r="O2" s="34">
        <f t="shared" ref="O2:O4" si="1">(F2+H2+J2)/510</f>
        <v>0.14705882352941177</v>
      </c>
      <c r="P2" s="33">
        <f>(510-(Tablo1[[#This Row],[DURAKLAMA ZAMANI 1 (DK)]]+Tablo1[[#This Row],[DURAKLAMA ZAMANI 2 (DK)]]+Tablo1[[#This Row],[DURAKLAMA ZAMANI 3 (DK)]]))/510</f>
        <v>0.8529411764705882</v>
      </c>
      <c r="Q2" s="33">
        <f t="shared" ref="Q2:Q4" si="2">((C2+D2)-L2)/(C2+D2)</f>
        <v>1</v>
      </c>
      <c r="R2" s="33">
        <f t="shared" ref="R2:R4" si="3">N2*P2*Q2</f>
        <v>0.56294117647058828</v>
      </c>
    </row>
    <row r="3" spans="1:18" ht="27" customHeight="1">
      <c r="A3" s="30">
        <v>46093</v>
      </c>
      <c r="B3" s="31">
        <v>2</v>
      </c>
      <c r="C3" s="31"/>
      <c r="D3" s="31">
        <v>440</v>
      </c>
      <c r="E3" s="31" t="s">
        <v>27</v>
      </c>
      <c r="F3" s="31">
        <v>15</v>
      </c>
      <c r="G3" s="31" t="s">
        <v>10</v>
      </c>
      <c r="H3" s="31">
        <v>15</v>
      </c>
      <c r="I3" s="31" t="s">
        <v>4</v>
      </c>
      <c r="J3" s="31"/>
      <c r="K3" s="31"/>
      <c r="L3" s="31"/>
      <c r="M3" s="32"/>
      <c r="N3" s="33">
        <f t="shared" si="0"/>
        <v>0.58666666666666667</v>
      </c>
      <c r="O3" s="34">
        <f t="shared" si="1"/>
        <v>5.8823529411764705E-2</v>
      </c>
      <c r="P3" s="33">
        <f>(510-(Tablo1[[#This Row],[DURAKLAMA ZAMANI 1 (DK)]]+Tablo1[[#This Row],[DURAKLAMA ZAMANI 2 (DK)]]+Tablo1[[#This Row],[DURAKLAMA ZAMANI 3 (DK)]]))/510</f>
        <v>0.94117647058823528</v>
      </c>
      <c r="Q3" s="33">
        <f t="shared" si="2"/>
        <v>1</v>
      </c>
      <c r="R3" s="33">
        <f t="shared" si="3"/>
        <v>0.55215686274509801</v>
      </c>
    </row>
    <row r="4" spans="1:18" ht="27" customHeight="1">
      <c r="A4" s="30">
        <v>46092</v>
      </c>
      <c r="B4" s="31">
        <v>2</v>
      </c>
      <c r="C4" s="31"/>
      <c r="D4" s="31">
        <v>412</v>
      </c>
      <c r="E4" s="31" t="s">
        <v>27</v>
      </c>
      <c r="F4" s="31">
        <v>15</v>
      </c>
      <c r="G4" s="31" t="s">
        <v>10</v>
      </c>
      <c r="H4" s="31">
        <v>15</v>
      </c>
      <c r="I4" s="31" t="s">
        <v>4</v>
      </c>
      <c r="J4" s="31"/>
      <c r="K4" s="31"/>
      <c r="L4" s="31"/>
      <c r="M4" s="32"/>
      <c r="N4" s="33">
        <f t="shared" si="0"/>
        <v>0.54933333333333334</v>
      </c>
      <c r="O4" s="34">
        <f t="shared" si="1"/>
        <v>5.8823529411764705E-2</v>
      </c>
      <c r="P4" s="33">
        <f>(510-(Tablo1[[#This Row],[DURAKLAMA ZAMANI 1 (DK)]]+Tablo1[[#This Row],[DURAKLAMA ZAMANI 2 (DK)]]+Tablo1[[#This Row],[DURAKLAMA ZAMANI 3 (DK)]]))/510</f>
        <v>0.94117647058823528</v>
      </c>
      <c r="Q4" s="33">
        <f t="shared" si="2"/>
        <v>1</v>
      </c>
      <c r="R4" s="33">
        <f t="shared" si="3"/>
        <v>0.51701960784313727</v>
      </c>
    </row>
    <row r="5" spans="1:18" ht="27" customHeight="1">
      <c r="A5" s="30">
        <v>46091</v>
      </c>
      <c r="B5" s="31">
        <v>1</v>
      </c>
      <c r="C5" s="31"/>
      <c r="D5" s="31"/>
      <c r="E5" s="31" t="s">
        <v>27</v>
      </c>
      <c r="F5" s="31">
        <v>560</v>
      </c>
      <c r="G5" s="31" t="s">
        <v>12</v>
      </c>
      <c r="H5" s="31"/>
      <c r="I5" s="31"/>
      <c r="J5" s="31"/>
      <c r="K5" s="31"/>
      <c r="L5" s="31"/>
      <c r="M5" s="32" t="s">
        <v>38</v>
      </c>
      <c r="N5" s="33">
        <f t="shared" ref="N2:N49" si="4">(C5+D5)/750</f>
        <v>0</v>
      </c>
      <c r="O5" s="34">
        <f t="shared" ref="O2:O49" si="5">(F5+H5+J5)/510</f>
        <v>1.0980392156862746</v>
      </c>
      <c r="P5" s="33">
        <f>(510-(Tablo1[[#This Row],[DURAKLAMA ZAMANI 1 (DK)]]+Tablo1[[#This Row],[DURAKLAMA ZAMANI 2 (DK)]]+Tablo1[[#This Row],[DURAKLAMA ZAMANI 3 (DK)]]))/510</f>
        <v>-9.8039215686274508E-2</v>
      </c>
      <c r="Q5" s="33" t="e">
        <f t="shared" ref="Q2:Q49" si="6">((C5+D5)-L5)/(C5+D5)</f>
        <v>#DIV/0!</v>
      </c>
      <c r="R5" s="33" t="e">
        <f t="shared" ref="R2:R49" si="7">N5*P5*Q5</f>
        <v>#DIV/0!</v>
      </c>
    </row>
    <row r="6" spans="1:18" ht="27" customHeight="1">
      <c r="A6" s="30">
        <v>46090</v>
      </c>
      <c r="B6" s="31">
        <v>1</v>
      </c>
      <c r="C6" s="31"/>
      <c r="D6" s="31"/>
      <c r="E6" s="31" t="s">
        <v>27</v>
      </c>
      <c r="F6" s="31">
        <v>560</v>
      </c>
      <c r="G6" s="31" t="s">
        <v>12</v>
      </c>
      <c r="H6" s="31"/>
      <c r="I6" s="31"/>
      <c r="J6" s="31"/>
      <c r="K6" s="31"/>
      <c r="L6" s="31"/>
      <c r="M6" s="32" t="s">
        <v>37</v>
      </c>
      <c r="N6" s="33">
        <f t="shared" si="4"/>
        <v>0</v>
      </c>
      <c r="O6" s="34">
        <f t="shared" si="5"/>
        <v>1.0980392156862746</v>
      </c>
      <c r="P6" s="33">
        <f>(510-(Tablo1[[#This Row],[DURAKLAMA ZAMANI 1 (DK)]]+Tablo1[[#This Row],[DURAKLAMA ZAMANI 2 (DK)]]+Tablo1[[#This Row],[DURAKLAMA ZAMANI 3 (DK)]]))/510</f>
        <v>-9.8039215686274508E-2</v>
      </c>
      <c r="Q6" s="33" t="e">
        <f t="shared" si="6"/>
        <v>#DIV/0!</v>
      </c>
      <c r="R6" s="33" t="e">
        <f t="shared" si="7"/>
        <v>#DIV/0!</v>
      </c>
    </row>
    <row r="7" spans="1:18" ht="27" customHeight="1">
      <c r="A7" s="30">
        <v>46087</v>
      </c>
      <c r="B7" s="31">
        <v>2</v>
      </c>
      <c r="C7" s="31"/>
      <c r="D7" s="31">
        <v>395</v>
      </c>
      <c r="E7" s="31" t="s">
        <v>27</v>
      </c>
      <c r="F7" s="31">
        <v>5</v>
      </c>
      <c r="G7" s="31" t="s">
        <v>10</v>
      </c>
      <c r="H7" s="31">
        <v>60</v>
      </c>
      <c r="I7" s="31" t="s">
        <v>4</v>
      </c>
      <c r="J7" s="31"/>
      <c r="K7" s="31"/>
      <c r="L7" s="31"/>
      <c r="M7" s="32"/>
      <c r="N7" s="33">
        <f t="shared" si="4"/>
        <v>0.52666666666666662</v>
      </c>
      <c r="O7" s="34">
        <f t="shared" si="5"/>
        <v>0.12745098039215685</v>
      </c>
      <c r="P7" s="33">
        <f>(510-(Tablo1[[#This Row],[DURAKLAMA ZAMANI 1 (DK)]]+Tablo1[[#This Row],[DURAKLAMA ZAMANI 2 (DK)]]+Tablo1[[#This Row],[DURAKLAMA ZAMANI 3 (DK)]]))/510</f>
        <v>0.87254901960784315</v>
      </c>
      <c r="Q7" s="33">
        <f t="shared" si="6"/>
        <v>1</v>
      </c>
      <c r="R7" s="33">
        <f t="shared" si="7"/>
        <v>0.45954248366013067</v>
      </c>
    </row>
    <row r="8" spans="1:18" ht="27" customHeight="1">
      <c r="A8" s="30">
        <v>46086</v>
      </c>
      <c r="B8" s="31">
        <v>2</v>
      </c>
      <c r="C8" s="31"/>
      <c r="D8" s="31">
        <v>425</v>
      </c>
      <c r="E8" s="31" t="s">
        <v>27</v>
      </c>
      <c r="F8" s="31">
        <v>5</v>
      </c>
      <c r="G8" s="31" t="s">
        <v>10</v>
      </c>
      <c r="H8" s="31">
        <v>15</v>
      </c>
      <c r="I8" s="31" t="s">
        <v>4</v>
      </c>
      <c r="J8" s="31"/>
      <c r="K8" s="31"/>
      <c r="L8" s="31"/>
      <c r="M8" s="32"/>
      <c r="N8" s="33">
        <f t="shared" si="4"/>
        <v>0.56666666666666665</v>
      </c>
      <c r="O8" s="34">
        <f t="shared" si="5"/>
        <v>3.9215686274509803E-2</v>
      </c>
      <c r="P8" s="33">
        <f>(510-(Tablo1[[#This Row],[DURAKLAMA ZAMANI 1 (DK)]]+Tablo1[[#This Row],[DURAKLAMA ZAMANI 2 (DK)]]+Tablo1[[#This Row],[DURAKLAMA ZAMANI 3 (DK)]]))/510</f>
        <v>0.96078431372549022</v>
      </c>
      <c r="Q8" s="33">
        <f t="shared" si="6"/>
        <v>1</v>
      </c>
      <c r="R8" s="33">
        <f t="shared" si="7"/>
        <v>0.5444444444444444</v>
      </c>
    </row>
    <row r="9" spans="1:18" ht="27" customHeight="1">
      <c r="A9" s="30">
        <v>46085</v>
      </c>
      <c r="B9" s="31">
        <v>2</v>
      </c>
      <c r="C9" s="31"/>
      <c r="D9" s="31">
        <v>364</v>
      </c>
      <c r="E9" s="31" t="s">
        <v>27</v>
      </c>
      <c r="F9" s="31">
        <v>5</v>
      </c>
      <c r="G9" s="31" t="s">
        <v>10</v>
      </c>
      <c r="H9" s="31">
        <v>10</v>
      </c>
      <c r="I9" s="31" t="s">
        <v>4</v>
      </c>
      <c r="J9" s="31"/>
      <c r="K9" s="31"/>
      <c r="L9" s="31"/>
      <c r="M9" s="32"/>
      <c r="N9" s="33">
        <f t="shared" si="4"/>
        <v>0.48533333333333334</v>
      </c>
      <c r="O9" s="34">
        <f t="shared" si="5"/>
        <v>2.9411764705882353E-2</v>
      </c>
      <c r="P9" s="33">
        <f>(510-(Tablo1[[#This Row],[DURAKLAMA ZAMANI 1 (DK)]]+Tablo1[[#This Row],[DURAKLAMA ZAMANI 2 (DK)]]+Tablo1[[#This Row],[DURAKLAMA ZAMANI 3 (DK)]]))/510</f>
        <v>0.97058823529411764</v>
      </c>
      <c r="Q9" s="33">
        <f t="shared" si="6"/>
        <v>1</v>
      </c>
      <c r="R9" s="33">
        <f t="shared" si="7"/>
        <v>0.47105882352941175</v>
      </c>
    </row>
    <row r="10" spans="1:18" ht="27" customHeight="1">
      <c r="A10" s="30">
        <v>46084</v>
      </c>
      <c r="B10" s="31">
        <v>2</v>
      </c>
      <c r="C10" s="31"/>
      <c r="D10" s="31">
        <v>395</v>
      </c>
      <c r="E10" s="31" t="s">
        <v>27</v>
      </c>
      <c r="F10" s="31">
        <v>5</v>
      </c>
      <c r="G10" s="31" t="s">
        <v>10</v>
      </c>
      <c r="H10" s="31">
        <v>10</v>
      </c>
      <c r="I10" s="31" t="s">
        <v>4</v>
      </c>
      <c r="J10" s="31"/>
      <c r="K10" s="31"/>
      <c r="L10" s="31"/>
      <c r="M10" s="32"/>
      <c r="N10" s="33">
        <f t="shared" si="4"/>
        <v>0.52666666666666662</v>
      </c>
      <c r="O10" s="34">
        <f t="shared" si="5"/>
        <v>2.9411764705882353E-2</v>
      </c>
      <c r="P10" s="33">
        <f>(510-(Tablo1[[#This Row],[DURAKLAMA ZAMANI 1 (DK)]]+Tablo1[[#This Row],[DURAKLAMA ZAMANI 2 (DK)]]+Tablo1[[#This Row],[DURAKLAMA ZAMANI 3 (DK)]]))/510</f>
        <v>0.97058823529411764</v>
      </c>
      <c r="Q10" s="33">
        <f t="shared" si="6"/>
        <v>1</v>
      </c>
      <c r="R10" s="33">
        <f t="shared" si="7"/>
        <v>0.51117647058823523</v>
      </c>
    </row>
    <row r="11" spans="1:18" ht="27" customHeight="1">
      <c r="A11" s="30">
        <v>46083</v>
      </c>
      <c r="B11" s="31">
        <v>2</v>
      </c>
      <c r="C11" s="31"/>
      <c r="D11" s="31">
        <v>385</v>
      </c>
      <c r="E11" s="31" t="s">
        <v>27</v>
      </c>
      <c r="F11" s="31">
        <v>5</v>
      </c>
      <c r="G11" s="31" t="s">
        <v>10</v>
      </c>
      <c r="H11" s="31">
        <v>10</v>
      </c>
      <c r="I11" s="31" t="s">
        <v>4</v>
      </c>
      <c r="J11" s="31"/>
      <c r="K11" s="31"/>
      <c r="L11" s="31"/>
      <c r="M11" s="32"/>
      <c r="N11" s="33">
        <f t="shared" si="4"/>
        <v>0.51333333333333331</v>
      </c>
      <c r="O11" s="34">
        <f t="shared" si="5"/>
        <v>2.9411764705882353E-2</v>
      </c>
      <c r="P11" s="33">
        <f>(510-(Tablo1[[#This Row],[DURAKLAMA ZAMANI 1 (DK)]]+Tablo1[[#This Row],[DURAKLAMA ZAMANI 2 (DK)]]+Tablo1[[#This Row],[DURAKLAMA ZAMANI 3 (DK)]]))/510</f>
        <v>0.97058823529411764</v>
      </c>
      <c r="Q11" s="33">
        <f t="shared" si="6"/>
        <v>1</v>
      </c>
      <c r="R11" s="33">
        <f t="shared" si="7"/>
        <v>0.49823529411764705</v>
      </c>
    </row>
    <row r="12" spans="1:18" ht="27" customHeight="1">
      <c r="A12" s="30">
        <v>46080</v>
      </c>
      <c r="B12" s="31">
        <v>2</v>
      </c>
      <c r="C12" s="31"/>
      <c r="D12" s="31">
        <v>360</v>
      </c>
      <c r="E12" s="31" t="s">
        <v>27</v>
      </c>
      <c r="F12" s="31">
        <v>5</v>
      </c>
      <c r="G12" s="31" t="s">
        <v>10</v>
      </c>
      <c r="H12" s="31">
        <v>60</v>
      </c>
      <c r="I12" s="31" t="s">
        <v>4</v>
      </c>
      <c r="J12" s="31"/>
      <c r="K12" s="31"/>
      <c r="L12" s="31"/>
      <c r="M12" s="32"/>
      <c r="N12" s="33">
        <f t="shared" si="4"/>
        <v>0.48</v>
      </c>
      <c r="O12" s="34">
        <f t="shared" si="5"/>
        <v>0.12745098039215685</v>
      </c>
      <c r="P12" s="33">
        <f>(510-(Tablo1[[#This Row],[DURAKLAMA ZAMANI 1 (DK)]]+Tablo1[[#This Row],[DURAKLAMA ZAMANI 2 (DK)]]+Tablo1[[#This Row],[DURAKLAMA ZAMANI 3 (DK)]]))/510</f>
        <v>0.87254901960784315</v>
      </c>
      <c r="Q12" s="33">
        <f t="shared" si="6"/>
        <v>1</v>
      </c>
      <c r="R12" s="33">
        <f t="shared" si="7"/>
        <v>0.41882352941176471</v>
      </c>
    </row>
    <row r="13" spans="1:18" ht="27" customHeight="1">
      <c r="A13" s="30">
        <v>46079</v>
      </c>
      <c r="B13" s="31">
        <v>2</v>
      </c>
      <c r="C13" s="31"/>
      <c r="D13" s="31">
        <v>465</v>
      </c>
      <c r="E13" s="31" t="s">
        <v>27</v>
      </c>
      <c r="F13" s="31">
        <v>5</v>
      </c>
      <c r="G13" s="31" t="s">
        <v>10</v>
      </c>
      <c r="H13" s="31">
        <v>10</v>
      </c>
      <c r="I13" s="31" t="s">
        <v>4</v>
      </c>
      <c r="J13" s="31"/>
      <c r="K13" s="31"/>
      <c r="L13" s="31"/>
      <c r="M13" s="32"/>
      <c r="N13" s="33">
        <f t="shared" si="4"/>
        <v>0.62</v>
      </c>
      <c r="O13" s="34">
        <f t="shared" si="5"/>
        <v>2.9411764705882353E-2</v>
      </c>
      <c r="P13" s="33">
        <f>(510-(Tablo1[[#This Row],[DURAKLAMA ZAMANI 1 (DK)]]+Tablo1[[#This Row],[DURAKLAMA ZAMANI 2 (DK)]]+Tablo1[[#This Row],[DURAKLAMA ZAMANI 3 (DK)]]))/510</f>
        <v>0.97058823529411764</v>
      </c>
      <c r="Q13" s="33">
        <f t="shared" si="6"/>
        <v>1</v>
      </c>
      <c r="R13" s="33">
        <f t="shared" si="7"/>
        <v>0.60176470588235298</v>
      </c>
    </row>
    <row r="14" spans="1:18" ht="27" customHeight="1">
      <c r="A14" s="30">
        <v>46078</v>
      </c>
      <c r="B14" s="31">
        <v>2</v>
      </c>
      <c r="C14" s="31"/>
      <c r="D14" s="31">
        <v>395</v>
      </c>
      <c r="E14" s="31" t="s">
        <v>27</v>
      </c>
      <c r="F14" s="31">
        <v>5</v>
      </c>
      <c r="G14" s="31" t="s">
        <v>10</v>
      </c>
      <c r="H14" s="31">
        <v>10</v>
      </c>
      <c r="I14" s="31" t="s">
        <v>4</v>
      </c>
      <c r="J14" s="31"/>
      <c r="K14" s="31"/>
      <c r="L14" s="31"/>
      <c r="M14" s="32"/>
      <c r="N14" s="33">
        <f t="shared" si="4"/>
        <v>0.52666666666666662</v>
      </c>
      <c r="O14" s="34">
        <f t="shared" si="5"/>
        <v>2.9411764705882353E-2</v>
      </c>
      <c r="P14" s="33">
        <f>(510-(Tablo1[[#This Row],[DURAKLAMA ZAMANI 1 (DK)]]+Tablo1[[#This Row],[DURAKLAMA ZAMANI 2 (DK)]]+Tablo1[[#This Row],[DURAKLAMA ZAMANI 3 (DK)]]))/510</f>
        <v>0.97058823529411764</v>
      </c>
      <c r="Q14" s="33">
        <f t="shared" si="6"/>
        <v>1</v>
      </c>
      <c r="R14" s="33">
        <f t="shared" si="7"/>
        <v>0.51117647058823523</v>
      </c>
    </row>
    <row r="15" spans="1:18" ht="27" customHeight="1">
      <c r="A15" s="30">
        <v>46077</v>
      </c>
      <c r="B15" s="31">
        <v>2</v>
      </c>
      <c r="C15" s="31"/>
      <c r="D15" s="31">
        <v>426</v>
      </c>
      <c r="E15" s="31" t="s">
        <v>27</v>
      </c>
      <c r="F15" s="31">
        <v>15</v>
      </c>
      <c r="G15" s="31" t="s">
        <v>10</v>
      </c>
      <c r="H15" s="31">
        <v>15</v>
      </c>
      <c r="I15" s="31" t="s">
        <v>4</v>
      </c>
      <c r="J15" s="31"/>
      <c r="K15" s="31"/>
      <c r="L15" s="31"/>
      <c r="M15" s="32"/>
      <c r="N15" s="33">
        <f t="shared" si="4"/>
        <v>0.56799999999999995</v>
      </c>
      <c r="O15" s="34">
        <f t="shared" si="5"/>
        <v>5.8823529411764705E-2</v>
      </c>
      <c r="P15" s="33">
        <f>(510-(Tablo1[[#This Row],[DURAKLAMA ZAMANI 1 (DK)]]+Tablo1[[#This Row],[DURAKLAMA ZAMANI 2 (DK)]]+Tablo1[[#This Row],[DURAKLAMA ZAMANI 3 (DK)]]))/510</f>
        <v>0.94117647058823528</v>
      </c>
      <c r="Q15" s="33">
        <f t="shared" si="6"/>
        <v>1</v>
      </c>
      <c r="R15" s="33">
        <f t="shared" si="7"/>
        <v>0.53458823529411759</v>
      </c>
    </row>
    <row r="16" spans="1:18" ht="27" customHeight="1">
      <c r="A16" s="30">
        <v>46076</v>
      </c>
      <c r="B16" s="31">
        <v>2</v>
      </c>
      <c r="C16" s="31"/>
      <c r="D16" s="31">
        <v>465</v>
      </c>
      <c r="E16" s="31" t="s">
        <v>27</v>
      </c>
      <c r="F16" s="31">
        <v>15</v>
      </c>
      <c r="G16" s="31" t="s">
        <v>10</v>
      </c>
      <c r="H16" s="31">
        <v>15</v>
      </c>
      <c r="I16" s="31" t="s">
        <v>4</v>
      </c>
      <c r="J16" s="31"/>
      <c r="K16" s="31"/>
      <c r="L16" s="31"/>
      <c r="M16" s="32"/>
      <c r="N16" s="33">
        <f t="shared" si="4"/>
        <v>0.62</v>
      </c>
      <c r="O16" s="34">
        <f t="shared" si="5"/>
        <v>5.8823529411764705E-2</v>
      </c>
      <c r="P16" s="33">
        <f>(510-(Tablo1[[#This Row],[DURAKLAMA ZAMANI 1 (DK)]]+Tablo1[[#This Row],[DURAKLAMA ZAMANI 2 (DK)]]+Tablo1[[#This Row],[DURAKLAMA ZAMANI 3 (DK)]]))/510</f>
        <v>0.94117647058823528</v>
      </c>
      <c r="Q16" s="33">
        <f t="shared" si="6"/>
        <v>1</v>
      </c>
      <c r="R16" s="33">
        <f t="shared" si="7"/>
        <v>0.58352941176470585</v>
      </c>
    </row>
    <row r="17" spans="1:18" ht="27" customHeight="1">
      <c r="A17" s="30">
        <v>46073</v>
      </c>
      <c r="B17" s="31">
        <v>2</v>
      </c>
      <c r="C17" s="31"/>
      <c r="D17" s="31">
        <v>368</v>
      </c>
      <c r="E17" s="31" t="s">
        <v>27</v>
      </c>
      <c r="F17" s="31">
        <v>15</v>
      </c>
      <c r="G17" s="31" t="s">
        <v>10</v>
      </c>
      <c r="H17" s="31">
        <v>60</v>
      </c>
      <c r="I17" s="31" t="s">
        <v>4</v>
      </c>
      <c r="J17" s="31"/>
      <c r="K17" s="31"/>
      <c r="L17" s="31"/>
      <c r="M17" s="32"/>
      <c r="N17" s="33">
        <f t="shared" si="4"/>
        <v>0.49066666666666664</v>
      </c>
      <c r="O17" s="34">
        <f t="shared" si="5"/>
        <v>0.14705882352941177</v>
      </c>
      <c r="P17" s="33">
        <f>(510-(Tablo1[[#This Row],[DURAKLAMA ZAMANI 1 (DK)]]+Tablo1[[#This Row],[DURAKLAMA ZAMANI 2 (DK)]]+Tablo1[[#This Row],[DURAKLAMA ZAMANI 3 (DK)]]))/510</f>
        <v>0.8529411764705882</v>
      </c>
      <c r="Q17" s="33">
        <f t="shared" si="6"/>
        <v>1</v>
      </c>
      <c r="R17" s="33">
        <f t="shared" si="7"/>
        <v>0.41850980392156861</v>
      </c>
    </row>
    <row r="18" spans="1:18" ht="27" customHeight="1">
      <c r="A18" s="30">
        <v>46072</v>
      </c>
      <c r="B18" s="31">
        <v>2</v>
      </c>
      <c r="C18" s="31"/>
      <c r="D18" s="31">
        <v>414</v>
      </c>
      <c r="E18" s="31" t="s">
        <v>27</v>
      </c>
      <c r="F18" s="31">
        <v>15</v>
      </c>
      <c r="G18" s="31" t="s">
        <v>10</v>
      </c>
      <c r="H18" s="31">
        <v>15</v>
      </c>
      <c r="I18" s="31" t="s">
        <v>4</v>
      </c>
      <c r="J18" s="31"/>
      <c r="K18" s="31"/>
      <c r="L18" s="31"/>
      <c r="M18" s="32"/>
      <c r="N18" s="33">
        <f t="shared" si="4"/>
        <v>0.55200000000000005</v>
      </c>
      <c r="O18" s="34">
        <f t="shared" si="5"/>
        <v>5.8823529411764705E-2</v>
      </c>
      <c r="P18" s="33">
        <f>(510-(Tablo1[[#This Row],[DURAKLAMA ZAMANI 1 (DK)]]+Tablo1[[#This Row],[DURAKLAMA ZAMANI 2 (DK)]]+Tablo1[[#This Row],[DURAKLAMA ZAMANI 3 (DK)]]))/510</f>
        <v>0.94117647058823528</v>
      </c>
      <c r="Q18" s="33">
        <f t="shared" si="6"/>
        <v>1</v>
      </c>
      <c r="R18" s="33">
        <f t="shared" si="7"/>
        <v>0.51952941176470591</v>
      </c>
    </row>
    <row r="19" spans="1:18" ht="27" customHeight="1">
      <c r="A19" s="30">
        <v>46071</v>
      </c>
      <c r="B19" s="31">
        <v>2</v>
      </c>
      <c r="C19" s="31"/>
      <c r="D19" s="31">
        <v>425</v>
      </c>
      <c r="E19" s="31" t="s">
        <v>27</v>
      </c>
      <c r="F19" s="31">
        <v>15</v>
      </c>
      <c r="G19" s="31" t="s">
        <v>10</v>
      </c>
      <c r="H19" s="31">
        <v>15</v>
      </c>
      <c r="I19" s="31" t="s">
        <v>4</v>
      </c>
      <c r="J19" s="31"/>
      <c r="K19" s="31"/>
      <c r="L19" s="31"/>
      <c r="M19" s="32"/>
      <c r="N19" s="33">
        <f t="shared" si="4"/>
        <v>0.56666666666666665</v>
      </c>
      <c r="O19" s="34">
        <f t="shared" si="5"/>
        <v>5.8823529411764705E-2</v>
      </c>
      <c r="P19" s="33">
        <f>(510-(Tablo1[[#This Row],[DURAKLAMA ZAMANI 1 (DK)]]+Tablo1[[#This Row],[DURAKLAMA ZAMANI 2 (DK)]]+Tablo1[[#This Row],[DURAKLAMA ZAMANI 3 (DK)]]))/510</f>
        <v>0.94117647058823528</v>
      </c>
      <c r="Q19" s="33">
        <f t="shared" si="6"/>
        <v>1</v>
      </c>
      <c r="R19" s="33">
        <f t="shared" si="7"/>
        <v>0.53333333333333333</v>
      </c>
    </row>
    <row r="20" spans="1:18" ht="27" customHeight="1">
      <c r="A20" s="30">
        <v>46070</v>
      </c>
      <c r="B20" s="31">
        <v>2</v>
      </c>
      <c r="C20" s="31"/>
      <c r="D20" s="31">
        <v>385</v>
      </c>
      <c r="E20" s="31" t="s">
        <v>27</v>
      </c>
      <c r="F20" s="31">
        <v>15</v>
      </c>
      <c r="G20" s="31" t="s">
        <v>10</v>
      </c>
      <c r="H20" s="31">
        <v>15</v>
      </c>
      <c r="I20" s="31" t="s">
        <v>4</v>
      </c>
      <c r="J20" s="31"/>
      <c r="K20" s="31"/>
      <c r="L20" s="31"/>
      <c r="M20" s="32"/>
      <c r="N20" s="33">
        <f t="shared" si="4"/>
        <v>0.51333333333333331</v>
      </c>
      <c r="O20" s="34">
        <f t="shared" si="5"/>
        <v>5.8823529411764705E-2</v>
      </c>
      <c r="P20" s="33">
        <f>(510-(Tablo1[[#This Row],[DURAKLAMA ZAMANI 1 (DK)]]+Tablo1[[#This Row],[DURAKLAMA ZAMANI 2 (DK)]]+Tablo1[[#This Row],[DURAKLAMA ZAMANI 3 (DK)]]))/510</f>
        <v>0.94117647058823528</v>
      </c>
      <c r="Q20" s="33">
        <f t="shared" si="6"/>
        <v>1</v>
      </c>
      <c r="R20" s="33">
        <f t="shared" si="7"/>
        <v>0.48313725490196074</v>
      </c>
    </row>
    <row r="21" spans="1:18" ht="27" customHeight="1">
      <c r="A21" s="30">
        <v>46069</v>
      </c>
      <c r="B21" s="31">
        <v>2</v>
      </c>
      <c r="C21" s="31"/>
      <c r="D21" s="31">
        <v>412</v>
      </c>
      <c r="E21" s="31" t="s">
        <v>27</v>
      </c>
      <c r="F21" s="31">
        <v>15</v>
      </c>
      <c r="G21" s="31" t="s">
        <v>10</v>
      </c>
      <c r="H21" s="31">
        <v>15</v>
      </c>
      <c r="I21" s="31" t="s">
        <v>4</v>
      </c>
      <c r="J21" s="31"/>
      <c r="K21" s="31"/>
      <c r="L21" s="31"/>
      <c r="M21" s="32"/>
      <c r="N21" s="33">
        <f t="shared" si="4"/>
        <v>0.54933333333333334</v>
      </c>
      <c r="O21" s="34">
        <f t="shared" si="5"/>
        <v>5.8823529411764705E-2</v>
      </c>
      <c r="P21" s="33">
        <f>(510-(Tablo1[[#This Row],[DURAKLAMA ZAMANI 1 (DK)]]+Tablo1[[#This Row],[DURAKLAMA ZAMANI 2 (DK)]]+Tablo1[[#This Row],[DURAKLAMA ZAMANI 3 (DK)]]))/510</f>
        <v>0.94117647058823528</v>
      </c>
      <c r="Q21" s="33">
        <f t="shared" si="6"/>
        <v>1</v>
      </c>
      <c r="R21" s="33">
        <f t="shared" si="7"/>
        <v>0.51701960784313727</v>
      </c>
    </row>
    <row r="22" spans="1:18" ht="27" customHeight="1">
      <c r="A22" s="30">
        <v>46066</v>
      </c>
      <c r="B22" s="31">
        <v>2</v>
      </c>
      <c r="C22" s="31"/>
      <c r="D22" s="31">
        <v>354</v>
      </c>
      <c r="E22" s="31" t="s">
        <v>27</v>
      </c>
      <c r="F22" s="31">
        <v>15</v>
      </c>
      <c r="G22" s="31" t="s">
        <v>10</v>
      </c>
      <c r="H22" s="31">
        <v>60</v>
      </c>
      <c r="I22" s="31" t="s">
        <v>4</v>
      </c>
      <c r="J22" s="31"/>
      <c r="K22" s="31"/>
      <c r="L22" s="31"/>
      <c r="M22" s="32"/>
      <c r="N22" s="33">
        <f t="shared" si="4"/>
        <v>0.47199999999999998</v>
      </c>
      <c r="O22" s="34">
        <f t="shared" si="5"/>
        <v>0.14705882352941177</v>
      </c>
      <c r="P22" s="33">
        <f>(510-(Tablo1[[#This Row],[DURAKLAMA ZAMANI 1 (DK)]]+Tablo1[[#This Row],[DURAKLAMA ZAMANI 2 (DK)]]+Tablo1[[#This Row],[DURAKLAMA ZAMANI 3 (DK)]]))/510</f>
        <v>0.8529411764705882</v>
      </c>
      <c r="Q22" s="33">
        <f t="shared" si="6"/>
        <v>1</v>
      </c>
      <c r="R22" s="33">
        <f t="shared" si="7"/>
        <v>0.40258823529411764</v>
      </c>
    </row>
    <row r="23" spans="1:18" ht="27" customHeight="1">
      <c r="A23" s="30">
        <v>46065</v>
      </c>
      <c r="B23" s="31">
        <v>2</v>
      </c>
      <c r="C23" s="31"/>
      <c r="D23" s="31">
        <v>378</v>
      </c>
      <c r="E23" s="31" t="s">
        <v>27</v>
      </c>
      <c r="F23" s="31">
        <v>15</v>
      </c>
      <c r="G23" s="31" t="s">
        <v>10</v>
      </c>
      <c r="H23" s="31">
        <v>15</v>
      </c>
      <c r="I23" s="31" t="s">
        <v>4</v>
      </c>
      <c r="J23" s="31"/>
      <c r="K23" s="31"/>
      <c r="L23" s="31"/>
      <c r="M23" s="32"/>
      <c r="N23" s="33">
        <f t="shared" si="4"/>
        <v>0.504</v>
      </c>
      <c r="O23" s="34">
        <f t="shared" si="5"/>
        <v>5.8823529411764705E-2</v>
      </c>
      <c r="P23" s="33">
        <f>(510-(Tablo1[[#This Row],[DURAKLAMA ZAMANI 1 (DK)]]+Tablo1[[#This Row],[DURAKLAMA ZAMANI 2 (DK)]]+Tablo1[[#This Row],[DURAKLAMA ZAMANI 3 (DK)]]))/510</f>
        <v>0.94117647058823528</v>
      </c>
      <c r="Q23" s="33">
        <f t="shared" si="6"/>
        <v>1</v>
      </c>
      <c r="R23" s="33">
        <f t="shared" si="7"/>
        <v>0.47435294117647059</v>
      </c>
    </row>
    <row r="24" spans="1:18" ht="27" customHeight="1">
      <c r="A24" s="30">
        <v>46064</v>
      </c>
      <c r="B24" s="31">
        <v>2</v>
      </c>
      <c r="C24" s="31"/>
      <c r="D24" s="31">
        <v>329</v>
      </c>
      <c r="E24" s="31" t="s">
        <v>27</v>
      </c>
      <c r="F24" s="31">
        <v>15</v>
      </c>
      <c r="G24" s="31" t="s">
        <v>10</v>
      </c>
      <c r="H24" s="31">
        <v>15</v>
      </c>
      <c r="I24" s="31" t="s">
        <v>4</v>
      </c>
      <c r="J24" s="31"/>
      <c r="K24" s="31"/>
      <c r="L24" s="31"/>
      <c r="M24" s="32"/>
      <c r="N24" s="33">
        <f t="shared" si="4"/>
        <v>0.43866666666666665</v>
      </c>
      <c r="O24" s="34">
        <f t="shared" si="5"/>
        <v>5.8823529411764705E-2</v>
      </c>
      <c r="P24" s="33">
        <f>(510-(Tablo1[[#This Row],[DURAKLAMA ZAMANI 1 (DK)]]+Tablo1[[#This Row],[DURAKLAMA ZAMANI 2 (DK)]]+Tablo1[[#This Row],[DURAKLAMA ZAMANI 3 (DK)]]))/510</f>
        <v>0.94117647058823528</v>
      </c>
      <c r="Q24" s="33">
        <f t="shared" si="6"/>
        <v>1</v>
      </c>
      <c r="R24" s="33">
        <f t="shared" si="7"/>
        <v>0.41286274509803922</v>
      </c>
    </row>
    <row r="25" spans="1:18" ht="27" customHeight="1">
      <c r="A25" s="30">
        <v>46063</v>
      </c>
      <c r="B25" s="31">
        <v>2</v>
      </c>
      <c r="C25" s="31"/>
      <c r="D25" s="31">
        <v>358</v>
      </c>
      <c r="E25" s="31" t="s">
        <v>27</v>
      </c>
      <c r="F25" s="31">
        <v>15</v>
      </c>
      <c r="G25" s="31" t="s">
        <v>10</v>
      </c>
      <c r="H25" s="31">
        <v>15</v>
      </c>
      <c r="I25" s="31" t="s">
        <v>4</v>
      </c>
      <c r="J25" s="31"/>
      <c r="K25" s="31"/>
      <c r="L25" s="31"/>
      <c r="M25" s="32"/>
      <c r="N25" s="33">
        <f t="shared" si="4"/>
        <v>0.47733333333333333</v>
      </c>
      <c r="O25" s="34">
        <f t="shared" si="5"/>
        <v>5.8823529411764705E-2</v>
      </c>
      <c r="P25" s="33">
        <f>(510-(Tablo1[[#This Row],[DURAKLAMA ZAMANI 1 (DK)]]+Tablo1[[#This Row],[DURAKLAMA ZAMANI 2 (DK)]]+Tablo1[[#This Row],[DURAKLAMA ZAMANI 3 (DK)]]))/510</f>
        <v>0.94117647058823528</v>
      </c>
      <c r="Q25" s="33">
        <f t="shared" si="6"/>
        <v>1</v>
      </c>
      <c r="R25" s="33">
        <f t="shared" si="7"/>
        <v>0.44925490196078433</v>
      </c>
    </row>
    <row r="26" spans="1:18" ht="27" customHeight="1">
      <c r="A26" s="30">
        <v>46062</v>
      </c>
      <c r="B26" s="31">
        <v>2</v>
      </c>
      <c r="C26" s="31"/>
      <c r="D26" s="31">
        <v>312</v>
      </c>
      <c r="E26" s="31" t="s">
        <v>27</v>
      </c>
      <c r="F26" s="31">
        <v>15</v>
      </c>
      <c r="G26" s="31" t="s">
        <v>10</v>
      </c>
      <c r="H26" s="31">
        <v>15</v>
      </c>
      <c r="I26" s="31" t="s">
        <v>4</v>
      </c>
      <c r="J26" s="31"/>
      <c r="K26" s="31"/>
      <c r="L26" s="31"/>
      <c r="M26" s="32"/>
      <c r="N26" s="33">
        <f t="shared" si="4"/>
        <v>0.41599999999999998</v>
      </c>
      <c r="O26" s="34">
        <f t="shared" si="5"/>
        <v>5.8823529411764705E-2</v>
      </c>
      <c r="P26" s="33">
        <f>(510-(Tablo1[[#This Row],[DURAKLAMA ZAMANI 1 (DK)]]+Tablo1[[#This Row],[DURAKLAMA ZAMANI 2 (DK)]]+Tablo1[[#This Row],[DURAKLAMA ZAMANI 3 (DK)]]))/510</f>
        <v>0.94117647058823528</v>
      </c>
      <c r="Q26" s="33">
        <f t="shared" si="6"/>
        <v>1</v>
      </c>
      <c r="R26" s="33">
        <f t="shared" si="7"/>
        <v>0.39152941176470585</v>
      </c>
    </row>
    <row r="27" spans="1:18" ht="27" customHeight="1">
      <c r="A27" s="30">
        <v>46059</v>
      </c>
      <c r="B27" s="31">
        <v>2</v>
      </c>
      <c r="C27" s="31"/>
      <c r="D27" s="31">
        <v>272</v>
      </c>
      <c r="E27" s="31" t="s">
        <v>27</v>
      </c>
      <c r="F27" s="31">
        <v>15</v>
      </c>
      <c r="G27" s="31" t="s">
        <v>10</v>
      </c>
      <c r="H27" s="31">
        <v>75</v>
      </c>
      <c r="I27" s="31" t="s">
        <v>4</v>
      </c>
      <c r="J27" s="31"/>
      <c r="K27" s="31"/>
      <c r="L27" s="31"/>
      <c r="M27" s="32"/>
      <c r="N27" s="33">
        <f t="shared" si="4"/>
        <v>0.36266666666666669</v>
      </c>
      <c r="O27" s="34">
        <f t="shared" si="5"/>
        <v>0.17647058823529413</v>
      </c>
      <c r="P27" s="33">
        <f>(510-(Tablo1[[#This Row],[DURAKLAMA ZAMANI 1 (DK)]]+Tablo1[[#This Row],[DURAKLAMA ZAMANI 2 (DK)]]+Tablo1[[#This Row],[DURAKLAMA ZAMANI 3 (DK)]]))/510</f>
        <v>0.82352941176470584</v>
      </c>
      <c r="Q27" s="33">
        <f t="shared" si="6"/>
        <v>1</v>
      </c>
      <c r="R27" s="33">
        <f t="shared" si="7"/>
        <v>0.29866666666666669</v>
      </c>
    </row>
    <row r="28" spans="1:18" ht="27" customHeight="1">
      <c r="A28" s="30">
        <v>46058</v>
      </c>
      <c r="B28" s="31">
        <v>2</v>
      </c>
      <c r="C28" s="31"/>
      <c r="D28" s="31">
        <v>185</v>
      </c>
      <c r="E28" s="31" t="s">
        <v>27</v>
      </c>
      <c r="F28" s="31">
        <v>15</v>
      </c>
      <c r="G28" s="31" t="s">
        <v>10</v>
      </c>
      <c r="H28" s="31">
        <v>240</v>
      </c>
      <c r="I28" s="31" t="s">
        <v>6</v>
      </c>
      <c r="J28" s="31"/>
      <c r="K28" s="31"/>
      <c r="L28" s="31"/>
      <c r="M28" s="32"/>
      <c r="N28" s="33">
        <f t="shared" si="4"/>
        <v>0.24666666666666667</v>
      </c>
      <c r="O28" s="34">
        <f t="shared" si="5"/>
        <v>0.5</v>
      </c>
      <c r="P28" s="33">
        <f>(510-(Tablo1[[#This Row],[DURAKLAMA ZAMANI 1 (DK)]]+Tablo1[[#This Row],[DURAKLAMA ZAMANI 2 (DK)]]+Tablo1[[#This Row],[DURAKLAMA ZAMANI 3 (DK)]]))/510</f>
        <v>0.5</v>
      </c>
      <c r="Q28" s="33">
        <f t="shared" si="6"/>
        <v>1</v>
      </c>
      <c r="R28" s="33">
        <f t="shared" si="7"/>
        <v>0.12333333333333334</v>
      </c>
    </row>
    <row r="29" spans="1:18" ht="27" customHeight="1">
      <c r="A29" s="30">
        <v>46056</v>
      </c>
      <c r="B29" s="31">
        <v>2</v>
      </c>
      <c r="C29" s="31"/>
      <c r="D29" s="31">
        <v>514</v>
      </c>
      <c r="E29" s="31" t="s">
        <v>27</v>
      </c>
      <c r="F29" s="31">
        <v>15</v>
      </c>
      <c r="G29" s="31" t="s">
        <v>10</v>
      </c>
      <c r="H29" s="31">
        <v>15</v>
      </c>
      <c r="I29" s="31" t="s">
        <v>4</v>
      </c>
      <c r="J29" s="31"/>
      <c r="K29" s="31"/>
      <c r="L29" s="31"/>
      <c r="M29" s="32"/>
      <c r="N29" s="33">
        <f t="shared" si="4"/>
        <v>0.68533333333333335</v>
      </c>
      <c r="O29" s="34">
        <f t="shared" si="5"/>
        <v>5.8823529411764705E-2</v>
      </c>
      <c r="P29" s="33">
        <f>(510-(Tablo1[[#This Row],[DURAKLAMA ZAMANI 1 (DK)]]+Tablo1[[#This Row],[DURAKLAMA ZAMANI 2 (DK)]]+Tablo1[[#This Row],[DURAKLAMA ZAMANI 3 (DK)]]))/510</f>
        <v>0.94117647058823528</v>
      </c>
      <c r="Q29" s="33">
        <f t="shared" si="6"/>
        <v>1</v>
      </c>
      <c r="R29" s="33">
        <f t="shared" si="7"/>
        <v>0.64501960784313728</v>
      </c>
    </row>
    <row r="30" spans="1:18" ht="27" customHeight="1">
      <c r="A30" s="30">
        <v>46055</v>
      </c>
      <c r="B30" s="31">
        <v>2</v>
      </c>
      <c r="C30" s="31"/>
      <c r="D30" s="31">
        <v>450</v>
      </c>
      <c r="E30" s="31" t="s">
        <v>27</v>
      </c>
      <c r="F30" s="31">
        <v>15</v>
      </c>
      <c r="G30" s="31" t="s">
        <v>10</v>
      </c>
      <c r="H30" s="31">
        <v>15</v>
      </c>
      <c r="I30" s="31" t="s">
        <v>4</v>
      </c>
      <c r="J30" s="31"/>
      <c r="K30" s="31"/>
      <c r="L30" s="31"/>
      <c r="M30" s="32"/>
      <c r="N30" s="33">
        <f t="shared" si="4"/>
        <v>0.6</v>
      </c>
      <c r="O30" s="34">
        <f t="shared" si="5"/>
        <v>5.8823529411764705E-2</v>
      </c>
      <c r="P30" s="33">
        <f>(510-(Tablo1[[#This Row],[DURAKLAMA ZAMANI 1 (DK)]]+Tablo1[[#This Row],[DURAKLAMA ZAMANI 2 (DK)]]+Tablo1[[#This Row],[DURAKLAMA ZAMANI 3 (DK)]]))/510</f>
        <v>0.94117647058823528</v>
      </c>
      <c r="Q30" s="33">
        <f t="shared" si="6"/>
        <v>1</v>
      </c>
      <c r="R30" s="33">
        <f t="shared" si="7"/>
        <v>0.56470588235294117</v>
      </c>
    </row>
    <row r="31" spans="1:18" ht="27" customHeight="1">
      <c r="A31" s="30">
        <v>46052</v>
      </c>
      <c r="B31" s="31">
        <v>2</v>
      </c>
      <c r="C31" s="31"/>
      <c r="D31" s="31">
        <v>495</v>
      </c>
      <c r="E31" s="31" t="s">
        <v>27</v>
      </c>
      <c r="F31" s="31">
        <v>15</v>
      </c>
      <c r="G31" s="31" t="s">
        <v>10</v>
      </c>
      <c r="H31" s="31">
        <v>60</v>
      </c>
      <c r="I31" s="31" t="s">
        <v>4</v>
      </c>
      <c r="J31" s="31"/>
      <c r="K31" s="31"/>
      <c r="L31" s="31"/>
      <c r="M31" s="32"/>
      <c r="N31" s="33">
        <f t="shared" si="4"/>
        <v>0.66</v>
      </c>
      <c r="O31" s="34">
        <f t="shared" si="5"/>
        <v>0.14705882352941177</v>
      </c>
      <c r="P31" s="33">
        <f>(510-(Tablo1[[#This Row],[DURAKLAMA ZAMANI 1 (DK)]]+Tablo1[[#This Row],[DURAKLAMA ZAMANI 2 (DK)]]+Tablo1[[#This Row],[DURAKLAMA ZAMANI 3 (DK)]]))/510</f>
        <v>0.8529411764705882</v>
      </c>
      <c r="Q31" s="33">
        <f t="shared" si="6"/>
        <v>1</v>
      </c>
      <c r="R31" s="33">
        <f t="shared" si="7"/>
        <v>0.56294117647058828</v>
      </c>
    </row>
    <row r="32" spans="1:18" ht="27" customHeight="1">
      <c r="A32" s="30">
        <v>46051</v>
      </c>
      <c r="B32" s="31">
        <v>2</v>
      </c>
      <c r="C32" s="31"/>
      <c r="D32" s="31">
        <v>440</v>
      </c>
      <c r="E32" s="31" t="s">
        <v>27</v>
      </c>
      <c r="F32" s="31">
        <v>15</v>
      </c>
      <c r="G32" s="31" t="s">
        <v>10</v>
      </c>
      <c r="H32" s="31">
        <v>15</v>
      </c>
      <c r="I32" s="31" t="s">
        <v>4</v>
      </c>
      <c r="J32" s="31"/>
      <c r="K32" s="31"/>
      <c r="L32" s="31"/>
      <c r="M32" s="32"/>
      <c r="N32" s="33">
        <f t="shared" si="4"/>
        <v>0.58666666666666667</v>
      </c>
      <c r="O32" s="34">
        <f t="shared" si="5"/>
        <v>5.8823529411764705E-2</v>
      </c>
      <c r="P32" s="33">
        <f>(510-(Tablo1[[#This Row],[DURAKLAMA ZAMANI 1 (DK)]]+Tablo1[[#This Row],[DURAKLAMA ZAMANI 2 (DK)]]+Tablo1[[#This Row],[DURAKLAMA ZAMANI 3 (DK)]]))/510</f>
        <v>0.94117647058823528</v>
      </c>
      <c r="Q32" s="33">
        <f t="shared" si="6"/>
        <v>1</v>
      </c>
      <c r="R32" s="33">
        <f t="shared" si="7"/>
        <v>0.55215686274509801</v>
      </c>
    </row>
    <row r="33" spans="1:18" ht="27" customHeight="1">
      <c r="A33" s="30">
        <v>46050</v>
      </c>
      <c r="B33" s="31">
        <v>2</v>
      </c>
      <c r="C33" s="31"/>
      <c r="D33" s="31">
        <v>412</v>
      </c>
      <c r="E33" s="31" t="s">
        <v>27</v>
      </c>
      <c r="F33" s="31">
        <v>15</v>
      </c>
      <c r="G33" s="31" t="s">
        <v>10</v>
      </c>
      <c r="H33" s="31">
        <v>15</v>
      </c>
      <c r="I33" s="31" t="s">
        <v>4</v>
      </c>
      <c r="J33" s="31"/>
      <c r="K33" s="31"/>
      <c r="L33" s="31"/>
      <c r="M33" s="32"/>
      <c r="N33" s="33">
        <f t="shared" si="4"/>
        <v>0.54933333333333334</v>
      </c>
      <c r="O33" s="34">
        <f t="shared" si="5"/>
        <v>5.8823529411764705E-2</v>
      </c>
      <c r="P33" s="33">
        <f>(510-(Tablo1[[#This Row],[DURAKLAMA ZAMANI 1 (DK)]]+Tablo1[[#This Row],[DURAKLAMA ZAMANI 2 (DK)]]+Tablo1[[#This Row],[DURAKLAMA ZAMANI 3 (DK)]]))/510</f>
        <v>0.94117647058823528</v>
      </c>
      <c r="Q33" s="33">
        <f t="shared" si="6"/>
        <v>1</v>
      </c>
      <c r="R33" s="33">
        <f t="shared" si="7"/>
        <v>0.51701960784313727</v>
      </c>
    </row>
    <row r="34" spans="1:18" ht="27" customHeight="1">
      <c r="A34" s="30">
        <v>46049</v>
      </c>
      <c r="B34" s="31">
        <v>2</v>
      </c>
      <c r="C34" s="31"/>
      <c r="D34" s="31">
        <v>255</v>
      </c>
      <c r="E34" s="31" t="s">
        <v>27</v>
      </c>
      <c r="F34" s="31">
        <v>15</v>
      </c>
      <c r="G34" s="31" t="s">
        <v>10</v>
      </c>
      <c r="H34" s="31">
        <v>15</v>
      </c>
      <c r="I34" s="31" t="s">
        <v>4</v>
      </c>
      <c r="J34" s="31"/>
      <c r="K34" s="31"/>
      <c r="L34" s="31"/>
      <c r="M34" s="32"/>
      <c r="N34" s="33">
        <f t="shared" si="4"/>
        <v>0.34</v>
      </c>
      <c r="O34" s="34">
        <f t="shared" si="5"/>
        <v>5.8823529411764705E-2</v>
      </c>
      <c r="P34" s="33">
        <f>(510-(Tablo1[[#This Row],[DURAKLAMA ZAMANI 1 (DK)]]+Tablo1[[#This Row],[DURAKLAMA ZAMANI 2 (DK)]]+Tablo1[[#This Row],[DURAKLAMA ZAMANI 3 (DK)]]))/510</f>
        <v>0.94117647058823528</v>
      </c>
      <c r="Q34" s="33">
        <f t="shared" si="6"/>
        <v>1</v>
      </c>
      <c r="R34" s="33">
        <f t="shared" si="7"/>
        <v>0.32</v>
      </c>
    </row>
    <row r="35" spans="1:18" ht="27" customHeight="1">
      <c r="A35" s="30">
        <v>46048</v>
      </c>
      <c r="B35" s="31">
        <v>2</v>
      </c>
      <c r="C35" s="31"/>
      <c r="D35" s="31">
        <v>241</v>
      </c>
      <c r="E35" s="31" t="s">
        <v>27</v>
      </c>
      <c r="F35" s="31">
        <v>15</v>
      </c>
      <c r="G35" s="31" t="s">
        <v>10</v>
      </c>
      <c r="H35" s="31">
        <v>15</v>
      </c>
      <c r="I35" s="31" t="s">
        <v>4</v>
      </c>
      <c r="J35" s="31"/>
      <c r="K35" s="31"/>
      <c r="L35" s="31"/>
      <c r="M35" s="32"/>
      <c r="N35" s="33">
        <f t="shared" si="4"/>
        <v>0.32133333333333336</v>
      </c>
      <c r="O35" s="34">
        <f t="shared" si="5"/>
        <v>5.8823529411764705E-2</v>
      </c>
      <c r="P35" s="33">
        <f>(510-(Tablo1[[#This Row],[DURAKLAMA ZAMANI 1 (DK)]]+Tablo1[[#This Row],[DURAKLAMA ZAMANI 2 (DK)]]+Tablo1[[#This Row],[DURAKLAMA ZAMANI 3 (DK)]]))/510</f>
        <v>0.94117647058823528</v>
      </c>
      <c r="Q35" s="33">
        <f t="shared" si="6"/>
        <v>1</v>
      </c>
      <c r="R35" s="33">
        <f t="shared" si="7"/>
        <v>0.30243137254901964</v>
      </c>
    </row>
    <row r="36" spans="1:18" ht="27" customHeight="1">
      <c r="A36" s="30">
        <v>46044</v>
      </c>
      <c r="B36" s="31">
        <v>2</v>
      </c>
      <c r="C36" s="31"/>
      <c r="D36" s="31">
        <v>232</v>
      </c>
      <c r="E36" s="31" t="s">
        <v>27</v>
      </c>
      <c r="F36" s="31">
        <v>15</v>
      </c>
      <c r="G36" s="31" t="s">
        <v>10</v>
      </c>
      <c r="H36" s="31">
        <v>120</v>
      </c>
      <c r="I36" s="31" t="s">
        <v>8</v>
      </c>
      <c r="J36" s="31"/>
      <c r="K36" s="31"/>
      <c r="L36" s="31"/>
      <c r="M36" s="32"/>
      <c r="N36" s="33">
        <f t="shared" si="4"/>
        <v>0.30933333333333335</v>
      </c>
      <c r="O36" s="34">
        <f t="shared" si="5"/>
        <v>0.26470588235294118</v>
      </c>
      <c r="P36" s="33">
        <f>(510-(Tablo1[[#This Row],[DURAKLAMA ZAMANI 1 (DK)]]+Tablo1[[#This Row],[DURAKLAMA ZAMANI 2 (DK)]]+Tablo1[[#This Row],[DURAKLAMA ZAMANI 3 (DK)]]))/510</f>
        <v>0.73529411764705888</v>
      </c>
      <c r="Q36" s="33">
        <f t="shared" si="6"/>
        <v>1</v>
      </c>
      <c r="R36" s="33">
        <f t="shared" si="7"/>
        <v>0.22745098039215689</v>
      </c>
    </row>
    <row r="37" spans="1:18" ht="27" customHeight="1">
      <c r="A37" s="30">
        <v>46043</v>
      </c>
      <c r="B37" s="31">
        <v>2</v>
      </c>
      <c r="C37" s="31"/>
      <c r="D37" s="31">
        <v>60</v>
      </c>
      <c r="E37" s="31" t="s">
        <v>27</v>
      </c>
      <c r="F37" s="31">
        <v>15</v>
      </c>
      <c r="G37" s="31" t="s">
        <v>10</v>
      </c>
      <c r="H37" s="31">
        <v>480</v>
      </c>
      <c r="I37" s="31" t="s">
        <v>12</v>
      </c>
      <c r="J37" s="31"/>
      <c r="K37" s="31"/>
      <c r="L37" s="31"/>
      <c r="M37" s="32"/>
      <c r="N37" s="33">
        <f t="shared" si="4"/>
        <v>0.08</v>
      </c>
      <c r="O37" s="34">
        <f t="shared" si="5"/>
        <v>0.97058823529411764</v>
      </c>
      <c r="P37" s="33">
        <f>(510-(Tablo1[[#This Row],[DURAKLAMA ZAMANI 1 (DK)]]+Tablo1[[#This Row],[DURAKLAMA ZAMANI 2 (DK)]]+Tablo1[[#This Row],[DURAKLAMA ZAMANI 3 (DK)]]))/510</f>
        <v>2.9411764705882353E-2</v>
      </c>
      <c r="Q37" s="33">
        <f t="shared" si="6"/>
        <v>1</v>
      </c>
      <c r="R37" s="33">
        <f t="shared" si="7"/>
        <v>2.3529411764705885E-3</v>
      </c>
    </row>
    <row r="38" spans="1:18" ht="27" customHeight="1">
      <c r="A38" s="30">
        <v>46042</v>
      </c>
      <c r="B38" s="31">
        <v>2</v>
      </c>
      <c r="C38" s="31"/>
      <c r="D38" s="31">
        <v>295</v>
      </c>
      <c r="E38" s="31" t="s">
        <v>27</v>
      </c>
      <c r="F38" s="31">
        <v>15</v>
      </c>
      <c r="G38" s="31" t="s">
        <v>10</v>
      </c>
      <c r="H38" s="31">
        <v>15</v>
      </c>
      <c r="I38" s="31" t="s">
        <v>4</v>
      </c>
      <c r="J38" s="31"/>
      <c r="K38" s="31"/>
      <c r="L38" s="31"/>
      <c r="M38" s="32"/>
      <c r="N38" s="33">
        <f t="shared" si="4"/>
        <v>0.39333333333333331</v>
      </c>
      <c r="O38" s="34">
        <f t="shared" si="5"/>
        <v>5.8823529411764705E-2</v>
      </c>
      <c r="P38" s="33">
        <f>(510-(Tablo1[[#This Row],[DURAKLAMA ZAMANI 1 (DK)]]+Tablo1[[#This Row],[DURAKLAMA ZAMANI 2 (DK)]]+Tablo1[[#This Row],[DURAKLAMA ZAMANI 3 (DK)]]))/510</f>
        <v>0.94117647058823528</v>
      </c>
      <c r="Q38" s="33">
        <f t="shared" si="6"/>
        <v>1</v>
      </c>
      <c r="R38" s="33">
        <f t="shared" si="7"/>
        <v>0.37019607843137253</v>
      </c>
    </row>
    <row r="39" spans="1:18" ht="27" customHeight="1">
      <c r="A39" s="30">
        <v>46041</v>
      </c>
      <c r="B39" s="31">
        <v>2</v>
      </c>
      <c r="C39" s="31"/>
      <c r="D39" s="31">
        <v>405</v>
      </c>
      <c r="E39" s="31" t="s">
        <v>27</v>
      </c>
      <c r="F39" s="31">
        <v>15</v>
      </c>
      <c r="G39" s="31" t="s">
        <v>10</v>
      </c>
      <c r="H39" s="31">
        <v>15</v>
      </c>
      <c r="I39" s="31" t="s">
        <v>4</v>
      </c>
      <c r="J39" s="31"/>
      <c r="K39" s="31"/>
      <c r="L39" s="31"/>
      <c r="M39" s="32"/>
      <c r="N39" s="33">
        <f t="shared" si="4"/>
        <v>0.54</v>
      </c>
      <c r="O39" s="34">
        <f t="shared" si="5"/>
        <v>5.8823529411764705E-2</v>
      </c>
      <c r="P39" s="33">
        <f>(510-(Tablo1[[#This Row],[DURAKLAMA ZAMANI 1 (DK)]]+Tablo1[[#This Row],[DURAKLAMA ZAMANI 2 (DK)]]+Tablo1[[#This Row],[DURAKLAMA ZAMANI 3 (DK)]]))/510</f>
        <v>0.94117647058823528</v>
      </c>
      <c r="Q39" s="33">
        <f t="shared" si="6"/>
        <v>1</v>
      </c>
      <c r="R39" s="33">
        <f t="shared" si="7"/>
        <v>0.50823529411764712</v>
      </c>
    </row>
    <row r="40" spans="1:18" ht="27" customHeight="1">
      <c r="A40" s="30">
        <v>46038</v>
      </c>
      <c r="B40" s="31">
        <v>2</v>
      </c>
      <c r="C40" s="31"/>
      <c r="D40" s="31">
        <v>330</v>
      </c>
      <c r="E40" s="31" t="s">
        <v>27</v>
      </c>
      <c r="F40" s="31">
        <v>15</v>
      </c>
      <c r="G40" s="31" t="s">
        <v>10</v>
      </c>
      <c r="H40" s="31">
        <v>60</v>
      </c>
      <c r="I40" s="31" t="s">
        <v>4</v>
      </c>
      <c r="J40" s="31"/>
      <c r="K40" s="31"/>
      <c r="L40" s="31"/>
      <c r="M40" s="32"/>
      <c r="N40" s="33">
        <f t="shared" si="4"/>
        <v>0.44</v>
      </c>
      <c r="O40" s="34">
        <f t="shared" si="5"/>
        <v>0.14705882352941177</v>
      </c>
      <c r="P40" s="33">
        <f>(510-(Tablo1[[#This Row],[DURAKLAMA ZAMANI 1 (DK)]]+Tablo1[[#This Row],[DURAKLAMA ZAMANI 2 (DK)]]+Tablo1[[#This Row],[DURAKLAMA ZAMANI 3 (DK)]]))/510</f>
        <v>0.8529411764705882</v>
      </c>
      <c r="Q40" s="33">
        <f t="shared" si="6"/>
        <v>1</v>
      </c>
      <c r="R40" s="33">
        <f t="shared" si="7"/>
        <v>0.37529411764705883</v>
      </c>
    </row>
    <row r="41" spans="1:18" ht="27" customHeight="1">
      <c r="A41" s="30">
        <v>46037</v>
      </c>
      <c r="B41" s="31">
        <v>2</v>
      </c>
      <c r="C41" s="31"/>
      <c r="D41" s="31">
        <v>445</v>
      </c>
      <c r="E41" s="31" t="s">
        <v>27</v>
      </c>
      <c r="F41" s="31">
        <v>15</v>
      </c>
      <c r="G41" s="31" t="s">
        <v>10</v>
      </c>
      <c r="H41" s="31">
        <v>15</v>
      </c>
      <c r="I41" s="31" t="s">
        <v>4</v>
      </c>
      <c r="J41" s="31"/>
      <c r="K41" s="31"/>
      <c r="L41" s="31"/>
      <c r="M41" s="32"/>
      <c r="N41" s="33">
        <f t="shared" si="4"/>
        <v>0.59333333333333338</v>
      </c>
      <c r="O41" s="34">
        <f t="shared" si="5"/>
        <v>5.8823529411764705E-2</v>
      </c>
      <c r="P41" s="33">
        <f>(510-(Tablo1[[#This Row],[DURAKLAMA ZAMANI 1 (DK)]]+Tablo1[[#This Row],[DURAKLAMA ZAMANI 2 (DK)]]+Tablo1[[#This Row],[DURAKLAMA ZAMANI 3 (DK)]]))/510</f>
        <v>0.94117647058823528</v>
      </c>
      <c r="Q41" s="33">
        <f t="shared" si="6"/>
        <v>1</v>
      </c>
      <c r="R41" s="33">
        <f t="shared" si="7"/>
        <v>0.55843137254901964</v>
      </c>
    </row>
    <row r="42" spans="1:18" ht="27" customHeight="1">
      <c r="A42" s="30">
        <v>46036</v>
      </c>
      <c r="B42" s="31">
        <v>2</v>
      </c>
      <c r="C42" s="31"/>
      <c r="D42" s="31">
        <v>320</v>
      </c>
      <c r="E42" s="31" t="s">
        <v>27</v>
      </c>
      <c r="F42" s="31">
        <v>15</v>
      </c>
      <c r="G42" s="31" t="s">
        <v>10</v>
      </c>
      <c r="H42" s="31">
        <v>15</v>
      </c>
      <c r="I42" s="31" t="s">
        <v>4</v>
      </c>
      <c r="J42" s="31"/>
      <c r="K42" s="31"/>
      <c r="L42" s="31"/>
      <c r="M42" s="32"/>
      <c r="N42" s="33">
        <f t="shared" si="4"/>
        <v>0.42666666666666669</v>
      </c>
      <c r="O42" s="34">
        <f t="shared" si="5"/>
        <v>5.8823529411764705E-2</v>
      </c>
      <c r="P42" s="33">
        <f>(510-(Tablo1[[#This Row],[DURAKLAMA ZAMANI 1 (DK)]]+Tablo1[[#This Row],[DURAKLAMA ZAMANI 2 (DK)]]+Tablo1[[#This Row],[DURAKLAMA ZAMANI 3 (DK)]]))/510</f>
        <v>0.94117647058823528</v>
      </c>
      <c r="Q42" s="33">
        <f t="shared" si="6"/>
        <v>1</v>
      </c>
      <c r="R42" s="33">
        <f t="shared" si="7"/>
        <v>0.40156862745098043</v>
      </c>
    </row>
    <row r="43" spans="1:18" ht="27" customHeight="1">
      <c r="A43" s="30">
        <v>46035</v>
      </c>
      <c r="B43" s="31">
        <v>2</v>
      </c>
      <c r="C43" s="31"/>
      <c r="D43" s="31">
        <v>320</v>
      </c>
      <c r="E43" s="31" t="s">
        <v>27</v>
      </c>
      <c r="F43" s="31">
        <v>15</v>
      </c>
      <c r="G43" s="31" t="s">
        <v>10</v>
      </c>
      <c r="H43" s="31">
        <v>15</v>
      </c>
      <c r="I43" s="31" t="s">
        <v>4</v>
      </c>
      <c r="J43" s="31"/>
      <c r="K43" s="31"/>
      <c r="L43" s="31"/>
      <c r="M43" s="32"/>
      <c r="N43" s="33">
        <f t="shared" si="4"/>
        <v>0.42666666666666669</v>
      </c>
      <c r="O43" s="34">
        <f t="shared" si="5"/>
        <v>5.8823529411764705E-2</v>
      </c>
      <c r="P43" s="33">
        <f>(510-(Tablo1[[#This Row],[DURAKLAMA ZAMANI 1 (DK)]]+Tablo1[[#This Row],[DURAKLAMA ZAMANI 2 (DK)]]+Tablo1[[#This Row],[DURAKLAMA ZAMANI 3 (DK)]]))/510</f>
        <v>0.94117647058823528</v>
      </c>
      <c r="Q43" s="33">
        <f t="shared" si="6"/>
        <v>1</v>
      </c>
      <c r="R43" s="33">
        <f t="shared" si="7"/>
        <v>0.40156862745098043</v>
      </c>
    </row>
    <row r="44" spans="1:18" ht="27" customHeight="1">
      <c r="A44" s="30">
        <v>46034</v>
      </c>
      <c r="B44" s="31">
        <v>2</v>
      </c>
      <c r="C44" s="31"/>
      <c r="D44" s="31">
        <v>358</v>
      </c>
      <c r="E44" s="31" t="s">
        <v>27</v>
      </c>
      <c r="F44" s="31">
        <v>60</v>
      </c>
      <c r="G44" s="31" t="s">
        <v>12</v>
      </c>
      <c r="H44" s="31">
        <v>15</v>
      </c>
      <c r="I44" s="31" t="s">
        <v>4</v>
      </c>
      <c r="J44" s="31"/>
      <c r="K44" s="31"/>
      <c r="L44" s="31"/>
      <c r="M44" s="32"/>
      <c r="N44" s="33">
        <f t="shared" si="4"/>
        <v>0.47733333333333333</v>
      </c>
      <c r="O44" s="34">
        <f t="shared" si="5"/>
        <v>0.14705882352941177</v>
      </c>
      <c r="P44" s="33">
        <f>(510-(Tablo1[[#This Row],[DURAKLAMA ZAMANI 1 (DK)]]+Tablo1[[#This Row],[DURAKLAMA ZAMANI 2 (DK)]]+Tablo1[[#This Row],[DURAKLAMA ZAMANI 3 (DK)]]))/510</f>
        <v>0.8529411764705882</v>
      </c>
      <c r="Q44" s="33">
        <f t="shared" si="6"/>
        <v>1</v>
      </c>
      <c r="R44" s="33">
        <f t="shared" si="7"/>
        <v>0.40713725490196079</v>
      </c>
    </row>
    <row r="45" spans="1:18" ht="27" customHeight="1">
      <c r="A45" s="30">
        <v>46031</v>
      </c>
      <c r="B45" s="31">
        <v>2</v>
      </c>
      <c r="C45" s="31"/>
      <c r="D45" s="31">
        <v>280</v>
      </c>
      <c r="E45" s="31" t="s">
        <v>27</v>
      </c>
      <c r="F45" s="31">
        <v>15</v>
      </c>
      <c r="G45" s="31" t="s">
        <v>10</v>
      </c>
      <c r="H45" s="31">
        <v>60</v>
      </c>
      <c r="I45" s="31" t="s">
        <v>4</v>
      </c>
      <c r="J45" s="31">
        <v>30</v>
      </c>
      <c r="K45" s="31" t="s">
        <v>8</v>
      </c>
      <c r="L45" s="31"/>
      <c r="M45" s="32"/>
      <c r="N45" s="33">
        <f t="shared" si="4"/>
        <v>0.37333333333333335</v>
      </c>
      <c r="O45" s="34">
        <f t="shared" si="5"/>
        <v>0.20588235294117646</v>
      </c>
      <c r="P45" s="33">
        <f>(510-(Tablo1[[#This Row],[DURAKLAMA ZAMANI 1 (DK)]]+Tablo1[[#This Row],[DURAKLAMA ZAMANI 2 (DK)]]+Tablo1[[#This Row],[DURAKLAMA ZAMANI 3 (DK)]]))/510</f>
        <v>0.79411764705882348</v>
      </c>
      <c r="Q45" s="33">
        <f t="shared" si="6"/>
        <v>1</v>
      </c>
      <c r="R45" s="33">
        <f t="shared" si="7"/>
        <v>0.2964705882352941</v>
      </c>
    </row>
    <row r="46" spans="1:18" ht="27" customHeight="1">
      <c r="A46" s="30">
        <v>46030</v>
      </c>
      <c r="B46" s="31">
        <v>2</v>
      </c>
      <c r="C46" s="31"/>
      <c r="D46" s="31">
        <v>340</v>
      </c>
      <c r="E46" s="31" t="s">
        <v>27</v>
      </c>
      <c r="F46" s="31">
        <v>15</v>
      </c>
      <c r="G46" s="31" t="s">
        <v>10</v>
      </c>
      <c r="H46" s="31">
        <v>15</v>
      </c>
      <c r="I46" s="31" t="s">
        <v>4</v>
      </c>
      <c r="J46" s="31"/>
      <c r="K46" s="31"/>
      <c r="L46" s="31"/>
      <c r="M46" s="32"/>
      <c r="N46" s="33">
        <f t="shared" si="4"/>
        <v>0.45333333333333331</v>
      </c>
      <c r="O46" s="34">
        <f t="shared" si="5"/>
        <v>5.8823529411764705E-2</v>
      </c>
      <c r="P46" s="33">
        <f>(510-(Tablo1[[#This Row],[DURAKLAMA ZAMANI 1 (DK)]]+Tablo1[[#This Row],[DURAKLAMA ZAMANI 2 (DK)]]+Tablo1[[#This Row],[DURAKLAMA ZAMANI 3 (DK)]]))/510</f>
        <v>0.94117647058823528</v>
      </c>
      <c r="Q46" s="33">
        <f t="shared" si="6"/>
        <v>1</v>
      </c>
      <c r="R46" s="33">
        <f t="shared" si="7"/>
        <v>0.42666666666666664</v>
      </c>
    </row>
    <row r="47" spans="1:18" ht="27" customHeight="1">
      <c r="A47" s="16">
        <v>46029</v>
      </c>
      <c r="B47" s="17">
        <v>2</v>
      </c>
      <c r="C47" s="17"/>
      <c r="D47" s="17">
        <v>22</v>
      </c>
      <c r="E47" s="17" t="s">
        <v>27</v>
      </c>
      <c r="F47" s="17">
        <v>15</v>
      </c>
      <c r="G47" s="17" t="s">
        <v>10</v>
      </c>
      <c r="H47" s="17">
        <v>485</v>
      </c>
      <c r="I47" s="17" t="s">
        <v>12</v>
      </c>
      <c r="J47" s="17"/>
      <c r="K47" s="17"/>
      <c r="L47" s="17"/>
      <c r="M47" s="18"/>
      <c r="N47" s="20">
        <f t="shared" si="4"/>
        <v>2.9333333333333333E-2</v>
      </c>
      <c r="O47" s="19">
        <f t="shared" si="5"/>
        <v>0.98039215686274506</v>
      </c>
      <c r="P47" s="20">
        <f>(510-(Tablo1[[#This Row],[DURAKLAMA ZAMANI 1 (DK)]]+Tablo1[[#This Row],[DURAKLAMA ZAMANI 2 (DK)]]+Tablo1[[#This Row],[DURAKLAMA ZAMANI 3 (DK)]]))/510</f>
        <v>1.9607843137254902E-2</v>
      </c>
      <c r="Q47" s="20">
        <f t="shared" si="6"/>
        <v>1</v>
      </c>
      <c r="R47" s="20">
        <f t="shared" si="7"/>
        <v>5.7516339869281049E-4</v>
      </c>
    </row>
    <row r="48" spans="1:18" ht="27" customHeight="1">
      <c r="A48" s="16">
        <v>46028</v>
      </c>
      <c r="B48" s="17">
        <v>2</v>
      </c>
      <c r="C48" s="17"/>
      <c r="D48" s="17">
        <v>70</v>
      </c>
      <c r="E48" s="17" t="s">
        <v>27</v>
      </c>
      <c r="F48" s="17">
        <v>15</v>
      </c>
      <c r="G48" s="17" t="s">
        <v>12</v>
      </c>
      <c r="H48" s="17">
        <v>300</v>
      </c>
      <c r="I48" s="17" t="s">
        <v>4</v>
      </c>
      <c r="J48" s="17"/>
      <c r="K48" s="17"/>
      <c r="L48" s="17"/>
      <c r="M48" s="18"/>
      <c r="N48" s="20">
        <f t="shared" si="4"/>
        <v>9.3333333333333338E-2</v>
      </c>
      <c r="O48" s="19">
        <f t="shared" si="5"/>
        <v>0.61764705882352944</v>
      </c>
      <c r="P48" s="20">
        <f>(510-(Tablo1[[#This Row],[DURAKLAMA ZAMANI 1 (DK)]]+Tablo1[[#This Row],[DURAKLAMA ZAMANI 2 (DK)]]+Tablo1[[#This Row],[DURAKLAMA ZAMANI 3 (DK)]]))/510</f>
        <v>0.38235294117647056</v>
      </c>
      <c r="Q48" s="20">
        <f t="shared" si="6"/>
        <v>1</v>
      </c>
      <c r="R48" s="20">
        <f t="shared" si="7"/>
        <v>3.5686274509803918E-2</v>
      </c>
    </row>
    <row r="49" spans="1:18" ht="27" customHeight="1">
      <c r="A49" s="16">
        <v>46027</v>
      </c>
      <c r="B49" s="17">
        <v>2</v>
      </c>
      <c r="C49" s="17"/>
      <c r="D49" s="17">
        <v>190</v>
      </c>
      <c r="E49" s="17" t="s">
        <v>27</v>
      </c>
      <c r="F49" s="17">
        <v>15</v>
      </c>
      <c r="G49" s="17" t="s">
        <v>12</v>
      </c>
      <c r="H49" s="17">
        <v>180</v>
      </c>
      <c r="I49" s="17" t="s">
        <v>4</v>
      </c>
      <c r="J49" s="17"/>
      <c r="K49" s="17"/>
      <c r="L49" s="17"/>
      <c r="M49" s="18"/>
      <c r="N49" s="20">
        <f t="shared" si="4"/>
        <v>0.25333333333333335</v>
      </c>
      <c r="O49" s="19">
        <f t="shared" si="5"/>
        <v>0.38235294117647056</v>
      </c>
      <c r="P49" s="20">
        <f>(510-(Tablo1[[#This Row],[DURAKLAMA ZAMANI 1 (DK)]]+Tablo1[[#This Row],[DURAKLAMA ZAMANI 2 (DK)]]+Tablo1[[#This Row],[DURAKLAMA ZAMANI 3 (DK)]]))/510</f>
        <v>0.61764705882352944</v>
      </c>
      <c r="Q49" s="20">
        <f t="shared" si="6"/>
        <v>1</v>
      </c>
      <c r="R49" s="20">
        <f t="shared" si="7"/>
        <v>0.15647058823529414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2"/>
  <dimension ref="A2:P21"/>
  <sheetViews>
    <sheetView topLeftCell="B1" workbookViewId="0">
      <selection activeCell="N13" sqref="N13"/>
    </sheetView>
  </sheetViews>
  <sheetFormatPr baseColWidth="10" defaultColWidth="8.6640625" defaultRowHeight="15"/>
  <cols>
    <col min="1" max="1" width="9.1640625" customWidth="1"/>
    <col min="2" max="2" width="21.1640625" customWidth="1"/>
    <col min="3" max="4" width="21.33203125" customWidth="1"/>
    <col min="5" max="5" width="9.1640625" customWidth="1"/>
    <col min="6" max="6" width="12.1640625" bestFit="1" customWidth="1"/>
    <col min="7" max="10" width="9.1640625" customWidth="1"/>
    <col min="11" max="11" width="35.1640625" bestFit="1" customWidth="1"/>
    <col min="12" max="12" width="16.1640625" bestFit="1" customWidth="1"/>
    <col min="13" max="13" width="9.1640625" customWidth="1"/>
    <col min="14" max="14" width="17.33203125" bestFit="1" customWidth="1"/>
    <col min="15" max="15" width="9.1640625" customWidth="1"/>
    <col min="16" max="16" width="19.1640625" bestFit="1" customWidth="1"/>
    <col min="17" max="17" width="9.1640625" customWidth="1"/>
    <col min="18" max="18" width="8.33203125" customWidth="1"/>
    <col min="19" max="19" width="34.1640625" customWidth="1"/>
    <col min="20" max="20" width="58" customWidth="1"/>
  </cols>
  <sheetData>
    <row r="2" spans="1:16" ht="58">
      <c r="A2" s="36" t="s">
        <v>2</v>
      </c>
      <c r="B2" s="36"/>
      <c r="C2" s="36"/>
      <c r="D2" s="36"/>
      <c r="E2" s="36"/>
      <c r="F2" s="36"/>
      <c r="G2" s="36"/>
      <c r="H2" s="36"/>
      <c r="I2" s="36"/>
      <c r="J2" s="36"/>
      <c r="K2" s="36"/>
    </row>
    <row r="6" spans="1:16">
      <c r="N6" s="2"/>
    </row>
    <row r="7" spans="1:16" ht="16" thickBot="1"/>
    <row r="8" spans="1:16" ht="20" thickBot="1">
      <c r="C8" s="3"/>
      <c r="P8" s="1"/>
    </row>
    <row r="9" spans="1:16" ht="25" thickBot="1">
      <c r="C9" s="4"/>
    </row>
    <row r="10" spans="1:16" ht="19" thickBot="1">
      <c r="C10" s="5"/>
      <c r="F10" t="s">
        <v>14</v>
      </c>
      <c r="J10">
        <v>1</v>
      </c>
      <c r="M10" s="1"/>
      <c r="N10" t="s">
        <v>27</v>
      </c>
      <c r="P10" t="s">
        <v>8</v>
      </c>
    </row>
    <row r="11" spans="1:16">
      <c r="J11">
        <v>2</v>
      </c>
      <c r="L11" t="s">
        <v>15</v>
      </c>
      <c r="N11" t="s">
        <v>28</v>
      </c>
      <c r="P11" t="s">
        <v>5</v>
      </c>
    </row>
    <row r="12" spans="1:16">
      <c r="J12">
        <v>3</v>
      </c>
      <c r="L12" t="s">
        <v>13</v>
      </c>
      <c r="N12" t="s">
        <v>29</v>
      </c>
      <c r="P12" t="s">
        <v>7</v>
      </c>
    </row>
    <row r="13" spans="1:16">
      <c r="J13">
        <v>4</v>
      </c>
      <c r="P13" t="s">
        <v>9</v>
      </c>
    </row>
    <row r="14" spans="1:16">
      <c r="P14" t="s">
        <v>10</v>
      </c>
    </row>
    <row r="15" spans="1:16">
      <c r="P15" t="s">
        <v>11</v>
      </c>
    </row>
    <row r="16" spans="1:16">
      <c r="P16" t="s">
        <v>12</v>
      </c>
    </row>
    <row r="17" spans="16:16">
      <c r="P17" t="s">
        <v>6</v>
      </c>
    </row>
    <row r="18" spans="16:16">
      <c r="P18" t="s">
        <v>4</v>
      </c>
    </row>
    <row r="19" spans="16:16">
      <c r="P19" t="s">
        <v>16</v>
      </c>
    </row>
    <row r="20" spans="16:16">
      <c r="P20" t="s">
        <v>25</v>
      </c>
    </row>
    <row r="21" spans="16:16">
      <c r="P21" t="s">
        <v>26</v>
      </c>
    </row>
  </sheetData>
  <mergeCells count="1">
    <mergeCell ref="A2:K2"/>
  </mergeCells>
  <dataValidations count="1">
    <dataValidation type="list" allowBlank="1" showInputMessage="1" showErrorMessage="1" sqref="C9" xr:uid="{00000000-0002-0000-0200-000000000000}">
      <formula1>#N/A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Tuncay Özalıcı</cp:lastModifiedBy>
  <dcterms:created xsi:type="dcterms:W3CDTF">2015-06-05T18:19:34Z</dcterms:created>
  <dcterms:modified xsi:type="dcterms:W3CDTF">2026-03-16T05:15:04Z</dcterms:modified>
</cp:coreProperties>
</file>