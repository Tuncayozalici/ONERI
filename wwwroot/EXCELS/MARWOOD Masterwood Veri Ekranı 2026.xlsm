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3" l="1"/>
  <c r="O2" i="3"/>
  <c r="P2" i="3"/>
  <c r="Q2" i="3"/>
  <c r="R2" i="3" l="1"/>
  <c r="N3" i="3"/>
  <c r="O3" i="3"/>
  <c r="P3" i="3"/>
  <c r="Q3" i="3"/>
  <c r="R3" i="3" l="1"/>
  <c r="N4" i="3"/>
  <c r="O4" i="3"/>
  <c r="P4" i="3"/>
  <c r="Q4" i="3"/>
  <c r="R4" i="3" l="1"/>
  <c r="N5" i="3"/>
  <c r="O5" i="3"/>
  <c r="P5" i="3"/>
  <c r="Q5" i="3"/>
  <c r="R5" i="3" l="1"/>
  <c r="N6" i="3"/>
  <c r="O6" i="3"/>
  <c r="P6" i="3"/>
  <c r="Q6" i="3"/>
  <c r="R6" i="3" l="1"/>
  <c r="N7" i="3"/>
  <c r="O7" i="3"/>
  <c r="P7" i="3"/>
  <c r="Q7" i="3"/>
  <c r="R7" i="3" l="1"/>
  <c r="N8" i="3"/>
  <c r="O8" i="3"/>
  <c r="P8" i="3"/>
  <c r="Q8" i="3"/>
  <c r="R8" i="3" l="1"/>
  <c r="N9" i="3"/>
  <c r="O9" i="3"/>
  <c r="P9" i="3"/>
  <c r="Q9" i="3"/>
  <c r="R9" i="3" l="1"/>
  <c r="N10" i="3"/>
  <c r="O10" i="3"/>
  <c r="P10" i="3"/>
  <c r="Q10" i="3"/>
  <c r="R10" i="3" l="1"/>
  <c r="N11" i="3"/>
  <c r="O11" i="3"/>
  <c r="P11" i="3"/>
  <c r="Q11" i="3"/>
  <c r="R11" i="3" l="1"/>
  <c r="N12" i="3"/>
  <c r="O12" i="3"/>
  <c r="P12" i="3"/>
  <c r="Q12" i="3"/>
  <c r="R12" i="3" l="1"/>
  <c r="N13" i="3"/>
  <c r="O13" i="3"/>
  <c r="P13" i="3"/>
  <c r="Q13" i="3"/>
  <c r="R13" i="3" l="1"/>
  <c r="N14" i="3"/>
  <c r="O14" i="3"/>
  <c r="P14" i="3"/>
  <c r="Q14" i="3"/>
  <c r="R14" i="3" l="1"/>
  <c r="N15" i="3"/>
  <c r="O15" i="3"/>
  <c r="P15" i="3"/>
  <c r="Q15" i="3"/>
  <c r="R15" i="3" l="1"/>
  <c r="N16" i="3"/>
  <c r="O16" i="3"/>
  <c r="P16" i="3"/>
  <c r="Q16" i="3"/>
  <c r="R16" i="3" l="1"/>
  <c r="N17" i="3"/>
  <c r="O17" i="3"/>
  <c r="P17" i="3"/>
  <c r="Q17" i="3"/>
  <c r="R17" i="3" l="1"/>
  <c r="N18" i="3"/>
  <c r="O18" i="3"/>
  <c r="P18" i="3"/>
  <c r="Q18" i="3"/>
  <c r="R18" i="3" l="1"/>
  <c r="E4" i="1"/>
  <c r="N20" i="3"/>
  <c r="O20" i="3"/>
  <c r="P20" i="3"/>
  <c r="Q20" i="3"/>
  <c r="N19" i="3"/>
  <c r="O19" i="3"/>
  <c r="P19" i="3"/>
  <c r="Q19" i="3"/>
  <c r="R20" i="3" l="1"/>
  <c r="R19" i="3"/>
  <c r="N46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O46" i="3" l="1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R45" i="3" l="1"/>
  <c r="R46" i="3"/>
  <c r="R44" i="3"/>
  <c r="R43" i="3"/>
  <c r="R42" i="3"/>
  <c r="R41" i="3"/>
  <c r="R40" i="3"/>
  <c r="R39" i="3"/>
  <c r="R38" i="3"/>
  <c r="R37" i="3"/>
  <c r="R31" i="3"/>
  <c r="R36" i="3"/>
  <c r="R35" i="3"/>
  <c r="R34" i="3"/>
  <c r="R33" i="3"/>
  <c r="R32" i="3"/>
  <c r="R30" i="3"/>
  <c r="R29" i="3"/>
  <c r="R28" i="3"/>
  <c r="R27" i="3"/>
  <c r="R26" i="3"/>
  <c r="R25" i="3"/>
  <c r="R24" i="3"/>
  <c r="R23" i="3"/>
  <c r="R22" i="3"/>
  <c r="R21" i="3"/>
</calcChain>
</file>

<file path=xl/sharedStrings.xml><?xml version="1.0" encoding="utf-8"?>
<sst xmlns="http://schemas.openxmlformats.org/spreadsheetml/2006/main" count="186" uniqueCount="39">
  <si>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</si>
  <si>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</si>
  <si>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</si>
  <si>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</si>
  <si>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</si>
  <si>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</si>
  <si>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</si>
  <si>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</si>
  <si>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</si>
  <si>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</si>
  <si>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</si>
  <si>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</si>
  <si>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</si>
  <si>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</si>
  <si>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</si>
  <si>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</si>
  <si>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</si>
  <si>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</si>
  <si>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</si>
  <si>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</si>
  <si>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</si>
  <si>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</si>
  <si>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</si>
  <si>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</si>
  <si>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</si>
  <si>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</si>
  <si>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</si>
  <si>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</si>
  <si>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</si>
  <si>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</si>
  <si>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</si>
  <si>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</si>
  <si>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</si>
  <si>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</si>
  <si>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</si>
  <si>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</si>
  <si>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</si>
  <si>
    <t>V EKSENİ BİLYE DAĞILMIŞ</t>
  </si>
  <si>
    <t>v ekseni blye dagıtmiş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</si>
</sst>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10" fontId="14" fillId="0" borderId="0" xfId="0" applyNumberFormat="1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0" fontId="15" fillId="0" borderId="0" xfId="0" applyNumberFormat="1" applyFont="1" applyAlignment="1">
      <alignment horizontal="center" vertical="center" wrapText="1"/>
    </xf>
    <xf numFmtId="9" fontId="15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564545</xdr:colOff>
      <xdr:row>2</xdr:row>
      <xdr:rowOff>5518</xdr:rowOff>
    </xdr:from>
    <xdr:to>
      <xdr:col>5</xdr:col>
      <xdr:colOff>24795</xdr:colOff>
      <xdr:row>18</xdr:row>
      <xdr:rowOff>445786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295" y="889227"/>
          <a:ext cx="6170083" cy="7367059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o1" displayName="Tablo1" ref="A1:R46" totalsRowShown="0" headerRowDxfId="21" dataDxfId="19" headerRowBorderDxfId="20" tableBorderDxfId="18">
  <autoFilter ref="A1:R46"/>
  <sortState ref="A2:R46">
    <sortCondition descending="1" ref="A1:A46"/>
  </sortState>
  <tableColumns count="18">
    <tableColumn id="1" name="TARİH" dataDxfId="17"/>
    <tableColumn id="2" name="KİŞİ SAYISI" dataDxfId="16"/>
    <tableColumn id="3" name="DELİK SAYISI" dataDxfId="15"/>
    <tableColumn id="4" name="DELİK+FREEZE SAYISI" dataDxfId="14"/>
    <tableColumn id="5" name="ÇALIŞMA KOŞULU" dataDxfId="13"/>
    <tableColumn id="6" name="DURAKLAMA ZAMANI 1 (DK)" dataDxfId="12"/>
    <tableColumn id="7" name="DURAKLAMA NEDENİ 1" dataDxfId="11"/>
    <tableColumn id="8" name="DURAKLAMA ZAMANI 2 (DK)" dataDxfId="10"/>
    <tableColumn id="9" name="DURAKLAMA NEDENİ 2" dataDxfId="9"/>
    <tableColumn id="10" name="DURAKLAMA ZAMANI 3 (DK)" dataDxfId="8"/>
    <tableColumn id="11" name="DURAKLAMA NEDENİ 3" dataDxfId="7"/>
    <tableColumn id="12" name="HATALI PARÇA (MASTERWOOD)" dataDxfId="6"/>
    <tableColumn id="13" name="AÇIKLAMA:" dataDxfId="5"/>
    <tableColumn id="14" name="PERFONMANS" dataDxfId="4">
      <calculatedColumnFormula>(C2+D2)/750</calculatedColumnFormula>
    </tableColumn>
    <tableColumn id="15" name="KAYIP SÜRE" dataDxfId="3">
      <calculatedColumnFormula>(F2+H2+J2)/510</calculatedColumnFormula>
    </tableColumn>
    <tableColumn id="16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name="KALİTE" dataDxfId="1">
      <calculatedColumnFormula>((C2+D2)-L2)/(C2+D2)</calculatedColumnFormula>
    </tableColumn>
    <tableColumn id="18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9"/>
  <sheetViews>
    <sheetView zoomScale="90" zoomScaleNormal="90" workbookViewId="0">
      <selection activeCell="E17" sqref="E17"/>
    </sheetView>
  </sheetViews>
  <sheetFormatPr defaultColWidth="9.1328125" defaultRowHeight="14.25"/>
  <cols>
    <col min="1" max="3" width="9.1328125" style="6"/>
    <col min="4" max="4" width="45.3984375" style="6" bestFit="1" customWidth="1"/>
    <col min="5" max="5" width="39.3984375" style="6" customWidth="1"/>
    <col min="6" max="16384" width="9.1328125" style="6"/>
  </cols>
  <sheetData>
    <row r="1" spans="4:5" ht="55.5" customHeight="1">
      <c r="D1" s="45"/>
      <c r="E1" s="45"/>
    </row>
    <row r="3" spans="4:5">
      <c r="D3" s="8"/>
    </row>
    <row r="4" spans="4:5" ht="35.25" customHeight="1">
      <c r="D4" s="9" t="s">
        <v>0</v>
      </c>
      <c r="E4" s="12">
        <f ca="1">TODAY()</f>
        <v>46091</v>
      </c>
    </row>
    <row r="5" spans="4:5" ht="35.25" customHeight="1">
      <c r="D5" s="9" t="s">
        <v>1</v>
      </c>
      <c r="E5" s="11"/>
    </row>
    <row r="6" spans="4:5" ht="35.25" customHeight="1">
      <c r="D6" s="9" t="s">
        <v>17</v>
      </c>
      <c r="E6" s="14"/>
    </row>
    <row r="7" spans="4:5" ht="35.25" customHeight="1">
      <c r="D7" s="9" t="s">
        <v>18</v>
      </c>
      <c r="E7" s="14"/>
    </row>
    <row r="8" spans="4:5" ht="35.25" customHeight="1">
      <c r="D8" s="9" t="s">
        <v>30</v>
      </c>
      <c r="E8" s="11"/>
    </row>
    <row r="9" spans="4:5" ht="35.25" customHeight="1">
      <c r="D9" s="9" t="s">
        <v>19</v>
      </c>
      <c r="E9" s="7"/>
    </row>
    <row r="10" spans="4:5" ht="35.25" customHeight="1">
      <c r="D10" s="9" t="s">
        <v>20</v>
      </c>
      <c r="E10" s="11"/>
    </row>
    <row r="11" spans="4:5" ht="35.25" customHeight="1">
      <c r="D11" s="9" t="s">
        <v>21</v>
      </c>
      <c r="E11" s="7"/>
    </row>
    <row r="12" spans="4:5" ht="35.25" customHeight="1">
      <c r="D12" s="9" t="s">
        <v>22</v>
      </c>
      <c r="E12" s="11"/>
    </row>
    <row r="13" spans="4:5" ht="35.25" customHeight="1">
      <c r="D13" s="9" t="s">
        <v>23</v>
      </c>
      <c r="E13" s="7"/>
    </row>
    <row r="14" spans="4:5" ht="35.25" customHeight="1">
      <c r="D14" s="9" t="s">
        <v>24</v>
      </c>
      <c r="E14" s="11"/>
    </row>
    <row r="15" spans="4:5" ht="35.25" customHeight="1">
      <c r="D15" s="9" t="s">
        <v>36</v>
      </c>
      <c r="E15" s="13"/>
    </row>
    <row r="16" spans="4:5" ht="35.25" customHeight="1">
      <c r="D16" s="9" t="s">
        <v>3</v>
      </c>
      <c r="E16" s="11"/>
    </row>
    <row r="17" spans="4:5" ht="35.25" customHeight="1">
      <c r="D17" s="10"/>
      <c r="E17" s="8"/>
    </row>
    <row r="18" spans="4:5" ht="35.25" customHeight="1">
      <c r="D18" s="10"/>
      <c r="E18" s="10"/>
    </row>
    <row r="19" spans="4:5" ht="35.25" customHeight="1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R46"/>
  <sheetViews>
    <sheetView tabSelected="1" zoomScale="66" zoomScaleNormal="66" workbookViewId="0">
      <selection activeCell="A5" sqref="A5"/>
    </sheetView>
  </sheetViews>
  <sheetFormatPr defaultColWidth="8.73046875" defaultRowHeight="27" customHeight="1"/>
  <cols>
    <col min="1" max="1" width="25.86328125" style="21" bestFit="1" customWidth="1"/>
    <col min="2" max="2" width="15.59765625" style="22" bestFit="1" customWidth="1"/>
    <col min="3" max="3" width="18.3984375" style="22" bestFit="1" customWidth="1"/>
    <col min="4" max="4" width="33.73046875" style="22" bestFit="1" customWidth="1"/>
    <col min="5" max="5" width="24.3984375" style="22" bestFit="1" customWidth="1"/>
    <col min="6" max="6" width="43.265625" style="22" bestFit="1" customWidth="1"/>
    <col min="7" max="7" width="30.3984375" style="22" bestFit="1" customWidth="1"/>
    <col min="8" max="8" width="43.265625" style="22" bestFit="1" customWidth="1"/>
    <col min="9" max="9" width="30.3984375" style="22" bestFit="1" customWidth="1"/>
    <col min="10" max="10" width="43.265625" style="22" bestFit="1" customWidth="1"/>
    <col min="11" max="11" width="30.3984375" style="22" bestFit="1" customWidth="1"/>
    <col min="12" max="12" width="47.3984375" style="22" bestFit="1" customWidth="1"/>
    <col min="13" max="13" width="28.3984375" style="23" customWidth="1"/>
    <col min="14" max="14" width="25.73046875" style="24" bestFit="1" customWidth="1"/>
    <col min="15" max="15" width="31.1328125" style="25" customWidth="1"/>
    <col min="16" max="16" width="31.3984375" style="24" bestFit="1" customWidth="1"/>
    <col min="17" max="17" width="16.73046875" style="24" customWidth="1"/>
    <col min="18" max="18" width="17.1328125" style="24" customWidth="1"/>
  </cols>
  <sheetData>
    <row r="1" spans="1:18" s="15" customFormat="1" ht="27" customHeight="1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>
      <c r="A2" s="40">
        <v>46091</v>
      </c>
      <c r="B2" s="41">
        <v>1</v>
      </c>
      <c r="C2" s="41"/>
      <c r="D2" s="41"/>
      <c r="E2" s="41" t="s">
        <v>27</v>
      </c>
      <c r="F2" s="41">
        <v>560</v>
      </c>
      <c r="G2" s="41" t="s">
        <v>12</v>
      </c>
      <c r="H2" s="41"/>
      <c r="I2" s="41"/>
      <c r="J2" s="41"/>
      <c r="K2" s="41"/>
      <c r="L2" s="41"/>
      <c r="M2" s="42" t="s">
        <v>38</v>
      </c>
      <c r="N2" s="43">
        <f>(C2+D2)/750</f>
        <v>0</v>
      </c>
      <c r="O2" s="44">
        <f>(F2+H2+J2)/510</f>
        <v>1.0980392156862746</v>
      </c>
      <c r="P2" s="43">
        <f>(510-(Tablo1[[#This Row],[DURAKLAMA ZAMANI 1 (DK)]]+Tablo1[[#This Row],[DURAKLAMA ZAMANI 2 (DK)]]+Tablo1[[#This Row],[DURAKLAMA ZAMANI 3 (DK)]]))/510</f>
        <v>-9.8039215686274508E-2</v>
      </c>
      <c r="Q2" s="43" t="e">
        <f>((C2+D2)-L2)/(C2+D2)</f>
        <v>#DIV/0!</v>
      </c>
      <c r="R2" s="43" t="e">
        <f>N2*P2*Q2</f>
        <v>#DIV/0!</v>
      </c>
    </row>
    <row r="3" spans="1:18" ht="27" customHeight="1">
      <c r="A3" s="40">
        <v>46090</v>
      </c>
      <c r="B3" s="41">
        <v>1</v>
      </c>
      <c r="C3" s="41"/>
      <c r="D3" s="41"/>
      <c r="E3" s="41" t="s">
        <v>27</v>
      </c>
      <c r="F3" s="41">
        <v>560</v>
      </c>
      <c r="G3" s="41" t="s">
        <v>12</v>
      </c>
      <c r="H3" s="41"/>
      <c r="I3" s="41"/>
      <c r="J3" s="41"/>
      <c r="K3" s="41"/>
      <c r="L3" s="41"/>
      <c r="M3" s="42" t="s">
        <v>37</v>
      </c>
      <c r="N3" s="43">
        <f>(C3+D3)/750</f>
        <v>0</v>
      </c>
      <c r="O3" s="44">
        <f>(F3+H3+J3)/510</f>
        <v>1.0980392156862746</v>
      </c>
      <c r="P3" s="43">
        <f>(510-(Tablo1[[#This Row],[DURAKLAMA ZAMANI 1 (DK)]]+Tablo1[[#This Row],[DURAKLAMA ZAMANI 2 (DK)]]+Tablo1[[#This Row],[DURAKLAMA ZAMANI 3 (DK)]]))/510</f>
        <v>-9.8039215686274508E-2</v>
      </c>
      <c r="Q3" s="43" t="e">
        <f>((C3+D3)-L3)/(C3+D3)</f>
        <v>#DIV/0!</v>
      </c>
      <c r="R3" s="43" t="e">
        <f>N3*P3*Q3</f>
        <v>#DIV/0!</v>
      </c>
    </row>
    <row r="4" spans="1:18" ht="27" customHeight="1">
      <c r="A4" s="35">
        <v>46087</v>
      </c>
      <c r="B4" s="36">
        <v>2</v>
      </c>
      <c r="C4" s="36"/>
      <c r="D4" s="36">
        <v>395</v>
      </c>
      <c r="E4" s="36" t="s">
        <v>27</v>
      </c>
      <c r="F4" s="36">
        <v>5</v>
      </c>
      <c r="G4" s="36" t="s">
        <v>10</v>
      </c>
      <c r="H4" s="36">
        <v>60</v>
      </c>
      <c r="I4" s="36" t="s">
        <v>4</v>
      </c>
      <c r="J4" s="36"/>
      <c r="K4" s="36"/>
      <c r="L4" s="36"/>
      <c r="M4" s="37"/>
      <c r="N4" s="38">
        <f>(C4+D4)/750</f>
        <v>0.52666666666666662</v>
      </c>
      <c r="O4" s="39">
        <f>(F4+H4+J4)/510</f>
        <v>0.12745098039215685</v>
      </c>
      <c r="P4" s="38">
        <f>(510-(Tablo1[[#This Row],[DURAKLAMA ZAMANI 1 (DK)]]+Tablo1[[#This Row],[DURAKLAMA ZAMANI 2 (DK)]]+Tablo1[[#This Row],[DURAKLAMA ZAMANI 3 (DK)]]))/510</f>
        <v>0.87254901960784315</v>
      </c>
      <c r="Q4" s="38">
        <f>((C4+D4)-L4)/(C4+D4)</f>
        <v>1</v>
      </c>
      <c r="R4" s="38">
        <f>N4*P4*Q4</f>
        <v>0.45954248366013067</v>
      </c>
    </row>
    <row r="5" spans="1:18" ht="27" customHeight="1">
      <c r="A5" s="35">
        <v>46086</v>
      </c>
      <c r="B5" s="36">
        <v>2</v>
      </c>
      <c r="C5" s="36"/>
      <c r="D5" s="36">
        <v>425</v>
      </c>
      <c r="E5" s="36" t="s">
        <v>27</v>
      </c>
      <c r="F5" s="36">
        <v>5</v>
      </c>
      <c r="G5" s="36" t="s">
        <v>10</v>
      </c>
      <c r="H5" s="36">
        <v>15</v>
      </c>
      <c r="I5" s="36" t="s">
        <v>4</v>
      </c>
      <c r="J5" s="36"/>
      <c r="K5" s="36"/>
      <c r="L5" s="36"/>
      <c r="M5" s="37"/>
      <c r="N5" s="38">
        <f>(C5+D5)/750</f>
        <v>0.56666666666666665</v>
      </c>
      <c r="O5" s="39">
        <f>(F5+H5+J5)/510</f>
        <v>3.9215686274509803E-2</v>
      </c>
      <c r="P5" s="38">
        <f>(510-(Tablo1[[#This Row],[DURAKLAMA ZAMANI 1 (DK)]]+Tablo1[[#This Row],[DURAKLAMA ZAMANI 2 (DK)]]+Tablo1[[#This Row],[DURAKLAMA ZAMANI 3 (DK)]]))/510</f>
        <v>0.96078431372549022</v>
      </c>
      <c r="Q5" s="38">
        <f>((C5+D5)-L5)/(C5+D5)</f>
        <v>1</v>
      </c>
      <c r="R5" s="38">
        <f>N5*P5*Q5</f>
        <v>0.5444444444444444</v>
      </c>
    </row>
    <row r="6" spans="1:18" ht="27" customHeight="1">
      <c r="A6" s="35">
        <v>46085</v>
      </c>
      <c r="B6" s="36">
        <v>2</v>
      </c>
      <c r="C6" s="36"/>
      <c r="D6" s="36">
        <v>364</v>
      </c>
      <c r="E6" s="36" t="s">
        <v>27</v>
      </c>
      <c r="F6" s="36">
        <v>5</v>
      </c>
      <c r="G6" s="36" t="s">
        <v>10</v>
      </c>
      <c r="H6" s="36">
        <v>10</v>
      </c>
      <c r="I6" s="36" t="s">
        <v>4</v>
      </c>
      <c r="J6" s="36"/>
      <c r="K6" s="36"/>
      <c r="L6" s="36"/>
      <c r="M6" s="37"/>
      <c r="N6" s="38">
        <f>(C6+D6)/750</f>
        <v>0.48533333333333334</v>
      </c>
      <c r="O6" s="39">
        <f>(F6+H6+J6)/510</f>
        <v>2.9411764705882353E-2</v>
      </c>
      <c r="P6" s="38">
        <f>(510-(Tablo1[[#This Row],[DURAKLAMA ZAMANI 1 (DK)]]+Tablo1[[#This Row],[DURAKLAMA ZAMANI 2 (DK)]]+Tablo1[[#This Row],[DURAKLAMA ZAMANI 3 (DK)]]))/510</f>
        <v>0.97058823529411764</v>
      </c>
      <c r="Q6" s="38">
        <f>((C6+D6)-L6)/(C6+D6)</f>
        <v>1</v>
      </c>
      <c r="R6" s="38">
        <f>N6*P6*Q6</f>
        <v>0.47105882352941175</v>
      </c>
    </row>
    <row r="7" spans="1:18" ht="27" customHeight="1">
      <c r="A7" s="35">
        <v>46084</v>
      </c>
      <c r="B7" s="36">
        <v>2</v>
      </c>
      <c r="C7" s="36"/>
      <c r="D7" s="36">
        <v>395</v>
      </c>
      <c r="E7" s="36" t="s">
        <v>27</v>
      </c>
      <c r="F7" s="36">
        <v>5</v>
      </c>
      <c r="G7" s="36" t="s">
        <v>10</v>
      </c>
      <c r="H7" s="36">
        <v>10</v>
      </c>
      <c r="I7" s="36" t="s">
        <v>4</v>
      </c>
      <c r="J7" s="36"/>
      <c r="K7" s="36"/>
      <c r="L7" s="36"/>
      <c r="M7" s="37"/>
      <c r="N7" s="38">
        <f>(C7+D7)/750</f>
        <v>0.52666666666666662</v>
      </c>
      <c r="O7" s="39">
        <f>(F7+H7+J7)/510</f>
        <v>2.9411764705882353E-2</v>
      </c>
      <c r="P7" s="38">
        <f>(510-(Tablo1[[#This Row],[DURAKLAMA ZAMANI 1 (DK)]]+Tablo1[[#This Row],[DURAKLAMA ZAMANI 2 (DK)]]+Tablo1[[#This Row],[DURAKLAMA ZAMANI 3 (DK)]]))/510</f>
        <v>0.97058823529411764</v>
      </c>
      <c r="Q7" s="38">
        <f>((C7+D7)-L7)/(C7+D7)</f>
        <v>1</v>
      </c>
      <c r="R7" s="38">
        <f>N7*P7*Q7</f>
        <v>0.51117647058823523</v>
      </c>
    </row>
    <row r="8" spans="1:18" ht="27" customHeight="1">
      <c r="A8" s="35">
        <v>46083</v>
      </c>
      <c r="B8" s="36">
        <v>2</v>
      </c>
      <c r="C8" s="36"/>
      <c r="D8" s="36">
        <v>385</v>
      </c>
      <c r="E8" s="36" t="s">
        <v>27</v>
      </c>
      <c r="F8" s="36">
        <v>5</v>
      </c>
      <c r="G8" s="36" t="s">
        <v>10</v>
      </c>
      <c r="H8" s="36">
        <v>10</v>
      </c>
      <c r="I8" s="36" t="s">
        <v>4</v>
      </c>
      <c r="J8" s="36"/>
      <c r="K8" s="36"/>
      <c r="L8" s="36"/>
      <c r="M8" s="37"/>
      <c r="N8" s="38">
        <f>(C8+D8)/750</f>
        <v>0.51333333333333331</v>
      </c>
      <c r="O8" s="39">
        <f>(F8+H8+J8)/510</f>
        <v>2.9411764705882353E-2</v>
      </c>
      <c r="P8" s="38">
        <f>(510-(Tablo1[[#This Row],[DURAKLAMA ZAMANI 1 (DK)]]+Tablo1[[#This Row],[DURAKLAMA ZAMANI 2 (DK)]]+Tablo1[[#This Row],[DURAKLAMA ZAMANI 3 (DK)]]))/510</f>
        <v>0.97058823529411764</v>
      </c>
      <c r="Q8" s="38">
        <f>((C8+D8)-L8)/(C8+D8)</f>
        <v>1</v>
      </c>
      <c r="R8" s="38">
        <f>N8*P8*Q8</f>
        <v>0.49823529411764705</v>
      </c>
    </row>
    <row r="9" spans="1:18" ht="27" customHeight="1">
      <c r="A9" s="35">
        <v>46080</v>
      </c>
      <c r="B9" s="36">
        <v>2</v>
      </c>
      <c r="C9" s="36"/>
      <c r="D9" s="36">
        <v>360</v>
      </c>
      <c r="E9" s="36" t="s">
        <v>27</v>
      </c>
      <c r="F9" s="36">
        <v>5</v>
      </c>
      <c r="G9" s="36" t="s">
        <v>10</v>
      </c>
      <c r="H9" s="36">
        <v>60</v>
      </c>
      <c r="I9" s="36" t="s">
        <v>4</v>
      </c>
      <c r="J9" s="36"/>
      <c r="K9" s="36"/>
      <c r="L9" s="36"/>
      <c r="M9" s="37"/>
      <c r="N9" s="38">
        <f>(C9+D9)/750</f>
        <v>0.48</v>
      </c>
      <c r="O9" s="39">
        <f>(F9+H9+J9)/510</f>
        <v>0.12745098039215685</v>
      </c>
      <c r="P9" s="38">
        <f>(510-(Tablo1[[#This Row],[DURAKLAMA ZAMANI 1 (DK)]]+Tablo1[[#This Row],[DURAKLAMA ZAMANI 2 (DK)]]+Tablo1[[#This Row],[DURAKLAMA ZAMANI 3 (DK)]]))/510</f>
        <v>0.87254901960784315</v>
      </c>
      <c r="Q9" s="38">
        <f>((C9+D9)-L9)/(C9+D9)</f>
        <v>1</v>
      </c>
      <c r="R9" s="38">
        <f>N9*P9*Q9</f>
        <v>0.41882352941176471</v>
      </c>
    </row>
    <row r="10" spans="1:18" ht="27" customHeight="1">
      <c r="A10" s="35">
        <v>46079</v>
      </c>
      <c r="B10" s="36">
        <v>2</v>
      </c>
      <c r="C10" s="36"/>
      <c r="D10" s="36">
        <v>465</v>
      </c>
      <c r="E10" s="36" t="s">
        <v>27</v>
      </c>
      <c r="F10" s="36">
        <v>5</v>
      </c>
      <c r="G10" s="36" t="s">
        <v>10</v>
      </c>
      <c r="H10" s="36">
        <v>10</v>
      </c>
      <c r="I10" s="36" t="s">
        <v>4</v>
      </c>
      <c r="J10" s="36"/>
      <c r="K10" s="36"/>
      <c r="L10" s="36"/>
      <c r="M10" s="37"/>
      <c r="N10" s="38">
        <f>(C10+D10)/750</f>
        <v>0.62</v>
      </c>
      <c r="O10" s="39">
        <f>(F10+H10+J10)/510</f>
        <v>2.9411764705882353E-2</v>
      </c>
      <c r="P10" s="38">
        <f>(510-(Tablo1[[#This Row],[DURAKLAMA ZAMANI 1 (DK)]]+Tablo1[[#This Row],[DURAKLAMA ZAMANI 2 (DK)]]+Tablo1[[#This Row],[DURAKLAMA ZAMANI 3 (DK)]]))/510</f>
        <v>0.97058823529411764</v>
      </c>
      <c r="Q10" s="38">
        <f>((C10+D10)-L10)/(C10+D10)</f>
        <v>1</v>
      </c>
      <c r="R10" s="38">
        <f>N10*P10*Q10</f>
        <v>0.60176470588235298</v>
      </c>
    </row>
    <row r="11" spans="1:18" ht="27" customHeight="1">
      <c r="A11" s="35">
        <v>46078</v>
      </c>
      <c r="B11" s="36">
        <v>2</v>
      </c>
      <c r="C11" s="36"/>
      <c r="D11" s="36">
        <v>395</v>
      </c>
      <c r="E11" s="36" t="s">
        <v>27</v>
      </c>
      <c r="F11" s="36">
        <v>5</v>
      </c>
      <c r="G11" s="36" t="s">
        <v>10</v>
      </c>
      <c r="H11" s="36">
        <v>10</v>
      </c>
      <c r="I11" s="36" t="s">
        <v>4</v>
      </c>
      <c r="J11" s="36"/>
      <c r="K11" s="36"/>
      <c r="L11" s="36"/>
      <c r="M11" s="37"/>
      <c r="N11" s="38">
        <f>(C11+D11)/750</f>
        <v>0.52666666666666662</v>
      </c>
      <c r="O11" s="39">
        <f>(F11+H11+J11)/510</f>
        <v>2.9411764705882353E-2</v>
      </c>
      <c r="P11" s="38">
        <f>(510-(Tablo1[[#This Row],[DURAKLAMA ZAMANI 1 (DK)]]+Tablo1[[#This Row],[DURAKLAMA ZAMANI 2 (DK)]]+Tablo1[[#This Row],[DURAKLAMA ZAMANI 3 (DK)]]))/510</f>
        <v>0.97058823529411764</v>
      </c>
      <c r="Q11" s="38">
        <f>((C11+D11)-L11)/(C11+D11)</f>
        <v>1</v>
      </c>
      <c r="R11" s="38">
        <f>N11*P11*Q11</f>
        <v>0.51117647058823523</v>
      </c>
    </row>
    <row r="12" spans="1:18" ht="27" customHeight="1">
      <c r="A12" s="35">
        <v>46077</v>
      </c>
      <c r="B12" s="36">
        <v>2</v>
      </c>
      <c r="C12" s="36"/>
      <c r="D12" s="36">
        <v>426</v>
      </c>
      <c r="E12" s="36" t="s">
        <v>27</v>
      </c>
      <c r="F12" s="36">
        <v>15</v>
      </c>
      <c r="G12" s="36" t="s">
        <v>10</v>
      </c>
      <c r="H12" s="36">
        <v>15</v>
      </c>
      <c r="I12" s="36" t="s">
        <v>4</v>
      </c>
      <c r="J12" s="36"/>
      <c r="K12" s="36"/>
      <c r="L12" s="36"/>
      <c r="M12" s="37"/>
      <c r="N12" s="38">
        <f>(C12+D12)/750</f>
        <v>0.56799999999999995</v>
      </c>
      <c r="O12" s="39">
        <f>(F12+H12+J12)/510</f>
        <v>5.8823529411764705E-2</v>
      </c>
      <c r="P12" s="38">
        <f>(510-(Tablo1[[#This Row],[DURAKLAMA ZAMANI 1 (DK)]]+Tablo1[[#This Row],[DURAKLAMA ZAMANI 2 (DK)]]+Tablo1[[#This Row],[DURAKLAMA ZAMANI 3 (DK)]]))/510</f>
        <v>0.94117647058823528</v>
      </c>
      <c r="Q12" s="38">
        <f>((C12+D12)-L12)/(C12+D12)</f>
        <v>1</v>
      </c>
      <c r="R12" s="38">
        <f>N12*P12*Q12</f>
        <v>0.53458823529411759</v>
      </c>
    </row>
    <row r="13" spans="1:18" ht="27" customHeight="1">
      <c r="A13" s="35">
        <v>46076</v>
      </c>
      <c r="B13" s="36">
        <v>2</v>
      </c>
      <c r="C13" s="36"/>
      <c r="D13" s="36">
        <v>465</v>
      </c>
      <c r="E13" s="36" t="s">
        <v>27</v>
      </c>
      <c r="F13" s="36">
        <v>15</v>
      </c>
      <c r="G13" s="36" t="s">
        <v>10</v>
      </c>
      <c r="H13" s="36">
        <v>15</v>
      </c>
      <c r="I13" s="36" t="s">
        <v>4</v>
      </c>
      <c r="J13" s="36"/>
      <c r="K13" s="36"/>
      <c r="L13" s="36"/>
      <c r="M13" s="37"/>
      <c r="N13" s="38">
        <f>(C13+D13)/750</f>
        <v>0.62</v>
      </c>
      <c r="O13" s="39">
        <f>(F13+H13+J13)/510</f>
        <v>5.8823529411764705E-2</v>
      </c>
      <c r="P13" s="38">
        <f>(510-(Tablo1[[#This Row],[DURAKLAMA ZAMANI 1 (DK)]]+Tablo1[[#This Row],[DURAKLAMA ZAMANI 2 (DK)]]+Tablo1[[#This Row],[DURAKLAMA ZAMANI 3 (DK)]]))/510</f>
        <v>0.94117647058823528</v>
      </c>
      <c r="Q13" s="38">
        <f>((C13+D13)-L13)/(C13+D13)</f>
        <v>1</v>
      </c>
      <c r="R13" s="38">
        <f>N13*P13*Q13</f>
        <v>0.58352941176470585</v>
      </c>
    </row>
    <row r="14" spans="1:18" ht="27" customHeight="1">
      <c r="A14" s="35">
        <v>46073</v>
      </c>
      <c r="B14" s="36">
        <v>2</v>
      </c>
      <c r="C14" s="36"/>
      <c r="D14" s="36">
        <v>368</v>
      </c>
      <c r="E14" s="36" t="s">
        <v>27</v>
      </c>
      <c r="F14" s="36">
        <v>15</v>
      </c>
      <c r="G14" s="36" t="s">
        <v>10</v>
      </c>
      <c r="H14" s="36">
        <v>60</v>
      </c>
      <c r="I14" s="36" t="s">
        <v>4</v>
      </c>
      <c r="J14" s="36"/>
      <c r="K14" s="36"/>
      <c r="L14" s="36"/>
      <c r="M14" s="37"/>
      <c r="N14" s="38">
        <f>(C14+D14)/750</f>
        <v>0.49066666666666664</v>
      </c>
      <c r="O14" s="39">
        <f>(F14+H14+J14)/510</f>
        <v>0.14705882352941177</v>
      </c>
      <c r="P14" s="38">
        <f>(510-(Tablo1[[#This Row],[DURAKLAMA ZAMANI 1 (DK)]]+Tablo1[[#This Row],[DURAKLAMA ZAMANI 2 (DK)]]+Tablo1[[#This Row],[DURAKLAMA ZAMANI 3 (DK)]]))/510</f>
        <v>0.8529411764705882</v>
      </c>
      <c r="Q14" s="38">
        <f>((C14+D14)-L14)/(C14+D14)</f>
        <v>1</v>
      </c>
      <c r="R14" s="38">
        <f>N14*P14*Q14</f>
        <v>0.41850980392156861</v>
      </c>
    </row>
    <row r="15" spans="1:18" ht="27" customHeight="1">
      <c r="A15" s="35">
        <v>46072</v>
      </c>
      <c r="B15" s="36">
        <v>2</v>
      </c>
      <c r="C15" s="36"/>
      <c r="D15" s="36">
        <v>414</v>
      </c>
      <c r="E15" s="36" t="s">
        <v>27</v>
      </c>
      <c r="F15" s="36">
        <v>15</v>
      </c>
      <c r="G15" s="36" t="s">
        <v>10</v>
      </c>
      <c r="H15" s="36">
        <v>15</v>
      </c>
      <c r="I15" s="36" t="s">
        <v>4</v>
      </c>
      <c r="J15" s="36"/>
      <c r="K15" s="36"/>
      <c r="L15" s="36"/>
      <c r="M15" s="37"/>
      <c r="N15" s="38">
        <f>(C15+D15)/750</f>
        <v>0.55200000000000005</v>
      </c>
      <c r="O15" s="39">
        <f>(F15+H15+J15)/510</f>
        <v>5.8823529411764705E-2</v>
      </c>
      <c r="P15" s="38">
        <f>(510-(Tablo1[[#This Row],[DURAKLAMA ZAMANI 1 (DK)]]+Tablo1[[#This Row],[DURAKLAMA ZAMANI 2 (DK)]]+Tablo1[[#This Row],[DURAKLAMA ZAMANI 3 (DK)]]))/510</f>
        <v>0.94117647058823528</v>
      </c>
      <c r="Q15" s="38">
        <f>((C15+D15)-L15)/(C15+D15)</f>
        <v>1</v>
      </c>
      <c r="R15" s="38">
        <f>N15*P15*Q15</f>
        <v>0.51952941176470591</v>
      </c>
    </row>
    <row r="16" spans="1:18" ht="27" customHeight="1">
      <c r="A16" s="35">
        <v>46071</v>
      </c>
      <c r="B16" s="36">
        <v>2</v>
      </c>
      <c r="C16" s="36"/>
      <c r="D16" s="36">
        <v>425</v>
      </c>
      <c r="E16" s="36" t="s">
        <v>27</v>
      </c>
      <c r="F16" s="36">
        <v>15</v>
      </c>
      <c r="G16" s="36" t="s">
        <v>10</v>
      </c>
      <c r="H16" s="36">
        <v>15</v>
      </c>
      <c r="I16" s="36" t="s">
        <v>4</v>
      </c>
      <c r="J16" s="36"/>
      <c r="K16" s="36"/>
      <c r="L16" s="36"/>
      <c r="M16" s="37"/>
      <c r="N16" s="38">
        <f>(C16+D16)/750</f>
        <v>0.56666666666666665</v>
      </c>
      <c r="O16" s="39">
        <f>(F16+H16+J16)/510</f>
        <v>5.8823529411764705E-2</v>
      </c>
      <c r="P16" s="38">
        <f>(510-(Tablo1[[#This Row],[DURAKLAMA ZAMANI 1 (DK)]]+Tablo1[[#This Row],[DURAKLAMA ZAMANI 2 (DK)]]+Tablo1[[#This Row],[DURAKLAMA ZAMANI 3 (DK)]]))/510</f>
        <v>0.94117647058823528</v>
      </c>
      <c r="Q16" s="38">
        <f>((C16+D16)-L16)/(C16+D16)</f>
        <v>1</v>
      </c>
      <c r="R16" s="38">
        <f>N16*P16*Q16</f>
        <v>0.53333333333333333</v>
      </c>
    </row>
    <row r="17" spans="1:18" ht="27" customHeight="1">
      <c r="A17" s="30">
        <v>46070</v>
      </c>
      <c r="B17" s="31">
        <v>2</v>
      </c>
      <c r="C17" s="31"/>
      <c r="D17" s="31">
        <v>385</v>
      </c>
      <c r="E17" s="31" t="s">
        <v>27</v>
      </c>
      <c r="F17" s="31">
        <v>15</v>
      </c>
      <c r="G17" s="17" t="s">
        <v>10</v>
      </c>
      <c r="H17" s="31">
        <v>15</v>
      </c>
      <c r="I17" s="17" t="s">
        <v>4</v>
      </c>
      <c r="J17" s="31"/>
      <c r="K17" s="31"/>
      <c r="L17" s="31"/>
      <c r="M17" s="32"/>
      <c r="N17" s="33">
        <f>(C17+D17)/750</f>
        <v>0.51333333333333331</v>
      </c>
      <c r="O17" s="34">
        <f>(F17+H17+J17)/510</f>
        <v>5.8823529411764705E-2</v>
      </c>
      <c r="P17" s="33">
        <f>(510-(Tablo1[[#This Row],[DURAKLAMA ZAMANI 1 (DK)]]+Tablo1[[#This Row],[DURAKLAMA ZAMANI 2 (DK)]]+Tablo1[[#This Row],[DURAKLAMA ZAMANI 3 (DK)]]))/510</f>
        <v>0.94117647058823528</v>
      </c>
      <c r="Q17" s="33">
        <f>((C17+D17)-L17)/(C17+D17)</f>
        <v>1</v>
      </c>
      <c r="R17" s="33">
        <f>N17*P17*Q17</f>
        <v>0.48313725490196074</v>
      </c>
    </row>
    <row r="18" spans="1:18" ht="27" customHeight="1">
      <c r="A18" s="30">
        <v>46069</v>
      </c>
      <c r="B18" s="31">
        <v>2</v>
      </c>
      <c r="C18" s="31"/>
      <c r="D18" s="31">
        <v>412</v>
      </c>
      <c r="E18" s="17" t="s">
        <v>27</v>
      </c>
      <c r="F18" s="17">
        <v>15</v>
      </c>
      <c r="G18" s="17" t="s">
        <v>10</v>
      </c>
      <c r="H18" s="17">
        <v>15</v>
      </c>
      <c r="I18" s="17" t="s">
        <v>4</v>
      </c>
      <c r="J18" s="31"/>
      <c r="K18" s="31"/>
      <c r="L18" s="31"/>
      <c r="M18" s="32"/>
      <c r="N18" s="33">
        <f>(C18+D18)/750</f>
        <v>0.54933333333333334</v>
      </c>
      <c r="O18" s="34">
        <f>(F18+H18+J18)/510</f>
        <v>5.8823529411764705E-2</v>
      </c>
      <c r="P18" s="33">
        <f>(510-(Tablo1[[#This Row],[DURAKLAMA ZAMANI 1 (DK)]]+Tablo1[[#This Row],[DURAKLAMA ZAMANI 2 (DK)]]+Tablo1[[#This Row],[DURAKLAMA ZAMANI 3 (DK)]]))/510</f>
        <v>0.94117647058823528</v>
      </c>
      <c r="Q18" s="33">
        <f>((C18+D18)-L18)/(C18+D18)</f>
        <v>1</v>
      </c>
      <c r="R18" s="33">
        <f>N18*P18*Q18</f>
        <v>0.51701960784313727</v>
      </c>
    </row>
    <row r="19" spans="1:18" ht="27" customHeight="1">
      <c r="A19" s="30">
        <v>46066</v>
      </c>
      <c r="B19" s="31">
        <v>2</v>
      </c>
      <c r="C19" s="31"/>
      <c r="D19" s="31">
        <v>354</v>
      </c>
      <c r="E19" s="31" t="s">
        <v>27</v>
      </c>
      <c r="F19" s="31">
        <v>15</v>
      </c>
      <c r="G19" s="17" t="s">
        <v>10</v>
      </c>
      <c r="H19" s="31">
        <v>60</v>
      </c>
      <c r="I19" s="17" t="s">
        <v>4</v>
      </c>
      <c r="J19" s="31"/>
      <c r="K19" s="31"/>
      <c r="L19" s="31"/>
      <c r="M19" s="32"/>
      <c r="N19" s="33">
        <f>(C19+D19)/750</f>
        <v>0.47199999999999998</v>
      </c>
      <c r="O19" s="34">
        <f>(F19+H19+J19)/510</f>
        <v>0.14705882352941177</v>
      </c>
      <c r="P19" s="33">
        <f>(510-(Tablo1[[#This Row],[DURAKLAMA ZAMANI 1 (DK)]]+Tablo1[[#This Row],[DURAKLAMA ZAMANI 2 (DK)]]+Tablo1[[#This Row],[DURAKLAMA ZAMANI 3 (DK)]]))/510</f>
        <v>0.8529411764705882</v>
      </c>
      <c r="Q19" s="33">
        <f>((C19+D19)-L19)/(C19+D19)</f>
        <v>1</v>
      </c>
      <c r="R19" s="33">
        <f>N19*P19*Q19</f>
        <v>0.40258823529411764</v>
      </c>
    </row>
    <row r="20" spans="1:18" ht="27" customHeight="1">
      <c r="A20" s="30">
        <v>46065</v>
      </c>
      <c r="B20" s="31">
        <v>2</v>
      </c>
      <c r="C20" s="31"/>
      <c r="D20" s="31">
        <v>378</v>
      </c>
      <c r="E20" s="31" t="s">
        <v>27</v>
      </c>
      <c r="F20" s="31">
        <v>15</v>
      </c>
      <c r="G20" s="31" t="s">
        <v>10</v>
      </c>
      <c r="H20" s="31">
        <v>15</v>
      </c>
      <c r="I20" s="31" t="s">
        <v>4</v>
      </c>
      <c r="J20" s="31"/>
      <c r="K20" s="31"/>
      <c r="L20" s="31"/>
      <c r="M20" s="32"/>
      <c r="N20" s="33">
        <f>(C20+D20)/750</f>
        <v>0.504</v>
      </c>
      <c r="O20" s="34">
        <f>(F20+H20+J20)/510</f>
        <v>5.8823529411764705E-2</v>
      </c>
      <c r="P20" s="33">
        <f>(510-(Tablo1[[#This Row],[DURAKLAMA ZAMANI 1 (DK)]]+Tablo1[[#This Row],[DURAKLAMA ZAMANI 2 (DK)]]+Tablo1[[#This Row],[DURAKLAMA ZAMANI 3 (DK)]]))/510</f>
        <v>0.94117647058823528</v>
      </c>
      <c r="Q20" s="33">
        <f>((C20+D20)-L20)/(C20+D20)</f>
        <v>1</v>
      </c>
      <c r="R20" s="33">
        <f>N20*P20*Q20</f>
        <v>0.47435294117647059</v>
      </c>
    </row>
    <row r="21" spans="1:18" ht="27" customHeight="1">
      <c r="A21" s="16">
        <v>46064</v>
      </c>
      <c r="B21" s="17">
        <v>2</v>
      </c>
      <c r="C21" s="17"/>
      <c r="D21" s="17">
        <v>329</v>
      </c>
      <c r="E21" s="17" t="s">
        <v>27</v>
      </c>
      <c r="F21" s="17">
        <v>15</v>
      </c>
      <c r="G21" s="17" t="s">
        <v>10</v>
      </c>
      <c r="H21" s="17">
        <v>15</v>
      </c>
      <c r="I21" s="17" t="s">
        <v>4</v>
      </c>
      <c r="J21" s="17"/>
      <c r="K21" s="17"/>
      <c r="L21" s="17"/>
      <c r="M21" s="18"/>
      <c r="N21" s="20">
        <f>(C21+D21)/750</f>
        <v>0.43866666666666665</v>
      </c>
      <c r="O21" s="19">
        <f>(F21+H21+J21)/510</f>
        <v>5.8823529411764705E-2</v>
      </c>
      <c r="P21" s="20">
        <f>(510-(Tablo1[[#This Row],[DURAKLAMA ZAMANI 1 (DK)]]+Tablo1[[#This Row],[DURAKLAMA ZAMANI 2 (DK)]]+Tablo1[[#This Row],[DURAKLAMA ZAMANI 3 (DK)]]))/510</f>
        <v>0.94117647058823528</v>
      </c>
      <c r="Q21" s="20">
        <f>((C21+D21)-L21)/(C21+D21)</f>
        <v>1</v>
      </c>
      <c r="R21" s="20">
        <f>N21*P21*Q21</f>
        <v>0.41286274509803922</v>
      </c>
    </row>
    <row r="22" spans="1:18" ht="27" customHeight="1">
      <c r="A22" s="16">
        <v>46063</v>
      </c>
      <c r="B22" s="17">
        <v>2</v>
      </c>
      <c r="C22" s="17"/>
      <c r="D22" s="17">
        <v>358</v>
      </c>
      <c r="E22" s="17" t="s">
        <v>27</v>
      </c>
      <c r="F22" s="17">
        <v>15</v>
      </c>
      <c r="G22" s="17" t="s">
        <v>10</v>
      </c>
      <c r="H22" s="17">
        <v>15</v>
      </c>
      <c r="I22" s="17" t="s">
        <v>4</v>
      </c>
      <c r="J22" s="17"/>
      <c r="K22" s="17"/>
      <c r="L22" s="17"/>
      <c r="M22" s="18"/>
      <c r="N22" s="20">
        <f>(C22+D22)/750</f>
        <v>0.47733333333333333</v>
      </c>
      <c r="O22" s="19">
        <f>(F22+H22+J22)/510</f>
        <v>5.8823529411764705E-2</v>
      </c>
      <c r="P22" s="20">
        <f>(510-(Tablo1[[#This Row],[DURAKLAMA ZAMANI 1 (DK)]]+Tablo1[[#This Row],[DURAKLAMA ZAMANI 2 (DK)]]+Tablo1[[#This Row],[DURAKLAMA ZAMANI 3 (DK)]]))/510</f>
        <v>0.94117647058823528</v>
      </c>
      <c r="Q22" s="20">
        <f>((C22+D22)-L22)/(C22+D22)</f>
        <v>1</v>
      </c>
      <c r="R22" s="20">
        <f>N22*P22*Q22</f>
        <v>0.44925490196078433</v>
      </c>
    </row>
    <row r="23" spans="1:18" ht="27" customHeight="1">
      <c r="A23" s="16">
        <v>46062</v>
      </c>
      <c r="B23" s="17">
        <v>2</v>
      </c>
      <c r="C23" s="17"/>
      <c r="D23" s="17">
        <v>312</v>
      </c>
      <c r="E23" s="17" t="s">
        <v>27</v>
      </c>
      <c r="F23" s="17">
        <v>15</v>
      </c>
      <c r="G23" s="17" t="s">
        <v>10</v>
      </c>
      <c r="H23" s="17">
        <v>15</v>
      </c>
      <c r="I23" s="17" t="s">
        <v>4</v>
      </c>
      <c r="J23" s="17"/>
      <c r="K23" s="17"/>
      <c r="L23" s="17"/>
      <c r="M23" s="18"/>
      <c r="N23" s="20">
        <f>(C23+D23)/750</f>
        <v>0.41599999999999998</v>
      </c>
      <c r="O23" s="19">
        <f>(F23+H23+J23)/510</f>
        <v>5.8823529411764705E-2</v>
      </c>
      <c r="P23" s="20">
        <f>(510-(Tablo1[[#This Row],[DURAKLAMA ZAMANI 1 (DK)]]+Tablo1[[#This Row],[DURAKLAMA ZAMANI 2 (DK)]]+Tablo1[[#This Row],[DURAKLAMA ZAMANI 3 (DK)]]))/510</f>
        <v>0.94117647058823528</v>
      </c>
      <c r="Q23" s="20">
        <f>((C23+D23)-L23)/(C23+D23)</f>
        <v>1</v>
      </c>
      <c r="R23" s="20">
        <f>N23*P23*Q23</f>
        <v>0.39152941176470585</v>
      </c>
    </row>
    <row r="24" spans="1:18" ht="27" customHeight="1">
      <c r="A24" s="16">
        <v>46059</v>
      </c>
      <c r="B24" s="17">
        <v>2</v>
      </c>
      <c r="C24" s="17"/>
      <c r="D24" s="17">
        <v>272</v>
      </c>
      <c r="E24" s="17" t="s">
        <v>27</v>
      </c>
      <c r="F24" s="17">
        <v>15</v>
      </c>
      <c r="G24" s="17" t="s">
        <v>10</v>
      </c>
      <c r="H24" s="17">
        <v>75</v>
      </c>
      <c r="I24" s="17" t="s">
        <v>4</v>
      </c>
      <c r="J24" s="17"/>
      <c r="K24" s="17"/>
      <c r="L24" s="17"/>
      <c r="M24" s="18"/>
      <c r="N24" s="20">
        <f>(C24+D24)/750</f>
        <v>0.36266666666666669</v>
      </c>
      <c r="O24" s="19">
        <f>(F24+H24+J24)/510</f>
        <v>0.17647058823529413</v>
      </c>
      <c r="P24" s="20">
        <f>(510-(Tablo1[[#This Row],[DURAKLAMA ZAMANI 1 (DK)]]+Tablo1[[#This Row],[DURAKLAMA ZAMANI 2 (DK)]]+Tablo1[[#This Row],[DURAKLAMA ZAMANI 3 (DK)]]))/510</f>
        <v>0.82352941176470584</v>
      </c>
      <c r="Q24" s="20">
        <f>((C24+D24)-L24)/(C24+D24)</f>
        <v>1</v>
      </c>
      <c r="R24" s="20">
        <f>N24*P24*Q24</f>
        <v>0.29866666666666669</v>
      </c>
    </row>
    <row r="25" spans="1:18" ht="27" customHeight="1">
      <c r="A25" s="16">
        <v>46058</v>
      </c>
      <c r="B25" s="17">
        <v>2</v>
      </c>
      <c r="C25" s="17"/>
      <c r="D25" s="17">
        <v>185</v>
      </c>
      <c r="E25" s="17" t="s">
        <v>27</v>
      </c>
      <c r="F25" s="17">
        <v>15</v>
      </c>
      <c r="G25" s="17" t="s">
        <v>10</v>
      </c>
      <c r="H25" s="17">
        <v>240</v>
      </c>
      <c r="I25" s="17" t="s">
        <v>6</v>
      </c>
      <c r="J25" s="17"/>
      <c r="K25" s="17"/>
      <c r="L25" s="17"/>
      <c r="M25" s="18"/>
      <c r="N25" s="20">
        <f>(C25+D25)/750</f>
        <v>0.24666666666666667</v>
      </c>
      <c r="O25" s="19">
        <f>(F25+H25+J25)/510</f>
        <v>0.5</v>
      </c>
      <c r="P25" s="20">
        <f>(510-(Tablo1[[#This Row],[DURAKLAMA ZAMANI 1 (DK)]]+Tablo1[[#This Row],[DURAKLAMA ZAMANI 2 (DK)]]+Tablo1[[#This Row],[DURAKLAMA ZAMANI 3 (DK)]]))/510</f>
        <v>0.5</v>
      </c>
      <c r="Q25" s="20">
        <f>((C25+D25)-L25)/(C25+D25)</f>
        <v>1</v>
      </c>
      <c r="R25" s="20">
        <f>N25*P25*Q25</f>
        <v>0.12333333333333334</v>
      </c>
    </row>
    <row r="26" spans="1:18" ht="27" customHeight="1">
      <c r="A26" s="16">
        <v>46056</v>
      </c>
      <c r="B26" s="17">
        <v>2</v>
      </c>
      <c r="C26" s="17"/>
      <c r="D26" s="17">
        <v>514</v>
      </c>
      <c r="E26" s="17" t="s">
        <v>27</v>
      </c>
      <c r="F26" s="17">
        <v>15</v>
      </c>
      <c r="G26" s="17" t="s">
        <v>10</v>
      </c>
      <c r="H26" s="17">
        <v>15</v>
      </c>
      <c r="I26" s="17" t="s">
        <v>4</v>
      </c>
      <c r="J26" s="17"/>
      <c r="K26" s="17"/>
      <c r="L26" s="17"/>
      <c r="M26" s="18"/>
      <c r="N26" s="20">
        <f>(C26+D26)/750</f>
        <v>0.68533333333333335</v>
      </c>
      <c r="O26" s="19">
        <f>(F26+H26+J26)/510</f>
        <v>5.8823529411764705E-2</v>
      </c>
      <c r="P26" s="20">
        <f>(510-(Tablo1[[#This Row],[DURAKLAMA ZAMANI 1 (DK)]]+Tablo1[[#This Row],[DURAKLAMA ZAMANI 2 (DK)]]+Tablo1[[#This Row],[DURAKLAMA ZAMANI 3 (DK)]]))/510</f>
        <v>0.94117647058823528</v>
      </c>
      <c r="Q26" s="20">
        <f>((C26+D26)-L26)/(C26+D26)</f>
        <v>1</v>
      </c>
      <c r="R26" s="20">
        <f>N26*P26*Q26</f>
        <v>0.64501960784313728</v>
      </c>
    </row>
    <row r="27" spans="1:18" ht="27" customHeight="1">
      <c r="A27" s="16">
        <v>46055</v>
      </c>
      <c r="B27" s="17">
        <v>2</v>
      </c>
      <c r="C27" s="17"/>
      <c r="D27" s="17">
        <v>450</v>
      </c>
      <c r="E27" s="17" t="s">
        <v>27</v>
      </c>
      <c r="F27" s="17">
        <v>15</v>
      </c>
      <c r="G27" s="17" t="s">
        <v>10</v>
      </c>
      <c r="H27" s="17">
        <v>15</v>
      </c>
      <c r="I27" s="17" t="s">
        <v>4</v>
      </c>
      <c r="J27" s="17"/>
      <c r="K27" s="17"/>
      <c r="L27" s="17"/>
      <c r="M27" s="18"/>
      <c r="N27" s="20">
        <f>(C27+D27)/750</f>
        <v>0.6</v>
      </c>
      <c r="O27" s="19">
        <f>(F27+H27+J27)/510</f>
        <v>5.8823529411764705E-2</v>
      </c>
      <c r="P27" s="20">
        <f>(510-(Tablo1[[#This Row],[DURAKLAMA ZAMANI 1 (DK)]]+Tablo1[[#This Row],[DURAKLAMA ZAMANI 2 (DK)]]+Tablo1[[#This Row],[DURAKLAMA ZAMANI 3 (DK)]]))/510</f>
        <v>0.94117647058823528</v>
      </c>
      <c r="Q27" s="20">
        <f>((C27+D27)-L27)/(C27+D27)</f>
        <v>1</v>
      </c>
      <c r="R27" s="20">
        <f>N27*P27*Q27</f>
        <v>0.56470588235294117</v>
      </c>
    </row>
    <row r="28" spans="1:18" ht="27" customHeight="1">
      <c r="A28" s="16">
        <v>46052</v>
      </c>
      <c r="B28" s="17">
        <v>2</v>
      </c>
      <c r="C28" s="17"/>
      <c r="D28" s="17">
        <v>495</v>
      </c>
      <c r="E28" s="17" t="s">
        <v>27</v>
      </c>
      <c r="F28" s="17">
        <v>15</v>
      </c>
      <c r="G28" s="17" t="s">
        <v>10</v>
      </c>
      <c r="H28" s="17">
        <v>60</v>
      </c>
      <c r="I28" s="17" t="s">
        <v>4</v>
      </c>
      <c r="J28" s="17"/>
      <c r="K28" s="17"/>
      <c r="L28" s="17"/>
      <c r="M28" s="18"/>
      <c r="N28" s="20">
        <f>(C28+D28)/750</f>
        <v>0.66</v>
      </c>
      <c r="O28" s="19">
        <f>(F28+H28+J28)/510</f>
        <v>0.14705882352941177</v>
      </c>
      <c r="P28" s="20">
        <f>(510-(Tablo1[[#This Row],[DURAKLAMA ZAMANI 1 (DK)]]+Tablo1[[#This Row],[DURAKLAMA ZAMANI 2 (DK)]]+Tablo1[[#This Row],[DURAKLAMA ZAMANI 3 (DK)]]))/510</f>
        <v>0.8529411764705882</v>
      </c>
      <c r="Q28" s="20">
        <f>((C28+D28)-L28)/(C28+D28)</f>
        <v>1</v>
      </c>
      <c r="R28" s="20">
        <f>N28*P28*Q28</f>
        <v>0.56294117647058828</v>
      </c>
    </row>
    <row r="29" spans="1:18" ht="27" customHeight="1">
      <c r="A29" s="16">
        <v>46051</v>
      </c>
      <c r="B29" s="17">
        <v>2</v>
      </c>
      <c r="C29" s="17"/>
      <c r="D29" s="17">
        <v>440</v>
      </c>
      <c r="E29" s="17" t="s">
        <v>27</v>
      </c>
      <c r="F29" s="17">
        <v>15</v>
      </c>
      <c r="G29" s="17" t="s">
        <v>10</v>
      </c>
      <c r="H29" s="17">
        <v>15</v>
      </c>
      <c r="I29" s="17" t="s">
        <v>4</v>
      </c>
      <c r="J29" s="17"/>
      <c r="K29" s="17"/>
      <c r="L29" s="17"/>
      <c r="M29" s="18"/>
      <c r="N29" s="20">
        <f>(C29+D29)/750</f>
        <v>0.58666666666666667</v>
      </c>
      <c r="O29" s="19">
        <f>(F29+H29+J29)/510</f>
        <v>5.8823529411764705E-2</v>
      </c>
      <c r="P29" s="20">
        <f>(510-(Tablo1[[#This Row],[DURAKLAMA ZAMANI 1 (DK)]]+Tablo1[[#This Row],[DURAKLAMA ZAMANI 2 (DK)]]+Tablo1[[#This Row],[DURAKLAMA ZAMANI 3 (DK)]]))/510</f>
        <v>0.94117647058823528</v>
      </c>
      <c r="Q29" s="20">
        <f>((C29+D29)-L29)/(C29+D29)</f>
        <v>1</v>
      </c>
      <c r="R29" s="20">
        <f>N29*P29*Q29</f>
        <v>0.55215686274509801</v>
      </c>
    </row>
    <row r="30" spans="1:18" ht="27" customHeight="1">
      <c r="A30" s="16">
        <v>46050</v>
      </c>
      <c r="B30" s="17">
        <v>2</v>
      </c>
      <c r="C30" s="17"/>
      <c r="D30" s="17">
        <v>412</v>
      </c>
      <c r="E30" s="17" t="s">
        <v>27</v>
      </c>
      <c r="F30" s="17">
        <v>15</v>
      </c>
      <c r="G30" s="17" t="s">
        <v>10</v>
      </c>
      <c r="H30" s="17">
        <v>15</v>
      </c>
      <c r="I30" s="17" t="s">
        <v>4</v>
      </c>
      <c r="J30" s="17"/>
      <c r="K30" s="17"/>
      <c r="L30" s="17"/>
      <c r="M30" s="18"/>
      <c r="N30" s="20">
        <f>(C30+D30)/750</f>
        <v>0.54933333333333334</v>
      </c>
      <c r="O30" s="19">
        <f>(F30+H30+J30)/510</f>
        <v>5.8823529411764705E-2</v>
      </c>
      <c r="P30" s="20">
        <f>(510-(Tablo1[[#This Row],[DURAKLAMA ZAMANI 1 (DK)]]+Tablo1[[#This Row],[DURAKLAMA ZAMANI 2 (DK)]]+Tablo1[[#This Row],[DURAKLAMA ZAMANI 3 (DK)]]))/510</f>
        <v>0.94117647058823528</v>
      </c>
      <c r="Q30" s="20">
        <f>((C30+D30)-L30)/(C30+D30)</f>
        <v>1</v>
      </c>
      <c r="R30" s="20">
        <f>N30*P30*Q30</f>
        <v>0.51701960784313727</v>
      </c>
    </row>
    <row r="31" spans="1:18" ht="27" customHeight="1">
      <c r="A31" s="16">
        <v>46049</v>
      </c>
      <c r="B31" s="17">
        <v>2</v>
      </c>
      <c r="C31" s="17"/>
      <c r="D31" s="17">
        <v>255</v>
      </c>
      <c r="E31" s="17" t="s">
        <v>27</v>
      </c>
      <c r="F31" s="17">
        <v>15</v>
      </c>
      <c r="G31" s="17" t="s">
        <v>10</v>
      </c>
      <c r="H31" s="17">
        <v>15</v>
      </c>
      <c r="I31" s="17" t="s">
        <v>4</v>
      </c>
      <c r="J31" s="17"/>
      <c r="K31" s="17"/>
      <c r="L31" s="17"/>
      <c r="M31" s="18"/>
      <c r="N31" s="20">
        <f>(C31+D31)/750</f>
        <v>0.34</v>
      </c>
      <c r="O31" s="19">
        <f>(F31+H31+J31)/510</f>
        <v>5.8823529411764705E-2</v>
      </c>
      <c r="P31" s="20">
        <f>(510-(Tablo1[[#This Row],[DURAKLAMA ZAMANI 1 (DK)]]+Tablo1[[#This Row],[DURAKLAMA ZAMANI 2 (DK)]]+Tablo1[[#This Row],[DURAKLAMA ZAMANI 3 (DK)]]))/510</f>
        <v>0.94117647058823528</v>
      </c>
      <c r="Q31" s="20">
        <f>((C31+D31)-L31)/(C31+D31)</f>
        <v>1</v>
      </c>
      <c r="R31" s="20">
        <f>N31*P31*Q31</f>
        <v>0.32</v>
      </c>
    </row>
    <row r="32" spans="1:18" ht="27" customHeight="1">
      <c r="A32" s="16">
        <v>46048</v>
      </c>
      <c r="B32" s="17">
        <v>2</v>
      </c>
      <c r="C32" s="17"/>
      <c r="D32" s="17">
        <v>241</v>
      </c>
      <c r="E32" s="17" t="s">
        <v>27</v>
      </c>
      <c r="F32" s="17">
        <v>15</v>
      </c>
      <c r="G32" s="17" t="s">
        <v>10</v>
      </c>
      <c r="H32" s="17">
        <v>15</v>
      </c>
      <c r="I32" s="17" t="s">
        <v>4</v>
      </c>
      <c r="J32" s="17"/>
      <c r="K32" s="17"/>
      <c r="L32" s="17"/>
      <c r="M32" s="18"/>
      <c r="N32" s="20">
        <f>(C32+D32)/750</f>
        <v>0.32133333333333336</v>
      </c>
      <c r="O32" s="19">
        <f>(F32+H32+J32)/510</f>
        <v>5.8823529411764705E-2</v>
      </c>
      <c r="P32" s="20">
        <f>(510-(Tablo1[[#This Row],[DURAKLAMA ZAMANI 1 (DK)]]+Tablo1[[#This Row],[DURAKLAMA ZAMANI 2 (DK)]]+Tablo1[[#This Row],[DURAKLAMA ZAMANI 3 (DK)]]))/510</f>
        <v>0.94117647058823528</v>
      </c>
      <c r="Q32" s="20">
        <f>((C32+D32)-L32)/(C32+D32)</f>
        <v>1</v>
      </c>
      <c r="R32" s="20">
        <f>N32*P32*Q32</f>
        <v>0.30243137254901964</v>
      </c>
    </row>
    <row r="33" spans="1:18" ht="27" customHeight="1">
      <c r="A33" s="16">
        <v>46044</v>
      </c>
      <c r="B33" s="17">
        <v>2</v>
      </c>
      <c r="C33" s="17"/>
      <c r="D33" s="17">
        <v>232</v>
      </c>
      <c r="E33" s="17" t="s">
        <v>27</v>
      </c>
      <c r="F33" s="17">
        <v>15</v>
      </c>
      <c r="G33" s="17" t="s">
        <v>10</v>
      </c>
      <c r="H33" s="17">
        <v>120</v>
      </c>
      <c r="I33" s="17" t="s">
        <v>8</v>
      </c>
      <c r="J33" s="17"/>
      <c r="K33" s="17"/>
      <c r="L33" s="17"/>
      <c r="M33" s="18"/>
      <c r="N33" s="20">
        <f>(C33+D33)/750</f>
        <v>0.30933333333333335</v>
      </c>
      <c r="O33" s="19">
        <f>(F33+H33+J33)/510</f>
        <v>0.26470588235294118</v>
      </c>
      <c r="P33" s="20">
        <f>(510-(Tablo1[[#This Row],[DURAKLAMA ZAMANI 1 (DK)]]+Tablo1[[#This Row],[DURAKLAMA ZAMANI 2 (DK)]]+Tablo1[[#This Row],[DURAKLAMA ZAMANI 3 (DK)]]))/510</f>
        <v>0.73529411764705888</v>
      </c>
      <c r="Q33" s="20">
        <f>((C33+D33)-L33)/(C33+D33)</f>
        <v>1</v>
      </c>
      <c r="R33" s="20">
        <f>N33*P33*Q33</f>
        <v>0.22745098039215689</v>
      </c>
    </row>
    <row r="34" spans="1:18" ht="27" customHeight="1">
      <c r="A34" s="16">
        <v>46043</v>
      </c>
      <c r="B34" s="17">
        <v>2</v>
      </c>
      <c r="C34" s="17"/>
      <c r="D34" s="17">
        <v>60</v>
      </c>
      <c r="E34" s="17" t="s">
        <v>27</v>
      </c>
      <c r="F34" s="17">
        <v>15</v>
      </c>
      <c r="G34" s="17" t="s">
        <v>10</v>
      </c>
      <c r="H34" s="17">
        <v>480</v>
      </c>
      <c r="I34" s="17" t="s">
        <v>12</v>
      </c>
      <c r="J34" s="17"/>
      <c r="K34" s="17"/>
      <c r="L34" s="17"/>
      <c r="M34" s="18"/>
      <c r="N34" s="20">
        <f>(C34+D34)/750</f>
        <v>0.08</v>
      </c>
      <c r="O34" s="19">
        <f>(F34+H34+J34)/510</f>
        <v>0.97058823529411764</v>
      </c>
      <c r="P34" s="20">
        <f>(510-(Tablo1[[#This Row],[DURAKLAMA ZAMANI 1 (DK)]]+Tablo1[[#This Row],[DURAKLAMA ZAMANI 2 (DK)]]+Tablo1[[#This Row],[DURAKLAMA ZAMANI 3 (DK)]]))/510</f>
        <v>2.9411764705882353E-2</v>
      </c>
      <c r="Q34" s="20">
        <f>((C34+D34)-L34)/(C34+D34)</f>
        <v>1</v>
      </c>
      <c r="R34" s="20">
        <f>N34*P34*Q34</f>
        <v>2.3529411764705885E-3</v>
      </c>
    </row>
    <row r="35" spans="1:18" ht="27" customHeight="1">
      <c r="A35" s="16">
        <v>46042</v>
      </c>
      <c r="B35" s="17">
        <v>2</v>
      </c>
      <c r="C35" s="17"/>
      <c r="D35" s="17">
        <v>295</v>
      </c>
      <c r="E35" s="17" t="s">
        <v>27</v>
      </c>
      <c r="F35" s="17">
        <v>15</v>
      </c>
      <c r="G35" s="17" t="s">
        <v>10</v>
      </c>
      <c r="H35" s="17">
        <v>15</v>
      </c>
      <c r="I35" s="17" t="s">
        <v>4</v>
      </c>
      <c r="J35" s="17"/>
      <c r="K35" s="17"/>
      <c r="L35" s="17"/>
      <c r="M35" s="18"/>
      <c r="N35" s="20">
        <f>(C35+D35)/750</f>
        <v>0.39333333333333331</v>
      </c>
      <c r="O35" s="19">
        <f>(F35+H35+J35)/510</f>
        <v>5.8823529411764705E-2</v>
      </c>
      <c r="P35" s="20">
        <f>(510-(Tablo1[[#This Row],[DURAKLAMA ZAMANI 1 (DK)]]+Tablo1[[#This Row],[DURAKLAMA ZAMANI 2 (DK)]]+Tablo1[[#This Row],[DURAKLAMA ZAMANI 3 (DK)]]))/510</f>
        <v>0.94117647058823528</v>
      </c>
      <c r="Q35" s="20">
        <f>((C35+D35)-L35)/(C35+D35)</f>
        <v>1</v>
      </c>
      <c r="R35" s="20">
        <f>N35*P35*Q35</f>
        <v>0.37019607843137253</v>
      </c>
    </row>
    <row r="36" spans="1:18" ht="27" customHeight="1">
      <c r="A36" s="16">
        <v>46041</v>
      </c>
      <c r="B36" s="17">
        <v>2</v>
      </c>
      <c r="C36" s="17"/>
      <c r="D36" s="17">
        <v>405</v>
      </c>
      <c r="E36" s="17" t="s">
        <v>27</v>
      </c>
      <c r="F36" s="17">
        <v>15</v>
      </c>
      <c r="G36" s="17" t="s">
        <v>10</v>
      </c>
      <c r="H36" s="17">
        <v>15</v>
      </c>
      <c r="I36" s="17" t="s">
        <v>4</v>
      </c>
      <c r="J36" s="17"/>
      <c r="K36" s="17"/>
      <c r="L36" s="17"/>
      <c r="M36" s="18"/>
      <c r="N36" s="20">
        <f>(C36+D36)/750</f>
        <v>0.54</v>
      </c>
      <c r="O36" s="19">
        <f>(F36+H36+J36)/510</f>
        <v>5.8823529411764705E-2</v>
      </c>
      <c r="P36" s="20">
        <f>(510-(Tablo1[[#This Row],[DURAKLAMA ZAMANI 1 (DK)]]+Tablo1[[#This Row],[DURAKLAMA ZAMANI 2 (DK)]]+Tablo1[[#This Row],[DURAKLAMA ZAMANI 3 (DK)]]))/510</f>
        <v>0.94117647058823528</v>
      </c>
      <c r="Q36" s="20">
        <f>((C36+D36)-L36)/(C36+D36)</f>
        <v>1</v>
      </c>
      <c r="R36" s="20">
        <f>N36*P36*Q36</f>
        <v>0.50823529411764712</v>
      </c>
    </row>
    <row r="37" spans="1:18" ht="27" customHeight="1">
      <c r="A37" s="16">
        <v>46038</v>
      </c>
      <c r="B37" s="17">
        <v>2</v>
      </c>
      <c r="C37" s="17"/>
      <c r="D37" s="17">
        <v>330</v>
      </c>
      <c r="E37" s="17" t="s">
        <v>27</v>
      </c>
      <c r="F37" s="17">
        <v>15</v>
      </c>
      <c r="G37" s="17" t="s">
        <v>10</v>
      </c>
      <c r="H37" s="17">
        <v>60</v>
      </c>
      <c r="I37" s="17" t="s">
        <v>4</v>
      </c>
      <c r="J37" s="17"/>
      <c r="K37" s="17"/>
      <c r="L37" s="17"/>
      <c r="M37" s="18"/>
      <c r="N37" s="20">
        <f>(C37+D37)/750</f>
        <v>0.44</v>
      </c>
      <c r="O37" s="19">
        <f>(F37+H37+J37)/510</f>
        <v>0.14705882352941177</v>
      </c>
      <c r="P37" s="20">
        <f>(510-(Tablo1[[#This Row],[DURAKLAMA ZAMANI 1 (DK)]]+Tablo1[[#This Row],[DURAKLAMA ZAMANI 2 (DK)]]+Tablo1[[#This Row],[DURAKLAMA ZAMANI 3 (DK)]]))/510</f>
        <v>0.8529411764705882</v>
      </c>
      <c r="Q37" s="20">
        <f>((C37+D37)-L37)/(C37+D37)</f>
        <v>1</v>
      </c>
      <c r="R37" s="20">
        <f>N37*P37*Q37</f>
        <v>0.37529411764705883</v>
      </c>
    </row>
    <row r="38" spans="1:18" ht="27" customHeight="1">
      <c r="A38" s="16">
        <v>46037</v>
      </c>
      <c r="B38" s="17">
        <v>2</v>
      </c>
      <c r="C38" s="17"/>
      <c r="D38" s="17">
        <v>445</v>
      </c>
      <c r="E38" s="17" t="s">
        <v>27</v>
      </c>
      <c r="F38" s="17">
        <v>15</v>
      </c>
      <c r="G38" s="17" t="s">
        <v>10</v>
      </c>
      <c r="H38" s="17">
        <v>15</v>
      </c>
      <c r="I38" s="17" t="s">
        <v>4</v>
      </c>
      <c r="J38" s="17"/>
      <c r="K38" s="17"/>
      <c r="L38" s="17"/>
      <c r="M38" s="18"/>
      <c r="N38" s="20">
        <f>(C38+D38)/750</f>
        <v>0.59333333333333338</v>
      </c>
      <c r="O38" s="19">
        <f>(F38+H38+J38)/510</f>
        <v>5.8823529411764705E-2</v>
      </c>
      <c r="P38" s="20">
        <f>(510-(Tablo1[[#This Row],[DURAKLAMA ZAMANI 1 (DK)]]+Tablo1[[#This Row],[DURAKLAMA ZAMANI 2 (DK)]]+Tablo1[[#This Row],[DURAKLAMA ZAMANI 3 (DK)]]))/510</f>
        <v>0.94117647058823528</v>
      </c>
      <c r="Q38" s="20">
        <f>((C38+D38)-L38)/(C38+D38)</f>
        <v>1</v>
      </c>
      <c r="R38" s="20">
        <f>N38*P38*Q38</f>
        <v>0.55843137254901964</v>
      </c>
    </row>
    <row r="39" spans="1:18" ht="27" customHeight="1">
      <c r="A39" s="16">
        <v>46036</v>
      </c>
      <c r="B39" s="17">
        <v>2</v>
      </c>
      <c r="C39" s="17"/>
      <c r="D39" s="17">
        <v>320</v>
      </c>
      <c r="E39" s="17" t="s">
        <v>27</v>
      </c>
      <c r="F39" s="17">
        <v>15</v>
      </c>
      <c r="G39" s="17" t="s">
        <v>10</v>
      </c>
      <c r="H39" s="17">
        <v>15</v>
      </c>
      <c r="I39" s="17" t="s">
        <v>4</v>
      </c>
      <c r="J39" s="17"/>
      <c r="K39" s="17"/>
      <c r="L39" s="17"/>
      <c r="M39" s="18"/>
      <c r="N39" s="20">
        <f>(C39+D39)/750</f>
        <v>0.42666666666666669</v>
      </c>
      <c r="O39" s="19">
        <f>(F39+H39+J39)/510</f>
        <v>5.8823529411764705E-2</v>
      </c>
      <c r="P39" s="20">
        <f>(510-(Tablo1[[#This Row],[DURAKLAMA ZAMANI 1 (DK)]]+Tablo1[[#This Row],[DURAKLAMA ZAMANI 2 (DK)]]+Tablo1[[#This Row],[DURAKLAMA ZAMANI 3 (DK)]]))/510</f>
        <v>0.94117647058823528</v>
      </c>
      <c r="Q39" s="20">
        <f>((C39+D39)-L39)/(C39+D39)</f>
        <v>1</v>
      </c>
      <c r="R39" s="20">
        <f>N39*P39*Q39</f>
        <v>0.40156862745098043</v>
      </c>
    </row>
    <row r="40" spans="1:18" ht="27" customHeight="1">
      <c r="A40" s="16">
        <v>46035</v>
      </c>
      <c r="B40" s="17">
        <v>2</v>
      </c>
      <c r="C40" s="17"/>
      <c r="D40" s="17">
        <v>320</v>
      </c>
      <c r="E40" s="17" t="s">
        <v>27</v>
      </c>
      <c r="F40" s="17">
        <v>15</v>
      </c>
      <c r="G40" s="17" t="s">
        <v>10</v>
      </c>
      <c r="H40" s="17">
        <v>15</v>
      </c>
      <c r="I40" s="17" t="s">
        <v>4</v>
      </c>
      <c r="J40" s="17"/>
      <c r="K40" s="17"/>
      <c r="L40" s="17"/>
      <c r="M40" s="18"/>
      <c r="N40" s="20">
        <f>(C40+D40)/750</f>
        <v>0.42666666666666669</v>
      </c>
      <c r="O40" s="19">
        <f>(F40+H40+J40)/510</f>
        <v>5.8823529411764705E-2</v>
      </c>
      <c r="P40" s="20">
        <f>(510-(Tablo1[[#This Row],[DURAKLAMA ZAMANI 1 (DK)]]+Tablo1[[#This Row],[DURAKLAMA ZAMANI 2 (DK)]]+Tablo1[[#This Row],[DURAKLAMA ZAMANI 3 (DK)]]))/510</f>
        <v>0.94117647058823528</v>
      </c>
      <c r="Q40" s="20">
        <f>((C40+D40)-L40)/(C40+D40)</f>
        <v>1</v>
      </c>
      <c r="R40" s="20">
        <f>N40*P40*Q40</f>
        <v>0.40156862745098043</v>
      </c>
    </row>
    <row r="41" spans="1:18" ht="27" customHeight="1">
      <c r="A41" s="16">
        <v>46034</v>
      </c>
      <c r="B41" s="17">
        <v>2</v>
      </c>
      <c r="C41" s="17"/>
      <c r="D41" s="17">
        <v>358</v>
      </c>
      <c r="E41" s="17" t="s">
        <v>27</v>
      </c>
      <c r="F41" s="17">
        <v>60</v>
      </c>
      <c r="G41" s="17" t="s">
        <v>12</v>
      </c>
      <c r="H41" s="17">
        <v>15</v>
      </c>
      <c r="I41" s="17" t="s">
        <v>4</v>
      </c>
      <c r="J41" s="17"/>
      <c r="K41" s="17"/>
      <c r="L41" s="17"/>
      <c r="M41" s="18"/>
      <c r="N41" s="20">
        <f>(C41+D41)/750</f>
        <v>0.47733333333333333</v>
      </c>
      <c r="O41" s="19">
        <f>(F41+H41+J41)/510</f>
        <v>0.14705882352941177</v>
      </c>
      <c r="P41" s="20">
        <f>(510-(Tablo1[[#This Row],[DURAKLAMA ZAMANI 1 (DK)]]+Tablo1[[#This Row],[DURAKLAMA ZAMANI 2 (DK)]]+Tablo1[[#This Row],[DURAKLAMA ZAMANI 3 (DK)]]))/510</f>
        <v>0.8529411764705882</v>
      </c>
      <c r="Q41" s="20">
        <f>((C41+D41)-L41)/(C41+D41)</f>
        <v>1</v>
      </c>
      <c r="R41" s="20">
        <f>N41*P41*Q41</f>
        <v>0.40713725490196079</v>
      </c>
    </row>
    <row r="42" spans="1:18" ht="27" customHeight="1">
      <c r="A42" s="16">
        <v>46031</v>
      </c>
      <c r="B42" s="17">
        <v>2</v>
      </c>
      <c r="C42" s="17"/>
      <c r="D42" s="17">
        <v>280</v>
      </c>
      <c r="E42" s="17" t="s">
        <v>27</v>
      </c>
      <c r="F42" s="17">
        <v>15</v>
      </c>
      <c r="G42" s="17" t="s">
        <v>10</v>
      </c>
      <c r="H42" s="17">
        <v>60</v>
      </c>
      <c r="I42" s="17" t="s">
        <v>4</v>
      </c>
      <c r="J42" s="17">
        <v>30</v>
      </c>
      <c r="K42" s="17" t="s">
        <v>8</v>
      </c>
      <c r="L42" s="17"/>
      <c r="M42" s="18"/>
      <c r="N42" s="20">
        <f>(C42+D42)/750</f>
        <v>0.37333333333333335</v>
      </c>
      <c r="O42" s="19">
        <f>(F42+H42+J42)/510</f>
        <v>0.20588235294117646</v>
      </c>
      <c r="P42" s="20">
        <f>(510-(Tablo1[[#This Row],[DURAKLAMA ZAMANI 1 (DK)]]+Tablo1[[#This Row],[DURAKLAMA ZAMANI 2 (DK)]]+Tablo1[[#This Row],[DURAKLAMA ZAMANI 3 (DK)]]))/510</f>
        <v>0.79411764705882348</v>
      </c>
      <c r="Q42" s="20">
        <f>((C42+D42)-L42)/(C42+D42)</f>
        <v>1</v>
      </c>
      <c r="R42" s="20">
        <f>N42*P42*Q42</f>
        <v>0.2964705882352941</v>
      </c>
    </row>
    <row r="43" spans="1:18" ht="27" customHeight="1">
      <c r="A43" s="16">
        <v>46030</v>
      </c>
      <c r="B43" s="17">
        <v>2</v>
      </c>
      <c r="C43" s="17"/>
      <c r="D43" s="17">
        <v>340</v>
      </c>
      <c r="E43" s="17" t="s">
        <v>27</v>
      </c>
      <c r="F43" s="17">
        <v>15</v>
      </c>
      <c r="G43" s="17" t="s">
        <v>10</v>
      </c>
      <c r="H43" s="17">
        <v>15</v>
      </c>
      <c r="I43" s="17" t="s">
        <v>4</v>
      </c>
      <c r="J43" s="17"/>
      <c r="K43" s="17"/>
      <c r="L43" s="17"/>
      <c r="M43" s="18"/>
      <c r="N43" s="20">
        <f>(C43+D43)/750</f>
        <v>0.45333333333333331</v>
      </c>
      <c r="O43" s="19">
        <f>(F43+H43+J43)/510</f>
        <v>5.8823529411764705E-2</v>
      </c>
      <c r="P43" s="20">
        <f>(510-(Tablo1[[#This Row],[DURAKLAMA ZAMANI 1 (DK)]]+Tablo1[[#This Row],[DURAKLAMA ZAMANI 2 (DK)]]+Tablo1[[#This Row],[DURAKLAMA ZAMANI 3 (DK)]]))/510</f>
        <v>0.94117647058823528</v>
      </c>
      <c r="Q43" s="20">
        <f>((C43+D43)-L43)/(C43+D43)</f>
        <v>1</v>
      </c>
      <c r="R43" s="20">
        <f>N43*P43*Q43</f>
        <v>0.42666666666666664</v>
      </c>
    </row>
    <row r="44" spans="1:18" ht="27" customHeight="1">
      <c r="A44" s="16">
        <v>46029</v>
      </c>
      <c r="B44" s="17">
        <v>2</v>
      </c>
      <c r="C44" s="17"/>
      <c r="D44" s="17">
        <v>22</v>
      </c>
      <c r="E44" s="17" t="s">
        <v>27</v>
      </c>
      <c r="F44" s="17">
        <v>15</v>
      </c>
      <c r="G44" s="17" t="s">
        <v>10</v>
      </c>
      <c r="H44" s="17">
        <v>485</v>
      </c>
      <c r="I44" s="17" t="s">
        <v>12</v>
      </c>
      <c r="J44" s="17"/>
      <c r="K44" s="17"/>
      <c r="L44" s="17"/>
      <c r="M44" s="18"/>
      <c r="N44" s="20">
        <f>(C44+D44)/750</f>
        <v>2.9333333333333333E-2</v>
      </c>
      <c r="O44" s="19">
        <f>(F44+H44+J44)/510</f>
        <v>0.98039215686274506</v>
      </c>
      <c r="P44" s="20">
        <f>(510-(Tablo1[[#This Row],[DURAKLAMA ZAMANI 1 (DK)]]+Tablo1[[#This Row],[DURAKLAMA ZAMANI 2 (DK)]]+Tablo1[[#This Row],[DURAKLAMA ZAMANI 3 (DK)]]))/510</f>
        <v>1.9607843137254902E-2</v>
      </c>
      <c r="Q44" s="20">
        <f>((C44+D44)-L44)/(C44+D44)</f>
        <v>1</v>
      </c>
      <c r="R44" s="20">
        <f>N44*P44*Q44</f>
        <v>5.7516339869281049E-4</v>
      </c>
    </row>
    <row r="45" spans="1:18" ht="27" customHeight="1">
      <c r="A45" s="16">
        <v>46028</v>
      </c>
      <c r="B45" s="17">
        <v>2</v>
      </c>
      <c r="C45" s="17"/>
      <c r="D45" s="17">
        <v>70</v>
      </c>
      <c r="E45" s="17" t="s">
        <v>27</v>
      </c>
      <c r="F45" s="17">
        <v>15</v>
      </c>
      <c r="G45" s="17" t="s">
        <v>12</v>
      </c>
      <c r="H45" s="17">
        <v>300</v>
      </c>
      <c r="I45" s="17" t="s">
        <v>4</v>
      </c>
      <c r="J45" s="17"/>
      <c r="K45" s="17"/>
      <c r="L45" s="17"/>
      <c r="M45" s="18"/>
      <c r="N45" s="20">
        <f>(C45+D45)/750</f>
        <v>9.3333333333333338E-2</v>
      </c>
      <c r="O45" s="19">
        <f>(F45+H45+J45)/510</f>
        <v>0.61764705882352944</v>
      </c>
      <c r="P45" s="20">
        <f>(510-(Tablo1[[#This Row],[DURAKLAMA ZAMANI 1 (DK)]]+Tablo1[[#This Row],[DURAKLAMA ZAMANI 2 (DK)]]+Tablo1[[#This Row],[DURAKLAMA ZAMANI 3 (DK)]]))/510</f>
        <v>0.38235294117647056</v>
      </c>
      <c r="Q45" s="20">
        <f>((C45+D45)-L45)/(C45+D45)</f>
        <v>1</v>
      </c>
      <c r="R45" s="20">
        <f>N45*P45*Q45</f>
        <v>3.5686274509803918E-2</v>
      </c>
    </row>
    <row r="46" spans="1:18" ht="27" customHeight="1">
      <c r="A46" s="16">
        <v>46027</v>
      </c>
      <c r="B46" s="17">
        <v>2</v>
      </c>
      <c r="C46" s="17"/>
      <c r="D46" s="17">
        <v>190</v>
      </c>
      <c r="E46" s="17" t="s">
        <v>27</v>
      </c>
      <c r="F46" s="17">
        <v>15</v>
      </c>
      <c r="G46" s="17" t="s">
        <v>12</v>
      </c>
      <c r="H46" s="17">
        <v>180</v>
      </c>
      <c r="I46" s="17" t="s">
        <v>4</v>
      </c>
      <c r="J46" s="17"/>
      <c r="K46" s="17"/>
      <c r="L46" s="17"/>
      <c r="M46" s="18"/>
      <c r="N46" s="20">
        <f>(C46+D46)/750</f>
        <v>0.25333333333333335</v>
      </c>
      <c r="O46" s="19">
        <f>(F46+H46+J46)/510</f>
        <v>0.38235294117647056</v>
      </c>
      <c r="P46" s="20">
        <f>(510-(Tablo1[[#This Row],[DURAKLAMA ZAMANI 1 (DK)]]+Tablo1[[#This Row],[DURAKLAMA ZAMANI 2 (DK)]]+Tablo1[[#This Row],[DURAKLAMA ZAMANI 3 (DK)]]))/510</f>
        <v>0.61764705882352944</v>
      </c>
      <c r="Q46" s="20">
        <f>((C46+D46)-L46)/(C46+D46)</f>
        <v>1</v>
      </c>
      <c r="R46" s="20">
        <f>N46*P46*Q46</f>
        <v>0.15647058823529414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topLeftCell="B1" workbookViewId="0">
      <selection activeCell="N13" sqref="N13"/>
    </sheetView>
  </sheetViews>
  <sheetFormatPr defaultColWidth="8.73046875" defaultRowHeight="14.25"/>
  <cols>
    <col min="1" max="1" width="9.1328125" customWidth="1"/>
    <col min="2" max="2" width="21.1328125" customWidth="1"/>
    <col min="3" max="4" width="21.3984375" customWidth="1"/>
    <col min="5" max="5" width="9.1328125" customWidth="1"/>
    <col min="6" max="6" width="12.1328125" bestFit="1" customWidth="1"/>
    <col min="7" max="10" width="9.1328125" customWidth="1"/>
    <col min="11" max="11" width="35.1328125" bestFit="1" customWidth="1"/>
    <col min="12" max="12" width="16.1328125" bestFit="1" customWidth="1"/>
    <col min="13" max="13" width="9.1328125" customWidth="1"/>
    <col min="14" max="14" width="17.3984375" bestFit="1" customWidth="1"/>
    <col min="15" max="15" width="9.1328125" customWidth="1"/>
    <col min="16" max="16" width="19.1328125" bestFit="1" customWidth="1"/>
    <col min="17" max="17" width="9.1328125" customWidth="1"/>
    <col min="18" max="18" width="8.3984375" customWidth="1"/>
    <col min="19" max="19" width="34.1328125" customWidth="1"/>
    <col min="20" max="20" width="58" customWidth="1"/>
  </cols>
  <sheetData>
    <row r="2" spans="1:16" ht="61.5">
      <c r="A2" s="46" t="s">
        <v>2</v>
      </c>
      <c r="B2" s="46"/>
      <c r="C2" s="46"/>
      <c r="D2" s="46"/>
      <c r="E2" s="46"/>
      <c r="F2" s="46"/>
      <c r="G2" s="46"/>
      <c r="H2" s="46"/>
      <c r="I2" s="46"/>
      <c r="J2" s="46"/>
      <c r="K2" s="46"/>
    </row>
    <row r="6" spans="1:16">
      <c r="N6" s="2"/>
    </row>
    <row r="7" spans="1:16" ht="14.65" thickBot="1"/>
    <row r="8" spans="1:16" ht="18.399999999999999" thickBot="1">
      <c r="C8" s="3"/>
      <c r="P8" s="1"/>
    </row>
    <row r="9" spans="1:16" ht="23.65" thickBot="1">
      <c r="C9" s="4"/>
    </row>
    <row r="10" spans="1:16" ht="18" thickBot="1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>
      <c r="J11">
        <v>2</v>
      </c>
      <c r="L11" t="s">
        <v>15</v>
      </c>
      <c r="N11" t="s">
        <v>28</v>
      </c>
      <c r="P11" t="s">
        <v>5</v>
      </c>
    </row>
    <row r="12" spans="1:16">
      <c r="J12">
        <v>3</v>
      </c>
      <c r="L12" t="s">
        <v>13</v>
      </c>
      <c r="N12" t="s">
        <v>29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25</v>
      </c>
    </row>
    <row r="21" spans="16:16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istasyon_CNC</cp:lastModifiedBy>
  <dcterms:created xsi:type="dcterms:W3CDTF">2015-06-05T18:19:34Z</dcterms:created>
  <dcterms:modified xsi:type="dcterms:W3CDTF">2026-03-10T14:12:03Z</dcterms:modified>
</cp:coreProperties>
</file>