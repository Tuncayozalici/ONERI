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51196F13-6AD0-C1B8-E2B4-A1F9AE17003E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xr:revisionPtr revIDLastSave="0" documentId="13_ncr:1_{BC3F28FB-7F4C-4E6B-9A2A-D95A697DB69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RAPORU'!$A$1:$E$1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N3" i="3"/>
  <c r="O3" i="3"/>
  <c r="P3" i="3"/>
  <c r="Q3" i="3"/>
  <c r="N2" i="3"/>
  <c r="O2" i="3"/>
  <c r="P2" i="3"/>
  <c r="Q2" i="3"/>
  <c r="R3" i="3" l="1"/>
  <c r="R2" i="3"/>
  <c r="N29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O29" i="3" l="1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R28" i="3" l="1"/>
  <c r="R29" i="3"/>
  <c r="R27" i="3"/>
  <c r="R26" i="3"/>
  <c r="R25" i="3"/>
  <c r="R24" i="3"/>
  <c r="R23" i="3"/>
  <c r="R22" i="3"/>
  <c r="R21" i="3"/>
  <c r="R20" i="3"/>
  <c r="R14" i="3"/>
  <c r="R19" i="3"/>
  <c r="R18" i="3"/>
  <c r="R17" i="3"/>
  <c r="R16" i="3"/>
  <c r="R15" i="3"/>
  <c r="R13" i="3"/>
  <c r="R12" i="3"/>
  <c r="R11" i="3"/>
  <c r="R10" i="3"/>
  <c r="R9" i="3"/>
  <c r="R8" i="3"/>
  <c r="R7" i="3"/>
  <c r="R6" i="3"/>
  <c r="R5" i="3"/>
  <c r="R4" i="3"/>
</calcChain>
</file>

<file path=xl/sharedStrings.xml><?xml version="1.0" encoding="utf-8"?>
<sst xmlns="http://schemas.openxmlformats.org/spreadsheetml/2006/main" count="133" uniqueCount="37">
  <si>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</si>
  <si>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</si>
  <si>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</si>
  <si>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</si>
  <si>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</si>
  <si>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</si>
  <si>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</si>
  <si>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</si>
  <si>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</si>
  <si>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</si>
  <si>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</si>
  <si>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</si>
  <si>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</si>
  <si>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</si>
  <si>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Masterwood</t>
  </si>
  <si>
    <t>Delik</t>
  </si>
  <si>
    <t>Elektrik Kesilmesi</t>
  </si>
  <si>
    <t>DELİK SAYISI</t>
  </si>
  <si>
    <t>DELİK+FREEZE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</si>
  <si>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</si>
  <si>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</si>
  <si>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</si>
  <si>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</si>
  <si>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</si>
  <si>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</si>
  <si>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</si>
  <si>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</si>
  <si>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</si>
  <si>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</si>
  <si>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</si>
  <si>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</si>
  <si>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KULLANILABİLİRLİK</t>
  </si>
  <si>
    <t>PERFONMANS</t>
  </si>
  <si>
    <t>KAYIP SÜRE</t>
  </si>
  <si>
    <t>KALİTE</t>
  </si>
  <si>
    <t>OEE</t>
  </si>
  <si>
    <t>HATALI PARÇA (MASTERWOOD)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</si>
</sst>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F]d\ mmmm\ yyyy\ h:mm;@"/>
    <numFmt numFmtId="165" formatCode="0.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7" fillId="0" borderId="0" xfId="0" applyFont="1"/>
    <xf numFmtId="0" fontId="0" fillId="0" borderId="0" xfId="0" applyAlignment="1">
      <alignment wrapText="1"/>
    </xf>
    <xf numFmtId="0" fontId="9" fillId="5" borderId="2" xfId="0" applyFont="1" applyFill="1" applyBorder="1"/>
    <xf numFmtId="0" fontId="10" fillId="6" borderId="0" xfId="0" applyFont="1" applyFill="1"/>
    <xf numFmtId="165" fontId="11" fillId="4" borderId="2" xfId="0" applyNumberFormat="1" applyFont="1" applyFill="1" applyBorder="1"/>
    <xf numFmtId="0" fontId="0" fillId="2" borderId="0" xfId="0" applyFill="1" applyProtection="1">
      <protection locked="0"/>
    </xf>
    <xf numFmtId="0" fontId="2" fillId="2" borderId="1" xfId="0" applyFont="1" applyFill="1" applyBorder="1" applyProtection="1">
      <protection locked="0"/>
    </xf>
    <xf numFmtId="0" fontId="0" fillId="3" borderId="0" xfId="0" applyFill="1"/>
    <xf numFmtId="0" fontId="4" fillId="3" borderId="0" xfId="0" applyFont="1" applyFill="1" applyAlignment="1">
      <alignment horizontal="right"/>
    </xf>
    <xf numFmtId="0" fontId="4" fillId="3" borderId="0" xfId="0" applyFont="1" applyFill="1"/>
    <xf numFmtId="0" fontId="2" fillId="8" borderId="1" xfId="0" applyFont="1" applyFill="1" applyBorder="1" applyProtection="1">
      <protection locked="0"/>
    </xf>
    <xf numFmtId="22" fontId="3" fillId="7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 applyProtection="1">
      <alignment horizontal="right" indent="1"/>
      <protection locked="0"/>
    </xf>
    <xf numFmtId="0" fontId="2" fillId="0" borderId="1" xfId="0" applyFont="1" applyBorder="1" applyProtection="1">
      <protection locked="0"/>
    </xf>
    <xf numFmtId="0" fontId="1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9" fontId="12" fillId="0" borderId="0" xfId="0" applyNumberFormat="1" applyFont="1" applyAlignment="1">
      <alignment horizontal="center" vertical="center" wrapText="1"/>
    </xf>
    <xf numFmtId="10" fontId="12" fillId="0" borderId="0" xfId="0" applyNumberFormat="1" applyFont="1" applyAlignment="1">
      <alignment horizontal="center" vertical="center" wrapText="1"/>
    </xf>
    <xf numFmtId="164" fontId="12" fillId="0" borderId="0" xfId="0" applyNumberFormat="1" applyFont="1"/>
    <xf numFmtId="0" fontId="12" fillId="0" borderId="0" xfId="0" applyFont="1"/>
    <xf numFmtId="49" fontId="12" fillId="0" borderId="0" xfId="0" applyNumberFormat="1" applyFont="1"/>
    <xf numFmtId="10" fontId="12" fillId="0" borderId="0" xfId="0" applyNumberFormat="1" applyFont="1"/>
    <xf numFmtId="9" fontId="12" fillId="0" borderId="0" xfId="0" applyNumberFormat="1" applyFont="1"/>
    <xf numFmtId="0" fontId="12" fillId="9" borderId="3" xfId="0" applyFont="1" applyFill="1" applyBorder="1" applyAlignment="1">
      <alignment horizontal="center" vertical="center"/>
    </xf>
    <xf numFmtId="49" fontId="12" fillId="9" borderId="3" xfId="0" applyNumberFormat="1" applyFont="1" applyFill="1" applyBorder="1" applyAlignment="1">
      <alignment horizontal="center" vertical="center"/>
    </xf>
    <xf numFmtId="10" fontId="12" fillId="9" borderId="3" xfId="0" applyNumberFormat="1" applyFont="1" applyFill="1" applyBorder="1" applyAlignment="1">
      <alignment horizontal="center" vertical="center"/>
    </xf>
    <xf numFmtId="9" fontId="12" fillId="9" borderId="3" xfId="0" applyNumberFormat="1" applyFont="1" applyFill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10" fontId="13" fillId="0" borderId="0" xfId="0" applyNumberFormat="1" applyFont="1" applyAlignment="1">
      <alignment horizontal="center" vertical="center" wrapText="1"/>
    </xf>
    <xf numFmtId="9" fontId="13" fillId="0" borderId="0" xfId="0" applyNumberFormat="1" applyFont="1" applyAlignment="1">
      <alignment horizontal="center" vertical="center"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64" formatCode="[$-41F]d\ mmmm\ yyyy\ h:mm;@"/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575128</xdr:colOff>
      <xdr:row>2</xdr:row>
      <xdr:rowOff>31976</xdr:rowOff>
    </xdr:from>
    <xdr:to>
      <xdr:col>5</xdr:col>
      <xdr:colOff>35378</xdr:colOff>
      <xdr:row>19</xdr:row>
      <xdr:rowOff>22452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80053" y="917801"/>
          <a:ext cx="6199188" cy="6886576"/>
        </a:xfrm>
        <a:prstGeom prst="rect">
          <a:avLst/>
        </a:prstGeom>
        <a:noFill/>
        <a:ln w="571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1371599</xdr:colOff>
      <xdr:row>16</xdr:row>
      <xdr:rowOff>180974</xdr:rowOff>
    </xdr:from>
    <xdr:to>
      <xdr:col>4</xdr:col>
      <xdr:colOff>1390649</xdr:colOff>
      <xdr:row>18</xdr:row>
      <xdr:rowOff>76199</xdr:rowOff>
    </xdr:to>
    <xdr:sp macro="[0]!Veri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</a:t>
          </a:r>
          <a:r>
            <a:rPr lang="tr-TR" sz="2200" b="1">
              <a:solidFill>
                <a:sysClr val="windowText" lastClr="000000"/>
              </a:solidFill>
            </a:rPr>
            <a:t>MASTERWOOD VERİ GİRİŞ EKRANI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A1:R29" totalsRowShown="0" headerRowDxfId="21" dataDxfId="19" headerRowBorderDxfId="20" tableBorderDxfId="18">
  <autoFilter ref="A1:R29" xr:uid="{00000000-0009-0000-0100-000001000000}"/>
  <sortState xmlns:xlrd2="http://schemas.microsoft.com/office/spreadsheetml/2017/richdata2" ref="A2:R29">
    <sortCondition descending="1" ref="A1:A29"/>
  </sortState>
  <tableColumns count="18">
    <tableColumn id="1" xr3:uid="{00000000-0010-0000-0000-000001000000}" name="TARİH" dataDxfId="17"/>
    <tableColumn id="2" xr3:uid="{00000000-0010-0000-0000-000002000000}" name="KİŞİ SAYISI" dataDxfId="16"/>
    <tableColumn id="3" xr3:uid="{00000000-0010-0000-0000-000003000000}" name="DELİK SAYISI" dataDxfId="15"/>
    <tableColumn id="4" xr3:uid="{00000000-0010-0000-0000-000004000000}" name="DELİK+FREEZE SAYISI" dataDxfId="14"/>
    <tableColumn id="5" xr3:uid="{00000000-0010-0000-0000-000005000000}" name="ÇALIŞMA KOŞULU" dataDxfId="13"/>
    <tableColumn id="6" xr3:uid="{00000000-0010-0000-0000-000006000000}" name="DURAKLAMA ZAMANI 1 (DK)" dataDxfId="12"/>
    <tableColumn id="7" xr3:uid="{00000000-0010-0000-0000-000007000000}" name="DURAKLAMA NEDENİ 1" dataDxfId="11"/>
    <tableColumn id="8" xr3:uid="{00000000-0010-0000-0000-000008000000}" name="DURAKLAMA ZAMANI 2 (DK)" dataDxfId="10"/>
    <tableColumn id="9" xr3:uid="{00000000-0010-0000-0000-000009000000}" name="DURAKLAMA NEDENİ 2" dataDxfId="9"/>
    <tableColumn id="10" xr3:uid="{00000000-0010-0000-0000-00000A000000}" name="DURAKLAMA ZAMANI 3 (DK)" dataDxfId="8"/>
    <tableColumn id="11" xr3:uid="{00000000-0010-0000-0000-00000B000000}" name="DURAKLAMA NEDENİ 3" dataDxfId="7"/>
    <tableColumn id="12" xr3:uid="{00000000-0010-0000-0000-00000C000000}" name="HATALI PARÇA (MASTERWOOD)" dataDxfId="6"/>
    <tableColumn id="13" xr3:uid="{00000000-0010-0000-0000-00000D000000}" name="AÇIKLAMA:" dataDxfId="5"/>
    <tableColumn id="14" xr3:uid="{00000000-0010-0000-0000-00000E000000}" name="PERFONMANS" dataDxfId="4">
      <calculatedColumnFormula>(C2+D2)/750</calculatedColumnFormula>
    </tableColumn>
    <tableColumn id="15" xr3:uid="{00000000-0010-0000-0000-00000F000000}" name="KAYIP SÜRE" dataDxfId="3">
      <calculatedColumnFormula>(F2+H2+J2)/510</calculatedColumnFormula>
    </tableColumn>
    <tableColumn id="16" xr3:uid="{00000000-0010-0000-0000-000010000000}" name="KULLANILABİLİRLİK" dataDxfId="2">
      <calculatedColumnFormula>(510-(Tablo1[[#This Row],[DURAKLAMA ZAMANI 1 (DK)]]+Tablo1[[#This Row],[DURAKLAMA ZAMANI 2 (DK)]]+Tablo1[[#This Row],[DURAKLAMA ZAMANI 3 (DK)]]))/510</calculatedColumnFormula>
    </tableColumn>
    <tableColumn id="17" xr3:uid="{00000000-0010-0000-0000-000011000000}" name="KALİTE" dataDxfId="1">
      <calculatedColumnFormula>((C2+D2)-L2)/(C2+D2)</calculatedColumnFormula>
    </tableColumn>
    <tableColumn id="18" xr3:uid="{00000000-0010-0000-0000-000012000000}" name="OEE" dataDxfId="0">
      <calculatedColumnFormula>N2*P2*Q2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Entry_FORM"/>
  <dimension ref="D1:E19"/>
  <sheetViews>
    <sheetView zoomScale="90" zoomScaleNormal="90" workbookViewId="0">
      <selection activeCell="E5" sqref="E5"/>
    </sheetView>
  </sheetViews>
  <sheetFormatPr defaultColWidth="9.140625" defaultRowHeight="15" x14ac:dyDescent="0.25"/>
  <cols>
    <col min="1" max="3" width="9.140625" style="6"/>
    <col min="4" max="4" width="45.42578125" style="6" bestFit="1" customWidth="1"/>
    <col min="5" max="5" width="39.42578125" style="6" customWidth="1"/>
    <col min="6" max="16384" width="9.140625" style="6"/>
  </cols>
  <sheetData>
    <row r="1" spans="4:5" ht="55.5" customHeight="1" x14ac:dyDescent="0.25">
      <c r="D1" s="35"/>
      <c r="E1" s="35"/>
    </row>
    <row r="3" spans="4:5" x14ac:dyDescent="0.25">
      <c r="D3" s="8"/>
    </row>
    <row r="4" spans="4:5" ht="35.25" customHeight="1" x14ac:dyDescent="0.3">
      <c r="D4" s="9" t="s">
        <v>0</v>
      </c>
      <c r="E4" s="12">
        <f ca="1">TODAY()</f>
        <v>46069</v>
      </c>
    </row>
    <row r="5" spans="4:5" ht="35.25" customHeight="1" x14ac:dyDescent="0.3">
      <c r="D5" s="9" t="s">
        <v>1</v>
      </c>
      <c r="E5" s="11"/>
    </row>
    <row r="6" spans="4:5" ht="35.25" customHeight="1" x14ac:dyDescent="0.3">
      <c r="D6" s="9" t="s">
        <v>17</v>
      </c>
      <c r="E6" s="14"/>
    </row>
    <row r="7" spans="4:5" ht="35.25" customHeight="1" x14ac:dyDescent="0.3">
      <c r="D7" s="9" t="s">
        <v>18</v>
      </c>
      <c r="E7" s="14"/>
    </row>
    <row r="8" spans="4:5" ht="35.25" customHeight="1" x14ac:dyDescent="0.3">
      <c r="D8" s="9" t="s">
        <v>30</v>
      </c>
      <c r="E8" s="11"/>
    </row>
    <row r="9" spans="4:5" ht="35.25" customHeight="1" x14ac:dyDescent="0.3">
      <c r="D9" s="9" t="s">
        <v>19</v>
      </c>
      <c r="E9" s="7"/>
    </row>
    <row r="10" spans="4:5" ht="35.25" customHeight="1" x14ac:dyDescent="0.3">
      <c r="D10" s="9" t="s">
        <v>20</v>
      </c>
      <c r="E10" s="11"/>
    </row>
    <row r="11" spans="4:5" ht="35.25" customHeight="1" x14ac:dyDescent="0.3">
      <c r="D11" s="9" t="s">
        <v>21</v>
      </c>
      <c r="E11" s="7"/>
    </row>
    <row r="12" spans="4:5" ht="35.25" customHeight="1" x14ac:dyDescent="0.3">
      <c r="D12" s="9" t="s">
        <v>22</v>
      </c>
      <c r="E12" s="11"/>
    </row>
    <row r="13" spans="4:5" ht="35.25" customHeight="1" x14ac:dyDescent="0.3">
      <c r="D13" s="9" t="s">
        <v>23</v>
      </c>
      <c r="E13" s="7"/>
    </row>
    <row r="14" spans="4:5" ht="35.25" customHeight="1" x14ac:dyDescent="0.3">
      <c r="D14" s="9" t="s">
        <v>24</v>
      </c>
      <c r="E14" s="11"/>
    </row>
    <row r="15" spans="4:5" ht="35.25" customHeight="1" x14ac:dyDescent="0.3">
      <c r="D15" s="9" t="s">
        <v>36</v>
      </c>
      <c r="E15" s="13"/>
    </row>
    <row r="16" spans="4:5" ht="35.25" customHeight="1" x14ac:dyDescent="0.3">
      <c r="D16" s="9" t="s">
        <v>3</v>
      </c>
      <c r="E16" s="11"/>
    </row>
    <row r="17" spans="4:5" ht="35.25" customHeight="1" x14ac:dyDescent="0.3">
      <c r="D17" s="10"/>
      <c r="E17" s="8"/>
    </row>
    <row r="18" spans="4:5" ht="35.25" customHeight="1" x14ac:dyDescent="0.3">
      <c r="D18" s="10"/>
      <c r="E18" s="10"/>
    </row>
    <row r="19" spans="4:5" ht="35.25" customHeight="1" x14ac:dyDescent="0.25">
      <c r="D19" s="8"/>
      <c r="E19" s="8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AYARLAR!$J$10:$J$13</xm:f>
          </x14:formula1>
          <xm:sqref>E5</xm:sqref>
        </x14:dataValidation>
        <x14:dataValidation type="list" allowBlank="1" showInputMessage="1" showErrorMessage="1" xr:uid="{00000000-0002-0000-0000-000001000000}">
          <x14:formula1>
            <xm:f>AYARLAR!$N$10:$N$12</xm:f>
          </x14:formula1>
          <xm:sqref>E8</xm:sqref>
        </x14:dataValidation>
        <x14:dataValidation type="list" allowBlank="1" showInputMessage="1" showErrorMessage="1" xr:uid="{00000000-0002-0000-0000-000002000000}">
          <x14:formula1>
            <xm:f>AYARLAR!$P$10:$P$21</xm:f>
          </x14:formula1>
          <xm:sqref>E12 E10 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_DB"/>
  <dimension ref="A1:R29"/>
  <sheetViews>
    <sheetView tabSelected="1" zoomScale="66" zoomScaleNormal="66" workbookViewId="0">
      <selection activeCell="D4" sqref="D4"/>
    </sheetView>
  </sheetViews>
  <sheetFormatPr defaultColWidth="8.7109375" defaultRowHeight="27" customHeight="1" x14ac:dyDescent="0.3"/>
  <cols>
    <col min="1" max="1" width="25.85546875" style="21" bestFit="1" customWidth="1"/>
    <col min="2" max="2" width="15.5703125" style="22" bestFit="1" customWidth="1"/>
    <col min="3" max="3" width="18.42578125" style="22" bestFit="1" customWidth="1"/>
    <col min="4" max="4" width="33.7109375" style="22" bestFit="1" customWidth="1"/>
    <col min="5" max="5" width="24.42578125" style="22" bestFit="1" customWidth="1"/>
    <col min="6" max="6" width="43.28515625" style="22" bestFit="1" customWidth="1"/>
    <col min="7" max="7" width="30.42578125" style="22" bestFit="1" customWidth="1"/>
    <col min="8" max="8" width="43.28515625" style="22" bestFit="1" customWidth="1"/>
    <col min="9" max="9" width="30.42578125" style="22" bestFit="1" customWidth="1"/>
    <col min="10" max="10" width="43.28515625" style="22" bestFit="1" customWidth="1"/>
    <col min="11" max="11" width="30.42578125" style="22" bestFit="1" customWidth="1"/>
    <col min="12" max="12" width="47.42578125" style="22" bestFit="1" customWidth="1"/>
    <col min="13" max="13" width="28.42578125" style="23" customWidth="1"/>
    <col min="14" max="14" width="25.7109375" style="24" bestFit="1" customWidth="1"/>
    <col min="15" max="15" width="31.140625" style="25" customWidth="1"/>
    <col min="16" max="16" width="31.42578125" style="24" bestFit="1" customWidth="1"/>
    <col min="17" max="17" width="16.7109375" style="24" customWidth="1"/>
    <col min="18" max="18" width="17.140625" style="24" customWidth="1"/>
  </cols>
  <sheetData>
    <row r="1" spans="1:18" s="15" customFormat="1" ht="27" customHeight="1" x14ac:dyDescent="0.25">
      <c r="A1" s="26" t="s">
        <v>0</v>
      </c>
      <c r="B1" s="26" t="s">
        <v>1</v>
      </c>
      <c r="C1" s="26" t="s">
        <v>17</v>
      </c>
      <c r="D1" s="26" t="s">
        <v>18</v>
      </c>
      <c r="E1" s="26" t="s">
        <v>30</v>
      </c>
      <c r="F1" s="26" t="s">
        <v>19</v>
      </c>
      <c r="G1" s="26" t="s">
        <v>20</v>
      </c>
      <c r="H1" s="26" t="s">
        <v>21</v>
      </c>
      <c r="I1" s="26" t="s">
        <v>22</v>
      </c>
      <c r="J1" s="26" t="s">
        <v>23</v>
      </c>
      <c r="K1" s="26" t="s">
        <v>24</v>
      </c>
      <c r="L1" s="26" t="s">
        <v>36</v>
      </c>
      <c r="M1" s="27" t="s">
        <v>3</v>
      </c>
      <c r="N1" s="28" t="s">
        <v>32</v>
      </c>
      <c r="O1" s="29" t="s">
        <v>33</v>
      </c>
      <c r="P1" s="28" t="s">
        <v>31</v>
      </c>
      <c r="Q1" s="28" t="s">
        <v>34</v>
      </c>
      <c r="R1" s="28" t="s">
        <v>35</v>
      </c>
    </row>
    <row r="2" spans="1:18" ht="27" customHeight="1" x14ac:dyDescent="0.25">
      <c r="A2" s="30">
        <v>46066</v>
      </c>
      <c r="B2" s="31">
        <v>2</v>
      </c>
      <c r="C2" s="31"/>
      <c r="D2" s="31">
        <v>354</v>
      </c>
      <c r="E2" s="31" t="s">
        <v>27</v>
      </c>
      <c r="F2" s="31">
        <v>15</v>
      </c>
      <c r="G2" s="17" t="s">
        <v>10</v>
      </c>
      <c r="H2" s="31">
        <v>60</v>
      </c>
      <c r="I2" s="17" t="s">
        <v>4</v>
      </c>
      <c r="J2" s="31"/>
      <c r="K2" s="31"/>
      <c r="L2" s="31"/>
      <c r="M2" s="32"/>
      <c r="N2" s="33">
        <f t="shared" ref="N2:N29" si="0">(C2+D2)/750</f>
        <v>0.47199999999999998</v>
      </c>
      <c r="O2" s="34">
        <f t="shared" ref="O2:O29" si="1">(F2+H2+J2)/510</f>
        <v>0.14705882352941177</v>
      </c>
      <c r="P2" s="33">
        <f>(510-(Tablo1[[#This Row],[DURAKLAMA ZAMANI 1 (DK)]]+Tablo1[[#This Row],[DURAKLAMA ZAMANI 2 (DK)]]+Tablo1[[#This Row],[DURAKLAMA ZAMANI 3 (DK)]]))/510</f>
        <v>0.8529411764705882</v>
      </c>
      <c r="Q2" s="33">
        <f t="shared" ref="Q2:Q29" si="2">((C2+D2)-L2)/(C2+D2)</f>
        <v>1</v>
      </c>
      <c r="R2" s="33">
        <f t="shared" ref="R2:R29" si="3">N2*P2*Q2</f>
        <v>0.40258823529411764</v>
      </c>
    </row>
    <row r="3" spans="1:18" ht="27" customHeight="1" x14ac:dyDescent="0.25">
      <c r="A3" s="30">
        <v>46065</v>
      </c>
      <c r="B3" s="31">
        <v>2</v>
      </c>
      <c r="C3" s="31"/>
      <c r="D3" s="31">
        <v>378</v>
      </c>
      <c r="E3" s="31" t="s">
        <v>27</v>
      </c>
      <c r="F3" s="31">
        <v>15</v>
      </c>
      <c r="G3" s="31" t="s">
        <v>10</v>
      </c>
      <c r="H3" s="31">
        <v>15</v>
      </c>
      <c r="I3" s="31" t="s">
        <v>4</v>
      </c>
      <c r="J3" s="31"/>
      <c r="K3" s="31"/>
      <c r="L3" s="31"/>
      <c r="M3" s="32"/>
      <c r="N3" s="33">
        <f t="shared" si="0"/>
        <v>0.504</v>
      </c>
      <c r="O3" s="34">
        <f t="shared" si="1"/>
        <v>5.8823529411764705E-2</v>
      </c>
      <c r="P3" s="33">
        <f>(510-(Tablo1[[#This Row],[DURAKLAMA ZAMANI 1 (DK)]]+Tablo1[[#This Row],[DURAKLAMA ZAMANI 2 (DK)]]+Tablo1[[#This Row],[DURAKLAMA ZAMANI 3 (DK)]]))/510</f>
        <v>0.94117647058823528</v>
      </c>
      <c r="Q3" s="33">
        <f t="shared" si="2"/>
        <v>1</v>
      </c>
      <c r="R3" s="33">
        <f t="shared" si="3"/>
        <v>0.47435294117647059</v>
      </c>
    </row>
    <row r="4" spans="1:18" ht="27" customHeight="1" x14ac:dyDescent="0.25">
      <c r="A4" s="16">
        <v>46064</v>
      </c>
      <c r="B4" s="17">
        <v>2</v>
      </c>
      <c r="C4" s="17"/>
      <c r="D4" s="17">
        <v>329</v>
      </c>
      <c r="E4" s="17" t="s">
        <v>27</v>
      </c>
      <c r="F4" s="17">
        <v>15</v>
      </c>
      <c r="G4" s="17" t="s">
        <v>10</v>
      </c>
      <c r="H4" s="17">
        <v>15</v>
      </c>
      <c r="I4" s="17" t="s">
        <v>4</v>
      </c>
      <c r="J4" s="17"/>
      <c r="K4" s="17"/>
      <c r="L4" s="17"/>
      <c r="M4" s="18"/>
      <c r="N4" s="20">
        <f t="shared" si="0"/>
        <v>0.43866666666666665</v>
      </c>
      <c r="O4" s="19">
        <f t="shared" si="1"/>
        <v>5.8823529411764705E-2</v>
      </c>
      <c r="P4" s="20">
        <f>(510-(Tablo1[[#This Row],[DURAKLAMA ZAMANI 1 (DK)]]+Tablo1[[#This Row],[DURAKLAMA ZAMANI 2 (DK)]]+Tablo1[[#This Row],[DURAKLAMA ZAMANI 3 (DK)]]))/510</f>
        <v>0.94117647058823528</v>
      </c>
      <c r="Q4" s="20">
        <f t="shared" si="2"/>
        <v>1</v>
      </c>
      <c r="R4" s="20">
        <f t="shared" si="3"/>
        <v>0.41286274509803922</v>
      </c>
    </row>
    <row r="5" spans="1:18" ht="27" customHeight="1" x14ac:dyDescent="0.25">
      <c r="A5" s="16">
        <v>46063</v>
      </c>
      <c r="B5" s="17">
        <v>2</v>
      </c>
      <c r="C5" s="17"/>
      <c r="D5" s="17">
        <v>358</v>
      </c>
      <c r="E5" s="17" t="s">
        <v>27</v>
      </c>
      <c r="F5" s="17">
        <v>15</v>
      </c>
      <c r="G5" s="17" t="s">
        <v>10</v>
      </c>
      <c r="H5" s="17">
        <v>15</v>
      </c>
      <c r="I5" s="17" t="s">
        <v>4</v>
      </c>
      <c r="J5" s="17"/>
      <c r="K5" s="17"/>
      <c r="L5" s="17"/>
      <c r="M5" s="18"/>
      <c r="N5" s="20">
        <f t="shared" si="0"/>
        <v>0.47733333333333333</v>
      </c>
      <c r="O5" s="19">
        <f t="shared" si="1"/>
        <v>5.8823529411764705E-2</v>
      </c>
      <c r="P5" s="20">
        <f>(510-(Tablo1[[#This Row],[DURAKLAMA ZAMANI 1 (DK)]]+Tablo1[[#This Row],[DURAKLAMA ZAMANI 2 (DK)]]+Tablo1[[#This Row],[DURAKLAMA ZAMANI 3 (DK)]]))/510</f>
        <v>0.94117647058823528</v>
      </c>
      <c r="Q5" s="20">
        <f t="shared" si="2"/>
        <v>1</v>
      </c>
      <c r="R5" s="20">
        <f t="shared" si="3"/>
        <v>0.44925490196078433</v>
      </c>
    </row>
    <row r="6" spans="1:18" ht="27" customHeight="1" x14ac:dyDescent="0.25">
      <c r="A6" s="16">
        <v>46062</v>
      </c>
      <c r="B6" s="17">
        <v>2</v>
      </c>
      <c r="C6" s="17"/>
      <c r="D6" s="17">
        <v>312</v>
      </c>
      <c r="E6" s="17" t="s">
        <v>27</v>
      </c>
      <c r="F6" s="17">
        <v>15</v>
      </c>
      <c r="G6" s="17" t="s">
        <v>10</v>
      </c>
      <c r="H6" s="17">
        <v>15</v>
      </c>
      <c r="I6" s="17" t="s">
        <v>4</v>
      </c>
      <c r="J6" s="17"/>
      <c r="K6" s="17"/>
      <c r="L6" s="17"/>
      <c r="M6" s="18"/>
      <c r="N6" s="20">
        <f t="shared" si="0"/>
        <v>0.41599999999999998</v>
      </c>
      <c r="O6" s="19">
        <f t="shared" si="1"/>
        <v>5.8823529411764705E-2</v>
      </c>
      <c r="P6" s="20">
        <f>(510-(Tablo1[[#This Row],[DURAKLAMA ZAMANI 1 (DK)]]+Tablo1[[#This Row],[DURAKLAMA ZAMANI 2 (DK)]]+Tablo1[[#This Row],[DURAKLAMA ZAMANI 3 (DK)]]))/510</f>
        <v>0.94117647058823528</v>
      </c>
      <c r="Q6" s="20">
        <f t="shared" si="2"/>
        <v>1</v>
      </c>
      <c r="R6" s="20">
        <f t="shared" si="3"/>
        <v>0.39152941176470585</v>
      </c>
    </row>
    <row r="7" spans="1:18" ht="27" customHeight="1" x14ac:dyDescent="0.25">
      <c r="A7" s="16">
        <v>46059</v>
      </c>
      <c r="B7" s="17">
        <v>2</v>
      </c>
      <c r="C7" s="17"/>
      <c r="D7" s="17">
        <v>272</v>
      </c>
      <c r="E7" s="17" t="s">
        <v>27</v>
      </c>
      <c r="F7" s="17">
        <v>15</v>
      </c>
      <c r="G7" s="17" t="s">
        <v>10</v>
      </c>
      <c r="H7" s="17">
        <v>75</v>
      </c>
      <c r="I7" s="17" t="s">
        <v>4</v>
      </c>
      <c r="J7" s="17"/>
      <c r="K7" s="17"/>
      <c r="L7" s="17"/>
      <c r="M7" s="18"/>
      <c r="N7" s="20">
        <f t="shared" si="0"/>
        <v>0.36266666666666669</v>
      </c>
      <c r="O7" s="19">
        <f t="shared" si="1"/>
        <v>0.17647058823529413</v>
      </c>
      <c r="P7" s="20">
        <f>(510-(Tablo1[[#This Row],[DURAKLAMA ZAMANI 1 (DK)]]+Tablo1[[#This Row],[DURAKLAMA ZAMANI 2 (DK)]]+Tablo1[[#This Row],[DURAKLAMA ZAMANI 3 (DK)]]))/510</f>
        <v>0.82352941176470584</v>
      </c>
      <c r="Q7" s="20">
        <f t="shared" si="2"/>
        <v>1</v>
      </c>
      <c r="R7" s="20">
        <f t="shared" si="3"/>
        <v>0.29866666666666669</v>
      </c>
    </row>
    <row r="8" spans="1:18" ht="27" customHeight="1" x14ac:dyDescent="0.25">
      <c r="A8" s="16">
        <v>46058</v>
      </c>
      <c r="B8" s="17">
        <v>2</v>
      </c>
      <c r="C8" s="17"/>
      <c r="D8" s="17">
        <v>185</v>
      </c>
      <c r="E8" s="17" t="s">
        <v>27</v>
      </c>
      <c r="F8" s="17">
        <v>15</v>
      </c>
      <c r="G8" s="17" t="s">
        <v>10</v>
      </c>
      <c r="H8" s="17">
        <v>240</v>
      </c>
      <c r="I8" s="17" t="s">
        <v>6</v>
      </c>
      <c r="J8" s="17"/>
      <c r="K8" s="17"/>
      <c r="L8" s="17"/>
      <c r="M8" s="18"/>
      <c r="N8" s="20">
        <f t="shared" si="0"/>
        <v>0.24666666666666667</v>
      </c>
      <c r="O8" s="19">
        <f t="shared" si="1"/>
        <v>0.5</v>
      </c>
      <c r="P8" s="20">
        <f>(510-(Tablo1[[#This Row],[DURAKLAMA ZAMANI 1 (DK)]]+Tablo1[[#This Row],[DURAKLAMA ZAMANI 2 (DK)]]+Tablo1[[#This Row],[DURAKLAMA ZAMANI 3 (DK)]]))/510</f>
        <v>0.5</v>
      </c>
      <c r="Q8" s="20">
        <f t="shared" si="2"/>
        <v>1</v>
      </c>
      <c r="R8" s="20">
        <f t="shared" si="3"/>
        <v>0.12333333333333334</v>
      </c>
    </row>
    <row r="9" spans="1:18" ht="27" customHeight="1" x14ac:dyDescent="0.25">
      <c r="A9" s="16">
        <v>46056</v>
      </c>
      <c r="B9" s="17">
        <v>2</v>
      </c>
      <c r="C9" s="17"/>
      <c r="D9" s="17">
        <v>514</v>
      </c>
      <c r="E9" s="17" t="s">
        <v>27</v>
      </c>
      <c r="F9" s="17">
        <v>15</v>
      </c>
      <c r="G9" s="17" t="s">
        <v>4</v>
      </c>
      <c r="H9" s="17">
        <v>15</v>
      </c>
      <c r="I9" s="17" t="s">
        <v>4</v>
      </c>
      <c r="J9" s="17"/>
      <c r="K9" s="17"/>
      <c r="L9" s="17"/>
      <c r="M9" s="18"/>
      <c r="N9" s="20">
        <f t="shared" si="0"/>
        <v>0.68533333333333335</v>
      </c>
      <c r="O9" s="19">
        <f t="shared" si="1"/>
        <v>5.8823529411764705E-2</v>
      </c>
      <c r="P9" s="20">
        <f>(510-(Tablo1[[#This Row],[DURAKLAMA ZAMANI 1 (DK)]]+Tablo1[[#This Row],[DURAKLAMA ZAMANI 2 (DK)]]+Tablo1[[#This Row],[DURAKLAMA ZAMANI 3 (DK)]]))/510</f>
        <v>0.94117647058823528</v>
      </c>
      <c r="Q9" s="20">
        <f t="shared" si="2"/>
        <v>1</v>
      </c>
      <c r="R9" s="20">
        <f t="shared" si="3"/>
        <v>0.64501960784313728</v>
      </c>
    </row>
    <row r="10" spans="1:18" ht="27" customHeight="1" x14ac:dyDescent="0.25">
      <c r="A10" s="16">
        <v>46055</v>
      </c>
      <c r="B10" s="17">
        <v>2</v>
      </c>
      <c r="C10" s="17"/>
      <c r="D10" s="17">
        <v>450</v>
      </c>
      <c r="E10" s="17" t="s">
        <v>27</v>
      </c>
      <c r="F10" s="17">
        <v>15</v>
      </c>
      <c r="G10" s="17" t="s">
        <v>4</v>
      </c>
      <c r="H10" s="17">
        <v>15</v>
      </c>
      <c r="I10" s="17" t="s">
        <v>4</v>
      </c>
      <c r="J10" s="17"/>
      <c r="K10" s="17"/>
      <c r="L10" s="17"/>
      <c r="M10" s="18"/>
      <c r="N10" s="20">
        <f t="shared" si="0"/>
        <v>0.6</v>
      </c>
      <c r="O10" s="19">
        <f t="shared" si="1"/>
        <v>5.8823529411764705E-2</v>
      </c>
      <c r="P10" s="20">
        <f>(510-(Tablo1[[#This Row],[DURAKLAMA ZAMANI 1 (DK)]]+Tablo1[[#This Row],[DURAKLAMA ZAMANI 2 (DK)]]+Tablo1[[#This Row],[DURAKLAMA ZAMANI 3 (DK)]]))/510</f>
        <v>0.94117647058823528</v>
      </c>
      <c r="Q10" s="20">
        <f t="shared" si="2"/>
        <v>1</v>
      </c>
      <c r="R10" s="20">
        <f t="shared" si="3"/>
        <v>0.56470588235294117</v>
      </c>
    </row>
    <row r="11" spans="1:18" ht="27" customHeight="1" x14ac:dyDescent="0.25">
      <c r="A11" s="16">
        <v>46052</v>
      </c>
      <c r="B11" s="17">
        <v>2</v>
      </c>
      <c r="C11" s="17"/>
      <c r="D11" s="17">
        <v>495</v>
      </c>
      <c r="E11" s="17" t="s">
        <v>27</v>
      </c>
      <c r="F11" s="17">
        <v>15</v>
      </c>
      <c r="G11" s="17" t="s">
        <v>4</v>
      </c>
      <c r="H11" s="17">
        <v>60</v>
      </c>
      <c r="I11" s="17" t="s">
        <v>4</v>
      </c>
      <c r="J11" s="17"/>
      <c r="K11" s="17"/>
      <c r="L11" s="17"/>
      <c r="M11" s="18"/>
      <c r="N11" s="20">
        <f t="shared" si="0"/>
        <v>0.66</v>
      </c>
      <c r="O11" s="19">
        <f t="shared" si="1"/>
        <v>0.14705882352941177</v>
      </c>
      <c r="P11" s="20">
        <f>(510-(Tablo1[[#This Row],[DURAKLAMA ZAMANI 1 (DK)]]+Tablo1[[#This Row],[DURAKLAMA ZAMANI 2 (DK)]]+Tablo1[[#This Row],[DURAKLAMA ZAMANI 3 (DK)]]))/510</f>
        <v>0.8529411764705882</v>
      </c>
      <c r="Q11" s="20">
        <f t="shared" si="2"/>
        <v>1</v>
      </c>
      <c r="R11" s="20">
        <f t="shared" si="3"/>
        <v>0.56294117647058828</v>
      </c>
    </row>
    <row r="12" spans="1:18" ht="27" customHeight="1" x14ac:dyDescent="0.25">
      <c r="A12" s="16">
        <v>46051</v>
      </c>
      <c r="B12" s="17">
        <v>2</v>
      </c>
      <c r="C12" s="17"/>
      <c r="D12" s="17">
        <v>440</v>
      </c>
      <c r="E12" s="17" t="s">
        <v>27</v>
      </c>
      <c r="F12" s="17">
        <v>15</v>
      </c>
      <c r="G12" s="17" t="s">
        <v>4</v>
      </c>
      <c r="H12" s="17">
        <v>15</v>
      </c>
      <c r="I12" s="17" t="s">
        <v>4</v>
      </c>
      <c r="J12" s="17"/>
      <c r="K12" s="17"/>
      <c r="L12" s="17"/>
      <c r="M12" s="18"/>
      <c r="N12" s="20">
        <f t="shared" si="0"/>
        <v>0.58666666666666667</v>
      </c>
      <c r="O12" s="19">
        <f t="shared" si="1"/>
        <v>5.8823529411764705E-2</v>
      </c>
      <c r="P12" s="20">
        <f>(510-(Tablo1[[#This Row],[DURAKLAMA ZAMANI 1 (DK)]]+Tablo1[[#This Row],[DURAKLAMA ZAMANI 2 (DK)]]+Tablo1[[#This Row],[DURAKLAMA ZAMANI 3 (DK)]]))/510</f>
        <v>0.94117647058823528</v>
      </c>
      <c r="Q12" s="20">
        <f t="shared" si="2"/>
        <v>1</v>
      </c>
      <c r="R12" s="20">
        <f t="shared" si="3"/>
        <v>0.55215686274509801</v>
      </c>
    </row>
    <row r="13" spans="1:18" ht="27" customHeight="1" x14ac:dyDescent="0.25">
      <c r="A13" s="16">
        <v>46050</v>
      </c>
      <c r="B13" s="17">
        <v>2</v>
      </c>
      <c r="C13" s="17"/>
      <c r="D13" s="17">
        <v>412</v>
      </c>
      <c r="E13" s="17" t="s">
        <v>27</v>
      </c>
      <c r="F13" s="17">
        <v>15</v>
      </c>
      <c r="G13" s="17" t="s">
        <v>4</v>
      </c>
      <c r="H13" s="17">
        <v>15</v>
      </c>
      <c r="I13" s="17" t="s">
        <v>4</v>
      </c>
      <c r="J13" s="17"/>
      <c r="K13" s="17"/>
      <c r="L13" s="17"/>
      <c r="M13" s="18"/>
      <c r="N13" s="20">
        <f t="shared" si="0"/>
        <v>0.54933333333333334</v>
      </c>
      <c r="O13" s="19">
        <f t="shared" si="1"/>
        <v>5.8823529411764705E-2</v>
      </c>
      <c r="P13" s="20">
        <f>(510-(Tablo1[[#This Row],[DURAKLAMA ZAMANI 1 (DK)]]+Tablo1[[#This Row],[DURAKLAMA ZAMANI 2 (DK)]]+Tablo1[[#This Row],[DURAKLAMA ZAMANI 3 (DK)]]))/510</f>
        <v>0.94117647058823528</v>
      </c>
      <c r="Q13" s="20">
        <f t="shared" si="2"/>
        <v>1</v>
      </c>
      <c r="R13" s="20">
        <f t="shared" si="3"/>
        <v>0.51701960784313727</v>
      </c>
    </row>
    <row r="14" spans="1:18" ht="27" customHeight="1" x14ac:dyDescent="0.25">
      <c r="A14" s="16">
        <v>46049</v>
      </c>
      <c r="B14" s="17">
        <v>2</v>
      </c>
      <c r="C14" s="17"/>
      <c r="D14" s="17">
        <v>255</v>
      </c>
      <c r="E14" s="17" t="s">
        <v>27</v>
      </c>
      <c r="F14" s="17">
        <v>15</v>
      </c>
      <c r="G14" s="17" t="s">
        <v>4</v>
      </c>
      <c r="H14" s="17">
        <v>15</v>
      </c>
      <c r="I14" s="17" t="s">
        <v>4</v>
      </c>
      <c r="J14" s="17"/>
      <c r="K14" s="17"/>
      <c r="L14" s="17"/>
      <c r="M14" s="18"/>
      <c r="N14" s="20">
        <f t="shared" si="0"/>
        <v>0.34</v>
      </c>
      <c r="O14" s="19">
        <f t="shared" si="1"/>
        <v>5.8823529411764705E-2</v>
      </c>
      <c r="P14" s="20">
        <f>(510-(Tablo1[[#This Row],[DURAKLAMA ZAMANI 1 (DK)]]+Tablo1[[#This Row],[DURAKLAMA ZAMANI 2 (DK)]]+Tablo1[[#This Row],[DURAKLAMA ZAMANI 3 (DK)]]))/510</f>
        <v>0.94117647058823528</v>
      </c>
      <c r="Q14" s="20">
        <f t="shared" si="2"/>
        <v>1</v>
      </c>
      <c r="R14" s="20">
        <f t="shared" si="3"/>
        <v>0.32</v>
      </c>
    </row>
    <row r="15" spans="1:18" ht="27" customHeight="1" x14ac:dyDescent="0.25">
      <c r="A15" s="16">
        <v>46048</v>
      </c>
      <c r="B15" s="17">
        <v>2</v>
      </c>
      <c r="C15" s="17"/>
      <c r="D15" s="17">
        <v>241</v>
      </c>
      <c r="E15" s="17" t="s">
        <v>27</v>
      </c>
      <c r="F15" s="17">
        <v>15</v>
      </c>
      <c r="G15" s="17" t="s">
        <v>4</v>
      </c>
      <c r="H15" s="17">
        <v>15</v>
      </c>
      <c r="I15" s="17" t="s">
        <v>4</v>
      </c>
      <c r="J15" s="17"/>
      <c r="K15" s="17"/>
      <c r="L15" s="17"/>
      <c r="M15" s="18"/>
      <c r="N15" s="20">
        <f t="shared" si="0"/>
        <v>0.32133333333333336</v>
      </c>
      <c r="O15" s="19">
        <f t="shared" si="1"/>
        <v>5.8823529411764705E-2</v>
      </c>
      <c r="P15" s="20">
        <f>(510-(Tablo1[[#This Row],[DURAKLAMA ZAMANI 1 (DK)]]+Tablo1[[#This Row],[DURAKLAMA ZAMANI 2 (DK)]]+Tablo1[[#This Row],[DURAKLAMA ZAMANI 3 (DK)]]))/510</f>
        <v>0.94117647058823528</v>
      </c>
      <c r="Q15" s="20">
        <f t="shared" si="2"/>
        <v>1</v>
      </c>
      <c r="R15" s="20">
        <f t="shared" si="3"/>
        <v>0.30243137254901964</v>
      </c>
    </row>
    <row r="16" spans="1:18" ht="27" customHeight="1" x14ac:dyDescent="0.25">
      <c r="A16" s="16">
        <v>46044</v>
      </c>
      <c r="B16" s="17">
        <v>2</v>
      </c>
      <c r="C16" s="17"/>
      <c r="D16" s="17">
        <v>232</v>
      </c>
      <c r="E16" s="17" t="s">
        <v>27</v>
      </c>
      <c r="F16" s="17">
        <v>15</v>
      </c>
      <c r="G16" s="17" t="s">
        <v>10</v>
      </c>
      <c r="H16" s="17">
        <v>120</v>
      </c>
      <c r="I16" s="17" t="s">
        <v>8</v>
      </c>
      <c r="J16" s="17"/>
      <c r="K16" s="17"/>
      <c r="L16" s="17"/>
      <c r="M16" s="18"/>
      <c r="N16" s="20">
        <f t="shared" si="0"/>
        <v>0.30933333333333335</v>
      </c>
      <c r="O16" s="19">
        <f t="shared" si="1"/>
        <v>0.26470588235294118</v>
      </c>
      <c r="P16" s="20">
        <f>(510-(Tablo1[[#This Row],[DURAKLAMA ZAMANI 1 (DK)]]+Tablo1[[#This Row],[DURAKLAMA ZAMANI 2 (DK)]]+Tablo1[[#This Row],[DURAKLAMA ZAMANI 3 (DK)]]))/510</f>
        <v>0.73529411764705888</v>
      </c>
      <c r="Q16" s="20">
        <f t="shared" si="2"/>
        <v>1</v>
      </c>
      <c r="R16" s="20">
        <f t="shared" si="3"/>
        <v>0.22745098039215689</v>
      </c>
    </row>
    <row r="17" spans="1:18" ht="27" customHeight="1" x14ac:dyDescent="0.25">
      <c r="A17" s="16">
        <v>46043</v>
      </c>
      <c r="B17" s="17">
        <v>2</v>
      </c>
      <c r="C17" s="17"/>
      <c r="D17" s="17">
        <v>60</v>
      </c>
      <c r="E17" s="17" t="s">
        <v>27</v>
      </c>
      <c r="F17" s="17">
        <v>15</v>
      </c>
      <c r="G17" s="17" t="s">
        <v>10</v>
      </c>
      <c r="H17" s="17">
        <v>480</v>
      </c>
      <c r="I17" s="17" t="s">
        <v>12</v>
      </c>
      <c r="J17" s="17"/>
      <c r="K17" s="17"/>
      <c r="L17" s="17"/>
      <c r="M17" s="18"/>
      <c r="N17" s="20">
        <f t="shared" si="0"/>
        <v>0.08</v>
      </c>
      <c r="O17" s="19">
        <f t="shared" si="1"/>
        <v>0.97058823529411764</v>
      </c>
      <c r="P17" s="20">
        <f>(510-(Tablo1[[#This Row],[DURAKLAMA ZAMANI 1 (DK)]]+Tablo1[[#This Row],[DURAKLAMA ZAMANI 2 (DK)]]+Tablo1[[#This Row],[DURAKLAMA ZAMANI 3 (DK)]]))/510</f>
        <v>2.9411764705882353E-2</v>
      </c>
      <c r="Q17" s="20">
        <f t="shared" si="2"/>
        <v>1</v>
      </c>
      <c r="R17" s="20">
        <f t="shared" si="3"/>
        <v>2.3529411764705885E-3</v>
      </c>
    </row>
    <row r="18" spans="1:18" ht="27" customHeight="1" x14ac:dyDescent="0.25">
      <c r="A18" s="16">
        <v>46042</v>
      </c>
      <c r="B18" s="17">
        <v>2</v>
      </c>
      <c r="C18" s="17"/>
      <c r="D18" s="17">
        <v>295</v>
      </c>
      <c r="E18" s="17" t="s">
        <v>27</v>
      </c>
      <c r="F18" s="17">
        <v>15</v>
      </c>
      <c r="G18" s="17" t="s">
        <v>4</v>
      </c>
      <c r="H18" s="17">
        <v>15</v>
      </c>
      <c r="I18" s="17" t="s">
        <v>4</v>
      </c>
      <c r="J18" s="17"/>
      <c r="K18" s="17"/>
      <c r="L18" s="17"/>
      <c r="M18" s="18"/>
      <c r="N18" s="20">
        <f t="shared" si="0"/>
        <v>0.39333333333333331</v>
      </c>
      <c r="O18" s="19">
        <f t="shared" si="1"/>
        <v>5.8823529411764705E-2</v>
      </c>
      <c r="P18" s="20">
        <f>(510-(Tablo1[[#This Row],[DURAKLAMA ZAMANI 1 (DK)]]+Tablo1[[#This Row],[DURAKLAMA ZAMANI 2 (DK)]]+Tablo1[[#This Row],[DURAKLAMA ZAMANI 3 (DK)]]))/510</f>
        <v>0.94117647058823528</v>
      </c>
      <c r="Q18" s="20">
        <f t="shared" si="2"/>
        <v>1</v>
      </c>
      <c r="R18" s="20">
        <f t="shared" si="3"/>
        <v>0.37019607843137253</v>
      </c>
    </row>
    <row r="19" spans="1:18" ht="27" customHeight="1" x14ac:dyDescent="0.25">
      <c r="A19" s="16">
        <v>46041</v>
      </c>
      <c r="B19" s="17">
        <v>2</v>
      </c>
      <c r="C19" s="17"/>
      <c r="D19" s="17">
        <v>405</v>
      </c>
      <c r="E19" s="17" t="s">
        <v>27</v>
      </c>
      <c r="F19" s="17">
        <v>15</v>
      </c>
      <c r="G19" s="17" t="s">
        <v>4</v>
      </c>
      <c r="H19" s="17">
        <v>15</v>
      </c>
      <c r="I19" s="17" t="s">
        <v>4</v>
      </c>
      <c r="J19" s="17"/>
      <c r="K19" s="17"/>
      <c r="L19" s="17"/>
      <c r="M19" s="18"/>
      <c r="N19" s="20">
        <f t="shared" si="0"/>
        <v>0.54</v>
      </c>
      <c r="O19" s="19">
        <f t="shared" si="1"/>
        <v>5.8823529411764705E-2</v>
      </c>
      <c r="P19" s="20">
        <f>(510-(Tablo1[[#This Row],[DURAKLAMA ZAMANI 1 (DK)]]+Tablo1[[#This Row],[DURAKLAMA ZAMANI 2 (DK)]]+Tablo1[[#This Row],[DURAKLAMA ZAMANI 3 (DK)]]))/510</f>
        <v>0.94117647058823528</v>
      </c>
      <c r="Q19" s="20">
        <f t="shared" si="2"/>
        <v>1</v>
      </c>
      <c r="R19" s="20">
        <f t="shared" si="3"/>
        <v>0.50823529411764712</v>
      </c>
    </row>
    <row r="20" spans="1:18" ht="27" customHeight="1" x14ac:dyDescent="0.25">
      <c r="A20" s="16">
        <v>46038</v>
      </c>
      <c r="B20" s="17">
        <v>2</v>
      </c>
      <c r="C20" s="17"/>
      <c r="D20" s="17">
        <v>330</v>
      </c>
      <c r="E20" s="17" t="s">
        <v>27</v>
      </c>
      <c r="F20" s="17">
        <v>15</v>
      </c>
      <c r="G20" s="17" t="s">
        <v>4</v>
      </c>
      <c r="H20" s="17">
        <v>60</v>
      </c>
      <c r="I20" s="17" t="s">
        <v>4</v>
      </c>
      <c r="J20" s="17"/>
      <c r="K20" s="17"/>
      <c r="L20" s="17"/>
      <c r="M20" s="18"/>
      <c r="N20" s="20">
        <f t="shared" si="0"/>
        <v>0.44</v>
      </c>
      <c r="O20" s="19">
        <f t="shared" si="1"/>
        <v>0.14705882352941177</v>
      </c>
      <c r="P20" s="20">
        <f>(510-(Tablo1[[#This Row],[DURAKLAMA ZAMANI 1 (DK)]]+Tablo1[[#This Row],[DURAKLAMA ZAMANI 2 (DK)]]+Tablo1[[#This Row],[DURAKLAMA ZAMANI 3 (DK)]]))/510</f>
        <v>0.8529411764705882</v>
      </c>
      <c r="Q20" s="20">
        <f t="shared" si="2"/>
        <v>1</v>
      </c>
      <c r="R20" s="20">
        <f t="shared" si="3"/>
        <v>0.37529411764705883</v>
      </c>
    </row>
    <row r="21" spans="1:18" ht="27" customHeight="1" x14ac:dyDescent="0.25">
      <c r="A21" s="16">
        <v>46037</v>
      </c>
      <c r="B21" s="17">
        <v>2</v>
      </c>
      <c r="C21" s="17"/>
      <c r="D21" s="17">
        <v>445</v>
      </c>
      <c r="E21" s="17" t="s">
        <v>27</v>
      </c>
      <c r="F21" s="17">
        <v>15</v>
      </c>
      <c r="G21" s="17" t="s">
        <v>4</v>
      </c>
      <c r="H21" s="17">
        <v>15</v>
      </c>
      <c r="I21" s="17" t="s">
        <v>4</v>
      </c>
      <c r="J21" s="17"/>
      <c r="K21" s="17"/>
      <c r="L21" s="17"/>
      <c r="M21" s="18"/>
      <c r="N21" s="20">
        <f t="shared" si="0"/>
        <v>0.59333333333333338</v>
      </c>
      <c r="O21" s="19">
        <f t="shared" si="1"/>
        <v>5.8823529411764705E-2</v>
      </c>
      <c r="P21" s="20">
        <f>(510-(Tablo1[[#This Row],[DURAKLAMA ZAMANI 1 (DK)]]+Tablo1[[#This Row],[DURAKLAMA ZAMANI 2 (DK)]]+Tablo1[[#This Row],[DURAKLAMA ZAMANI 3 (DK)]]))/510</f>
        <v>0.94117647058823528</v>
      </c>
      <c r="Q21" s="20">
        <f t="shared" si="2"/>
        <v>1</v>
      </c>
      <c r="R21" s="20">
        <f t="shared" si="3"/>
        <v>0.55843137254901964</v>
      </c>
    </row>
    <row r="22" spans="1:18" ht="27" customHeight="1" x14ac:dyDescent="0.25">
      <c r="A22" s="16">
        <v>46036</v>
      </c>
      <c r="B22" s="17">
        <v>2</v>
      </c>
      <c r="C22" s="17"/>
      <c r="D22" s="17">
        <v>320</v>
      </c>
      <c r="E22" s="17" t="s">
        <v>27</v>
      </c>
      <c r="F22" s="17">
        <v>15</v>
      </c>
      <c r="G22" s="17"/>
      <c r="H22" s="17">
        <v>15</v>
      </c>
      <c r="I22" s="17" t="s">
        <v>4</v>
      </c>
      <c r="J22" s="17"/>
      <c r="K22" s="17"/>
      <c r="L22" s="17"/>
      <c r="M22" s="18"/>
      <c r="N22" s="20">
        <f t="shared" si="0"/>
        <v>0.42666666666666669</v>
      </c>
      <c r="O22" s="19">
        <f t="shared" si="1"/>
        <v>5.8823529411764705E-2</v>
      </c>
      <c r="P22" s="20">
        <f>(510-(Tablo1[[#This Row],[DURAKLAMA ZAMANI 1 (DK)]]+Tablo1[[#This Row],[DURAKLAMA ZAMANI 2 (DK)]]+Tablo1[[#This Row],[DURAKLAMA ZAMANI 3 (DK)]]))/510</f>
        <v>0.94117647058823528</v>
      </c>
      <c r="Q22" s="20">
        <f t="shared" si="2"/>
        <v>1</v>
      </c>
      <c r="R22" s="20">
        <f t="shared" si="3"/>
        <v>0.40156862745098043</v>
      </c>
    </row>
    <row r="23" spans="1:18" ht="27" customHeight="1" x14ac:dyDescent="0.25">
      <c r="A23" s="16">
        <v>46035</v>
      </c>
      <c r="B23" s="17">
        <v>2</v>
      </c>
      <c r="C23" s="17"/>
      <c r="D23" s="17">
        <v>320</v>
      </c>
      <c r="E23" s="17" t="s">
        <v>27</v>
      </c>
      <c r="F23" s="17">
        <v>15</v>
      </c>
      <c r="G23" s="17"/>
      <c r="H23" s="17">
        <v>15</v>
      </c>
      <c r="I23" s="17" t="s">
        <v>4</v>
      </c>
      <c r="J23" s="17"/>
      <c r="K23" s="17"/>
      <c r="L23" s="17"/>
      <c r="M23" s="18"/>
      <c r="N23" s="20">
        <f t="shared" si="0"/>
        <v>0.42666666666666669</v>
      </c>
      <c r="O23" s="19">
        <f t="shared" si="1"/>
        <v>5.8823529411764705E-2</v>
      </c>
      <c r="P23" s="20">
        <f>(510-(Tablo1[[#This Row],[DURAKLAMA ZAMANI 1 (DK)]]+Tablo1[[#This Row],[DURAKLAMA ZAMANI 2 (DK)]]+Tablo1[[#This Row],[DURAKLAMA ZAMANI 3 (DK)]]))/510</f>
        <v>0.94117647058823528</v>
      </c>
      <c r="Q23" s="20">
        <f t="shared" si="2"/>
        <v>1</v>
      </c>
      <c r="R23" s="20">
        <f t="shared" si="3"/>
        <v>0.40156862745098043</v>
      </c>
    </row>
    <row r="24" spans="1:18" ht="27" customHeight="1" x14ac:dyDescent="0.25">
      <c r="A24" s="16">
        <v>46034</v>
      </c>
      <c r="B24" s="17">
        <v>2</v>
      </c>
      <c r="C24" s="17"/>
      <c r="D24" s="17">
        <v>358</v>
      </c>
      <c r="E24" s="17" t="s">
        <v>27</v>
      </c>
      <c r="F24" s="17">
        <v>60</v>
      </c>
      <c r="G24" s="17" t="s">
        <v>12</v>
      </c>
      <c r="H24" s="17">
        <v>15</v>
      </c>
      <c r="I24" s="17" t="s">
        <v>4</v>
      </c>
      <c r="J24" s="17"/>
      <c r="K24" s="17"/>
      <c r="L24" s="17"/>
      <c r="M24" s="18"/>
      <c r="N24" s="20">
        <f t="shared" si="0"/>
        <v>0.47733333333333333</v>
      </c>
      <c r="O24" s="19">
        <f t="shared" si="1"/>
        <v>0.14705882352941177</v>
      </c>
      <c r="P24" s="20">
        <f>(510-(Tablo1[[#This Row],[DURAKLAMA ZAMANI 1 (DK)]]+Tablo1[[#This Row],[DURAKLAMA ZAMANI 2 (DK)]]+Tablo1[[#This Row],[DURAKLAMA ZAMANI 3 (DK)]]))/510</f>
        <v>0.8529411764705882</v>
      </c>
      <c r="Q24" s="20">
        <f t="shared" si="2"/>
        <v>1</v>
      </c>
      <c r="R24" s="20">
        <f t="shared" si="3"/>
        <v>0.40713725490196079</v>
      </c>
    </row>
    <row r="25" spans="1:18" ht="27" customHeight="1" x14ac:dyDescent="0.25">
      <c r="A25" s="16">
        <v>46031</v>
      </c>
      <c r="B25" s="17">
        <v>2</v>
      </c>
      <c r="C25" s="17"/>
      <c r="D25" s="17">
        <v>280</v>
      </c>
      <c r="E25" s="17" t="s">
        <v>27</v>
      </c>
      <c r="F25" s="17">
        <v>15</v>
      </c>
      <c r="G25" s="17" t="s">
        <v>4</v>
      </c>
      <c r="H25" s="17">
        <v>60</v>
      </c>
      <c r="I25" s="17" t="s">
        <v>4</v>
      </c>
      <c r="J25" s="17">
        <v>30</v>
      </c>
      <c r="K25" s="17" t="s">
        <v>8</v>
      </c>
      <c r="L25" s="17"/>
      <c r="M25" s="18"/>
      <c r="N25" s="20">
        <f t="shared" si="0"/>
        <v>0.37333333333333335</v>
      </c>
      <c r="O25" s="19">
        <f t="shared" si="1"/>
        <v>0.20588235294117646</v>
      </c>
      <c r="P25" s="20">
        <f>(510-(Tablo1[[#This Row],[DURAKLAMA ZAMANI 1 (DK)]]+Tablo1[[#This Row],[DURAKLAMA ZAMANI 2 (DK)]]+Tablo1[[#This Row],[DURAKLAMA ZAMANI 3 (DK)]]))/510</f>
        <v>0.79411764705882348</v>
      </c>
      <c r="Q25" s="20">
        <f t="shared" si="2"/>
        <v>1</v>
      </c>
      <c r="R25" s="20">
        <f t="shared" si="3"/>
        <v>0.2964705882352941</v>
      </c>
    </row>
    <row r="26" spans="1:18" ht="27" customHeight="1" x14ac:dyDescent="0.25">
      <c r="A26" s="16">
        <v>46030</v>
      </c>
      <c r="B26" s="17">
        <v>2</v>
      </c>
      <c r="C26" s="17"/>
      <c r="D26" s="17">
        <v>340</v>
      </c>
      <c r="E26" s="17" t="s">
        <v>27</v>
      </c>
      <c r="F26" s="17">
        <v>15</v>
      </c>
      <c r="G26" s="17" t="s">
        <v>4</v>
      </c>
      <c r="H26" s="17">
        <v>15</v>
      </c>
      <c r="I26" s="17" t="s">
        <v>4</v>
      </c>
      <c r="J26" s="17"/>
      <c r="K26" s="17"/>
      <c r="L26" s="17"/>
      <c r="M26" s="18"/>
      <c r="N26" s="20">
        <f t="shared" si="0"/>
        <v>0.45333333333333331</v>
      </c>
      <c r="O26" s="19">
        <f t="shared" si="1"/>
        <v>5.8823529411764705E-2</v>
      </c>
      <c r="P26" s="20">
        <f>(510-(Tablo1[[#This Row],[DURAKLAMA ZAMANI 1 (DK)]]+Tablo1[[#This Row],[DURAKLAMA ZAMANI 2 (DK)]]+Tablo1[[#This Row],[DURAKLAMA ZAMANI 3 (DK)]]))/510</f>
        <v>0.94117647058823528</v>
      </c>
      <c r="Q26" s="20">
        <f t="shared" si="2"/>
        <v>1</v>
      </c>
      <c r="R26" s="20">
        <f t="shared" si="3"/>
        <v>0.42666666666666664</v>
      </c>
    </row>
    <row r="27" spans="1:18" ht="27" customHeight="1" x14ac:dyDescent="0.25">
      <c r="A27" s="16">
        <v>46029</v>
      </c>
      <c r="B27" s="17">
        <v>2</v>
      </c>
      <c r="C27" s="17"/>
      <c r="D27" s="17">
        <v>22</v>
      </c>
      <c r="E27" s="17" t="s">
        <v>27</v>
      </c>
      <c r="F27" s="17">
        <v>15</v>
      </c>
      <c r="G27" s="17" t="s">
        <v>4</v>
      </c>
      <c r="H27" s="17">
        <v>485</v>
      </c>
      <c r="I27" s="17" t="s">
        <v>12</v>
      </c>
      <c r="J27" s="17"/>
      <c r="K27" s="17"/>
      <c r="L27" s="17"/>
      <c r="M27" s="18"/>
      <c r="N27" s="20">
        <f t="shared" si="0"/>
        <v>2.9333333333333333E-2</v>
      </c>
      <c r="O27" s="19">
        <f t="shared" si="1"/>
        <v>0.98039215686274506</v>
      </c>
      <c r="P27" s="20">
        <f>(510-(Tablo1[[#This Row],[DURAKLAMA ZAMANI 1 (DK)]]+Tablo1[[#This Row],[DURAKLAMA ZAMANI 2 (DK)]]+Tablo1[[#This Row],[DURAKLAMA ZAMANI 3 (DK)]]))/510</f>
        <v>1.9607843137254902E-2</v>
      </c>
      <c r="Q27" s="20">
        <f t="shared" si="2"/>
        <v>1</v>
      </c>
      <c r="R27" s="20">
        <f t="shared" si="3"/>
        <v>5.7516339869281049E-4</v>
      </c>
    </row>
    <row r="28" spans="1:18" ht="27" customHeight="1" x14ac:dyDescent="0.25">
      <c r="A28" s="16">
        <v>46028</v>
      </c>
      <c r="B28" s="17">
        <v>2</v>
      </c>
      <c r="C28" s="17"/>
      <c r="D28" s="17">
        <v>70</v>
      </c>
      <c r="E28" s="17" t="s">
        <v>27</v>
      </c>
      <c r="F28" s="17">
        <v>15</v>
      </c>
      <c r="G28" s="17" t="s">
        <v>12</v>
      </c>
      <c r="H28" s="17">
        <v>300</v>
      </c>
      <c r="I28" s="17" t="s">
        <v>4</v>
      </c>
      <c r="J28" s="17"/>
      <c r="K28" s="17"/>
      <c r="L28" s="17"/>
      <c r="M28" s="18"/>
      <c r="N28" s="20">
        <f t="shared" si="0"/>
        <v>9.3333333333333338E-2</v>
      </c>
      <c r="O28" s="19">
        <f t="shared" si="1"/>
        <v>0.61764705882352944</v>
      </c>
      <c r="P28" s="20">
        <f>(510-(Tablo1[[#This Row],[DURAKLAMA ZAMANI 1 (DK)]]+Tablo1[[#This Row],[DURAKLAMA ZAMANI 2 (DK)]]+Tablo1[[#This Row],[DURAKLAMA ZAMANI 3 (DK)]]))/510</f>
        <v>0.38235294117647056</v>
      </c>
      <c r="Q28" s="20">
        <f t="shared" si="2"/>
        <v>1</v>
      </c>
      <c r="R28" s="20">
        <f t="shared" si="3"/>
        <v>3.5686274509803918E-2</v>
      </c>
    </row>
    <row r="29" spans="1:18" ht="27" customHeight="1" x14ac:dyDescent="0.25">
      <c r="A29" s="16">
        <v>46027</v>
      </c>
      <c r="B29" s="17">
        <v>2</v>
      </c>
      <c r="C29" s="17"/>
      <c r="D29" s="17">
        <v>190</v>
      </c>
      <c r="E29" s="17" t="s">
        <v>27</v>
      </c>
      <c r="F29" s="17">
        <v>15</v>
      </c>
      <c r="G29" s="17" t="s">
        <v>12</v>
      </c>
      <c r="H29" s="17">
        <v>180</v>
      </c>
      <c r="I29" s="17" t="s">
        <v>4</v>
      </c>
      <c r="J29" s="17"/>
      <c r="K29" s="17"/>
      <c r="L29" s="17"/>
      <c r="M29" s="18"/>
      <c r="N29" s="20">
        <f t="shared" si="0"/>
        <v>0.25333333333333335</v>
      </c>
      <c r="O29" s="19">
        <f t="shared" si="1"/>
        <v>0.38235294117647056</v>
      </c>
      <c r="P29" s="20">
        <f>(510-(Tablo1[[#This Row],[DURAKLAMA ZAMANI 1 (DK)]]+Tablo1[[#This Row],[DURAKLAMA ZAMANI 2 (DK)]]+Tablo1[[#This Row],[DURAKLAMA ZAMANI 3 (DK)]]))/510</f>
        <v>0.61764705882352944</v>
      </c>
      <c r="Q29" s="20">
        <f t="shared" si="2"/>
        <v>1</v>
      </c>
      <c r="R29" s="20">
        <f t="shared" si="3"/>
        <v>0.15647058823529414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2"/>
  <dimension ref="A2:P21"/>
  <sheetViews>
    <sheetView topLeftCell="B1" workbookViewId="0">
      <selection activeCell="N13" sqref="N13"/>
    </sheetView>
  </sheetViews>
  <sheetFormatPr defaultColWidth="8.7109375" defaultRowHeight="15" x14ac:dyDescent="0.25"/>
  <cols>
    <col min="1" max="1" width="9.140625" customWidth="1"/>
    <col min="2" max="2" width="21.140625" customWidth="1"/>
    <col min="3" max="4" width="21.42578125" customWidth="1"/>
    <col min="5" max="5" width="9.140625" customWidth="1"/>
    <col min="6" max="6" width="12.140625" bestFit="1" customWidth="1"/>
    <col min="7" max="10" width="9.140625" customWidth="1"/>
    <col min="11" max="11" width="35.140625" bestFit="1" customWidth="1"/>
    <col min="12" max="12" width="16.140625" bestFit="1" customWidth="1"/>
    <col min="13" max="13" width="9.140625" customWidth="1"/>
    <col min="14" max="14" width="17.42578125" bestFit="1" customWidth="1"/>
    <col min="15" max="15" width="9.140625" customWidth="1"/>
    <col min="16" max="16" width="19.140625" bestFit="1" customWidth="1"/>
    <col min="17" max="17" width="9.140625" customWidth="1"/>
    <col min="18" max="18" width="8.42578125" customWidth="1"/>
    <col min="19" max="19" width="34.140625" customWidth="1"/>
    <col min="20" max="20" width="58" customWidth="1"/>
  </cols>
  <sheetData>
    <row r="2" spans="1:16" ht="60.75" x14ac:dyDescent="0.85">
      <c r="A2" s="36" t="s">
        <v>2</v>
      </c>
      <c r="B2" s="36"/>
      <c r="C2" s="36"/>
      <c r="D2" s="36"/>
      <c r="E2" s="36"/>
      <c r="F2" s="36"/>
      <c r="G2" s="36"/>
      <c r="H2" s="36"/>
      <c r="I2" s="36"/>
      <c r="J2" s="36"/>
      <c r="K2" s="36"/>
    </row>
    <row r="6" spans="1:16" x14ac:dyDescent="0.25">
      <c r="N6" s="2"/>
    </row>
    <row r="7" spans="1:16" ht="15.75" thickBot="1" x14ac:dyDescent="0.3"/>
    <row r="8" spans="1:16" ht="19.5" thickBot="1" x14ac:dyDescent="0.35">
      <c r="C8" s="3"/>
      <c r="P8" s="1"/>
    </row>
    <row r="9" spans="1:16" ht="24" thickBot="1" x14ac:dyDescent="0.4">
      <c r="C9" s="4"/>
    </row>
    <row r="10" spans="1:16" ht="19.5" thickBot="1" x14ac:dyDescent="0.35">
      <c r="C10" s="5"/>
      <c r="F10" t="s">
        <v>14</v>
      </c>
      <c r="J10">
        <v>1</v>
      </c>
      <c r="M10" s="1"/>
      <c r="N10" t="s">
        <v>27</v>
      </c>
      <c r="P10" t="s">
        <v>8</v>
      </c>
    </row>
    <row r="11" spans="1:16" x14ac:dyDescent="0.25">
      <c r="J11">
        <v>2</v>
      </c>
      <c r="L11" t="s">
        <v>15</v>
      </c>
      <c r="N11" t="s">
        <v>28</v>
      </c>
      <c r="P11" t="s">
        <v>5</v>
      </c>
    </row>
    <row r="12" spans="1:16" x14ac:dyDescent="0.25">
      <c r="J12">
        <v>3</v>
      </c>
      <c r="L12" t="s">
        <v>13</v>
      </c>
      <c r="N12" t="s">
        <v>29</v>
      </c>
      <c r="P12" t="s">
        <v>7</v>
      </c>
    </row>
    <row r="13" spans="1:16" x14ac:dyDescent="0.25">
      <c r="J13">
        <v>4</v>
      </c>
      <c r="P13" t="s">
        <v>9</v>
      </c>
    </row>
    <row r="14" spans="1:16" x14ac:dyDescent="0.25">
      <c r="P14" t="s">
        <v>10</v>
      </c>
    </row>
    <row r="15" spans="1:16" x14ac:dyDescent="0.25">
      <c r="P15" t="s">
        <v>11</v>
      </c>
    </row>
    <row r="16" spans="1:16" x14ac:dyDescent="0.25">
      <c r="P16" t="s">
        <v>12</v>
      </c>
    </row>
    <row r="17" spans="16:16" x14ac:dyDescent="0.25">
      <c r="P17" t="s">
        <v>6</v>
      </c>
    </row>
    <row r="18" spans="16:16" x14ac:dyDescent="0.25">
      <c r="P18" t="s">
        <v>4</v>
      </c>
    </row>
    <row r="19" spans="16:16" x14ac:dyDescent="0.25">
      <c r="P19" t="s">
        <v>16</v>
      </c>
    </row>
    <row r="20" spans="16:16" x14ac:dyDescent="0.25">
      <c r="P20" t="s">
        <v>25</v>
      </c>
    </row>
    <row r="21" spans="16:16" x14ac:dyDescent="0.25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 xr:uid="{00000000-0002-0000-0200-000000000000}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Alican Şahan</cp:lastModifiedBy>
  <dcterms:created xsi:type="dcterms:W3CDTF">2015-06-05T18:19:34Z</dcterms:created>
  <dcterms:modified xsi:type="dcterms:W3CDTF">2026-02-16T06:23:45Z</dcterms:modified>
</cp:coreProperties>
</file>