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/>
  </bookViews>
  <sheets>
    <sheet name="VERİ GİRİŞ" sheetId="1" r:id="rId1"/>
    <sheet name="ANA RAPOR" sheetId="5" r:id="rId2"/>
    <sheet name="GİRDİ RAPORU" sheetId="3" state="hidden" r:id="rId3"/>
    <sheet name="AYARLAR" sheetId="6" state="hidden" r:id="rId4"/>
  </sheets>
  <definedNames>
    <definedName name="_xlnm._FilterDatabase" localSheetId="1" hidden="1">'ANA RAPOR'!$A$1:$O$905</definedName>
    <definedName name="_xlnm._FilterDatabase" localSheetId="2" hidden="1">'GİRDİ RAPORU'!$A$1:$E$1</definedName>
    <definedName name="_xleta.TODAY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5" l="1"/>
  <c r="L10" i="5" l="1"/>
  <c r="L9" i="5"/>
  <c r="L8" i="5"/>
  <c r="L7" i="5"/>
  <c r="L2" i="5"/>
  <c r="L3" i="5"/>
  <c r="L4" i="5"/>
  <c r="L5" i="5"/>
  <c r="L6" i="5"/>
  <c r="L710" i="5"/>
  <c r="L713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709" i="5"/>
  <c r="L708" i="5"/>
  <c r="L707" i="5"/>
  <c r="L706" i="5"/>
  <c r="L705" i="5"/>
  <c r="L704" i="5"/>
  <c r="L703" i="5"/>
  <c r="L702" i="5"/>
  <c r="L701" i="5"/>
  <c r="L700" i="5"/>
  <c r="L699" i="5"/>
  <c r="L698" i="5"/>
  <c r="L697" i="5"/>
  <c r="L696" i="5"/>
  <c r="L695" i="5"/>
  <c r="L694" i="5"/>
  <c r="L693" i="5"/>
  <c r="L692" i="5"/>
  <c r="L691" i="5"/>
  <c r="L690" i="5"/>
  <c r="L689" i="5"/>
  <c r="L688" i="5"/>
  <c r="L687" i="5"/>
  <c r="L686" i="5"/>
  <c r="L685" i="5"/>
  <c r="L684" i="5"/>
  <c r="L683" i="5"/>
  <c r="L682" i="5"/>
  <c r="L681" i="5"/>
  <c r="L680" i="5"/>
  <c r="L679" i="5"/>
  <c r="L678" i="5"/>
  <c r="L677" i="5"/>
  <c r="L676" i="5"/>
  <c r="L675" i="5"/>
  <c r="L674" i="5"/>
  <c r="L673" i="5"/>
  <c r="L672" i="5"/>
  <c r="L671" i="5"/>
  <c r="L670" i="5"/>
  <c r="L669" i="5"/>
  <c r="L668" i="5"/>
  <c r="L667" i="5"/>
  <c r="L666" i="5"/>
  <c r="L665" i="5"/>
  <c r="L664" i="5"/>
  <c r="L663" i="5"/>
  <c r="L662" i="5"/>
  <c r="L661" i="5"/>
  <c r="L660" i="5"/>
  <c r="L659" i="5"/>
  <c r="L658" i="5"/>
  <c r="L657" i="5"/>
  <c r="L656" i="5"/>
  <c r="L655" i="5"/>
  <c r="L654" i="5"/>
  <c r="L653" i="5"/>
  <c r="L652" i="5"/>
  <c r="L651" i="5"/>
  <c r="L650" i="5"/>
  <c r="L649" i="5"/>
  <c r="L648" i="5"/>
  <c r="L647" i="5"/>
  <c r="L646" i="5"/>
  <c r="L645" i="5"/>
  <c r="L644" i="5"/>
  <c r="L643" i="5"/>
  <c r="L642" i="5"/>
  <c r="L641" i="5"/>
  <c r="L640" i="5"/>
  <c r="L639" i="5"/>
  <c r="L638" i="5"/>
  <c r="L637" i="5"/>
  <c r="L636" i="5"/>
  <c r="L635" i="5"/>
  <c r="L634" i="5"/>
  <c r="L633" i="5"/>
  <c r="L632" i="5"/>
  <c r="L631" i="5"/>
  <c r="L630" i="5"/>
  <c r="L629" i="5"/>
  <c r="L628" i="5"/>
  <c r="L627" i="5"/>
  <c r="L626" i="5"/>
  <c r="L625" i="5"/>
  <c r="L624" i="5"/>
  <c r="L623" i="5"/>
  <c r="L622" i="5"/>
  <c r="L621" i="5"/>
  <c r="L620" i="5"/>
  <c r="L619" i="5"/>
  <c r="L618" i="5"/>
  <c r="L617" i="5"/>
  <c r="L616" i="5"/>
  <c r="L615" i="5"/>
  <c r="L614" i="5"/>
  <c r="L613" i="5"/>
  <c r="L612" i="5"/>
  <c r="L611" i="5"/>
  <c r="L610" i="5"/>
  <c r="L609" i="5"/>
  <c r="L608" i="5"/>
  <c r="L607" i="5"/>
  <c r="L606" i="5"/>
  <c r="L605" i="5"/>
  <c r="L604" i="5"/>
  <c r="L603" i="5"/>
  <c r="L602" i="5"/>
  <c r="L601" i="5"/>
  <c r="L600" i="5"/>
  <c r="L599" i="5"/>
  <c r="L598" i="5"/>
  <c r="L597" i="5"/>
  <c r="L596" i="5"/>
  <c r="L595" i="5"/>
  <c r="L594" i="5"/>
  <c r="L593" i="5"/>
  <c r="L592" i="5"/>
  <c r="L591" i="5"/>
  <c r="L590" i="5"/>
  <c r="L589" i="5"/>
  <c r="L588" i="5"/>
  <c r="L587" i="5"/>
  <c r="L586" i="5"/>
  <c r="L585" i="5"/>
  <c r="L584" i="5"/>
  <c r="L583" i="5"/>
  <c r="L582" i="5"/>
  <c r="L581" i="5"/>
  <c r="L580" i="5"/>
  <c r="L579" i="5"/>
  <c r="L578" i="5"/>
  <c r="L577" i="5"/>
  <c r="L576" i="5"/>
  <c r="L575" i="5"/>
  <c r="L574" i="5"/>
  <c r="L573" i="5"/>
  <c r="L572" i="5"/>
  <c r="L571" i="5"/>
  <c r="L570" i="5"/>
  <c r="L569" i="5"/>
  <c r="L568" i="5"/>
  <c r="L567" i="5"/>
  <c r="L566" i="5"/>
  <c r="L565" i="5"/>
  <c r="L564" i="5"/>
  <c r="L563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40" i="5"/>
  <c r="L539" i="5"/>
  <c r="L538" i="5"/>
  <c r="L537" i="5"/>
  <c r="L536" i="5"/>
  <c r="L535" i="5"/>
  <c r="L534" i="5"/>
  <c r="L533" i="5"/>
  <c r="L532" i="5"/>
  <c r="L531" i="5"/>
  <c r="L530" i="5"/>
  <c r="L529" i="5"/>
  <c r="L528" i="5"/>
  <c r="L527" i="5"/>
  <c r="L526" i="5"/>
  <c r="L525" i="5"/>
  <c r="L524" i="5"/>
  <c r="L523" i="5"/>
  <c r="L522" i="5"/>
  <c r="L521" i="5"/>
  <c r="L520" i="5"/>
  <c r="L519" i="5"/>
  <c r="L518" i="5"/>
  <c r="L517" i="5"/>
  <c r="L516" i="5"/>
  <c r="L515" i="5"/>
  <c r="L514" i="5"/>
  <c r="L513" i="5"/>
  <c r="L512" i="5"/>
  <c r="L511" i="5"/>
  <c r="L510" i="5"/>
  <c r="L509" i="5"/>
  <c r="L508" i="5"/>
  <c r="L507" i="5"/>
  <c r="L506" i="5"/>
  <c r="L505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7" i="5"/>
  <c r="L348" i="5"/>
  <c r="L345" i="5"/>
  <c r="L346" i="5"/>
  <c r="L343" i="5"/>
  <c r="L344" i="5"/>
  <c r="L339" i="5"/>
  <c r="L340" i="5"/>
  <c r="L341" i="5"/>
  <c r="L342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6" i="5"/>
  <c r="L187" i="5"/>
  <c r="L185" i="5"/>
  <c r="L184" i="5"/>
  <c r="L183" i="5"/>
  <c r="L182" i="5"/>
  <c r="L180" i="5"/>
  <c r="L181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3" i="5"/>
  <c r="L144" i="5"/>
  <c r="L145" i="5"/>
  <c r="L146" i="5"/>
  <c r="L147" i="5"/>
  <c r="L148" i="5"/>
  <c r="L149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09" i="5"/>
  <c r="L110" i="5"/>
  <c r="L111" i="5"/>
  <c r="L112" i="5"/>
  <c r="L113" i="5"/>
  <c r="L108" i="5"/>
  <c r="L107" i="5"/>
  <c r="L106" i="5"/>
  <c r="L102" i="5"/>
  <c r="L103" i="5"/>
  <c r="L104" i="5"/>
  <c r="L105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59" i="5"/>
  <c r="L60" i="5"/>
  <c r="L58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33" i="5"/>
  <c r="L34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K10" i="5"/>
  <c r="K9" i="5"/>
  <c r="K8" i="5"/>
  <c r="K7" i="5"/>
  <c r="K2" i="5"/>
  <c r="K3" i="5"/>
  <c r="K4" i="5"/>
  <c r="K5" i="5"/>
  <c r="K6" i="5"/>
  <c r="K710" i="5"/>
  <c r="K713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7" i="5"/>
  <c r="K348" i="5"/>
  <c r="K345" i="5"/>
  <c r="K346" i="5"/>
  <c r="K343" i="5"/>
  <c r="K344" i="5"/>
  <c r="K339" i="5"/>
  <c r="K340" i="5"/>
  <c r="K341" i="5"/>
  <c r="K342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6" i="5"/>
  <c r="K187" i="5"/>
  <c r="K185" i="5"/>
  <c r="K184" i="5"/>
  <c r="K183" i="5"/>
  <c r="K182" i="5"/>
  <c r="K180" i="5"/>
  <c r="K181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3" i="5"/>
  <c r="K144" i="5"/>
  <c r="K145" i="5"/>
  <c r="K146" i="5"/>
  <c r="K147" i="5"/>
  <c r="K148" i="5"/>
  <c r="K149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09" i="5"/>
  <c r="K110" i="5"/>
  <c r="K111" i="5"/>
  <c r="K112" i="5"/>
  <c r="K113" i="5"/>
  <c r="K108" i="5"/>
  <c r="K107" i="5"/>
  <c r="K106" i="5"/>
  <c r="K102" i="5"/>
  <c r="K103" i="5"/>
  <c r="K104" i="5"/>
  <c r="K105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59" i="5"/>
  <c r="K60" i="5"/>
  <c r="K58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33" i="5"/>
  <c r="K34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J10" i="5"/>
  <c r="J9" i="5"/>
  <c r="J8" i="5"/>
  <c r="J7" i="5"/>
  <c r="J2" i="5"/>
  <c r="J3" i="5"/>
  <c r="J4" i="5"/>
  <c r="J5" i="5"/>
  <c r="J6" i="5"/>
  <c r="J710" i="5"/>
  <c r="J713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J626" i="5"/>
  <c r="J625" i="5"/>
  <c r="J624" i="5"/>
  <c r="J623" i="5"/>
  <c r="J622" i="5"/>
  <c r="J621" i="5"/>
  <c r="J620" i="5"/>
  <c r="J619" i="5"/>
  <c r="J618" i="5"/>
  <c r="J617" i="5"/>
  <c r="J616" i="5"/>
  <c r="J615" i="5"/>
  <c r="J614" i="5"/>
  <c r="J613" i="5"/>
  <c r="J612" i="5"/>
  <c r="J611" i="5"/>
  <c r="J610" i="5"/>
  <c r="J609" i="5"/>
  <c r="J608" i="5"/>
  <c r="J607" i="5"/>
  <c r="J606" i="5"/>
  <c r="J605" i="5"/>
  <c r="J604" i="5"/>
  <c r="J603" i="5"/>
  <c r="J602" i="5"/>
  <c r="J601" i="5"/>
  <c r="J600" i="5"/>
  <c r="J599" i="5"/>
  <c r="J598" i="5"/>
  <c r="J597" i="5"/>
  <c r="J596" i="5"/>
  <c r="J595" i="5"/>
  <c r="J594" i="5"/>
  <c r="J593" i="5"/>
  <c r="J592" i="5"/>
  <c r="J591" i="5"/>
  <c r="J590" i="5"/>
  <c r="J589" i="5"/>
  <c r="J588" i="5"/>
  <c r="J587" i="5"/>
  <c r="J586" i="5"/>
  <c r="J585" i="5"/>
  <c r="J584" i="5"/>
  <c r="J583" i="5"/>
  <c r="J582" i="5"/>
  <c r="J581" i="5"/>
  <c r="J580" i="5"/>
  <c r="J579" i="5"/>
  <c r="J578" i="5"/>
  <c r="J577" i="5"/>
  <c r="J576" i="5"/>
  <c r="J575" i="5"/>
  <c r="J574" i="5"/>
  <c r="J573" i="5"/>
  <c r="J572" i="5"/>
  <c r="J571" i="5"/>
  <c r="J570" i="5"/>
  <c r="J569" i="5"/>
  <c r="J568" i="5"/>
  <c r="J567" i="5"/>
  <c r="J566" i="5"/>
  <c r="J565" i="5"/>
  <c r="J564" i="5"/>
  <c r="J563" i="5"/>
  <c r="J562" i="5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8" i="5"/>
  <c r="J507" i="5"/>
  <c r="J506" i="5"/>
  <c r="J505" i="5"/>
  <c r="J504" i="5"/>
  <c r="J503" i="5"/>
  <c r="J502" i="5"/>
  <c r="J501" i="5"/>
  <c r="J500" i="5"/>
  <c r="J499" i="5"/>
  <c r="J498" i="5"/>
  <c r="J497" i="5"/>
  <c r="J496" i="5"/>
  <c r="J495" i="5"/>
  <c r="J494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1" i="5"/>
  <c r="J470" i="5"/>
  <c r="J469" i="5"/>
  <c r="J468" i="5"/>
  <c r="J467" i="5"/>
  <c r="J466" i="5"/>
  <c r="J465" i="5"/>
  <c r="J46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3" i="5"/>
  <c r="J442" i="5"/>
  <c r="J441" i="5"/>
  <c r="J440" i="5"/>
  <c r="J439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1" i="5"/>
  <c r="J400" i="5"/>
  <c r="J399" i="5"/>
  <c r="J398" i="5"/>
  <c r="J397" i="5"/>
  <c r="J396" i="5"/>
  <c r="J395" i="5"/>
  <c r="J394" i="5"/>
  <c r="J393" i="5"/>
  <c r="J392" i="5"/>
  <c r="J391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7" i="5"/>
  <c r="J348" i="5"/>
  <c r="J345" i="5"/>
  <c r="J346" i="5"/>
  <c r="J343" i="5"/>
  <c r="J344" i="5"/>
  <c r="J339" i="5"/>
  <c r="J340" i="5"/>
  <c r="J341" i="5"/>
  <c r="J342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6" i="5"/>
  <c r="J187" i="5"/>
  <c r="J185" i="5"/>
  <c r="J184" i="5"/>
  <c r="J183" i="5"/>
  <c r="J182" i="5"/>
  <c r="J180" i="5"/>
  <c r="J181" i="5"/>
  <c r="J179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3" i="5"/>
  <c r="J144" i="5"/>
  <c r="J145" i="5"/>
  <c r="J146" i="5"/>
  <c r="J147" i="5"/>
  <c r="J148" i="5"/>
  <c r="J149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09" i="5"/>
  <c r="J110" i="5"/>
  <c r="J111" i="5"/>
  <c r="J112" i="5"/>
  <c r="J113" i="5"/>
  <c r="J108" i="5"/>
  <c r="J107" i="5"/>
  <c r="J106" i="5"/>
  <c r="J102" i="5"/>
  <c r="J103" i="5"/>
  <c r="J104" i="5"/>
  <c r="J105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59" i="5"/>
  <c r="J60" i="5"/>
  <c r="J58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33" i="5"/>
  <c r="J34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876" i="5"/>
  <c r="O876" i="5" s="1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O906" i="5" s="1"/>
  <c r="J907" i="5"/>
  <c r="O907" i="5" s="1"/>
  <c r="J908" i="5"/>
  <c r="O908" i="5" s="1"/>
  <c r="J909" i="5"/>
  <c r="O909" i="5" s="1"/>
  <c r="J910" i="5"/>
  <c r="O910" i="5" s="1"/>
  <c r="J911" i="5"/>
  <c r="O911" i="5" s="1"/>
  <c r="J912" i="5"/>
  <c r="O912" i="5" s="1"/>
  <c r="J913" i="5"/>
  <c r="O913" i="5" s="1"/>
  <c r="J914" i="5"/>
  <c r="O914" i="5" s="1"/>
  <c r="J915" i="5"/>
  <c r="O915" i="5" s="1"/>
  <c r="J916" i="5"/>
  <c r="O916" i="5" s="1"/>
  <c r="J917" i="5"/>
  <c r="O917" i="5" s="1"/>
  <c r="J918" i="5"/>
  <c r="O918" i="5" s="1"/>
  <c r="J919" i="5"/>
  <c r="O919" i="5" s="1"/>
  <c r="J920" i="5"/>
  <c r="O920" i="5" s="1"/>
  <c r="J921" i="5"/>
  <c r="N921" i="5" s="1"/>
  <c r="J922" i="5"/>
  <c r="O922" i="5" s="1"/>
  <c r="J923" i="5"/>
  <c r="O923" i="5" s="1"/>
  <c r="J924" i="5"/>
  <c r="O924" i="5" s="1"/>
  <c r="J925" i="5"/>
  <c r="O925" i="5" s="1"/>
  <c r="J926" i="5"/>
  <c r="O926" i="5" s="1"/>
  <c r="J927" i="5"/>
  <c r="O927" i="5" s="1"/>
  <c r="J928" i="5"/>
  <c r="O928" i="5" s="1"/>
  <c r="J929" i="5"/>
  <c r="N929" i="5" s="1"/>
  <c r="J930" i="5"/>
  <c r="O930" i="5" s="1"/>
  <c r="J931" i="5"/>
  <c r="O931" i="5" s="1"/>
  <c r="J932" i="5"/>
  <c r="O932" i="5" s="1"/>
  <c r="J933" i="5"/>
  <c r="N933" i="5" s="1"/>
  <c r="J934" i="5"/>
  <c r="O934" i="5" s="1"/>
  <c r="J935" i="5"/>
  <c r="O935" i="5" s="1"/>
  <c r="J936" i="5"/>
  <c r="O936" i="5" s="1"/>
  <c r="J937" i="5"/>
  <c r="N937" i="5" s="1"/>
  <c r="J938" i="5"/>
  <c r="O938" i="5" s="1"/>
  <c r="J939" i="5"/>
  <c r="O939" i="5" s="1"/>
  <c r="J940" i="5"/>
  <c r="O940" i="5" s="1"/>
  <c r="J941" i="5"/>
  <c r="O941" i="5" s="1"/>
  <c r="J942" i="5"/>
  <c r="O942" i="5" s="1"/>
  <c r="J943" i="5"/>
  <c r="O943" i="5" s="1"/>
  <c r="J944" i="5"/>
  <c r="O944" i="5" s="1"/>
  <c r="J945" i="5"/>
  <c r="N945" i="5" s="1"/>
  <c r="J946" i="5"/>
  <c r="O946" i="5" s="1"/>
  <c r="J947" i="5"/>
  <c r="O947" i="5" s="1"/>
  <c r="J948" i="5"/>
  <c r="O948" i="5" s="1"/>
  <c r="J949" i="5"/>
  <c r="O949" i="5" s="1"/>
  <c r="J950" i="5"/>
  <c r="O950" i="5" s="1"/>
  <c r="J951" i="5"/>
  <c r="O951" i="5" s="1"/>
  <c r="J952" i="5"/>
  <c r="O952" i="5" s="1"/>
  <c r="J953" i="5"/>
  <c r="N953" i="5" s="1"/>
  <c r="J954" i="5"/>
  <c r="O954" i="5" s="1"/>
  <c r="J955" i="5"/>
  <c r="O955" i="5" s="1"/>
  <c r="J956" i="5"/>
  <c r="O956" i="5" s="1"/>
  <c r="J957" i="5"/>
  <c r="O957" i="5" s="1"/>
  <c r="J958" i="5"/>
  <c r="O958" i="5" s="1"/>
  <c r="J959" i="5"/>
  <c r="O959" i="5" s="1"/>
  <c r="J960" i="5"/>
  <c r="O960" i="5" s="1"/>
  <c r="J961" i="5"/>
  <c r="O961" i="5" s="1"/>
  <c r="J962" i="5"/>
  <c r="O962" i="5" s="1"/>
  <c r="J963" i="5"/>
  <c r="O963" i="5" s="1"/>
  <c r="J964" i="5"/>
  <c r="O964" i="5" s="1"/>
  <c r="J965" i="5"/>
  <c r="N965" i="5" s="1"/>
  <c r="J966" i="5"/>
  <c r="O966" i="5" s="1"/>
  <c r="J967" i="5"/>
  <c r="O967" i="5" s="1"/>
  <c r="J968" i="5"/>
  <c r="O968" i="5" s="1"/>
  <c r="J969" i="5"/>
  <c r="N969" i="5" s="1"/>
  <c r="J970" i="5"/>
  <c r="O970" i="5" s="1"/>
  <c r="J971" i="5"/>
  <c r="O971" i="5" s="1"/>
  <c r="J972" i="5"/>
  <c r="O972" i="5" s="1"/>
  <c r="J973" i="5"/>
  <c r="O973" i="5" s="1"/>
  <c r="J974" i="5"/>
  <c r="O974" i="5" s="1"/>
  <c r="J975" i="5"/>
  <c r="O975" i="5" s="1"/>
  <c r="J976" i="5"/>
  <c r="O976" i="5" s="1"/>
  <c r="J977" i="5"/>
  <c r="N977" i="5" s="1"/>
  <c r="J978" i="5"/>
  <c r="O978" i="5" s="1"/>
  <c r="J979" i="5"/>
  <c r="O979" i="5" s="1"/>
  <c r="J980" i="5"/>
  <c r="O980" i="5" s="1"/>
  <c r="J981" i="5"/>
  <c r="O981" i="5" s="1"/>
  <c r="J982" i="5"/>
  <c r="O982" i="5" s="1"/>
  <c r="J983" i="5"/>
  <c r="O983" i="5" s="1"/>
  <c r="J984" i="5"/>
  <c r="O984" i="5" s="1"/>
  <c r="J985" i="5"/>
  <c r="N985" i="5" s="1"/>
  <c r="J986" i="5"/>
  <c r="O986" i="5" s="1"/>
  <c r="J987" i="5"/>
  <c r="O987" i="5" s="1"/>
  <c r="J988" i="5"/>
  <c r="O988" i="5" s="1"/>
  <c r="J989" i="5"/>
  <c r="O989" i="5" s="1"/>
  <c r="J990" i="5"/>
  <c r="O990" i="5" s="1"/>
  <c r="J991" i="5"/>
  <c r="O991" i="5" s="1"/>
  <c r="J992" i="5"/>
  <c r="O992" i="5" s="1"/>
  <c r="J993" i="5"/>
  <c r="O993" i="5" s="1"/>
  <c r="J994" i="5"/>
  <c r="O994" i="5" s="1"/>
  <c r="J995" i="5"/>
  <c r="O995" i="5" s="1"/>
  <c r="J996" i="5"/>
  <c r="O996" i="5" s="1"/>
  <c r="J997" i="5"/>
  <c r="N997" i="5" s="1"/>
  <c r="J998" i="5"/>
  <c r="O998" i="5" s="1"/>
  <c r="J999" i="5"/>
  <c r="O999" i="5" s="1"/>
  <c r="J1000" i="5"/>
  <c r="O1000" i="5" s="1"/>
  <c r="J1001" i="5"/>
  <c r="N1001" i="5" s="1"/>
  <c r="J1002" i="5"/>
  <c r="O1002" i="5" s="1"/>
  <c r="J1003" i="5"/>
  <c r="O1003" i="5" s="1"/>
  <c r="J1004" i="5"/>
  <c r="O1004" i="5" s="1"/>
  <c r="M283" i="5"/>
  <c r="M274" i="5"/>
  <c r="M220" i="5"/>
  <c r="M217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A60" i="5"/>
  <c r="B60" i="5"/>
  <c r="C60" i="5"/>
  <c r="D60" i="5"/>
  <c r="E60" i="5"/>
  <c r="F60" i="5"/>
  <c r="G60" i="5"/>
  <c r="H60" i="5"/>
  <c r="I60" i="5"/>
  <c r="N981" i="5" l="1"/>
  <c r="N949" i="5"/>
  <c r="N917" i="5"/>
  <c r="O985" i="5"/>
  <c r="O953" i="5"/>
  <c r="O921" i="5"/>
  <c r="N993" i="5"/>
  <c r="N961" i="5"/>
  <c r="N913" i="5"/>
  <c r="O997" i="5"/>
  <c r="O965" i="5"/>
  <c r="O933" i="5"/>
  <c r="N989" i="5"/>
  <c r="N973" i="5"/>
  <c r="N957" i="5"/>
  <c r="N941" i="5"/>
  <c r="N925" i="5"/>
  <c r="N909" i="5"/>
  <c r="O977" i="5"/>
  <c r="O945" i="5"/>
  <c r="O929" i="5"/>
  <c r="O1001" i="5"/>
  <c r="O969" i="5"/>
  <c r="O937" i="5"/>
  <c r="N1004" i="5"/>
  <c r="N1000" i="5"/>
  <c r="N996" i="5"/>
  <c r="N992" i="5"/>
  <c r="N988" i="5"/>
  <c r="N984" i="5"/>
  <c r="N980" i="5"/>
  <c r="N976" i="5"/>
  <c r="N972" i="5"/>
  <c r="N968" i="5"/>
  <c r="N964" i="5"/>
  <c r="N960" i="5"/>
  <c r="N956" i="5"/>
  <c r="N952" i="5"/>
  <c r="N948" i="5"/>
  <c r="N944" i="5"/>
  <c r="N940" i="5"/>
  <c r="N936" i="5"/>
  <c r="N932" i="5"/>
  <c r="N928" i="5"/>
  <c r="N924" i="5"/>
  <c r="N920" i="5"/>
  <c r="N916" i="5"/>
  <c r="N912" i="5"/>
  <c r="N908" i="5"/>
  <c r="N1003" i="5"/>
  <c r="N999" i="5"/>
  <c r="N995" i="5"/>
  <c r="N991" i="5"/>
  <c r="N987" i="5"/>
  <c r="N983" i="5"/>
  <c r="N979" i="5"/>
  <c r="N975" i="5"/>
  <c r="N971" i="5"/>
  <c r="N967" i="5"/>
  <c r="N963" i="5"/>
  <c r="N959" i="5"/>
  <c r="N955" i="5"/>
  <c r="N951" i="5"/>
  <c r="N947" i="5"/>
  <c r="N943" i="5"/>
  <c r="N939" i="5"/>
  <c r="N935" i="5"/>
  <c r="N931" i="5"/>
  <c r="N927" i="5"/>
  <c r="N923" i="5"/>
  <c r="N919" i="5"/>
  <c r="N915" i="5"/>
  <c r="N911" i="5"/>
  <c r="N907" i="5"/>
  <c r="N1002" i="5"/>
  <c r="N998" i="5"/>
  <c r="N994" i="5"/>
  <c r="N990" i="5"/>
  <c r="N986" i="5"/>
  <c r="N982" i="5"/>
  <c r="N978" i="5"/>
  <c r="N974" i="5"/>
  <c r="N970" i="5"/>
  <c r="N966" i="5"/>
  <c r="N962" i="5"/>
  <c r="N958" i="5"/>
  <c r="N954" i="5"/>
  <c r="N950" i="5"/>
  <c r="N946" i="5"/>
  <c r="N942" i="5"/>
  <c r="N938" i="5"/>
  <c r="N934" i="5"/>
  <c r="N930" i="5"/>
  <c r="N926" i="5"/>
  <c r="N922" i="5"/>
  <c r="N918" i="5"/>
  <c r="N914" i="5"/>
  <c r="N910" i="5"/>
  <c r="N906" i="5"/>
  <c r="M60" i="5"/>
  <c r="N876" i="5"/>
  <c r="A97" i="5"/>
  <c r="B171" i="5" l="1"/>
  <c r="B701" i="5"/>
  <c r="B702" i="5"/>
  <c r="B703" i="5"/>
  <c r="B704" i="5"/>
  <c r="B699" i="5"/>
  <c r="B698" i="5"/>
  <c r="B697" i="5"/>
  <c r="B696" i="5"/>
  <c r="B695" i="5"/>
  <c r="B694" i="5"/>
  <c r="B693" i="5"/>
  <c r="B692" i="5"/>
  <c r="B691" i="5"/>
  <c r="B690" i="5"/>
  <c r="B689" i="5"/>
  <c r="B688" i="5"/>
  <c r="B687" i="5"/>
  <c r="B686" i="5"/>
  <c r="B685" i="5"/>
  <c r="B684" i="5"/>
  <c r="B683" i="5"/>
  <c r="B682" i="5"/>
  <c r="B681" i="5"/>
  <c r="B680" i="5"/>
  <c r="B679" i="5"/>
  <c r="B678" i="5"/>
  <c r="B677" i="5"/>
  <c r="B676" i="5"/>
  <c r="B675" i="5"/>
  <c r="B674" i="5"/>
  <c r="B673" i="5"/>
  <c r="B672" i="5"/>
  <c r="B671" i="5"/>
  <c r="B670" i="5"/>
  <c r="B669" i="5"/>
  <c r="B668" i="5"/>
  <c r="B667" i="5"/>
  <c r="B666" i="5"/>
  <c r="B665" i="5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B640" i="5"/>
  <c r="B639" i="5"/>
  <c r="B638" i="5"/>
  <c r="B637" i="5"/>
  <c r="B636" i="5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B616" i="5"/>
  <c r="B615" i="5"/>
  <c r="B614" i="5"/>
  <c r="B613" i="5"/>
  <c r="B612" i="5"/>
  <c r="B611" i="5"/>
  <c r="B610" i="5"/>
  <c r="B609" i="5"/>
  <c r="B608" i="5"/>
  <c r="B607" i="5"/>
  <c r="B606" i="5"/>
  <c r="B605" i="5"/>
  <c r="B604" i="5"/>
  <c r="B603" i="5"/>
  <c r="B602" i="5"/>
  <c r="B601" i="5"/>
  <c r="B600" i="5"/>
  <c r="B599" i="5"/>
  <c r="B598" i="5"/>
  <c r="B597" i="5"/>
  <c r="B596" i="5"/>
  <c r="B595" i="5"/>
  <c r="B594" i="5"/>
  <c r="B593" i="5"/>
  <c r="B592" i="5"/>
  <c r="B591" i="5"/>
  <c r="B590" i="5"/>
  <c r="B589" i="5"/>
  <c r="B588" i="5"/>
  <c r="B587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36" i="5"/>
  <c r="B535" i="5"/>
  <c r="B534" i="5"/>
  <c r="B533" i="5"/>
  <c r="B532" i="5"/>
  <c r="B531" i="5"/>
  <c r="B530" i="5"/>
  <c r="B529" i="5"/>
  <c r="B528" i="5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7" i="5"/>
  <c r="B358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3" i="5"/>
  <c r="B344" i="5"/>
  <c r="B341" i="5"/>
  <c r="B342" i="5"/>
  <c r="B339" i="5"/>
  <c r="B340" i="5"/>
  <c r="B335" i="5"/>
  <c r="B336" i="5"/>
  <c r="B337" i="5"/>
  <c r="B338" i="5"/>
  <c r="B333" i="5"/>
  <c r="B332" i="5"/>
  <c r="B334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7" i="5"/>
  <c r="B298" i="5"/>
  <c r="B296" i="5"/>
  <c r="B295" i="5"/>
  <c r="B294" i="5"/>
  <c r="B293" i="5"/>
  <c r="B292" i="5"/>
  <c r="B289" i="5"/>
  <c r="B291" i="5"/>
  <c r="B290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3" i="5"/>
  <c r="B271" i="5"/>
  <c r="B270" i="5"/>
  <c r="B268" i="5"/>
  <c r="B269" i="5"/>
  <c r="B267" i="5"/>
  <c r="B266" i="5"/>
  <c r="B272" i="5"/>
  <c r="B265" i="5"/>
  <c r="B264" i="5"/>
  <c r="B263" i="5"/>
  <c r="B262" i="5"/>
  <c r="B257" i="5"/>
  <c r="B259" i="5"/>
  <c r="B258" i="5"/>
  <c r="B256" i="5"/>
  <c r="B255" i="5"/>
  <c r="B261" i="5"/>
  <c r="B260" i="5"/>
  <c r="B254" i="5"/>
  <c r="B253" i="5"/>
  <c r="B252" i="5"/>
  <c r="B249" i="5"/>
  <c r="B250" i="5"/>
  <c r="B251" i="5"/>
  <c r="B247" i="5"/>
  <c r="B248" i="5"/>
  <c r="B246" i="5"/>
  <c r="B245" i="5"/>
  <c r="B244" i="5"/>
  <c r="B243" i="5"/>
  <c r="B242" i="5"/>
  <c r="B241" i="5"/>
  <c r="B240" i="5"/>
  <c r="B239" i="5"/>
  <c r="B705" i="5"/>
  <c r="B706" i="5"/>
  <c r="B707" i="5"/>
  <c r="B708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19" i="5"/>
  <c r="B218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6" i="5"/>
  <c r="B187" i="5"/>
  <c r="B185" i="5"/>
  <c r="B184" i="5"/>
  <c r="B183" i="5"/>
  <c r="B182" i="5"/>
  <c r="B180" i="5"/>
  <c r="B181" i="5"/>
  <c r="B179" i="5"/>
  <c r="B172" i="5"/>
  <c r="B173" i="5"/>
  <c r="B174" i="5"/>
  <c r="B175" i="5"/>
  <c r="B176" i="5"/>
  <c r="B177" i="5"/>
  <c r="B178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7" i="5"/>
  <c r="B158" i="5"/>
  <c r="B156" i="5"/>
  <c r="B709" i="5"/>
  <c r="B154" i="5"/>
  <c r="B155" i="5"/>
  <c r="B153" i="5"/>
  <c r="B152" i="5"/>
  <c r="B151" i="5"/>
  <c r="B150" i="5"/>
  <c r="B143" i="5"/>
  <c r="B144" i="5"/>
  <c r="B145" i="5"/>
  <c r="B146" i="5"/>
  <c r="B147" i="5"/>
  <c r="B148" i="5"/>
  <c r="B149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09" i="5"/>
  <c r="B110" i="5"/>
  <c r="B111" i="5"/>
  <c r="B112" i="5"/>
  <c r="B113" i="5"/>
  <c r="B108" i="5"/>
  <c r="B106" i="5"/>
  <c r="B107" i="5"/>
  <c r="B102" i="5"/>
  <c r="B103" i="5"/>
  <c r="B104" i="5"/>
  <c r="B105" i="5"/>
  <c r="B101" i="5"/>
  <c r="B100" i="5"/>
  <c r="B98" i="5"/>
  <c r="B99" i="5"/>
  <c r="B97" i="5"/>
  <c r="B96" i="5"/>
  <c r="B94" i="5"/>
  <c r="B95" i="5"/>
  <c r="B93" i="5"/>
  <c r="B92" i="5"/>
  <c r="B91" i="5"/>
  <c r="B90" i="5"/>
  <c r="B89" i="5"/>
  <c r="B88" i="5"/>
  <c r="B87" i="5"/>
  <c r="B86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59" i="5"/>
  <c r="B58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33" i="5"/>
  <c r="B34" i="5"/>
  <c r="B57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2" i="5"/>
  <c r="B3" i="5"/>
  <c r="B4" i="5"/>
  <c r="B5" i="5"/>
  <c r="B6" i="5"/>
  <c r="B710" i="5"/>
  <c r="B713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700" i="5"/>
  <c r="F703" i="5" l="1"/>
  <c r="G703" i="5"/>
  <c r="H703" i="5"/>
  <c r="I703" i="5"/>
  <c r="F701" i="5"/>
  <c r="G701" i="5"/>
  <c r="H701" i="5"/>
  <c r="I701" i="5"/>
  <c r="F702" i="5"/>
  <c r="G702" i="5"/>
  <c r="H702" i="5"/>
  <c r="I702" i="5"/>
  <c r="F700" i="5"/>
  <c r="G700" i="5"/>
  <c r="H700" i="5"/>
  <c r="I700" i="5"/>
  <c r="F699" i="5"/>
  <c r="G699" i="5"/>
  <c r="H699" i="5"/>
  <c r="I699" i="5"/>
  <c r="F698" i="5"/>
  <c r="G698" i="5"/>
  <c r="H698" i="5"/>
  <c r="I698" i="5"/>
  <c r="F697" i="5"/>
  <c r="G697" i="5"/>
  <c r="H697" i="5"/>
  <c r="I697" i="5"/>
  <c r="F696" i="5"/>
  <c r="G696" i="5"/>
  <c r="H696" i="5"/>
  <c r="I696" i="5"/>
  <c r="F695" i="5"/>
  <c r="G695" i="5"/>
  <c r="H695" i="5"/>
  <c r="I695" i="5"/>
  <c r="F694" i="5"/>
  <c r="G694" i="5"/>
  <c r="H694" i="5"/>
  <c r="I694" i="5"/>
  <c r="F693" i="5"/>
  <c r="G693" i="5"/>
  <c r="H693" i="5"/>
  <c r="I693" i="5"/>
  <c r="F692" i="5"/>
  <c r="G692" i="5"/>
  <c r="H692" i="5"/>
  <c r="I692" i="5"/>
  <c r="F691" i="5"/>
  <c r="G691" i="5"/>
  <c r="H691" i="5"/>
  <c r="I691" i="5"/>
  <c r="F690" i="5"/>
  <c r="G690" i="5"/>
  <c r="H690" i="5"/>
  <c r="I690" i="5"/>
  <c r="F689" i="5"/>
  <c r="G689" i="5"/>
  <c r="H689" i="5"/>
  <c r="I689" i="5"/>
  <c r="F688" i="5"/>
  <c r="G688" i="5"/>
  <c r="H688" i="5"/>
  <c r="I688" i="5"/>
  <c r="F687" i="5"/>
  <c r="G687" i="5"/>
  <c r="H687" i="5"/>
  <c r="I687" i="5"/>
  <c r="F686" i="5"/>
  <c r="G686" i="5"/>
  <c r="H686" i="5"/>
  <c r="I686" i="5"/>
  <c r="F685" i="5"/>
  <c r="G685" i="5"/>
  <c r="H685" i="5"/>
  <c r="I685" i="5"/>
  <c r="F684" i="5"/>
  <c r="G684" i="5"/>
  <c r="H684" i="5"/>
  <c r="I684" i="5"/>
  <c r="F683" i="5"/>
  <c r="G683" i="5"/>
  <c r="H683" i="5"/>
  <c r="I683" i="5"/>
  <c r="F682" i="5"/>
  <c r="G682" i="5"/>
  <c r="H682" i="5"/>
  <c r="I682" i="5"/>
  <c r="F681" i="5"/>
  <c r="G681" i="5"/>
  <c r="H681" i="5"/>
  <c r="I681" i="5"/>
  <c r="F680" i="5"/>
  <c r="G680" i="5"/>
  <c r="H680" i="5"/>
  <c r="I680" i="5"/>
  <c r="F679" i="5"/>
  <c r="G679" i="5"/>
  <c r="H679" i="5"/>
  <c r="I679" i="5"/>
  <c r="F678" i="5"/>
  <c r="G678" i="5"/>
  <c r="H678" i="5"/>
  <c r="I678" i="5"/>
  <c r="F677" i="5"/>
  <c r="G677" i="5"/>
  <c r="H677" i="5"/>
  <c r="I677" i="5"/>
  <c r="F676" i="5"/>
  <c r="G676" i="5"/>
  <c r="H676" i="5"/>
  <c r="I676" i="5"/>
  <c r="F675" i="5"/>
  <c r="G675" i="5"/>
  <c r="H675" i="5"/>
  <c r="I675" i="5"/>
  <c r="F674" i="5"/>
  <c r="G674" i="5"/>
  <c r="H674" i="5"/>
  <c r="I674" i="5"/>
  <c r="F673" i="5"/>
  <c r="G673" i="5"/>
  <c r="H673" i="5"/>
  <c r="I673" i="5"/>
  <c r="F672" i="5"/>
  <c r="G672" i="5"/>
  <c r="H672" i="5"/>
  <c r="I672" i="5"/>
  <c r="F671" i="5"/>
  <c r="G671" i="5"/>
  <c r="H671" i="5"/>
  <c r="I671" i="5"/>
  <c r="F670" i="5"/>
  <c r="G670" i="5"/>
  <c r="H670" i="5"/>
  <c r="I670" i="5"/>
  <c r="F669" i="5"/>
  <c r="G669" i="5"/>
  <c r="H669" i="5"/>
  <c r="I669" i="5"/>
  <c r="F668" i="5"/>
  <c r="G668" i="5"/>
  <c r="H668" i="5"/>
  <c r="I668" i="5"/>
  <c r="F667" i="5"/>
  <c r="G667" i="5"/>
  <c r="H667" i="5"/>
  <c r="I667" i="5"/>
  <c r="F666" i="5"/>
  <c r="G666" i="5"/>
  <c r="H666" i="5"/>
  <c r="I666" i="5"/>
  <c r="F665" i="5"/>
  <c r="G665" i="5"/>
  <c r="H665" i="5"/>
  <c r="I665" i="5"/>
  <c r="F664" i="5"/>
  <c r="G664" i="5"/>
  <c r="H664" i="5"/>
  <c r="I664" i="5"/>
  <c r="F663" i="5"/>
  <c r="G663" i="5"/>
  <c r="H663" i="5"/>
  <c r="I663" i="5"/>
  <c r="F662" i="5"/>
  <c r="G662" i="5"/>
  <c r="H662" i="5"/>
  <c r="I662" i="5"/>
  <c r="F661" i="5"/>
  <c r="G661" i="5"/>
  <c r="H661" i="5"/>
  <c r="I661" i="5"/>
  <c r="F660" i="5"/>
  <c r="G660" i="5"/>
  <c r="H660" i="5"/>
  <c r="I660" i="5"/>
  <c r="F659" i="5"/>
  <c r="G659" i="5"/>
  <c r="H659" i="5"/>
  <c r="I659" i="5"/>
  <c r="F658" i="5"/>
  <c r="G658" i="5"/>
  <c r="H658" i="5"/>
  <c r="I658" i="5"/>
  <c r="F657" i="5"/>
  <c r="G657" i="5"/>
  <c r="H657" i="5"/>
  <c r="I657" i="5"/>
  <c r="F656" i="5"/>
  <c r="G656" i="5"/>
  <c r="H656" i="5"/>
  <c r="I656" i="5"/>
  <c r="F655" i="5"/>
  <c r="G655" i="5"/>
  <c r="H655" i="5"/>
  <c r="I655" i="5"/>
  <c r="F654" i="5"/>
  <c r="G654" i="5"/>
  <c r="H654" i="5"/>
  <c r="I654" i="5"/>
  <c r="F653" i="5"/>
  <c r="G653" i="5"/>
  <c r="H653" i="5"/>
  <c r="I653" i="5"/>
  <c r="F652" i="5"/>
  <c r="G652" i="5"/>
  <c r="H652" i="5"/>
  <c r="I652" i="5"/>
  <c r="F651" i="5"/>
  <c r="G651" i="5"/>
  <c r="H651" i="5"/>
  <c r="I651" i="5"/>
  <c r="F650" i="5"/>
  <c r="G650" i="5"/>
  <c r="H650" i="5"/>
  <c r="I650" i="5"/>
  <c r="F649" i="5"/>
  <c r="G649" i="5"/>
  <c r="H649" i="5"/>
  <c r="I649" i="5"/>
  <c r="F648" i="5"/>
  <c r="G648" i="5"/>
  <c r="H648" i="5"/>
  <c r="I648" i="5"/>
  <c r="F647" i="5"/>
  <c r="G647" i="5"/>
  <c r="H647" i="5"/>
  <c r="I647" i="5"/>
  <c r="F646" i="5"/>
  <c r="G646" i="5"/>
  <c r="H646" i="5"/>
  <c r="I646" i="5"/>
  <c r="F645" i="5"/>
  <c r="G645" i="5"/>
  <c r="H645" i="5"/>
  <c r="I645" i="5"/>
  <c r="F644" i="5"/>
  <c r="G644" i="5"/>
  <c r="H644" i="5"/>
  <c r="I644" i="5"/>
  <c r="F643" i="5"/>
  <c r="G643" i="5"/>
  <c r="H643" i="5"/>
  <c r="I643" i="5"/>
  <c r="F642" i="5"/>
  <c r="G642" i="5"/>
  <c r="H642" i="5"/>
  <c r="I642" i="5"/>
  <c r="F641" i="5"/>
  <c r="G641" i="5"/>
  <c r="H641" i="5"/>
  <c r="I641" i="5"/>
  <c r="F640" i="5"/>
  <c r="G640" i="5"/>
  <c r="H640" i="5"/>
  <c r="I640" i="5"/>
  <c r="F639" i="5"/>
  <c r="G639" i="5"/>
  <c r="H639" i="5"/>
  <c r="I639" i="5"/>
  <c r="F638" i="5"/>
  <c r="G638" i="5"/>
  <c r="H638" i="5"/>
  <c r="I638" i="5"/>
  <c r="F637" i="5"/>
  <c r="G637" i="5"/>
  <c r="H637" i="5"/>
  <c r="I637" i="5"/>
  <c r="F636" i="5"/>
  <c r="G636" i="5"/>
  <c r="H636" i="5"/>
  <c r="I636" i="5"/>
  <c r="F635" i="5"/>
  <c r="G635" i="5"/>
  <c r="H635" i="5"/>
  <c r="I635" i="5"/>
  <c r="F634" i="5"/>
  <c r="G634" i="5"/>
  <c r="H634" i="5"/>
  <c r="I634" i="5"/>
  <c r="F633" i="5"/>
  <c r="G633" i="5"/>
  <c r="H633" i="5"/>
  <c r="I633" i="5"/>
  <c r="F632" i="5"/>
  <c r="G632" i="5"/>
  <c r="H632" i="5"/>
  <c r="I632" i="5"/>
  <c r="F631" i="5"/>
  <c r="G631" i="5"/>
  <c r="H631" i="5"/>
  <c r="I631" i="5"/>
  <c r="F630" i="5"/>
  <c r="G630" i="5"/>
  <c r="H630" i="5"/>
  <c r="I630" i="5"/>
  <c r="F629" i="5"/>
  <c r="G629" i="5"/>
  <c r="H629" i="5"/>
  <c r="I629" i="5"/>
  <c r="F628" i="5"/>
  <c r="G628" i="5"/>
  <c r="H628" i="5"/>
  <c r="I628" i="5"/>
  <c r="F627" i="5"/>
  <c r="G627" i="5"/>
  <c r="H627" i="5"/>
  <c r="I627" i="5"/>
  <c r="F626" i="5"/>
  <c r="G626" i="5"/>
  <c r="H626" i="5"/>
  <c r="I626" i="5"/>
  <c r="F625" i="5"/>
  <c r="G625" i="5"/>
  <c r="H625" i="5"/>
  <c r="I625" i="5"/>
  <c r="F624" i="5"/>
  <c r="G624" i="5"/>
  <c r="H624" i="5"/>
  <c r="I624" i="5"/>
  <c r="F623" i="5"/>
  <c r="G623" i="5"/>
  <c r="H623" i="5"/>
  <c r="I623" i="5"/>
  <c r="F622" i="5"/>
  <c r="G622" i="5"/>
  <c r="H622" i="5"/>
  <c r="I622" i="5"/>
  <c r="F621" i="5"/>
  <c r="G621" i="5"/>
  <c r="H621" i="5"/>
  <c r="I621" i="5"/>
  <c r="F620" i="5"/>
  <c r="G620" i="5"/>
  <c r="H620" i="5"/>
  <c r="I620" i="5"/>
  <c r="F619" i="5"/>
  <c r="G619" i="5"/>
  <c r="H619" i="5"/>
  <c r="I619" i="5"/>
  <c r="F618" i="5"/>
  <c r="G618" i="5"/>
  <c r="H618" i="5"/>
  <c r="I618" i="5"/>
  <c r="F617" i="5"/>
  <c r="G617" i="5"/>
  <c r="H617" i="5"/>
  <c r="I617" i="5"/>
  <c r="F616" i="5"/>
  <c r="G616" i="5"/>
  <c r="H616" i="5"/>
  <c r="I616" i="5"/>
  <c r="F615" i="5"/>
  <c r="G615" i="5"/>
  <c r="H615" i="5"/>
  <c r="I615" i="5"/>
  <c r="F614" i="5"/>
  <c r="G614" i="5"/>
  <c r="H614" i="5"/>
  <c r="I614" i="5"/>
  <c r="F613" i="5"/>
  <c r="G613" i="5"/>
  <c r="H613" i="5"/>
  <c r="I613" i="5"/>
  <c r="F612" i="5"/>
  <c r="G612" i="5"/>
  <c r="H612" i="5"/>
  <c r="I612" i="5"/>
  <c r="F611" i="5"/>
  <c r="G611" i="5"/>
  <c r="H611" i="5"/>
  <c r="I611" i="5"/>
  <c r="F610" i="5"/>
  <c r="G610" i="5"/>
  <c r="H610" i="5"/>
  <c r="I610" i="5"/>
  <c r="F609" i="5"/>
  <c r="G609" i="5"/>
  <c r="H609" i="5"/>
  <c r="I609" i="5"/>
  <c r="F608" i="5"/>
  <c r="G608" i="5"/>
  <c r="H608" i="5"/>
  <c r="I608" i="5"/>
  <c r="F607" i="5"/>
  <c r="G607" i="5"/>
  <c r="H607" i="5"/>
  <c r="I607" i="5"/>
  <c r="F606" i="5"/>
  <c r="G606" i="5"/>
  <c r="H606" i="5"/>
  <c r="I606" i="5"/>
  <c r="F605" i="5"/>
  <c r="G605" i="5"/>
  <c r="H605" i="5"/>
  <c r="I605" i="5"/>
  <c r="F604" i="5"/>
  <c r="G604" i="5"/>
  <c r="H604" i="5"/>
  <c r="I604" i="5"/>
  <c r="F603" i="5"/>
  <c r="G603" i="5"/>
  <c r="H603" i="5"/>
  <c r="I603" i="5"/>
  <c r="F602" i="5"/>
  <c r="G602" i="5"/>
  <c r="H602" i="5"/>
  <c r="I602" i="5"/>
  <c r="F601" i="5"/>
  <c r="G601" i="5"/>
  <c r="H601" i="5"/>
  <c r="I601" i="5"/>
  <c r="F600" i="5"/>
  <c r="G600" i="5"/>
  <c r="H600" i="5"/>
  <c r="I600" i="5"/>
  <c r="F599" i="5"/>
  <c r="G599" i="5"/>
  <c r="H599" i="5"/>
  <c r="I599" i="5"/>
  <c r="F598" i="5"/>
  <c r="G598" i="5"/>
  <c r="H598" i="5"/>
  <c r="I598" i="5"/>
  <c r="F597" i="5"/>
  <c r="G597" i="5"/>
  <c r="H597" i="5"/>
  <c r="I597" i="5"/>
  <c r="F596" i="5"/>
  <c r="G596" i="5"/>
  <c r="H596" i="5"/>
  <c r="I596" i="5"/>
  <c r="F595" i="5"/>
  <c r="G595" i="5"/>
  <c r="H595" i="5"/>
  <c r="I595" i="5"/>
  <c r="F594" i="5"/>
  <c r="G594" i="5"/>
  <c r="H594" i="5"/>
  <c r="I594" i="5"/>
  <c r="F593" i="5"/>
  <c r="G593" i="5"/>
  <c r="H593" i="5"/>
  <c r="I593" i="5"/>
  <c r="F592" i="5"/>
  <c r="G592" i="5"/>
  <c r="H592" i="5"/>
  <c r="I592" i="5"/>
  <c r="F591" i="5"/>
  <c r="G591" i="5"/>
  <c r="H591" i="5"/>
  <c r="I591" i="5"/>
  <c r="F590" i="5"/>
  <c r="G590" i="5"/>
  <c r="H590" i="5"/>
  <c r="I590" i="5"/>
  <c r="F589" i="5"/>
  <c r="G589" i="5"/>
  <c r="H589" i="5"/>
  <c r="I589" i="5"/>
  <c r="F588" i="5"/>
  <c r="G588" i="5"/>
  <c r="H588" i="5"/>
  <c r="I588" i="5"/>
  <c r="F587" i="5"/>
  <c r="G587" i="5"/>
  <c r="H587" i="5"/>
  <c r="I587" i="5"/>
  <c r="F586" i="5"/>
  <c r="G586" i="5"/>
  <c r="H586" i="5"/>
  <c r="I586" i="5"/>
  <c r="F585" i="5"/>
  <c r="G585" i="5"/>
  <c r="H585" i="5"/>
  <c r="I585" i="5"/>
  <c r="F584" i="5"/>
  <c r="G584" i="5"/>
  <c r="H584" i="5"/>
  <c r="I584" i="5"/>
  <c r="F583" i="5"/>
  <c r="G583" i="5"/>
  <c r="H583" i="5"/>
  <c r="I583" i="5"/>
  <c r="F582" i="5"/>
  <c r="G582" i="5"/>
  <c r="H582" i="5"/>
  <c r="I582" i="5"/>
  <c r="F581" i="5"/>
  <c r="G581" i="5"/>
  <c r="H581" i="5"/>
  <c r="I581" i="5"/>
  <c r="F580" i="5"/>
  <c r="G580" i="5"/>
  <c r="H580" i="5"/>
  <c r="I580" i="5"/>
  <c r="F579" i="5"/>
  <c r="G579" i="5"/>
  <c r="H579" i="5"/>
  <c r="I579" i="5"/>
  <c r="F578" i="5"/>
  <c r="G578" i="5"/>
  <c r="H578" i="5"/>
  <c r="I578" i="5"/>
  <c r="F577" i="5"/>
  <c r="G577" i="5"/>
  <c r="H577" i="5"/>
  <c r="I577" i="5"/>
  <c r="F576" i="5"/>
  <c r="G576" i="5"/>
  <c r="H576" i="5"/>
  <c r="I576" i="5"/>
  <c r="F575" i="5"/>
  <c r="G575" i="5"/>
  <c r="H575" i="5"/>
  <c r="I575" i="5"/>
  <c r="F574" i="5"/>
  <c r="G574" i="5"/>
  <c r="H574" i="5"/>
  <c r="I574" i="5"/>
  <c r="F573" i="5"/>
  <c r="G573" i="5"/>
  <c r="H573" i="5"/>
  <c r="I573" i="5"/>
  <c r="F572" i="5"/>
  <c r="G572" i="5"/>
  <c r="H572" i="5"/>
  <c r="I572" i="5"/>
  <c r="F571" i="5"/>
  <c r="G571" i="5"/>
  <c r="H571" i="5"/>
  <c r="I571" i="5"/>
  <c r="F570" i="5"/>
  <c r="G570" i="5"/>
  <c r="H570" i="5"/>
  <c r="I570" i="5"/>
  <c r="F569" i="5"/>
  <c r="G569" i="5"/>
  <c r="H569" i="5"/>
  <c r="I569" i="5"/>
  <c r="F568" i="5"/>
  <c r="G568" i="5"/>
  <c r="H568" i="5"/>
  <c r="I568" i="5"/>
  <c r="F567" i="5"/>
  <c r="G567" i="5"/>
  <c r="H567" i="5"/>
  <c r="I567" i="5"/>
  <c r="F566" i="5"/>
  <c r="G566" i="5"/>
  <c r="H566" i="5"/>
  <c r="I566" i="5"/>
  <c r="F565" i="5"/>
  <c r="G565" i="5"/>
  <c r="H565" i="5"/>
  <c r="I565" i="5"/>
  <c r="F564" i="5"/>
  <c r="G564" i="5"/>
  <c r="H564" i="5"/>
  <c r="I564" i="5"/>
  <c r="F563" i="5"/>
  <c r="G563" i="5"/>
  <c r="H563" i="5"/>
  <c r="I563" i="5"/>
  <c r="F562" i="5"/>
  <c r="G562" i="5"/>
  <c r="H562" i="5"/>
  <c r="I562" i="5"/>
  <c r="F561" i="5"/>
  <c r="G561" i="5"/>
  <c r="H561" i="5"/>
  <c r="I561" i="5"/>
  <c r="F560" i="5"/>
  <c r="G560" i="5"/>
  <c r="H560" i="5"/>
  <c r="I560" i="5"/>
  <c r="F559" i="5"/>
  <c r="G559" i="5"/>
  <c r="H559" i="5"/>
  <c r="I559" i="5"/>
  <c r="F558" i="5"/>
  <c r="G558" i="5"/>
  <c r="H558" i="5"/>
  <c r="I558" i="5"/>
  <c r="F557" i="5"/>
  <c r="G557" i="5"/>
  <c r="H557" i="5"/>
  <c r="I557" i="5"/>
  <c r="F556" i="5"/>
  <c r="G556" i="5"/>
  <c r="H556" i="5"/>
  <c r="I556" i="5"/>
  <c r="F555" i="5"/>
  <c r="G555" i="5"/>
  <c r="H555" i="5"/>
  <c r="I555" i="5"/>
  <c r="F554" i="5"/>
  <c r="G554" i="5"/>
  <c r="H554" i="5"/>
  <c r="I554" i="5"/>
  <c r="F553" i="5"/>
  <c r="G553" i="5"/>
  <c r="H553" i="5"/>
  <c r="I553" i="5"/>
  <c r="F552" i="5"/>
  <c r="G552" i="5"/>
  <c r="H552" i="5"/>
  <c r="I552" i="5"/>
  <c r="F551" i="5"/>
  <c r="G551" i="5"/>
  <c r="H551" i="5"/>
  <c r="I551" i="5"/>
  <c r="F550" i="5"/>
  <c r="G550" i="5"/>
  <c r="H550" i="5"/>
  <c r="I550" i="5"/>
  <c r="F549" i="5"/>
  <c r="G549" i="5"/>
  <c r="H549" i="5"/>
  <c r="I549" i="5"/>
  <c r="F548" i="5"/>
  <c r="G548" i="5"/>
  <c r="H548" i="5"/>
  <c r="I548" i="5"/>
  <c r="F547" i="5"/>
  <c r="G547" i="5"/>
  <c r="H547" i="5"/>
  <c r="I547" i="5"/>
  <c r="F546" i="5"/>
  <c r="G546" i="5"/>
  <c r="H546" i="5"/>
  <c r="I546" i="5"/>
  <c r="F545" i="5"/>
  <c r="G545" i="5"/>
  <c r="H545" i="5"/>
  <c r="I545" i="5"/>
  <c r="F544" i="5"/>
  <c r="G544" i="5"/>
  <c r="H544" i="5"/>
  <c r="I544" i="5"/>
  <c r="F543" i="5"/>
  <c r="G543" i="5"/>
  <c r="H543" i="5"/>
  <c r="I543" i="5"/>
  <c r="F542" i="5"/>
  <c r="G542" i="5"/>
  <c r="H542" i="5"/>
  <c r="I542" i="5"/>
  <c r="F541" i="5"/>
  <c r="G541" i="5"/>
  <c r="H541" i="5"/>
  <c r="I541" i="5"/>
  <c r="F540" i="5"/>
  <c r="G540" i="5"/>
  <c r="H540" i="5"/>
  <c r="I540" i="5"/>
  <c r="F539" i="5"/>
  <c r="G539" i="5"/>
  <c r="H539" i="5"/>
  <c r="I539" i="5"/>
  <c r="F538" i="5"/>
  <c r="G538" i="5"/>
  <c r="H538" i="5"/>
  <c r="I538" i="5"/>
  <c r="F537" i="5"/>
  <c r="G537" i="5"/>
  <c r="H537" i="5"/>
  <c r="I537" i="5"/>
  <c r="F536" i="5"/>
  <c r="G536" i="5"/>
  <c r="H536" i="5"/>
  <c r="I536" i="5"/>
  <c r="F535" i="5"/>
  <c r="G535" i="5"/>
  <c r="H535" i="5"/>
  <c r="I535" i="5"/>
  <c r="F534" i="5"/>
  <c r="G534" i="5"/>
  <c r="H534" i="5"/>
  <c r="I534" i="5"/>
  <c r="F533" i="5"/>
  <c r="G533" i="5"/>
  <c r="H533" i="5"/>
  <c r="I533" i="5"/>
  <c r="F532" i="5"/>
  <c r="G532" i="5"/>
  <c r="H532" i="5"/>
  <c r="I532" i="5"/>
  <c r="F531" i="5"/>
  <c r="G531" i="5"/>
  <c r="H531" i="5"/>
  <c r="I531" i="5"/>
  <c r="F530" i="5"/>
  <c r="G530" i="5"/>
  <c r="H530" i="5"/>
  <c r="I530" i="5"/>
  <c r="F529" i="5"/>
  <c r="G529" i="5"/>
  <c r="H529" i="5"/>
  <c r="I529" i="5"/>
  <c r="F528" i="5"/>
  <c r="G528" i="5"/>
  <c r="H528" i="5"/>
  <c r="I528" i="5"/>
  <c r="F527" i="5"/>
  <c r="G527" i="5"/>
  <c r="H527" i="5"/>
  <c r="I527" i="5"/>
  <c r="F526" i="5"/>
  <c r="G526" i="5"/>
  <c r="H526" i="5"/>
  <c r="I526" i="5"/>
  <c r="F525" i="5"/>
  <c r="G525" i="5"/>
  <c r="H525" i="5"/>
  <c r="I525" i="5"/>
  <c r="F524" i="5"/>
  <c r="G524" i="5"/>
  <c r="H524" i="5"/>
  <c r="I524" i="5"/>
  <c r="F523" i="5"/>
  <c r="G523" i="5"/>
  <c r="H523" i="5"/>
  <c r="I523" i="5"/>
  <c r="F522" i="5"/>
  <c r="G522" i="5"/>
  <c r="H522" i="5"/>
  <c r="I522" i="5"/>
  <c r="F521" i="5"/>
  <c r="G521" i="5"/>
  <c r="H521" i="5"/>
  <c r="I521" i="5"/>
  <c r="F520" i="5"/>
  <c r="G520" i="5"/>
  <c r="H520" i="5"/>
  <c r="I520" i="5"/>
  <c r="F519" i="5"/>
  <c r="G519" i="5"/>
  <c r="H519" i="5"/>
  <c r="I519" i="5"/>
  <c r="F518" i="5"/>
  <c r="G518" i="5"/>
  <c r="H518" i="5"/>
  <c r="I518" i="5"/>
  <c r="F517" i="5"/>
  <c r="G517" i="5"/>
  <c r="H517" i="5"/>
  <c r="I517" i="5"/>
  <c r="F516" i="5"/>
  <c r="G516" i="5"/>
  <c r="H516" i="5"/>
  <c r="I516" i="5"/>
  <c r="F515" i="5"/>
  <c r="G515" i="5"/>
  <c r="H515" i="5"/>
  <c r="I515" i="5"/>
  <c r="F514" i="5"/>
  <c r="G514" i="5"/>
  <c r="H514" i="5"/>
  <c r="I514" i="5"/>
  <c r="F513" i="5"/>
  <c r="G513" i="5"/>
  <c r="H513" i="5"/>
  <c r="I513" i="5"/>
  <c r="F512" i="5"/>
  <c r="G512" i="5"/>
  <c r="H512" i="5"/>
  <c r="I512" i="5"/>
  <c r="F511" i="5"/>
  <c r="G511" i="5"/>
  <c r="H511" i="5"/>
  <c r="I511" i="5"/>
  <c r="F510" i="5"/>
  <c r="G510" i="5"/>
  <c r="H510" i="5"/>
  <c r="I510" i="5"/>
  <c r="F509" i="5"/>
  <c r="G509" i="5"/>
  <c r="H509" i="5"/>
  <c r="I509" i="5"/>
  <c r="F508" i="5"/>
  <c r="G508" i="5"/>
  <c r="H508" i="5"/>
  <c r="I508" i="5"/>
  <c r="F507" i="5"/>
  <c r="G507" i="5"/>
  <c r="H507" i="5"/>
  <c r="I507" i="5"/>
  <c r="F506" i="5"/>
  <c r="G506" i="5"/>
  <c r="H506" i="5"/>
  <c r="I506" i="5"/>
  <c r="F505" i="5"/>
  <c r="G505" i="5"/>
  <c r="H505" i="5"/>
  <c r="I505" i="5"/>
  <c r="F504" i="5"/>
  <c r="G504" i="5"/>
  <c r="H504" i="5"/>
  <c r="I504" i="5"/>
  <c r="F503" i="5"/>
  <c r="G503" i="5"/>
  <c r="H503" i="5"/>
  <c r="I503" i="5"/>
  <c r="F502" i="5"/>
  <c r="G502" i="5"/>
  <c r="H502" i="5"/>
  <c r="I502" i="5"/>
  <c r="F501" i="5"/>
  <c r="G501" i="5"/>
  <c r="H501" i="5"/>
  <c r="I501" i="5"/>
  <c r="F500" i="5"/>
  <c r="G500" i="5"/>
  <c r="H500" i="5"/>
  <c r="I500" i="5"/>
  <c r="F499" i="5"/>
  <c r="G499" i="5"/>
  <c r="H499" i="5"/>
  <c r="I499" i="5"/>
  <c r="F498" i="5"/>
  <c r="G498" i="5"/>
  <c r="H498" i="5"/>
  <c r="I498" i="5"/>
  <c r="F497" i="5"/>
  <c r="G497" i="5"/>
  <c r="H497" i="5"/>
  <c r="I497" i="5"/>
  <c r="F496" i="5"/>
  <c r="G496" i="5"/>
  <c r="H496" i="5"/>
  <c r="I496" i="5"/>
  <c r="F495" i="5"/>
  <c r="G495" i="5"/>
  <c r="H495" i="5"/>
  <c r="I495" i="5"/>
  <c r="F494" i="5"/>
  <c r="G494" i="5"/>
  <c r="H494" i="5"/>
  <c r="I494" i="5"/>
  <c r="F493" i="5"/>
  <c r="G493" i="5"/>
  <c r="H493" i="5"/>
  <c r="I493" i="5"/>
  <c r="F492" i="5"/>
  <c r="G492" i="5"/>
  <c r="H492" i="5"/>
  <c r="I492" i="5"/>
  <c r="F491" i="5"/>
  <c r="G491" i="5"/>
  <c r="H491" i="5"/>
  <c r="I491" i="5"/>
  <c r="F490" i="5"/>
  <c r="G490" i="5"/>
  <c r="H490" i="5"/>
  <c r="I490" i="5"/>
  <c r="F489" i="5"/>
  <c r="G489" i="5"/>
  <c r="H489" i="5"/>
  <c r="I489" i="5"/>
  <c r="F488" i="5"/>
  <c r="G488" i="5"/>
  <c r="H488" i="5"/>
  <c r="I488" i="5"/>
  <c r="F487" i="5"/>
  <c r="G487" i="5"/>
  <c r="H487" i="5"/>
  <c r="I487" i="5"/>
  <c r="F486" i="5"/>
  <c r="G486" i="5"/>
  <c r="H486" i="5"/>
  <c r="I486" i="5"/>
  <c r="F485" i="5"/>
  <c r="G485" i="5"/>
  <c r="H485" i="5"/>
  <c r="I485" i="5"/>
  <c r="F484" i="5"/>
  <c r="G484" i="5"/>
  <c r="H484" i="5"/>
  <c r="I484" i="5"/>
  <c r="F483" i="5"/>
  <c r="G483" i="5"/>
  <c r="H483" i="5"/>
  <c r="I483" i="5"/>
  <c r="F482" i="5"/>
  <c r="G482" i="5"/>
  <c r="H482" i="5"/>
  <c r="I482" i="5"/>
  <c r="F481" i="5"/>
  <c r="G481" i="5"/>
  <c r="H481" i="5"/>
  <c r="I481" i="5"/>
  <c r="F480" i="5"/>
  <c r="G480" i="5"/>
  <c r="H480" i="5"/>
  <c r="I480" i="5"/>
  <c r="F479" i="5"/>
  <c r="G479" i="5"/>
  <c r="H479" i="5"/>
  <c r="I479" i="5"/>
  <c r="F478" i="5"/>
  <c r="G478" i="5"/>
  <c r="H478" i="5"/>
  <c r="I478" i="5"/>
  <c r="F477" i="5"/>
  <c r="G477" i="5"/>
  <c r="H477" i="5"/>
  <c r="I477" i="5"/>
  <c r="F476" i="5"/>
  <c r="G476" i="5"/>
  <c r="H476" i="5"/>
  <c r="I476" i="5"/>
  <c r="F475" i="5"/>
  <c r="G475" i="5"/>
  <c r="H475" i="5"/>
  <c r="I475" i="5"/>
  <c r="F474" i="5"/>
  <c r="G474" i="5"/>
  <c r="H474" i="5"/>
  <c r="I474" i="5"/>
  <c r="F473" i="5"/>
  <c r="G473" i="5"/>
  <c r="H473" i="5"/>
  <c r="I473" i="5"/>
  <c r="F472" i="5"/>
  <c r="G472" i="5"/>
  <c r="H472" i="5"/>
  <c r="I472" i="5"/>
  <c r="F471" i="5"/>
  <c r="G471" i="5"/>
  <c r="H471" i="5"/>
  <c r="I471" i="5"/>
  <c r="F470" i="5"/>
  <c r="G470" i="5"/>
  <c r="H470" i="5"/>
  <c r="I470" i="5"/>
  <c r="F469" i="5"/>
  <c r="G469" i="5"/>
  <c r="H469" i="5"/>
  <c r="I469" i="5"/>
  <c r="F468" i="5"/>
  <c r="G468" i="5"/>
  <c r="H468" i="5"/>
  <c r="I468" i="5"/>
  <c r="F467" i="5"/>
  <c r="G467" i="5"/>
  <c r="H467" i="5"/>
  <c r="I467" i="5"/>
  <c r="F466" i="5"/>
  <c r="G466" i="5"/>
  <c r="H466" i="5"/>
  <c r="I466" i="5"/>
  <c r="F465" i="5"/>
  <c r="G465" i="5"/>
  <c r="H465" i="5"/>
  <c r="I465" i="5"/>
  <c r="F464" i="5"/>
  <c r="G464" i="5"/>
  <c r="H464" i="5"/>
  <c r="I464" i="5"/>
  <c r="F463" i="5"/>
  <c r="G463" i="5"/>
  <c r="H463" i="5"/>
  <c r="I463" i="5"/>
  <c r="F462" i="5"/>
  <c r="G462" i="5"/>
  <c r="H462" i="5"/>
  <c r="I462" i="5"/>
  <c r="F461" i="5"/>
  <c r="G461" i="5"/>
  <c r="H461" i="5"/>
  <c r="I461" i="5"/>
  <c r="F460" i="5"/>
  <c r="G460" i="5"/>
  <c r="H460" i="5"/>
  <c r="I460" i="5"/>
  <c r="F459" i="5"/>
  <c r="G459" i="5"/>
  <c r="H459" i="5"/>
  <c r="I459" i="5"/>
  <c r="F458" i="5"/>
  <c r="G458" i="5"/>
  <c r="H458" i="5"/>
  <c r="I458" i="5"/>
  <c r="F457" i="5"/>
  <c r="G457" i="5"/>
  <c r="H457" i="5"/>
  <c r="I457" i="5"/>
  <c r="F456" i="5"/>
  <c r="G456" i="5"/>
  <c r="H456" i="5"/>
  <c r="I456" i="5"/>
  <c r="F455" i="5"/>
  <c r="G455" i="5"/>
  <c r="H455" i="5"/>
  <c r="I455" i="5"/>
  <c r="F454" i="5"/>
  <c r="G454" i="5"/>
  <c r="H454" i="5"/>
  <c r="I454" i="5"/>
  <c r="F453" i="5"/>
  <c r="G453" i="5"/>
  <c r="H453" i="5"/>
  <c r="I453" i="5"/>
  <c r="F452" i="5"/>
  <c r="G452" i="5"/>
  <c r="H452" i="5"/>
  <c r="I452" i="5"/>
  <c r="F451" i="5"/>
  <c r="G451" i="5"/>
  <c r="H451" i="5"/>
  <c r="I451" i="5"/>
  <c r="F450" i="5"/>
  <c r="G450" i="5"/>
  <c r="H450" i="5"/>
  <c r="I450" i="5"/>
  <c r="F449" i="5"/>
  <c r="G449" i="5"/>
  <c r="H449" i="5"/>
  <c r="I449" i="5"/>
  <c r="F448" i="5"/>
  <c r="G448" i="5"/>
  <c r="H448" i="5"/>
  <c r="I448" i="5"/>
  <c r="F447" i="5"/>
  <c r="G447" i="5"/>
  <c r="H447" i="5"/>
  <c r="I447" i="5"/>
  <c r="F446" i="5"/>
  <c r="G446" i="5"/>
  <c r="H446" i="5"/>
  <c r="I446" i="5"/>
  <c r="F445" i="5"/>
  <c r="G445" i="5"/>
  <c r="H445" i="5"/>
  <c r="I445" i="5"/>
  <c r="F444" i="5"/>
  <c r="G444" i="5"/>
  <c r="H444" i="5"/>
  <c r="I444" i="5"/>
  <c r="F443" i="5"/>
  <c r="G443" i="5"/>
  <c r="H443" i="5"/>
  <c r="I443" i="5"/>
  <c r="F442" i="5"/>
  <c r="G442" i="5"/>
  <c r="H442" i="5"/>
  <c r="I442" i="5"/>
  <c r="F441" i="5"/>
  <c r="G441" i="5"/>
  <c r="H441" i="5"/>
  <c r="I441" i="5"/>
  <c r="F440" i="5"/>
  <c r="G440" i="5"/>
  <c r="H440" i="5"/>
  <c r="I440" i="5"/>
  <c r="F439" i="5"/>
  <c r="G439" i="5"/>
  <c r="H439" i="5"/>
  <c r="I439" i="5"/>
  <c r="F438" i="5"/>
  <c r="G438" i="5"/>
  <c r="H438" i="5"/>
  <c r="I438" i="5"/>
  <c r="F437" i="5"/>
  <c r="G437" i="5"/>
  <c r="H437" i="5"/>
  <c r="I437" i="5"/>
  <c r="F436" i="5"/>
  <c r="G436" i="5"/>
  <c r="H436" i="5"/>
  <c r="I436" i="5"/>
  <c r="F435" i="5"/>
  <c r="G435" i="5"/>
  <c r="H435" i="5"/>
  <c r="I435" i="5"/>
  <c r="F434" i="5"/>
  <c r="G434" i="5"/>
  <c r="H434" i="5"/>
  <c r="I434" i="5"/>
  <c r="F433" i="5"/>
  <c r="G433" i="5"/>
  <c r="H433" i="5"/>
  <c r="I433" i="5"/>
  <c r="F432" i="5"/>
  <c r="G432" i="5"/>
  <c r="H432" i="5"/>
  <c r="I432" i="5"/>
  <c r="F431" i="5"/>
  <c r="G431" i="5"/>
  <c r="H431" i="5"/>
  <c r="I431" i="5"/>
  <c r="F430" i="5"/>
  <c r="G430" i="5"/>
  <c r="H430" i="5"/>
  <c r="I430" i="5"/>
  <c r="F429" i="5"/>
  <c r="G429" i="5"/>
  <c r="H429" i="5"/>
  <c r="I429" i="5"/>
  <c r="F428" i="5"/>
  <c r="G428" i="5"/>
  <c r="H428" i="5"/>
  <c r="I428" i="5"/>
  <c r="F427" i="5"/>
  <c r="G427" i="5"/>
  <c r="H427" i="5"/>
  <c r="I427" i="5"/>
  <c r="F426" i="5"/>
  <c r="G426" i="5"/>
  <c r="H426" i="5"/>
  <c r="I426" i="5"/>
  <c r="F425" i="5"/>
  <c r="G425" i="5"/>
  <c r="H425" i="5"/>
  <c r="I425" i="5"/>
  <c r="F424" i="5"/>
  <c r="G424" i="5"/>
  <c r="H424" i="5"/>
  <c r="I424" i="5"/>
  <c r="F423" i="5"/>
  <c r="G423" i="5"/>
  <c r="H423" i="5"/>
  <c r="I423" i="5"/>
  <c r="F422" i="5"/>
  <c r="G422" i="5"/>
  <c r="H422" i="5"/>
  <c r="I422" i="5"/>
  <c r="F421" i="5"/>
  <c r="G421" i="5"/>
  <c r="H421" i="5"/>
  <c r="I421" i="5"/>
  <c r="F420" i="5"/>
  <c r="G420" i="5"/>
  <c r="H420" i="5"/>
  <c r="I420" i="5"/>
  <c r="F419" i="5"/>
  <c r="G419" i="5"/>
  <c r="H419" i="5"/>
  <c r="I419" i="5"/>
  <c r="F418" i="5"/>
  <c r="G418" i="5"/>
  <c r="H418" i="5"/>
  <c r="I418" i="5"/>
  <c r="F417" i="5"/>
  <c r="G417" i="5"/>
  <c r="H417" i="5"/>
  <c r="I417" i="5"/>
  <c r="F416" i="5"/>
  <c r="G416" i="5"/>
  <c r="H416" i="5"/>
  <c r="I416" i="5"/>
  <c r="F415" i="5"/>
  <c r="G415" i="5"/>
  <c r="H415" i="5"/>
  <c r="I415" i="5"/>
  <c r="F414" i="5"/>
  <c r="G414" i="5"/>
  <c r="H414" i="5"/>
  <c r="I414" i="5"/>
  <c r="F413" i="5"/>
  <c r="G413" i="5"/>
  <c r="H413" i="5"/>
  <c r="I413" i="5"/>
  <c r="F412" i="5"/>
  <c r="G412" i="5"/>
  <c r="H412" i="5"/>
  <c r="I412" i="5"/>
  <c r="F411" i="5"/>
  <c r="G411" i="5"/>
  <c r="H411" i="5"/>
  <c r="I411" i="5"/>
  <c r="F410" i="5"/>
  <c r="G410" i="5"/>
  <c r="H410" i="5"/>
  <c r="I410" i="5"/>
  <c r="F409" i="5"/>
  <c r="G409" i="5"/>
  <c r="H409" i="5"/>
  <c r="I409" i="5"/>
  <c r="F408" i="5"/>
  <c r="G408" i="5"/>
  <c r="H408" i="5"/>
  <c r="I408" i="5"/>
  <c r="F407" i="5"/>
  <c r="G407" i="5"/>
  <c r="H407" i="5"/>
  <c r="I407" i="5"/>
  <c r="F406" i="5"/>
  <c r="G406" i="5"/>
  <c r="H406" i="5"/>
  <c r="I406" i="5"/>
  <c r="F405" i="5"/>
  <c r="G405" i="5"/>
  <c r="H405" i="5"/>
  <c r="I405" i="5"/>
  <c r="F404" i="5"/>
  <c r="G404" i="5"/>
  <c r="H404" i="5"/>
  <c r="I404" i="5"/>
  <c r="F403" i="5"/>
  <c r="G403" i="5"/>
  <c r="H403" i="5"/>
  <c r="I403" i="5"/>
  <c r="F402" i="5"/>
  <c r="G402" i="5"/>
  <c r="H402" i="5"/>
  <c r="I402" i="5"/>
  <c r="F401" i="5"/>
  <c r="G401" i="5"/>
  <c r="H401" i="5"/>
  <c r="I401" i="5"/>
  <c r="F400" i="5"/>
  <c r="G400" i="5"/>
  <c r="H400" i="5"/>
  <c r="I400" i="5"/>
  <c r="F399" i="5"/>
  <c r="G399" i="5"/>
  <c r="H399" i="5"/>
  <c r="I399" i="5"/>
  <c r="F398" i="5"/>
  <c r="G398" i="5"/>
  <c r="H398" i="5"/>
  <c r="I398" i="5"/>
  <c r="F397" i="5"/>
  <c r="G397" i="5"/>
  <c r="H397" i="5"/>
  <c r="I397" i="5"/>
  <c r="F396" i="5"/>
  <c r="G396" i="5"/>
  <c r="H396" i="5"/>
  <c r="I396" i="5"/>
  <c r="F395" i="5"/>
  <c r="G395" i="5"/>
  <c r="H395" i="5"/>
  <c r="I395" i="5"/>
  <c r="F394" i="5"/>
  <c r="G394" i="5"/>
  <c r="H394" i="5"/>
  <c r="I394" i="5"/>
  <c r="F393" i="5"/>
  <c r="G393" i="5"/>
  <c r="H393" i="5"/>
  <c r="I393" i="5"/>
  <c r="F392" i="5"/>
  <c r="G392" i="5"/>
  <c r="H392" i="5"/>
  <c r="I392" i="5"/>
  <c r="F391" i="5"/>
  <c r="G391" i="5"/>
  <c r="H391" i="5"/>
  <c r="I391" i="5"/>
  <c r="F390" i="5"/>
  <c r="G390" i="5"/>
  <c r="H390" i="5"/>
  <c r="I390" i="5"/>
  <c r="F389" i="5"/>
  <c r="G389" i="5"/>
  <c r="H389" i="5"/>
  <c r="I389" i="5"/>
  <c r="F388" i="5"/>
  <c r="G388" i="5"/>
  <c r="H388" i="5"/>
  <c r="I388" i="5"/>
  <c r="F387" i="5"/>
  <c r="G387" i="5"/>
  <c r="H387" i="5"/>
  <c r="I387" i="5"/>
  <c r="F386" i="5"/>
  <c r="G386" i="5"/>
  <c r="H386" i="5"/>
  <c r="I386" i="5"/>
  <c r="F385" i="5"/>
  <c r="G385" i="5"/>
  <c r="H385" i="5"/>
  <c r="I385" i="5"/>
  <c r="F384" i="5"/>
  <c r="G384" i="5"/>
  <c r="H384" i="5"/>
  <c r="I384" i="5"/>
  <c r="F383" i="5"/>
  <c r="G383" i="5"/>
  <c r="H383" i="5"/>
  <c r="I383" i="5"/>
  <c r="F382" i="5"/>
  <c r="G382" i="5"/>
  <c r="H382" i="5"/>
  <c r="I382" i="5"/>
  <c r="F381" i="5"/>
  <c r="G381" i="5"/>
  <c r="H381" i="5"/>
  <c r="I381" i="5"/>
  <c r="F380" i="5"/>
  <c r="G380" i="5"/>
  <c r="H380" i="5"/>
  <c r="I380" i="5"/>
  <c r="F379" i="5"/>
  <c r="G379" i="5"/>
  <c r="H379" i="5"/>
  <c r="I379" i="5"/>
  <c r="F378" i="5"/>
  <c r="G378" i="5"/>
  <c r="H378" i="5"/>
  <c r="I378" i="5"/>
  <c r="F377" i="5"/>
  <c r="G377" i="5"/>
  <c r="H377" i="5"/>
  <c r="I377" i="5"/>
  <c r="F376" i="5"/>
  <c r="G376" i="5"/>
  <c r="H376" i="5"/>
  <c r="I376" i="5"/>
  <c r="F375" i="5"/>
  <c r="G375" i="5"/>
  <c r="H375" i="5"/>
  <c r="I375" i="5"/>
  <c r="F374" i="5"/>
  <c r="G374" i="5"/>
  <c r="H374" i="5"/>
  <c r="I374" i="5"/>
  <c r="F373" i="5"/>
  <c r="G373" i="5"/>
  <c r="H373" i="5"/>
  <c r="I373" i="5"/>
  <c r="F372" i="5"/>
  <c r="G372" i="5"/>
  <c r="H372" i="5"/>
  <c r="I372" i="5"/>
  <c r="F371" i="5"/>
  <c r="G371" i="5"/>
  <c r="H371" i="5"/>
  <c r="I371" i="5"/>
  <c r="F370" i="5"/>
  <c r="G370" i="5"/>
  <c r="H370" i="5"/>
  <c r="I370" i="5"/>
  <c r="F369" i="5"/>
  <c r="G369" i="5"/>
  <c r="H369" i="5"/>
  <c r="I369" i="5"/>
  <c r="F368" i="5"/>
  <c r="G368" i="5"/>
  <c r="H368" i="5"/>
  <c r="I368" i="5"/>
  <c r="F367" i="5"/>
  <c r="G367" i="5"/>
  <c r="H367" i="5"/>
  <c r="I367" i="5"/>
  <c r="F366" i="5"/>
  <c r="G366" i="5"/>
  <c r="H366" i="5"/>
  <c r="I366" i="5"/>
  <c r="F365" i="5"/>
  <c r="G365" i="5"/>
  <c r="H365" i="5"/>
  <c r="I365" i="5"/>
  <c r="F364" i="5"/>
  <c r="G364" i="5"/>
  <c r="H364" i="5"/>
  <c r="I364" i="5"/>
  <c r="F363" i="5"/>
  <c r="G363" i="5"/>
  <c r="H363" i="5"/>
  <c r="I363" i="5"/>
  <c r="F362" i="5"/>
  <c r="G362" i="5"/>
  <c r="H362" i="5"/>
  <c r="I362" i="5"/>
  <c r="F361" i="5"/>
  <c r="G361" i="5"/>
  <c r="H361" i="5"/>
  <c r="I361" i="5"/>
  <c r="F360" i="5"/>
  <c r="G360" i="5"/>
  <c r="H360" i="5"/>
  <c r="I360" i="5"/>
  <c r="F359" i="5"/>
  <c r="G359" i="5"/>
  <c r="H359" i="5"/>
  <c r="I359" i="5"/>
  <c r="F357" i="5"/>
  <c r="G357" i="5"/>
  <c r="H357" i="5"/>
  <c r="I357" i="5"/>
  <c r="F358" i="5"/>
  <c r="G358" i="5"/>
  <c r="H358" i="5"/>
  <c r="I358" i="5"/>
  <c r="F356" i="5"/>
  <c r="G356" i="5"/>
  <c r="H356" i="5"/>
  <c r="I356" i="5"/>
  <c r="F355" i="5"/>
  <c r="G355" i="5"/>
  <c r="H355" i="5"/>
  <c r="I355" i="5"/>
  <c r="F354" i="5"/>
  <c r="G354" i="5"/>
  <c r="H354" i="5"/>
  <c r="I354" i="5"/>
  <c r="F353" i="5"/>
  <c r="G353" i="5"/>
  <c r="H353" i="5"/>
  <c r="I353" i="5"/>
  <c r="F352" i="5"/>
  <c r="G352" i="5"/>
  <c r="H352" i="5"/>
  <c r="I352" i="5"/>
  <c r="F351" i="5"/>
  <c r="G351" i="5"/>
  <c r="H351" i="5"/>
  <c r="I351" i="5"/>
  <c r="F350" i="5"/>
  <c r="G350" i="5"/>
  <c r="H350" i="5"/>
  <c r="I350" i="5"/>
  <c r="F349" i="5"/>
  <c r="G349" i="5"/>
  <c r="H349" i="5"/>
  <c r="I349" i="5"/>
  <c r="G348" i="5"/>
  <c r="H348" i="5"/>
  <c r="I348" i="5"/>
  <c r="F347" i="5"/>
  <c r="G347" i="5"/>
  <c r="H347" i="5"/>
  <c r="I347" i="5"/>
  <c r="G346" i="5"/>
  <c r="H346" i="5"/>
  <c r="I346" i="5"/>
  <c r="G345" i="5"/>
  <c r="H345" i="5"/>
  <c r="I345" i="5"/>
  <c r="G343" i="5"/>
  <c r="H343" i="5"/>
  <c r="I343" i="5"/>
  <c r="F344" i="5"/>
  <c r="G344" i="5"/>
  <c r="H344" i="5"/>
  <c r="I344" i="5"/>
  <c r="F341" i="5"/>
  <c r="G341" i="5"/>
  <c r="H341" i="5"/>
  <c r="I341" i="5"/>
  <c r="F342" i="5"/>
  <c r="G342" i="5"/>
  <c r="H342" i="5"/>
  <c r="I342" i="5"/>
  <c r="F339" i="5"/>
  <c r="G339" i="5"/>
  <c r="H339" i="5"/>
  <c r="I339" i="5"/>
  <c r="F340" i="5"/>
  <c r="G340" i="5"/>
  <c r="H340" i="5"/>
  <c r="I340" i="5"/>
  <c r="F335" i="5"/>
  <c r="G335" i="5"/>
  <c r="H335" i="5"/>
  <c r="I335" i="5"/>
  <c r="F336" i="5"/>
  <c r="G336" i="5"/>
  <c r="H336" i="5"/>
  <c r="I336" i="5"/>
  <c r="F337" i="5"/>
  <c r="G337" i="5"/>
  <c r="H337" i="5"/>
  <c r="I337" i="5"/>
  <c r="F338" i="5"/>
  <c r="G338" i="5"/>
  <c r="H338" i="5"/>
  <c r="I338" i="5"/>
  <c r="F333" i="5"/>
  <c r="G333" i="5"/>
  <c r="H333" i="5"/>
  <c r="I333" i="5"/>
  <c r="F332" i="5"/>
  <c r="G332" i="5"/>
  <c r="H332" i="5"/>
  <c r="I332" i="5"/>
  <c r="F334" i="5"/>
  <c r="G334" i="5"/>
  <c r="H334" i="5"/>
  <c r="I334" i="5"/>
  <c r="F331" i="5"/>
  <c r="G331" i="5"/>
  <c r="H331" i="5"/>
  <c r="I331" i="5"/>
  <c r="F330" i="5"/>
  <c r="G330" i="5"/>
  <c r="H330" i="5"/>
  <c r="I330" i="5"/>
  <c r="F329" i="5"/>
  <c r="G329" i="5"/>
  <c r="H329" i="5"/>
  <c r="I329" i="5"/>
  <c r="F328" i="5"/>
  <c r="G328" i="5"/>
  <c r="H328" i="5"/>
  <c r="I328" i="5"/>
  <c r="F327" i="5"/>
  <c r="G327" i="5"/>
  <c r="H327" i="5"/>
  <c r="I327" i="5"/>
  <c r="F326" i="5"/>
  <c r="G326" i="5"/>
  <c r="H326" i="5"/>
  <c r="I326" i="5"/>
  <c r="F325" i="5"/>
  <c r="G325" i="5"/>
  <c r="H325" i="5"/>
  <c r="I325" i="5"/>
  <c r="F324" i="5"/>
  <c r="G324" i="5"/>
  <c r="H324" i="5"/>
  <c r="I324" i="5"/>
  <c r="F323" i="5"/>
  <c r="G323" i="5"/>
  <c r="H323" i="5"/>
  <c r="I323" i="5"/>
  <c r="F322" i="5"/>
  <c r="G322" i="5"/>
  <c r="H322" i="5"/>
  <c r="I322" i="5"/>
  <c r="F321" i="5"/>
  <c r="G321" i="5"/>
  <c r="H321" i="5"/>
  <c r="I321" i="5"/>
  <c r="F320" i="5"/>
  <c r="G320" i="5"/>
  <c r="H320" i="5"/>
  <c r="I320" i="5"/>
  <c r="F319" i="5"/>
  <c r="G319" i="5"/>
  <c r="H319" i="5"/>
  <c r="I319" i="5"/>
  <c r="F318" i="5"/>
  <c r="G318" i="5"/>
  <c r="H318" i="5"/>
  <c r="I318" i="5"/>
  <c r="F317" i="5"/>
  <c r="G317" i="5"/>
  <c r="H317" i="5"/>
  <c r="I317" i="5"/>
  <c r="F316" i="5"/>
  <c r="G316" i="5"/>
  <c r="H316" i="5"/>
  <c r="I316" i="5"/>
  <c r="F315" i="5"/>
  <c r="G315" i="5"/>
  <c r="H315" i="5"/>
  <c r="I315" i="5"/>
  <c r="F314" i="5"/>
  <c r="G314" i="5"/>
  <c r="H314" i="5"/>
  <c r="I314" i="5"/>
  <c r="F313" i="5"/>
  <c r="G313" i="5"/>
  <c r="H313" i="5"/>
  <c r="I313" i="5"/>
  <c r="F312" i="5"/>
  <c r="G312" i="5"/>
  <c r="H312" i="5"/>
  <c r="I312" i="5"/>
  <c r="F311" i="5"/>
  <c r="G311" i="5"/>
  <c r="H311" i="5"/>
  <c r="I311" i="5"/>
  <c r="F310" i="5"/>
  <c r="G310" i="5"/>
  <c r="H310" i="5"/>
  <c r="I310" i="5"/>
  <c r="F309" i="5"/>
  <c r="G309" i="5"/>
  <c r="H309" i="5"/>
  <c r="I309" i="5"/>
  <c r="F308" i="5"/>
  <c r="G308" i="5"/>
  <c r="H308" i="5"/>
  <c r="I308" i="5"/>
  <c r="F307" i="5"/>
  <c r="G307" i="5"/>
  <c r="H307" i="5"/>
  <c r="I307" i="5"/>
  <c r="F306" i="5"/>
  <c r="G306" i="5"/>
  <c r="H306" i="5"/>
  <c r="I306" i="5"/>
  <c r="F305" i="5"/>
  <c r="G305" i="5"/>
  <c r="H305" i="5"/>
  <c r="I305" i="5"/>
  <c r="F304" i="5"/>
  <c r="G304" i="5"/>
  <c r="H304" i="5"/>
  <c r="I304" i="5"/>
  <c r="F303" i="5"/>
  <c r="G303" i="5"/>
  <c r="H303" i="5"/>
  <c r="I303" i="5"/>
  <c r="F302" i="5"/>
  <c r="G302" i="5"/>
  <c r="H302" i="5"/>
  <c r="I302" i="5"/>
  <c r="F301" i="5"/>
  <c r="G301" i="5"/>
  <c r="H301" i="5"/>
  <c r="I301" i="5"/>
  <c r="F300" i="5"/>
  <c r="G300" i="5"/>
  <c r="H300" i="5"/>
  <c r="I300" i="5"/>
  <c r="F299" i="5"/>
  <c r="G299" i="5"/>
  <c r="H299" i="5"/>
  <c r="I299" i="5"/>
  <c r="F297" i="5"/>
  <c r="G297" i="5"/>
  <c r="H297" i="5"/>
  <c r="I297" i="5"/>
  <c r="F298" i="5"/>
  <c r="G298" i="5"/>
  <c r="H298" i="5"/>
  <c r="I298" i="5"/>
  <c r="F296" i="5"/>
  <c r="G296" i="5"/>
  <c r="H296" i="5"/>
  <c r="I296" i="5"/>
  <c r="F295" i="5"/>
  <c r="G295" i="5"/>
  <c r="H295" i="5"/>
  <c r="I295" i="5"/>
  <c r="F294" i="5"/>
  <c r="G294" i="5"/>
  <c r="H294" i="5"/>
  <c r="I294" i="5"/>
  <c r="F293" i="5"/>
  <c r="G293" i="5"/>
  <c r="H293" i="5"/>
  <c r="I293" i="5"/>
  <c r="F292" i="5"/>
  <c r="G292" i="5"/>
  <c r="H292" i="5"/>
  <c r="I292" i="5"/>
  <c r="G289" i="5"/>
  <c r="H289" i="5"/>
  <c r="I289" i="5"/>
  <c r="F291" i="5"/>
  <c r="G291" i="5"/>
  <c r="H291" i="5"/>
  <c r="I291" i="5"/>
  <c r="F290" i="5"/>
  <c r="G290" i="5"/>
  <c r="H290" i="5"/>
  <c r="I290" i="5"/>
  <c r="F288" i="5"/>
  <c r="G288" i="5"/>
  <c r="H288" i="5"/>
  <c r="I288" i="5"/>
  <c r="F287" i="5"/>
  <c r="G287" i="5"/>
  <c r="H287" i="5"/>
  <c r="I287" i="5"/>
  <c r="F286" i="5"/>
  <c r="G286" i="5"/>
  <c r="H286" i="5"/>
  <c r="I286" i="5"/>
  <c r="F285" i="5"/>
  <c r="G285" i="5"/>
  <c r="H285" i="5"/>
  <c r="I285" i="5"/>
  <c r="F284" i="5"/>
  <c r="G284" i="5"/>
  <c r="H284" i="5"/>
  <c r="I284" i="5"/>
  <c r="F283" i="5"/>
  <c r="G283" i="5"/>
  <c r="H283" i="5"/>
  <c r="I283" i="5"/>
  <c r="F282" i="5"/>
  <c r="G282" i="5"/>
  <c r="H282" i="5"/>
  <c r="I282" i="5"/>
  <c r="F281" i="5"/>
  <c r="G281" i="5"/>
  <c r="H281" i="5"/>
  <c r="I281" i="5"/>
  <c r="F280" i="5"/>
  <c r="G280" i="5"/>
  <c r="H280" i="5"/>
  <c r="I280" i="5"/>
  <c r="F279" i="5"/>
  <c r="G279" i="5"/>
  <c r="H279" i="5"/>
  <c r="I279" i="5"/>
  <c r="F278" i="5"/>
  <c r="G278" i="5"/>
  <c r="H278" i="5"/>
  <c r="I278" i="5"/>
  <c r="F277" i="5"/>
  <c r="G277" i="5"/>
  <c r="H277" i="5"/>
  <c r="I277" i="5"/>
  <c r="F276" i="5"/>
  <c r="G276" i="5"/>
  <c r="H276" i="5"/>
  <c r="I276" i="5"/>
  <c r="F275" i="5"/>
  <c r="G275" i="5"/>
  <c r="F273" i="5"/>
  <c r="G273" i="5"/>
  <c r="H273" i="5"/>
  <c r="I273" i="5"/>
  <c r="F271" i="5"/>
  <c r="G271" i="5"/>
  <c r="H271" i="5"/>
  <c r="I271" i="5"/>
  <c r="F270" i="5"/>
  <c r="G270" i="5"/>
  <c r="H270" i="5"/>
  <c r="I270" i="5"/>
  <c r="F268" i="5"/>
  <c r="G268" i="5"/>
  <c r="H268" i="5"/>
  <c r="I268" i="5"/>
  <c r="F269" i="5"/>
  <c r="G269" i="5"/>
  <c r="H269" i="5"/>
  <c r="I269" i="5"/>
  <c r="F267" i="5"/>
  <c r="G267" i="5"/>
  <c r="H267" i="5"/>
  <c r="I267" i="5"/>
  <c r="F266" i="5"/>
  <c r="G266" i="5"/>
  <c r="H266" i="5"/>
  <c r="I266" i="5"/>
  <c r="F272" i="5"/>
  <c r="G272" i="5"/>
  <c r="H272" i="5"/>
  <c r="I272" i="5"/>
  <c r="F265" i="5"/>
  <c r="G265" i="5"/>
  <c r="H265" i="5"/>
  <c r="I265" i="5"/>
  <c r="H274" i="5"/>
  <c r="I274" i="5"/>
  <c r="F264" i="5"/>
  <c r="G264" i="5"/>
  <c r="H264" i="5"/>
  <c r="I264" i="5"/>
  <c r="F262" i="5"/>
  <c r="G262" i="5"/>
  <c r="F257" i="5"/>
  <c r="G257" i="5"/>
  <c r="G259" i="5"/>
  <c r="F258" i="5"/>
  <c r="G258" i="5"/>
  <c r="F256" i="5"/>
  <c r="G256" i="5"/>
  <c r="F255" i="5"/>
  <c r="G255" i="5"/>
  <c r="F261" i="5"/>
  <c r="G261" i="5"/>
  <c r="F260" i="5"/>
  <c r="G260" i="5"/>
  <c r="F254" i="5"/>
  <c r="G254" i="5"/>
  <c r="F253" i="5"/>
  <c r="G253" i="5"/>
  <c r="F252" i="5"/>
  <c r="G252" i="5"/>
  <c r="G249" i="5"/>
  <c r="F250" i="5"/>
  <c r="G250" i="5"/>
  <c r="F251" i="5"/>
  <c r="G251" i="5"/>
  <c r="F247" i="5"/>
  <c r="G247" i="5"/>
  <c r="H247" i="5"/>
  <c r="I247" i="5"/>
  <c r="F248" i="5"/>
  <c r="G248" i="5"/>
  <c r="H248" i="5"/>
  <c r="I248" i="5"/>
  <c r="F246" i="5"/>
  <c r="G246" i="5"/>
  <c r="H246" i="5"/>
  <c r="I246" i="5"/>
  <c r="F245" i="5"/>
  <c r="G245" i="5"/>
  <c r="H245" i="5"/>
  <c r="I245" i="5"/>
  <c r="F244" i="5"/>
  <c r="G244" i="5"/>
  <c r="H244" i="5"/>
  <c r="I244" i="5"/>
  <c r="F243" i="5"/>
  <c r="G243" i="5"/>
  <c r="H243" i="5"/>
  <c r="I243" i="5"/>
  <c r="F242" i="5"/>
  <c r="G242" i="5"/>
  <c r="H242" i="5"/>
  <c r="I242" i="5"/>
  <c r="F241" i="5"/>
  <c r="G241" i="5"/>
  <c r="H241" i="5"/>
  <c r="I241" i="5"/>
  <c r="F240" i="5"/>
  <c r="G240" i="5"/>
  <c r="H240" i="5"/>
  <c r="I240" i="5"/>
  <c r="F239" i="5"/>
  <c r="G239" i="5"/>
  <c r="H239" i="5"/>
  <c r="I239" i="5"/>
  <c r="F705" i="5"/>
  <c r="G705" i="5"/>
  <c r="H705" i="5"/>
  <c r="I705" i="5"/>
  <c r="F706" i="5"/>
  <c r="G706" i="5"/>
  <c r="H706" i="5"/>
  <c r="I706" i="5"/>
  <c r="F707" i="5"/>
  <c r="G707" i="5"/>
  <c r="H707" i="5"/>
  <c r="I707" i="5"/>
  <c r="F708" i="5"/>
  <c r="G708" i="5"/>
  <c r="H708" i="5"/>
  <c r="I708" i="5"/>
  <c r="F238" i="5"/>
  <c r="G238" i="5"/>
  <c r="H238" i="5"/>
  <c r="I238" i="5"/>
  <c r="F237" i="5"/>
  <c r="G237" i="5"/>
  <c r="H237" i="5"/>
  <c r="I237" i="5"/>
  <c r="F236" i="5"/>
  <c r="G236" i="5"/>
  <c r="H236" i="5"/>
  <c r="I236" i="5"/>
  <c r="F235" i="5"/>
  <c r="G235" i="5"/>
  <c r="H235" i="5"/>
  <c r="I235" i="5"/>
  <c r="F234" i="5"/>
  <c r="G234" i="5"/>
  <c r="H234" i="5"/>
  <c r="I234" i="5"/>
  <c r="F233" i="5"/>
  <c r="G233" i="5"/>
  <c r="H233" i="5"/>
  <c r="I233" i="5"/>
  <c r="F232" i="5"/>
  <c r="G232" i="5"/>
  <c r="H232" i="5"/>
  <c r="I232" i="5"/>
  <c r="F231" i="5"/>
  <c r="G231" i="5"/>
  <c r="H231" i="5"/>
  <c r="I231" i="5"/>
  <c r="F230" i="5"/>
  <c r="G230" i="5"/>
  <c r="H230" i="5"/>
  <c r="I230" i="5"/>
  <c r="F229" i="5"/>
  <c r="G229" i="5"/>
  <c r="H229" i="5"/>
  <c r="I229" i="5"/>
  <c r="F228" i="5"/>
  <c r="G228" i="5"/>
  <c r="H228" i="5"/>
  <c r="I228" i="5"/>
  <c r="F227" i="5"/>
  <c r="G227" i="5"/>
  <c r="H227" i="5"/>
  <c r="I227" i="5"/>
  <c r="F226" i="5"/>
  <c r="G226" i="5"/>
  <c r="H226" i="5"/>
  <c r="I226" i="5"/>
  <c r="F225" i="5"/>
  <c r="G225" i="5"/>
  <c r="H225" i="5"/>
  <c r="I225" i="5"/>
  <c r="F224" i="5"/>
  <c r="G224" i="5"/>
  <c r="H224" i="5"/>
  <c r="I224" i="5"/>
  <c r="F223" i="5"/>
  <c r="G223" i="5"/>
  <c r="H223" i="5"/>
  <c r="I223" i="5"/>
  <c r="F222" i="5"/>
  <c r="G222" i="5"/>
  <c r="H222" i="5"/>
  <c r="I222" i="5"/>
  <c r="F221" i="5"/>
  <c r="G221" i="5"/>
  <c r="H221" i="5"/>
  <c r="I221" i="5"/>
  <c r="F219" i="5"/>
  <c r="G219" i="5"/>
  <c r="H219" i="5"/>
  <c r="I219" i="5"/>
  <c r="F218" i="5"/>
  <c r="G218" i="5"/>
  <c r="H218" i="5"/>
  <c r="I218" i="5"/>
  <c r="F215" i="5"/>
  <c r="G215" i="5"/>
  <c r="H215" i="5"/>
  <c r="I215" i="5"/>
  <c r="F214" i="5"/>
  <c r="G214" i="5"/>
  <c r="H214" i="5"/>
  <c r="I214" i="5"/>
  <c r="F213" i="5"/>
  <c r="G213" i="5"/>
  <c r="H213" i="5"/>
  <c r="I213" i="5"/>
  <c r="F212" i="5"/>
  <c r="G212" i="5"/>
  <c r="H212" i="5"/>
  <c r="I212" i="5"/>
  <c r="F211" i="5"/>
  <c r="G211" i="5"/>
  <c r="H211" i="5"/>
  <c r="I211" i="5"/>
  <c r="F210" i="5"/>
  <c r="G210" i="5"/>
  <c r="H210" i="5"/>
  <c r="I210" i="5"/>
  <c r="F209" i="5"/>
  <c r="G209" i="5"/>
  <c r="H209" i="5"/>
  <c r="I209" i="5"/>
  <c r="F208" i="5"/>
  <c r="G208" i="5"/>
  <c r="H208" i="5"/>
  <c r="I208" i="5"/>
  <c r="F207" i="5"/>
  <c r="G207" i="5"/>
  <c r="H207" i="5"/>
  <c r="I207" i="5"/>
  <c r="F206" i="5"/>
  <c r="G206" i="5"/>
  <c r="H206" i="5"/>
  <c r="I206" i="5"/>
  <c r="F205" i="5"/>
  <c r="G205" i="5"/>
  <c r="H205" i="5"/>
  <c r="I205" i="5"/>
  <c r="F204" i="5"/>
  <c r="G204" i="5"/>
  <c r="H204" i="5"/>
  <c r="I204" i="5"/>
  <c r="F203" i="5"/>
  <c r="G203" i="5"/>
  <c r="H203" i="5"/>
  <c r="I203" i="5"/>
  <c r="F202" i="5"/>
  <c r="G202" i="5"/>
  <c r="H202" i="5"/>
  <c r="I202" i="5"/>
  <c r="F201" i="5"/>
  <c r="G201" i="5"/>
  <c r="H201" i="5"/>
  <c r="I201" i="5"/>
  <c r="F200" i="5"/>
  <c r="G200" i="5"/>
  <c r="H200" i="5"/>
  <c r="I200" i="5"/>
  <c r="F199" i="5"/>
  <c r="G199" i="5"/>
  <c r="H199" i="5"/>
  <c r="I199" i="5"/>
  <c r="F198" i="5"/>
  <c r="G198" i="5"/>
  <c r="H198" i="5"/>
  <c r="I198" i="5"/>
  <c r="F197" i="5"/>
  <c r="G197" i="5"/>
  <c r="H197" i="5"/>
  <c r="I197" i="5"/>
  <c r="F196" i="5"/>
  <c r="G196" i="5"/>
  <c r="H196" i="5"/>
  <c r="I196" i="5"/>
  <c r="F195" i="5"/>
  <c r="G195" i="5"/>
  <c r="H195" i="5"/>
  <c r="I195" i="5"/>
  <c r="F194" i="5"/>
  <c r="G194" i="5"/>
  <c r="H194" i="5"/>
  <c r="I194" i="5"/>
  <c r="F193" i="5"/>
  <c r="G193" i="5"/>
  <c r="H193" i="5"/>
  <c r="I193" i="5"/>
  <c r="F192" i="5"/>
  <c r="G192" i="5"/>
  <c r="H192" i="5"/>
  <c r="I192" i="5"/>
  <c r="F191" i="5"/>
  <c r="G191" i="5"/>
  <c r="H191" i="5"/>
  <c r="I191" i="5"/>
  <c r="F190" i="5"/>
  <c r="G190" i="5"/>
  <c r="H190" i="5"/>
  <c r="I190" i="5"/>
  <c r="F189" i="5"/>
  <c r="G189" i="5"/>
  <c r="H189" i="5"/>
  <c r="I189" i="5"/>
  <c r="F188" i="5"/>
  <c r="G188" i="5"/>
  <c r="H188" i="5"/>
  <c r="I188" i="5"/>
  <c r="F186" i="5"/>
  <c r="G186" i="5"/>
  <c r="H186" i="5"/>
  <c r="I186" i="5"/>
  <c r="F187" i="5"/>
  <c r="G187" i="5"/>
  <c r="H187" i="5"/>
  <c r="I187" i="5"/>
  <c r="F185" i="5"/>
  <c r="G185" i="5"/>
  <c r="H185" i="5"/>
  <c r="I185" i="5"/>
  <c r="F184" i="5"/>
  <c r="G184" i="5"/>
  <c r="H184" i="5"/>
  <c r="I184" i="5"/>
  <c r="F183" i="5"/>
  <c r="G183" i="5"/>
  <c r="H183" i="5"/>
  <c r="I183" i="5"/>
  <c r="F182" i="5"/>
  <c r="G182" i="5"/>
  <c r="H182" i="5"/>
  <c r="I182" i="5"/>
  <c r="F180" i="5"/>
  <c r="G180" i="5"/>
  <c r="H180" i="5"/>
  <c r="I180" i="5"/>
  <c r="F181" i="5"/>
  <c r="G181" i="5"/>
  <c r="H181" i="5"/>
  <c r="I181" i="5"/>
  <c r="F179" i="5"/>
  <c r="G179" i="5"/>
  <c r="H179" i="5"/>
  <c r="I179" i="5"/>
  <c r="F172" i="5"/>
  <c r="G172" i="5"/>
  <c r="H172" i="5"/>
  <c r="I172" i="5"/>
  <c r="F173" i="5"/>
  <c r="G173" i="5"/>
  <c r="H173" i="5"/>
  <c r="I173" i="5"/>
  <c r="F174" i="5"/>
  <c r="G174" i="5"/>
  <c r="H174" i="5"/>
  <c r="I174" i="5"/>
  <c r="F175" i="5"/>
  <c r="G175" i="5"/>
  <c r="H175" i="5"/>
  <c r="I175" i="5"/>
  <c r="F176" i="5"/>
  <c r="G176" i="5"/>
  <c r="H176" i="5"/>
  <c r="I176" i="5"/>
  <c r="F177" i="5"/>
  <c r="G177" i="5"/>
  <c r="H177" i="5"/>
  <c r="I177" i="5"/>
  <c r="F171" i="5"/>
  <c r="G171" i="5"/>
  <c r="H171" i="5"/>
  <c r="I171" i="5"/>
  <c r="F178" i="5"/>
  <c r="G178" i="5"/>
  <c r="H178" i="5"/>
  <c r="I178" i="5"/>
  <c r="F170" i="5"/>
  <c r="G170" i="5"/>
  <c r="H170" i="5"/>
  <c r="I170" i="5"/>
  <c r="F169" i="5"/>
  <c r="G169" i="5"/>
  <c r="H169" i="5"/>
  <c r="I169" i="5"/>
  <c r="F168" i="5"/>
  <c r="G168" i="5"/>
  <c r="H168" i="5"/>
  <c r="I168" i="5"/>
  <c r="F167" i="5"/>
  <c r="G167" i="5"/>
  <c r="H167" i="5"/>
  <c r="I167" i="5"/>
  <c r="F166" i="5"/>
  <c r="G166" i="5"/>
  <c r="H166" i="5"/>
  <c r="I166" i="5"/>
  <c r="F165" i="5"/>
  <c r="G165" i="5"/>
  <c r="H165" i="5"/>
  <c r="I165" i="5"/>
  <c r="F164" i="5"/>
  <c r="G164" i="5"/>
  <c r="H164" i="5"/>
  <c r="I164" i="5"/>
  <c r="F163" i="5"/>
  <c r="G163" i="5"/>
  <c r="H163" i="5"/>
  <c r="I163" i="5"/>
  <c r="F162" i="5"/>
  <c r="G162" i="5"/>
  <c r="H162" i="5"/>
  <c r="I162" i="5"/>
  <c r="G161" i="5"/>
  <c r="H161" i="5"/>
  <c r="I161" i="5"/>
  <c r="F160" i="5"/>
  <c r="G160" i="5"/>
  <c r="H160" i="5"/>
  <c r="I160" i="5"/>
  <c r="F159" i="5"/>
  <c r="G159" i="5"/>
  <c r="H159" i="5"/>
  <c r="I159" i="5"/>
  <c r="F157" i="5"/>
  <c r="G157" i="5"/>
  <c r="H157" i="5"/>
  <c r="I157" i="5"/>
  <c r="F158" i="5"/>
  <c r="G158" i="5"/>
  <c r="H158" i="5"/>
  <c r="I158" i="5"/>
  <c r="F156" i="5"/>
  <c r="G156" i="5"/>
  <c r="H156" i="5"/>
  <c r="I156" i="5"/>
  <c r="F709" i="5"/>
  <c r="G709" i="5"/>
  <c r="H709" i="5"/>
  <c r="I709" i="5"/>
  <c r="F154" i="5"/>
  <c r="G154" i="5"/>
  <c r="H154" i="5"/>
  <c r="I154" i="5"/>
  <c r="F155" i="5"/>
  <c r="G155" i="5"/>
  <c r="H155" i="5"/>
  <c r="I155" i="5"/>
  <c r="F153" i="5"/>
  <c r="G153" i="5"/>
  <c r="H153" i="5"/>
  <c r="I153" i="5"/>
  <c r="F152" i="5"/>
  <c r="G152" i="5"/>
  <c r="H152" i="5"/>
  <c r="I152" i="5"/>
  <c r="F151" i="5"/>
  <c r="G151" i="5"/>
  <c r="H151" i="5"/>
  <c r="I151" i="5"/>
  <c r="F150" i="5"/>
  <c r="G150" i="5"/>
  <c r="H150" i="5"/>
  <c r="I150" i="5"/>
  <c r="F143" i="5"/>
  <c r="G143" i="5"/>
  <c r="H143" i="5"/>
  <c r="I143" i="5"/>
  <c r="F144" i="5"/>
  <c r="G144" i="5"/>
  <c r="H144" i="5"/>
  <c r="I144" i="5"/>
  <c r="F145" i="5"/>
  <c r="G145" i="5"/>
  <c r="H145" i="5"/>
  <c r="I145" i="5"/>
  <c r="F146" i="5"/>
  <c r="G146" i="5"/>
  <c r="H146" i="5"/>
  <c r="I146" i="5"/>
  <c r="F147" i="5"/>
  <c r="G147" i="5"/>
  <c r="H147" i="5"/>
  <c r="I147" i="5"/>
  <c r="F148" i="5"/>
  <c r="G148" i="5"/>
  <c r="H148" i="5"/>
  <c r="I148" i="5"/>
  <c r="F149" i="5"/>
  <c r="G149" i="5"/>
  <c r="H149" i="5"/>
  <c r="I149" i="5"/>
  <c r="F142" i="5"/>
  <c r="G142" i="5"/>
  <c r="H142" i="5"/>
  <c r="I142" i="5"/>
  <c r="F141" i="5"/>
  <c r="G141" i="5"/>
  <c r="H141" i="5"/>
  <c r="I141" i="5"/>
  <c r="F140" i="5"/>
  <c r="G140" i="5"/>
  <c r="H140" i="5"/>
  <c r="I140" i="5"/>
  <c r="F139" i="5"/>
  <c r="G139" i="5"/>
  <c r="H139" i="5"/>
  <c r="I139" i="5"/>
  <c r="F138" i="5"/>
  <c r="G138" i="5"/>
  <c r="H138" i="5"/>
  <c r="I138" i="5"/>
  <c r="F137" i="5"/>
  <c r="G137" i="5"/>
  <c r="H137" i="5"/>
  <c r="I137" i="5"/>
  <c r="F136" i="5"/>
  <c r="G136" i="5"/>
  <c r="H136" i="5"/>
  <c r="I136" i="5"/>
  <c r="F135" i="5"/>
  <c r="G135" i="5"/>
  <c r="H135" i="5"/>
  <c r="I135" i="5"/>
  <c r="F134" i="5"/>
  <c r="G134" i="5"/>
  <c r="H134" i="5"/>
  <c r="I134" i="5"/>
  <c r="F133" i="5"/>
  <c r="G133" i="5"/>
  <c r="H133" i="5"/>
  <c r="I133" i="5"/>
  <c r="F132" i="5"/>
  <c r="G132" i="5"/>
  <c r="H132" i="5"/>
  <c r="I132" i="5"/>
  <c r="F131" i="5"/>
  <c r="G131" i="5"/>
  <c r="H131" i="5"/>
  <c r="I131" i="5"/>
  <c r="F130" i="5"/>
  <c r="G130" i="5"/>
  <c r="H130" i="5"/>
  <c r="I130" i="5"/>
  <c r="F129" i="5"/>
  <c r="G129" i="5"/>
  <c r="H129" i="5"/>
  <c r="I129" i="5"/>
  <c r="F128" i="5"/>
  <c r="G128" i="5"/>
  <c r="H128" i="5"/>
  <c r="I128" i="5"/>
  <c r="F127" i="5"/>
  <c r="G127" i="5"/>
  <c r="H127" i="5"/>
  <c r="I127" i="5"/>
  <c r="F126" i="5"/>
  <c r="G126" i="5"/>
  <c r="H126" i="5"/>
  <c r="I126" i="5"/>
  <c r="F125" i="5"/>
  <c r="G125" i="5"/>
  <c r="H125" i="5"/>
  <c r="I125" i="5"/>
  <c r="F124" i="5"/>
  <c r="G124" i="5"/>
  <c r="H124" i="5"/>
  <c r="I124" i="5"/>
  <c r="F123" i="5"/>
  <c r="G123" i="5"/>
  <c r="H123" i="5"/>
  <c r="I123" i="5"/>
  <c r="F122" i="5"/>
  <c r="G122" i="5"/>
  <c r="H122" i="5"/>
  <c r="I122" i="5"/>
  <c r="F121" i="5"/>
  <c r="G121" i="5"/>
  <c r="H121" i="5"/>
  <c r="I121" i="5"/>
  <c r="F120" i="5"/>
  <c r="G120" i="5"/>
  <c r="H120" i="5"/>
  <c r="I120" i="5"/>
  <c r="F119" i="5"/>
  <c r="G119" i="5"/>
  <c r="H119" i="5"/>
  <c r="I119" i="5"/>
  <c r="F118" i="5"/>
  <c r="G118" i="5"/>
  <c r="H118" i="5"/>
  <c r="I118" i="5"/>
  <c r="F117" i="5"/>
  <c r="G117" i="5"/>
  <c r="H117" i="5"/>
  <c r="I117" i="5"/>
  <c r="F116" i="5"/>
  <c r="G116" i="5"/>
  <c r="H116" i="5"/>
  <c r="I116" i="5"/>
  <c r="F115" i="5"/>
  <c r="G115" i="5"/>
  <c r="H115" i="5"/>
  <c r="I115" i="5"/>
  <c r="F114" i="5"/>
  <c r="G114" i="5"/>
  <c r="H114" i="5"/>
  <c r="I114" i="5"/>
  <c r="F109" i="5"/>
  <c r="G109" i="5"/>
  <c r="H109" i="5"/>
  <c r="I109" i="5"/>
  <c r="F110" i="5"/>
  <c r="G110" i="5"/>
  <c r="H110" i="5"/>
  <c r="I110" i="5"/>
  <c r="F111" i="5"/>
  <c r="G111" i="5"/>
  <c r="H111" i="5"/>
  <c r="I111" i="5"/>
  <c r="F112" i="5"/>
  <c r="G112" i="5"/>
  <c r="H112" i="5"/>
  <c r="I112" i="5"/>
  <c r="F113" i="5"/>
  <c r="G113" i="5"/>
  <c r="H113" i="5"/>
  <c r="I113" i="5"/>
  <c r="F108" i="5"/>
  <c r="G108" i="5"/>
  <c r="H108" i="5"/>
  <c r="I108" i="5"/>
  <c r="F106" i="5"/>
  <c r="G106" i="5"/>
  <c r="H106" i="5"/>
  <c r="I106" i="5"/>
  <c r="F107" i="5"/>
  <c r="G107" i="5"/>
  <c r="H107" i="5"/>
  <c r="I107" i="5"/>
  <c r="F102" i="5"/>
  <c r="G102" i="5"/>
  <c r="H102" i="5"/>
  <c r="I102" i="5"/>
  <c r="F103" i="5"/>
  <c r="G103" i="5"/>
  <c r="H103" i="5"/>
  <c r="I103" i="5"/>
  <c r="F104" i="5"/>
  <c r="G104" i="5"/>
  <c r="H104" i="5"/>
  <c r="I104" i="5"/>
  <c r="F105" i="5"/>
  <c r="G105" i="5"/>
  <c r="H105" i="5"/>
  <c r="I105" i="5"/>
  <c r="F101" i="5"/>
  <c r="G101" i="5"/>
  <c r="H101" i="5"/>
  <c r="I101" i="5"/>
  <c r="F100" i="5"/>
  <c r="G100" i="5"/>
  <c r="H100" i="5"/>
  <c r="I100" i="5"/>
  <c r="F98" i="5"/>
  <c r="G98" i="5"/>
  <c r="H98" i="5"/>
  <c r="I98" i="5"/>
  <c r="F99" i="5"/>
  <c r="G99" i="5"/>
  <c r="H99" i="5"/>
  <c r="I99" i="5"/>
  <c r="F97" i="5"/>
  <c r="G97" i="5"/>
  <c r="H97" i="5"/>
  <c r="I97" i="5"/>
  <c r="F96" i="5"/>
  <c r="G96" i="5"/>
  <c r="H96" i="5"/>
  <c r="I96" i="5"/>
  <c r="F94" i="5"/>
  <c r="G94" i="5"/>
  <c r="H94" i="5"/>
  <c r="I94" i="5"/>
  <c r="F95" i="5"/>
  <c r="G95" i="5"/>
  <c r="H95" i="5"/>
  <c r="I95" i="5"/>
  <c r="F93" i="5"/>
  <c r="G93" i="5"/>
  <c r="H93" i="5"/>
  <c r="I93" i="5"/>
  <c r="F92" i="5"/>
  <c r="G92" i="5"/>
  <c r="H92" i="5"/>
  <c r="I92" i="5"/>
  <c r="F91" i="5"/>
  <c r="G91" i="5"/>
  <c r="H91" i="5"/>
  <c r="I91" i="5"/>
  <c r="F90" i="5"/>
  <c r="G90" i="5"/>
  <c r="H90" i="5"/>
  <c r="I90" i="5"/>
  <c r="F89" i="5"/>
  <c r="G89" i="5"/>
  <c r="H89" i="5"/>
  <c r="I89" i="5"/>
  <c r="F88" i="5"/>
  <c r="G88" i="5"/>
  <c r="H88" i="5"/>
  <c r="I88" i="5"/>
  <c r="F87" i="5"/>
  <c r="G87" i="5"/>
  <c r="H87" i="5"/>
  <c r="I87" i="5"/>
  <c r="F86" i="5"/>
  <c r="G86" i="5"/>
  <c r="H86" i="5"/>
  <c r="I86" i="5"/>
  <c r="F61" i="5"/>
  <c r="G61" i="5"/>
  <c r="H61" i="5"/>
  <c r="I61" i="5"/>
  <c r="F62" i="5"/>
  <c r="G62" i="5"/>
  <c r="H62" i="5"/>
  <c r="I62" i="5"/>
  <c r="F63" i="5"/>
  <c r="G63" i="5"/>
  <c r="H63" i="5"/>
  <c r="I63" i="5"/>
  <c r="F64" i="5"/>
  <c r="G64" i="5"/>
  <c r="H64" i="5"/>
  <c r="I64" i="5"/>
  <c r="F65" i="5"/>
  <c r="G65" i="5"/>
  <c r="H65" i="5"/>
  <c r="I65" i="5"/>
  <c r="F66" i="5"/>
  <c r="G66" i="5"/>
  <c r="H66" i="5"/>
  <c r="I66" i="5"/>
  <c r="F67" i="5"/>
  <c r="G67" i="5"/>
  <c r="H67" i="5"/>
  <c r="I67" i="5"/>
  <c r="F68" i="5"/>
  <c r="G68" i="5"/>
  <c r="H68" i="5"/>
  <c r="I68" i="5"/>
  <c r="F69" i="5"/>
  <c r="G69" i="5"/>
  <c r="H69" i="5"/>
  <c r="I69" i="5"/>
  <c r="F70" i="5"/>
  <c r="G70" i="5"/>
  <c r="H70" i="5"/>
  <c r="I70" i="5"/>
  <c r="F71" i="5"/>
  <c r="G71" i="5"/>
  <c r="H71" i="5"/>
  <c r="I71" i="5"/>
  <c r="F72" i="5"/>
  <c r="G72" i="5"/>
  <c r="H72" i="5"/>
  <c r="I72" i="5"/>
  <c r="F73" i="5"/>
  <c r="G73" i="5"/>
  <c r="H73" i="5"/>
  <c r="I73" i="5"/>
  <c r="F74" i="5"/>
  <c r="G74" i="5"/>
  <c r="H74" i="5"/>
  <c r="I74" i="5"/>
  <c r="F75" i="5"/>
  <c r="G75" i="5"/>
  <c r="H75" i="5"/>
  <c r="I75" i="5"/>
  <c r="F76" i="5"/>
  <c r="G76" i="5"/>
  <c r="H76" i="5"/>
  <c r="I76" i="5"/>
  <c r="F77" i="5"/>
  <c r="G77" i="5"/>
  <c r="H77" i="5"/>
  <c r="I77" i="5"/>
  <c r="F78" i="5"/>
  <c r="G78" i="5"/>
  <c r="H78" i="5"/>
  <c r="I78" i="5"/>
  <c r="F79" i="5"/>
  <c r="G79" i="5"/>
  <c r="H79" i="5"/>
  <c r="I79" i="5"/>
  <c r="F80" i="5"/>
  <c r="G80" i="5"/>
  <c r="H80" i="5"/>
  <c r="I80" i="5"/>
  <c r="F81" i="5"/>
  <c r="G81" i="5"/>
  <c r="H81" i="5"/>
  <c r="I81" i="5"/>
  <c r="F82" i="5"/>
  <c r="G82" i="5"/>
  <c r="H82" i="5"/>
  <c r="I82" i="5"/>
  <c r="F83" i="5"/>
  <c r="G83" i="5"/>
  <c r="H83" i="5"/>
  <c r="I83" i="5"/>
  <c r="F84" i="5"/>
  <c r="G84" i="5"/>
  <c r="H84" i="5"/>
  <c r="I84" i="5"/>
  <c r="F85" i="5"/>
  <c r="G85" i="5"/>
  <c r="H85" i="5"/>
  <c r="I85" i="5"/>
  <c r="F59" i="5"/>
  <c r="G59" i="5"/>
  <c r="H59" i="5"/>
  <c r="I59" i="5"/>
  <c r="F58" i="5"/>
  <c r="G58" i="5"/>
  <c r="H58" i="5"/>
  <c r="I58" i="5"/>
  <c r="F35" i="5"/>
  <c r="G35" i="5"/>
  <c r="H35" i="5"/>
  <c r="I35" i="5"/>
  <c r="F36" i="5"/>
  <c r="G36" i="5"/>
  <c r="H36" i="5"/>
  <c r="I36" i="5"/>
  <c r="F37" i="5"/>
  <c r="G37" i="5"/>
  <c r="H37" i="5"/>
  <c r="I37" i="5"/>
  <c r="F38" i="5"/>
  <c r="G38" i="5"/>
  <c r="H38" i="5"/>
  <c r="I38" i="5"/>
  <c r="F39" i="5"/>
  <c r="G39" i="5"/>
  <c r="H39" i="5"/>
  <c r="I39" i="5"/>
  <c r="F40" i="5"/>
  <c r="G40" i="5"/>
  <c r="H40" i="5"/>
  <c r="I40" i="5"/>
  <c r="F41" i="5"/>
  <c r="G41" i="5"/>
  <c r="H41" i="5"/>
  <c r="I41" i="5"/>
  <c r="F42" i="5"/>
  <c r="G42" i="5"/>
  <c r="H42" i="5"/>
  <c r="I42" i="5"/>
  <c r="F43" i="5"/>
  <c r="G43" i="5"/>
  <c r="H43" i="5"/>
  <c r="I43" i="5"/>
  <c r="F44" i="5"/>
  <c r="G44" i="5"/>
  <c r="H44" i="5"/>
  <c r="I44" i="5"/>
  <c r="F45" i="5"/>
  <c r="G45" i="5"/>
  <c r="H45" i="5"/>
  <c r="I45" i="5"/>
  <c r="F46" i="5"/>
  <c r="G46" i="5"/>
  <c r="H46" i="5"/>
  <c r="I46" i="5"/>
  <c r="F47" i="5"/>
  <c r="G47" i="5"/>
  <c r="H47" i="5"/>
  <c r="I47" i="5"/>
  <c r="F48" i="5"/>
  <c r="G48" i="5"/>
  <c r="H48" i="5"/>
  <c r="I48" i="5"/>
  <c r="F49" i="5"/>
  <c r="G49" i="5"/>
  <c r="H49" i="5"/>
  <c r="I49" i="5"/>
  <c r="F50" i="5"/>
  <c r="G50" i="5"/>
  <c r="H50" i="5"/>
  <c r="I50" i="5"/>
  <c r="F51" i="5"/>
  <c r="G51" i="5"/>
  <c r="H51" i="5"/>
  <c r="I51" i="5"/>
  <c r="F52" i="5"/>
  <c r="G52" i="5"/>
  <c r="H52" i="5"/>
  <c r="I52" i="5"/>
  <c r="F53" i="5"/>
  <c r="G53" i="5"/>
  <c r="H53" i="5"/>
  <c r="I53" i="5"/>
  <c r="F54" i="5"/>
  <c r="G54" i="5"/>
  <c r="H54" i="5"/>
  <c r="I54" i="5"/>
  <c r="F55" i="5"/>
  <c r="G55" i="5"/>
  <c r="H55" i="5"/>
  <c r="I55" i="5"/>
  <c r="F56" i="5"/>
  <c r="G56" i="5"/>
  <c r="H56" i="5"/>
  <c r="I56" i="5"/>
  <c r="F33" i="5"/>
  <c r="G33" i="5"/>
  <c r="H33" i="5"/>
  <c r="I33" i="5"/>
  <c r="F34" i="5"/>
  <c r="G34" i="5"/>
  <c r="H34" i="5"/>
  <c r="I34" i="5"/>
  <c r="F57" i="5"/>
  <c r="G57" i="5"/>
  <c r="H57" i="5"/>
  <c r="I57" i="5"/>
  <c r="F32" i="5"/>
  <c r="G32" i="5"/>
  <c r="H32" i="5"/>
  <c r="I32" i="5"/>
  <c r="F31" i="5"/>
  <c r="G31" i="5"/>
  <c r="H31" i="5"/>
  <c r="I31" i="5"/>
  <c r="F30" i="5"/>
  <c r="G30" i="5"/>
  <c r="H30" i="5"/>
  <c r="I30" i="5"/>
  <c r="F29" i="5"/>
  <c r="G29" i="5"/>
  <c r="H29" i="5"/>
  <c r="I29" i="5"/>
  <c r="F28" i="5"/>
  <c r="G28" i="5"/>
  <c r="H28" i="5"/>
  <c r="I28" i="5"/>
  <c r="F27" i="5"/>
  <c r="G27" i="5"/>
  <c r="H27" i="5"/>
  <c r="I27" i="5"/>
  <c r="F26" i="5"/>
  <c r="G26" i="5"/>
  <c r="H26" i="5"/>
  <c r="I26" i="5"/>
  <c r="F25" i="5"/>
  <c r="G25" i="5"/>
  <c r="H25" i="5"/>
  <c r="I25" i="5"/>
  <c r="F24" i="5"/>
  <c r="G24" i="5"/>
  <c r="H24" i="5"/>
  <c r="I24" i="5"/>
  <c r="F23" i="5"/>
  <c r="G23" i="5"/>
  <c r="H23" i="5"/>
  <c r="I23" i="5"/>
  <c r="F22" i="5"/>
  <c r="G22" i="5"/>
  <c r="H22" i="5"/>
  <c r="I22" i="5"/>
  <c r="F21" i="5"/>
  <c r="G21" i="5"/>
  <c r="H21" i="5"/>
  <c r="I21" i="5"/>
  <c r="F20" i="5"/>
  <c r="G20" i="5"/>
  <c r="H20" i="5"/>
  <c r="I20" i="5"/>
  <c r="F19" i="5"/>
  <c r="G19" i="5"/>
  <c r="H19" i="5"/>
  <c r="I19" i="5"/>
  <c r="F18" i="5"/>
  <c r="G18" i="5"/>
  <c r="H18" i="5"/>
  <c r="I18" i="5"/>
  <c r="F17" i="5"/>
  <c r="G17" i="5"/>
  <c r="H17" i="5"/>
  <c r="I17" i="5"/>
  <c r="F16" i="5"/>
  <c r="G16" i="5"/>
  <c r="H16" i="5"/>
  <c r="I16" i="5"/>
  <c r="F15" i="5"/>
  <c r="G15" i="5"/>
  <c r="H15" i="5"/>
  <c r="I15" i="5"/>
  <c r="F14" i="5"/>
  <c r="G14" i="5"/>
  <c r="H14" i="5"/>
  <c r="I14" i="5"/>
  <c r="F13" i="5"/>
  <c r="G13" i="5"/>
  <c r="H13" i="5"/>
  <c r="I13" i="5"/>
  <c r="F12" i="5"/>
  <c r="G12" i="5"/>
  <c r="H12" i="5"/>
  <c r="I12" i="5"/>
  <c r="F11" i="5"/>
  <c r="G11" i="5"/>
  <c r="H11" i="5"/>
  <c r="I11" i="5"/>
  <c r="F10" i="5"/>
  <c r="G10" i="5"/>
  <c r="H10" i="5"/>
  <c r="I10" i="5"/>
  <c r="F9" i="5"/>
  <c r="G9" i="5"/>
  <c r="H9" i="5"/>
  <c r="I9" i="5"/>
  <c r="F8" i="5"/>
  <c r="G8" i="5"/>
  <c r="H8" i="5"/>
  <c r="I8" i="5"/>
  <c r="F7" i="5"/>
  <c r="H7" i="5"/>
  <c r="I7" i="5"/>
  <c r="F2" i="5"/>
  <c r="G2" i="5"/>
  <c r="H2" i="5"/>
  <c r="I2" i="5"/>
  <c r="F3" i="5"/>
  <c r="G3" i="5"/>
  <c r="H3" i="5"/>
  <c r="I3" i="5"/>
  <c r="F4" i="5"/>
  <c r="G4" i="5"/>
  <c r="I4" i="5"/>
  <c r="F5" i="5"/>
  <c r="G5" i="5"/>
  <c r="H5" i="5"/>
  <c r="I5" i="5"/>
  <c r="F6" i="5"/>
  <c r="G6" i="5"/>
  <c r="H6" i="5"/>
  <c r="I6" i="5"/>
  <c r="F710" i="5"/>
  <c r="G710" i="5"/>
  <c r="H710" i="5"/>
  <c r="I710" i="5"/>
  <c r="F713" i="5"/>
  <c r="G713" i="5"/>
  <c r="H713" i="5"/>
  <c r="I713" i="5"/>
  <c r="F715" i="5"/>
  <c r="G715" i="5"/>
  <c r="H715" i="5"/>
  <c r="I715" i="5"/>
  <c r="F716" i="5"/>
  <c r="G716" i="5"/>
  <c r="H716" i="5"/>
  <c r="I716" i="5"/>
  <c r="F717" i="5"/>
  <c r="G717" i="5"/>
  <c r="H717" i="5"/>
  <c r="I717" i="5"/>
  <c r="F718" i="5"/>
  <c r="G718" i="5"/>
  <c r="H718" i="5"/>
  <c r="I718" i="5"/>
  <c r="F719" i="5"/>
  <c r="G719" i="5"/>
  <c r="H719" i="5"/>
  <c r="I719" i="5"/>
  <c r="F720" i="5"/>
  <c r="G720" i="5"/>
  <c r="H720" i="5"/>
  <c r="I720" i="5"/>
  <c r="F721" i="5"/>
  <c r="G721" i="5"/>
  <c r="H721" i="5"/>
  <c r="I721" i="5"/>
  <c r="F722" i="5"/>
  <c r="G722" i="5"/>
  <c r="H722" i="5"/>
  <c r="I722" i="5"/>
  <c r="F723" i="5"/>
  <c r="G723" i="5"/>
  <c r="H723" i="5"/>
  <c r="I723" i="5"/>
  <c r="F724" i="5"/>
  <c r="G724" i="5"/>
  <c r="H724" i="5"/>
  <c r="I724" i="5"/>
  <c r="F725" i="5"/>
  <c r="G725" i="5"/>
  <c r="H725" i="5"/>
  <c r="I725" i="5"/>
  <c r="F726" i="5"/>
  <c r="G726" i="5"/>
  <c r="H726" i="5"/>
  <c r="I726" i="5"/>
  <c r="F727" i="5"/>
  <c r="G727" i="5"/>
  <c r="H727" i="5"/>
  <c r="I727" i="5"/>
  <c r="F728" i="5"/>
  <c r="G728" i="5"/>
  <c r="H728" i="5"/>
  <c r="I728" i="5"/>
  <c r="F729" i="5"/>
  <c r="G729" i="5"/>
  <c r="H729" i="5"/>
  <c r="I729" i="5"/>
  <c r="F730" i="5"/>
  <c r="G730" i="5"/>
  <c r="H730" i="5"/>
  <c r="I730" i="5"/>
  <c r="F731" i="5"/>
  <c r="G731" i="5"/>
  <c r="H731" i="5"/>
  <c r="I731" i="5"/>
  <c r="F732" i="5"/>
  <c r="G732" i="5"/>
  <c r="H732" i="5"/>
  <c r="I732" i="5"/>
  <c r="F733" i="5"/>
  <c r="G733" i="5"/>
  <c r="H733" i="5"/>
  <c r="I733" i="5"/>
  <c r="F734" i="5"/>
  <c r="G734" i="5"/>
  <c r="H734" i="5"/>
  <c r="I734" i="5"/>
  <c r="F735" i="5"/>
  <c r="G735" i="5"/>
  <c r="H735" i="5"/>
  <c r="I735" i="5"/>
  <c r="F736" i="5"/>
  <c r="G736" i="5"/>
  <c r="H736" i="5"/>
  <c r="I736" i="5"/>
  <c r="F737" i="5"/>
  <c r="G737" i="5"/>
  <c r="H737" i="5"/>
  <c r="I737" i="5"/>
  <c r="F738" i="5"/>
  <c r="G738" i="5"/>
  <c r="H738" i="5"/>
  <c r="I738" i="5"/>
  <c r="F739" i="5"/>
  <c r="G739" i="5"/>
  <c r="H739" i="5"/>
  <c r="I739" i="5"/>
  <c r="F740" i="5"/>
  <c r="G740" i="5"/>
  <c r="H740" i="5"/>
  <c r="I740" i="5"/>
  <c r="F741" i="5"/>
  <c r="G741" i="5"/>
  <c r="H741" i="5"/>
  <c r="I741" i="5"/>
  <c r="F742" i="5"/>
  <c r="G742" i="5"/>
  <c r="H742" i="5"/>
  <c r="I742" i="5"/>
  <c r="F743" i="5"/>
  <c r="G743" i="5"/>
  <c r="H743" i="5"/>
  <c r="I743" i="5"/>
  <c r="F744" i="5"/>
  <c r="G744" i="5"/>
  <c r="H744" i="5"/>
  <c r="I744" i="5"/>
  <c r="F745" i="5"/>
  <c r="G745" i="5"/>
  <c r="H745" i="5"/>
  <c r="I745" i="5"/>
  <c r="F746" i="5"/>
  <c r="G746" i="5"/>
  <c r="H746" i="5"/>
  <c r="I746" i="5"/>
  <c r="F747" i="5"/>
  <c r="G747" i="5"/>
  <c r="H747" i="5"/>
  <c r="I747" i="5"/>
  <c r="F748" i="5"/>
  <c r="G748" i="5"/>
  <c r="H748" i="5"/>
  <c r="I748" i="5"/>
  <c r="F749" i="5"/>
  <c r="G749" i="5"/>
  <c r="H749" i="5"/>
  <c r="I749" i="5"/>
  <c r="F750" i="5"/>
  <c r="G750" i="5"/>
  <c r="H750" i="5"/>
  <c r="I750" i="5"/>
  <c r="F751" i="5"/>
  <c r="G751" i="5"/>
  <c r="H751" i="5"/>
  <c r="I751" i="5"/>
  <c r="F752" i="5"/>
  <c r="G752" i="5"/>
  <c r="H752" i="5"/>
  <c r="I752" i="5"/>
  <c r="F753" i="5"/>
  <c r="G753" i="5"/>
  <c r="H753" i="5"/>
  <c r="I753" i="5"/>
  <c r="F754" i="5"/>
  <c r="G754" i="5"/>
  <c r="H754" i="5"/>
  <c r="I754" i="5"/>
  <c r="F755" i="5"/>
  <c r="G755" i="5"/>
  <c r="H755" i="5"/>
  <c r="I755" i="5"/>
  <c r="F756" i="5"/>
  <c r="G756" i="5"/>
  <c r="H756" i="5"/>
  <c r="I756" i="5"/>
  <c r="F757" i="5"/>
  <c r="G757" i="5"/>
  <c r="H757" i="5"/>
  <c r="I757" i="5"/>
  <c r="F758" i="5"/>
  <c r="G758" i="5"/>
  <c r="H758" i="5"/>
  <c r="I758" i="5"/>
  <c r="F759" i="5"/>
  <c r="G759" i="5"/>
  <c r="H759" i="5"/>
  <c r="I759" i="5"/>
  <c r="F760" i="5"/>
  <c r="G760" i="5"/>
  <c r="H760" i="5"/>
  <c r="I760" i="5"/>
  <c r="F761" i="5"/>
  <c r="G761" i="5"/>
  <c r="H761" i="5"/>
  <c r="I761" i="5"/>
  <c r="F762" i="5"/>
  <c r="G762" i="5"/>
  <c r="H762" i="5"/>
  <c r="I762" i="5"/>
  <c r="F763" i="5"/>
  <c r="G763" i="5"/>
  <c r="H763" i="5"/>
  <c r="I763" i="5"/>
  <c r="F764" i="5"/>
  <c r="G764" i="5"/>
  <c r="H764" i="5"/>
  <c r="I764" i="5"/>
  <c r="F765" i="5"/>
  <c r="G765" i="5"/>
  <c r="H765" i="5"/>
  <c r="I765" i="5"/>
  <c r="F766" i="5"/>
  <c r="G766" i="5"/>
  <c r="H766" i="5"/>
  <c r="I766" i="5"/>
  <c r="F767" i="5"/>
  <c r="G767" i="5"/>
  <c r="H767" i="5"/>
  <c r="I767" i="5"/>
  <c r="F768" i="5"/>
  <c r="G768" i="5"/>
  <c r="H768" i="5"/>
  <c r="I768" i="5"/>
  <c r="F769" i="5"/>
  <c r="G769" i="5"/>
  <c r="H769" i="5"/>
  <c r="I769" i="5"/>
  <c r="F770" i="5"/>
  <c r="G770" i="5"/>
  <c r="H770" i="5"/>
  <c r="I770" i="5"/>
  <c r="F771" i="5"/>
  <c r="G771" i="5"/>
  <c r="H771" i="5"/>
  <c r="I771" i="5"/>
  <c r="F772" i="5"/>
  <c r="G772" i="5"/>
  <c r="H772" i="5"/>
  <c r="I772" i="5"/>
  <c r="F773" i="5"/>
  <c r="G773" i="5"/>
  <c r="H773" i="5"/>
  <c r="I773" i="5"/>
  <c r="F774" i="5"/>
  <c r="G774" i="5"/>
  <c r="H774" i="5"/>
  <c r="I774" i="5"/>
  <c r="F775" i="5"/>
  <c r="G775" i="5"/>
  <c r="H775" i="5"/>
  <c r="I775" i="5"/>
  <c r="F776" i="5"/>
  <c r="G776" i="5"/>
  <c r="H776" i="5"/>
  <c r="I776" i="5"/>
  <c r="F777" i="5"/>
  <c r="G777" i="5"/>
  <c r="H777" i="5"/>
  <c r="I777" i="5"/>
  <c r="F778" i="5"/>
  <c r="G778" i="5"/>
  <c r="H778" i="5"/>
  <c r="I778" i="5"/>
  <c r="F779" i="5"/>
  <c r="G779" i="5"/>
  <c r="H779" i="5"/>
  <c r="I779" i="5"/>
  <c r="F780" i="5"/>
  <c r="G780" i="5"/>
  <c r="H780" i="5"/>
  <c r="I780" i="5"/>
  <c r="F781" i="5"/>
  <c r="G781" i="5"/>
  <c r="H781" i="5"/>
  <c r="I781" i="5"/>
  <c r="F782" i="5"/>
  <c r="G782" i="5"/>
  <c r="H782" i="5"/>
  <c r="I782" i="5"/>
  <c r="F783" i="5"/>
  <c r="G783" i="5"/>
  <c r="H783" i="5"/>
  <c r="I783" i="5"/>
  <c r="F784" i="5"/>
  <c r="G784" i="5"/>
  <c r="H784" i="5"/>
  <c r="I784" i="5"/>
  <c r="F785" i="5"/>
  <c r="G785" i="5"/>
  <c r="H785" i="5"/>
  <c r="I785" i="5"/>
  <c r="F786" i="5"/>
  <c r="G786" i="5"/>
  <c r="H786" i="5"/>
  <c r="I786" i="5"/>
  <c r="F787" i="5"/>
  <c r="G787" i="5"/>
  <c r="H787" i="5"/>
  <c r="I787" i="5"/>
  <c r="F788" i="5"/>
  <c r="G788" i="5"/>
  <c r="H788" i="5"/>
  <c r="I788" i="5"/>
  <c r="F789" i="5"/>
  <c r="G789" i="5"/>
  <c r="H789" i="5"/>
  <c r="I789" i="5"/>
  <c r="F790" i="5"/>
  <c r="G790" i="5"/>
  <c r="H790" i="5"/>
  <c r="I790" i="5"/>
  <c r="F791" i="5"/>
  <c r="G791" i="5"/>
  <c r="H791" i="5"/>
  <c r="I791" i="5"/>
  <c r="F792" i="5"/>
  <c r="G792" i="5"/>
  <c r="H792" i="5"/>
  <c r="I792" i="5"/>
  <c r="F793" i="5"/>
  <c r="G793" i="5"/>
  <c r="H793" i="5"/>
  <c r="I793" i="5"/>
  <c r="F794" i="5"/>
  <c r="G794" i="5"/>
  <c r="H794" i="5"/>
  <c r="I794" i="5"/>
  <c r="F795" i="5"/>
  <c r="G795" i="5"/>
  <c r="H795" i="5"/>
  <c r="I795" i="5"/>
  <c r="F796" i="5"/>
  <c r="G796" i="5"/>
  <c r="H796" i="5"/>
  <c r="I796" i="5"/>
  <c r="F797" i="5"/>
  <c r="G797" i="5"/>
  <c r="H797" i="5"/>
  <c r="I797" i="5"/>
  <c r="F798" i="5"/>
  <c r="G798" i="5"/>
  <c r="H798" i="5"/>
  <c r="I798" i="5"/>
  <c r="F799" i="5"/>
  <c r="G799" i="5"/>
  <c r="H799" i="5"/>
  <c r="I799" i="5"/>
  <c r="F800" i="5"/>
  <c r="G800" i="5"/>
  <c r="H800" i="5"/>
  <c r="I800" i="5"/>
  <c r="F801" i="5"/>
  <c r="G801" i="5"/>
  <c r="H801" i="5"/>
  <c r="I801" i="5"/>
  <c r="F802" i="5"/>
  <c r="G802" i="5"/>
  <c r="H802" i="5"/>
  <c r="I802" i="5"/>
  <c r="F803" i="5"/>
  <c r="G803" i="5"/>
  <c r="H803" i="5"/>
  <c r="I803" i="5"/>
  <c r="F804" i="5"/>
  <c r="G804" i="5"/>
  <c r="H804" i="5"/>
  <c r="I804" i="5"/>
  <c r="F805" i="5"/>
  <c r="G805" i="5"/>
  <c r="H805" i="5"/>
  <c r="I805" i="5"/>
  <c r="F806" i="5"/>
  <c r="G806" i="5"/>
  <c r="H806" i="5"/>
  <c r="I806" i="5"/>
  <c r="F807" i="5"/>
  <c r="G807" i="5"/>
  <c r="H807" i="5"/>
  <c r="I807" i="5"/>
  <c r="F808" i="5"/>
  <c r="G808" i="5"/>
  <c r="H808" i="5"/>
  <c r="I808" i="5"/>
  <c r="F809" i="5"/>
  <c r="G809" i="5"/>
  <c r="H809" i="5"/>
  <c r="I809" i="5"/>
  <c r="F810" i="5"/>
  <c r="G810" i="5"/>
  <c r="H810" i="5"/>
  <c r="I810" i="5"/>
  <c r="F811" i="5"/>
  <c r="G811" i="5"/>
  <c r="H811" i="5"/>
  <c r="I811" i="5"/>
  <c r="F812" i="5"/>
  <c r="G812" i="5"/>
  <c r="H812" i="5"/>
  <c r="I812" i="5"/>
  <c r="F813" i="5"/>
  <c r="G813" i="5"/>
  <c r="H813" i="5"/>
  <c r="I813" i="5"/>
  <c r="F814" i="5"/>
  <c r="G814" i="5"/>
  <c r="H814" i="5"/>
  <c r="I814" i="5"/>
  <c r="F815" i="5"/>
  <c r="G815" i="5"/>
  <c r="H815" i="5"/>
  <c r="I815" i="5"/>
  <c r="F816" i="5"/>
  <c r="G816" i="5"/>
  <c r="H816" i="5"/>
  <c r="I816" i="5"/>
  <c r="F817" i="5"/>
  <c r="G817" i="5"/>
  <c r="H817" i="5"/>
  <c r="I817" i="5"/>
  <c r="F818" i="5"/>
  <c r="G818" i="5"/>
  <c r="H818" i="5"/>
  <c r="I818" i="5"/>
  <c r="F819" i="5"/>
  <c r="G819" i="5"/>
  <c r="H819" i="5"/>
  <c r="I819" i="5"/>
  <c r="F820" i="5"/>
  <c r="G820" i="5"/>
  <c r="H820" i="5"/>
  <c r="I820" i="5"/>
  <c r="F821" i="5"/>
  <c r="G821" i="5"/>
  <c r="H821" i="5"/>
  <c r="I821" i="5"/>
  <c r="F822" i="5"/>
  <c r="G822" i="5"/>
  <c r="H822" i="5"/>
  <c r="I822" i="5"/>
  <c r="F823" i="5"/>
  <c r="G823" i="5"/>
  <c r="H823" i="5"/>
  <c r="I823" i="5"/>
  <c r="F824" i="5"/>
  <c r="G824" i="5"/>
  <c r="H824" i="5"/>
  <c r="I824" i="5"/>
  <c r="F825" i="5"/>
  <c r="G825" i="5"/>
  <c r="H825" i="5"/>
  <c r="I825" i="5"/>
  <c r="F826" i="5"/>
  <c r="G826" i="5"/>
  <c r="H826" i="5"/>
  <c r="I826" i="5"/>
  <c r="F827" i="5"/>
  <c r="G827" i="5"/>
  <c r="H827" i="5"/>
  <c r="I827" i="5"/>
  <c r="F828" i="5"/>
  <c r="G828" i="5"/>
  <c r="H828" i="5"/>
  <c r="I828" i="5"/>
  <c r="F829" i="5"/>
  <c r="G829" i="5"/>
  <c r="H829" i="5"/>
  <c r="I829" i="5"/>
  <c r="F830" i="5"/>
  <c r="G830" i="5"/>
  <c r="H830" i="5"/>
  <c r="I830" i="5"/>
  <c r="F831" i="5"/>
  <c r="G831" i="5"/>
  <c r="H831" i="5"/>
  <c r="I831" i="5"/>
  <c r="F832" i="5"/>
  <c r="G832" i="5"/>
  <c r="H832" i="5"/>
  <c r="I832" i="5"/>
  <c r="F833" i="5"/>
  <c r="G833" i="5"/>
  <c r="H833" i="5"/>
  <c r="I833" i="5"/>
  <c r="F834" i="5"/>
  <c r="G834" i="5"/>
  <c r="H834" i="5"/>
  <c r="I834" i="5"/>
  <c r="F835" i="5"/>
  <c r="G835" i="5"/>
  <c r="H835" i="5"/>
  <c r="I835" i="5"/>
  <c r="F836" i="5"/>
  <c r="G836" i="5"/>
  <c r="H836" i="5"/>
  <c r="I836" i="5"/>
  <c r="F837" i="5"/>
  <c r="G837" i="5"/>
  <c r="H837" i="5"/>
  <c r="I837" i="5"/>
  <c r="F838" i="5"/>
  <c r="G838" i="5"/>
  <c r="H838" i="5"/>
  <c r="I838" i="5"/>
  <c r="F839" i="5"/>
  <c r="G839" i="5"/>
  <c r="H839" i="5"/>
  <c r="I839" i="5"/>
  <c r="F840" i="5"/>
  <c r="G840" i="5"/>
  <c r="H840" i="5"/>
  <c r="I840" i="5"/>
  <c r="F841" i="5"/>
  <c r="G841" i="5"/>
  <c r="H841" i="5"/>
  <c r="I841" i="5"/>
  <c r="F842" i="5"/>
  <c r="G842" i="5"/>
  <c r="H842" i="5"/>
  <c r="I842" i="5"/>
  <c r="F843" i="5"/>
  <c r="G843" i="5"/>
  <c r="H843" i="5"/>
  <c r="I843" i="5"/>
  <c r="F844" i="5"/>
  <c r="G844" i="5"/>
  <c r="H844" i="5"/>
  <c r="I844" i="5"/>
  <c r="F845" i="5"/>
  <c r="G845" i="5"/>
  <c r="H845" i="5"/>
  <c r="I845" i="5"/>
  <c r="F846" i="5"/>
  <c r="G846" i="5"/>
  <c r="H846" i="5"/>
  <c r="I846" i="5"/>
  <c r="F847" i="5"/>
  <c r="G847" i="5"/>
  <c r="H847" i="5"/>
  <c r="I847" i="5"/>
  <c r="F848" i="5"/>
  <c r="G848" i="5"/>
  <c r="H848" i="5"/>
  <c r="I848" i="5"/>
  <c r="F849" i="5"/>
  <c r="G849" i="5"/>
  <c r="H849" i="5"/>
  <c r="I849" i="5"/>
  <c r="F850" i="5"/>
  <c r="G850" i="5"/>
  <c r="H850" i="5"/>
  <c r="I850" i="5"/>
  <c r="F851" i="5"/>
  <c r="G851" i="5"/>
  <c r="H851" i="5"/>
  <c r="I851" i="5"/>
  <c r="F852" i="5"/>
  <c r="G852" i="5"/>
  <c r="H852" i="5"/>
  <c r="I852" i="5"/>
  <c r="F853" i="5"/>
  <c r="G853" i="5"/>
  <c r="H853" i="5"/>
  <c r="I853" i="5"/>
  <c r="F854" i="5"/>
  <c r="G854" i="5"/>
  <c r="H854" i="5"/>
  <c r="I854" i="5"/>
  <c r="F855" i="5"/>
  <c r="G855" i="5"/>
  <c r="H855" i="5"/>
  <c r="I855" i="5"/>
  <c r="F856" i="5"/>
  <c r="G856" i="5"/>
  <c r="H856" i="5"/>
  <c r="I856" i="5"/>
  <c r="F857" i="5"/>
  <c r="G857" i="5"/>
  <c r="H857" i="5"/>
  <c r="I857" i="5"/>
  <c r="F858" i="5"/>
  <c r="G858" i="5"/>
  <c r="H858" i="5"/>
  <c r="I858" i="5"/>
  <c r="F859" i="5"/>
  <c r="G859" i="5"/>
  <c r="H859" i="5"/>
  <c r="I859" i="5"/>
  <c r="F860" i="5"/>
  <c r="G860" i="5"/>
  <c r="H860" i="5"/>
  <c r="I860" i="5"/>
  <c r="F861" i="5"/>
  <c r="G861" i="5"/>
  <c r="H861" i="5"/>
  <c r="I861" i="5"/>
  <c r="F862" i="5"/>
  <c r="G862" i="5"/>
  <c r="H862" i="5"/>
  <c r="I862" i="5"/>
  <c r="F863" i="5"/>
  <c r="G863" i="5"/>
  <c r="H863" i="5"/>
  <c r="I863" i="5"/>
  <c r="F864" i="5"/>
  <c r="G864" i="5"/>
  <c r="H864" i="5"/>
  <c r="I864" i="5"/>
  <c r="F865" i="5"/>
  <c r="G865" i="5"/>
  <c r="H865" i="5"/>
  <c r="I865" i="5"/>
  <c r="F866" i="5"/>
  <c r="G866" i="5"/>
  <c r="H866" i="5"/>
  <c r="I866" i="5"/>
  <c r="F867" i="5"/>
  <c r="G867" i="5"/>
  <c r="H867" i="5"/>
  <c r="I867" i="5"/>
  <c r="F868" i="5"/>
  <c r="G868" i="5"/>
  <c r="H868" i="5"/>
  <c r="I868" i="5"/>
  <c r="F869" i="5"/>
  <c r="G869" i="5"/>
  <c r="H869" i="5"/>
  <c r="I869" i="5"/>
  <c r="G704" i="5"/>
  <c r="H704" i="5"/>
  <c r="I704" i="5"/>
  <c r="F704" i="5"/>
  <c r="C703" i="5"/>
  <c r="D703" i="5"/>
  <c r="C701" i="5"/>
  <c r="D701" i="5"/>
  <c r="C702" i="5"/>
  <c r="D702" i="5"/>
  <c r="C700" i="5"/>
  <c r="D700" i="5"/>
  <c r="C699" i="5"/>
  <c r="D699" i="5"/>
  <c r="C698" i="5"/>
  <c r="D698" i="5"/>
  <c r="C697" i="5"/>
  <c r="D697" i="5"/>
  <c r="C696" i="5"/>
  <c r="D696" i="5"/>
  <c r="C695" i="5"/>
  <c r="D695" i="5"/>
  <c r="C694" i="5"/>
  <c r="D694" i="5"/>
  <c r="C693" i="5"/>
  <c r="D693" i="5"/>
  <c r="C692" i="5"/>
  <c r="D692" i="5"/>
  <c r="C691" i="5"/>
  <c r="D691" i="5"/>
  <c r="C690" i="5"/>
  <c r="D690" i="5"/>
  <c r="C689" i="5"/>
  <c r="D689" i="5"/>
  <c r="C688" i="5"/>
  <c r="D688" i="5"/>
  <c r="C687" i="5"/>
  <c r="D687" i="5"/>
  <c r="C686" i="5"/>
  <c r="D686" i="5"/>
  <c r="C685" i="5"/>
  <c r="D685" i="5"/>
  <c r="C684" i="5"/>
  <c r="D684" i="5"/>
  <c r="C683" i="5"/>
  <c r="D683" i="5"/>
  <c r="C682" i="5"/>
  <c r="D682" i="5"/>
  <c r="C681" i="5"/>
  <c r="D681" i="5"/>
  <c r="C680" i="5"/>
  <c r="D680" i="5"/>
  <c r="C679" i="5"/>
  <c r="D679" i="5"/>
  <c r="C678" i="5"/>
  <c r="D678" i="5"/>
  <c r="C677" i="5"/>
  <c r="D677" i="5"/>
  <c r="C676" i="5"/>
  <c r="D676" i="5"/>
  <c r="C675" i="5"/>
  <c r="D675" i="5"/>
  <c r="C674" i="5"/>
  <c r="D674" i="5"/>
  <c r="C673" i="5"/>
  <c r="D673" i="5"/>
  <c r="C672" i="5"/>
  <c r="D672" i="5"/>
  <c r="C671" i="5"/>
  <c r="D671" i="5"/>
  <c r="C670" i="5"/>
  <c r="D670" i="5"/>
  <c r="C669" i="5"/>
  <c r="D669" i="5"/>
  <c r="C668" i="5"/>
  <c r="D668" i="5"/>
  <c r="C667" i="5"/>
  <c r="D667" i="5"/>
  <c r="C666" i="5"/>
  <c r="D666" i="5"/>
  <c r="C665" i="5"/>
  <c r="D665" i="5"/>
  <c r="C664" i="5"/>
  <c r="D664" i="5"/>
  <c r="C663" i="5"/>
  <c r="D663" i="5"/>
  <c r="C662" i="5"/>
  <c r="D662" i="5"/>
  <c r="C661" i="5"/>
  <c r="D661" i="5"/>
  <c r="C660" i="5"/>
  <c r="D660" i="5"/>
  <c r="C659" i="5"/>
  <c r="D659" i="5"/>
  <c r="C658" i="5"/>
  <c r="D658" i="5"/>
  <c r="C657" i="5"/>
  <c r="D657" i="5"/>
  <c r="C656" i="5"/>
  <c r="D656" i="5"/>
  <c r="C655" i="5"/>
  <c r="D655" i="5"/>
  <c r="C654" i="5"/>
  <c r="D654" i="5"/>
  <c r="C653" i="5"/>
  <c r="D653" i="5"/>
  <c r="C652" i="5"/>
  <c r="D652" i="5"/>
  <c r="C651" i="5"/>
  <c r="D651" i="5"/>
  <c r="C650" i="5"/>
  <c r="D650" i="5"/>
  <c r="C649" i="5"/>
  <c r="D649" i="5"/>
  <c r="C648" i="5"/>
  <c r="D648" i="5"/>
  <c r="C647" i="5"/>
  <c r="D647" i="5"/>
  <c r="C646" i="5"/>
  <c r="D646" i="5"/>
  <c r="C645" i="5"/>
  <c r="D645" i="5"/>
  <c r="C644" i="5"/>
  <c r="D644" i="5"/>
  <c r="C643" i="5"/>
  <c r="D643" i="5"/>
  <c r="C642" i="5"/>
  <c r="D642" i="5"/>
  <c r="C641" i="5"/>
  <c r="D641" i="5"/>
  <c r="C640" i="5"/>
  <c r="D640" i="5"/>
  <c r="C639" i="5"/>
  <c r="D639" i="5"/>
  <c r="C638" i="5"/>
  <c r="D638" i="5"/>
  <c r="C637" i="5"/>
  <c r="D637" i="5"/>
  <c r="C636" i="5"/>
  <c r="D636" i="5"/>
  <c r="C635" i="5"/>
  <c r="D635" i="5"/>
  <c r="C634" i="5"/>
  <c r="D634" i="5"/>
  <c r="C633" i="5"/>
  <c r="D633" i="5"/>
  <c r="C632" i="5"/>
  <c r="D632" i="5"/>
  <c r="C631" i="5"/>
  <c r="D631" i="5"/>
  <c r="C630" i="5"/>
  <c r="D630" i="5"/>
  <c r="C629" i="5"/>
  <c r="D629" i="5"/>
  <c r="C628" i="5"/>
  <c r="D628" i="5"/>
  <c r="C627" i="5"/>
  <c r="D627" i="5"/>
  <c r="C626" i="5"/>
  <c r="D626" i="5"/>
  <c r="C625" i="5"/>
  <c r="D625" i="5"/>
  <c r="C624" i="5"/>
  <c r="D624" i="5"/>
  <c r="C623" i="5"/>
  <c r="D623" i="5"/>
  <c r="C622" i="5"/>
  <c r="D622" i="5"/>
  <c r="C621" i="5"/>
  <c r="D621" i="5"/>
  <c r="C620" i="5"/>
  <c r="D620" i="5"/>
  <c r="C619" i="5"/>
  <c r="D619" i="5"/>
  <c r="C618" i="5"/>
  <c r="D618" i="5"/>
  <c r="C617" i="5"/>
  <c r="D617" i="5"/>
  <c r="C616" i="5"/>
  <c r="D616" i="5"/>
  <c r="C615" i="5"/>
  <c r="D615" i="5"/>
  <c r="C614" i="5"/>
  <c r="D614" i="5"/>
  <c r="C613" i="5"/>
  <c r="D613" i="5"/>
  <c r="C612" i="5"/>
  <c r="D612" i="5"/>
  <c r="C611" i="5"/>
  <c r="D611" i="5"/>
  <c r="C610" i="5"/>
  <c r="D610" i="5"/>
  <c r="C609" i="5"/>
  <c r="D609" i="5"/>
  <c r="C608" i="5"/>
  <c r="D608" i="5"/>
  <c r="C607" i="5"/>
  <c r="D607" i="5"/>
  <c r="C606" i="5"/>
  <c r="D606" i="5"/>
  <c r="C605" i="5"/>
  <c r="D605" i="5"/>
  <c r="C604" i="5"/>
  <c r="D604" i="5"/>
  <c r="C603" i="5"/>
  <c r="D603" i="5"/>
  <c r="C602" i="5"/>
  <c r="D602" i="5"/>
  <c r="C601" i="5"/>
  <c r="D601" i="5"/>
  <c r="C600" i="5"/>
  <c r="D600" i="5"/>
  <c r="C599" i="5"/>
  <c r="D599" i="5"/>
  <c r="C598" i="5"/>
  <c r="D598" i="5"/>
  <c r="C597" i="5"/>
  <c r="D597" i="5"/>
  <c r="C596" i="5"/>
  <c r="D596" i="5"/>
  <c r="C595" i="5"/>
  <c r="D595" i="5"/>
  <c r="C594" i="5"/>
  <c r="D594" i="5"/>
  <c r="C593" i="5"/>
  <c r="D593" i="5"/>
  <c r="C592" i="5"/>
  <c r="D592" i="5"/>
  <c r="C591" i="5"/>
  <c r="D591" i="5"/>
  <c r="C590" i="5"/>
  <c r="D590" i="5"/>
  <c r="C589" i="5"/>
  <c r="D589" i="5"/>
  <c r="C588" i="5"/>
  <c r="D588" i="5"/>
  <c r="C587" i="5"/>
  <c r="D587" i="5"/>
  <c r="C586" i="5"/>
  <c r="D586" i="5"/>
  <c r="C585" i="5"/>
  <c r="D585" i="5"/>
  <c r="C584" i="5"/>
  <c r="D584" i="5"/>
  <c r="C583" i="5"/>
  <c r="D583" i="5"/>
  <c r="C582" i="5"/>
  <c r="D582" i="5"/>
  <c r="C581" i="5"/>
  <c r="D581" i="5"/>
  <c r="C580" i="5"/>
  <c r="D580" i="5"/>
  <c r="C579" i="5"/>
  <c r="D579" i="5"/>
  <c r="C578" i="5"/>
  <c r="D578" i="5"/>
  <c r="C577" i="5"/>
  <c r="D577" i="5"/>
  <c r="C576" i="5"/>
  <c r="D576" i="5"/>
  <c r="C575" i="5"/>
  <c r="D575" i="5"/>
  <c r="C574" i="5"/>
  <c r="D574" i="5"/>
  <c r="C573" i="5"/>
  <c r="D573" i="5"/>
  <c r="C572" i="5"/>
  <c r="D572" i="5"/>
  <c r="C571" i="5"/>
  <c r="D571" i="5"/>
  <c r="C570" i="5"/>
  <c r="D570" i="5"/>
  <c r="C569" i="5"/>
  <c r="D569" i="5"/>
  <c r="C568" i="5"/>
  <c r="D568" i="5"/>
  <c r="C567" i="5"/>
  <c r="D567" i="5"/>
  <c r="C566" i="5"/>
  <c r="D566" i="5"/>
  <c r="C565" i="5"/>
  <c r="D565" i="5"/>
  <c r="C564" i="5"/>
  <c r="D564" i="5"/>
  <c r="C563" i="5"/>
  <c r="D563" i="5"/>
  <c r="C562" i="5"/>
  <c r="D562" i="5"/>
  <c r="C561" i="5"/>
  <c r="D561" i="5"/>
  <c r="C560" i="5"/>
  <c r="D560" i="5"/>
  <c r="C559" i="5"/>
  <c r="D559" i="5"/>
  <c r="C558" i="5"/>
  <c r="D558" i="5"/>
  <c r="C557" i="5"/>
  <c r="D557" i="5"/>
  <c r="C556" i="5"/>
  <c r="D556" i="5"/>
  <c r="C555" i="5"/>
  <c r="D555" i="5"/>
  <c r="C554" i="5"/>
  <c r="D554" i="5"/>
  <c r="C553" i="5"/>
  <c r="D553" i="5"/>
  <c r="C552" i="5"/>
  <c r="D552" i="5"/>
  <c r="C551" i="5"/>
  <c r="D551" i="5"/>
  <c r="C550" i="5"/>
  <c r="D550" i="5"/>
  <c r="C549" i="5"/>
  <c r="D549" i="5"/>
  <c r="C548" i="5"/>
  <c r="D548" i="5"/>
  <c r="C547" i="5"/>
  <c r="D547" i="5"/>
  <c r="C546" i="5"/>
  <c r="D546" i="5"/>
  <c r="C545" i="5"/>
  <c r="D545" i="5"/>
  <c r="C544" i="5"/>
  <c r="D544" i="5"/>
  <c r="C543" i="5"/>
  <c r="D543" i="5"/>
  <c r="C542" i="5"/>
  <c r="D542" i="5"/>
  <c r="C541" i="5"/>
  <c r="D541" i="5"/>
  <c r="C540" i="5"/>
  <c r="D540" i="5"/>
  <c r="C539" i="5"/>
  <c r="D539" i="5"/>
  <c r="C538" i="5"/>
  <c r="D538" i="5"/>
  <c r="C537" i="5"/>
  <c r="D537" i="5"/>
  <c r="C536" i="5"/>
  <c r="D536" i="5"/>
  <c r="C535" i="5"/>
  <c r="D535" i="5"/>
  <c r="C534" i="5"/>
  <c r="D534" i="5"/>
  <c r="C533" i="5"/>
  <c r="D533" i="5"/>
  <c r="C532" i="5"/>
  <c r="D532" i="5"/>
  <c r="C531" i="5"/>
  <c r="D531" i="5"/>
  <c r="C530" i="5"/>
  <c r="D530" i="5"/>
  <c r="C529" i="5"/>
  <c r="D529" i="5"/>
  <c r="C528" i="5"/>
  <c r="D528" i="5"/>
  <c r="C527" i="5"/>
  <c r="D527" i="5"/>
  <c r="C526" i="5"/>
  <c r="D526" i="5"/>
  <c r="C525" i="5"/>
  <c r="D525" i="5"/>
  <c r="C524" i="5"/>
  <c r="D524" i="5"/>
  <c r="C523" i="5"/>
  <c r="D523" i="5"/>
  <c r="C522" i="5"/>
  <c r="D522" i="5"/>
  <c r="C521" i="5"/>
  <c r="D521" i="5"/>
  <c r="C520" i="5"/>
  <c r="D520" i="5"/>
  <c r="C519" i="5"/>
  <c r="D519" i="5"/>
  <c r="C518" i="5"/>
  <c r="D518" i="5"/>
  <c r="C517" i="5"/>
  <c r="D517" i="5"/>
  <c r="C516" i="5"/>
  <c r="D516" i="5"/>
  <c r="C515" i="5"/>
  <c r="D515" i="5"/>
  <c r="C514" i="5"/>
  <c r="D514" i="5"/>
  <c r="C513" i="5"/>
  <c r="D513" i="5"/>
  <c r="C512" i="5"/>
  <c r="D512" i="5"/>
  <c r="C511" i="5"/>
  <c r="D511" i="5"/>
  <c r="C510" i="5"/>
  <c r="D510" i="5"/>
  <c r="C509" i="5"/>
  <c r="D509" i="5"/>
  <c r="C508" i="5"/>
  <c r="D508" i="5"/>
  <c r="C507" i="5"/>
  <c r="D507" i="5"/>
  <c r="C506" i="5"/>
  <c r="D506" i="5"/>
  <c r="C505" i="5"/>
  <c r="D505" i="5"/>
  <c r="C504" i="5"/>
  <c r="D504" i="5"/>
  <c r="C503" i="5"/>
  <c r="D503" i="5"/>
  <c r="C502" i="5"/>
  <c r="D502" i="5"/>
  <c r="C501" i="5"/>
  <c r="D501" i="5"/>
  <c r="C500" i="5"/>
  <c r="D500" i="5"/>
  <c r="C499" i="5"/>
  <c r="D499" i="5"/>
  <c r="C498" i="5"/>
  <c r="D498" i="5"/>
  <c r="C497" i="5"/>
  <c r="D497" i="5"/>
  <c r="C496" i="5"/>
  <c r="D496" i="5"/>
  <c r="C495" i="5"/>
  <c r="D495" i="5"/>
  <c r="C494" i="5"/>
  <c r="D494" i="5"/>
  <c r="C493" i="5"/>
  <c r="D493" i="5"/>
  <c r="C492" i="5"/>
  <c r="D492" i="5"/>
  <c r="C491" i="5"/>
  <c r="D491" i="5"/>
  <c r="C490" i="5"/>
  <c r="D490" i="5"/>
  <c r="C489" i="5"/>
  <c r="D489" i="5"/>
  <c r="C488" i="5"/>
  <c r="D488" i="5"/>
  <c r="C487" i="5"/>
  <c r="D487" i="5"/>
  <c r="C486" i="5"/>
  <c r="D486" i="5"/>
  <c r="C485" i="5"/>
  <c r="D485" i="5"/>
  <c r="C484" i="5"/>
  <c r="D484" i="5"/>
  <c r="C483" i="5"/>
  <c r="D483" i="5"/>
  <c r="C482" i="5"/>
  <c r="D482" i="5"/>
  <c r="C481" i="5"/>
  <c r="D481" i="5"/>
  <c r="C480" i="5"/>
  <c r="D480" i="5"/>
  <c r="C479" i="5"/>
  <c r="D479" i="5"/>
  <c r="C478" i="5"/>
  <c r="D478" i="5"/>
  <c r="C477" i="5"/>
  <c r="D477" i="5"/>
  <c r="C476" i="5"/>
  <c r="D476" i="5"/>
  <c r="C475" i="5"/>
  <c r="D475" i="5"/>
  <c r="C474" i="5"/>
  <c r="D474" i="5"/>
  <c r="C473" i="5"/>
  <c r="D473" i="5"/>
  <c r="C472" i="5"/>
  <c r="D472" i="5"/>
  <c r="C471" i="5"/>
  <c r="D471" i="5"/>
  <c r="C470" i="5"/>
  <c r="D470" i="5"/>
  <c r="C469" i="5"/>
  <c r="D469" i="5"/>
  <c r="C468" i="5"/>
  <c r="D468" i="5"/>
  <c r="C467" i="5"/>
  <c r="D467" i="5"/>
  <c r="C466" i="5"/>
  <c r="D466" i="5"/>
  <c r="C465" i="5"/>
  <c r="D465" i="5"/>
  <c r="C464" i="5"/>
  <c r="D464" i="5"/>
  <c r="C463" i="5"/>
  <c r="D463" i="5"/>
  <c r="C462" i="5"/>
  <c r="D462" i="5"/>
  <c r="C461" i="5"/>
  <c r="D461" i="5"/>
  <c r="C460" i="5"/>
  <c r="D460" i="5"/>
  <c r="C459" i="5"/>
  <c r="D459" i="5"/>
  <c r="C458" i="5"/>
  <c r="D458" i="5"/>
  <c r="C457" i="5"/>
  <c r="D457" i="5"/>
  <c r="C456" i="5"/>
  <c r="D456" i="5"/>
  <c r="C455" i="5"/>
  <c r="D455" i="5"/>
  <c r="C454" i="5"/>
  <c r="D454" i="5"/>
  <c r="C453" i="5"/>
  <c r="D453" i="5"/>
  <c r="C452" i="5"/>
  <c r="D452" i="5"/>
  <c r="C451" i="5"/>
  <c r="D451" i="5"/>
  <c r="C450" i="5"/>
  <c r="D450" i="5"/>
  <c r="C449" i="5"/>
  <c r="D449" i="5"/>
  <c r="C448" i="5"/>
  <c r="D448" i="5"/>
  <c r="C447" i="5"/>
  <c r="D447" i="5"/>
  <c r="C446" i="5"/>
  <c r="D446" i="5"/>
  <c r="C445" i="5"/>
  <c r="D445" i="5"/>
  <c r="C444" i="5"/>
  <c r="D444" i="5"/>
  <c r="C443" i="5"/>
  <c r="D443" i="5"/>
  <c r="C442" i="5"/>
  <c r="D442" i="5"/>
  <c r="C441" i="5"/>
  <c r="D441" i="5"/>
  <c r="C440" i="5"/>
  <c r="D440" i="5"/>
  <c r="C439" i="5"/>
  <c r="D439" i="5"/>
  <c r="C438" i="5"/>
  <c r="D438" i="5"/>
  <c r="C437" i="5"/>
  <c r="D437" i="5"/>
  <c r="C436" i="5"/>
  <c r="D436" i="5"/>
  <c r="C435" i="5"/>
  <c r="D435" i="5"/>
  <c r="C434" i="5"/>
  <c r="D434" i="5"/>
  <c r="C433" i="5"/>
  <c r="D433" i="5"/>
  <c r="C432" i="5"/>
  <c r="D432" i="5"/>
  <c r="C431" i="5"/>
  <c r="D431" i="5"/>
  <c r="C430" i="5"/>
  <c r="D430" i="5"/>
  <c r="C429" i="5"/>
  <c r="D429" i="5"/>
  <c r="C428" i="5"/>
  <c r="D428" i="5"/>
  <c r="C427" i="5"/>
  <c r="D427" i="5"/>
  <c r="C426" i="5"/>
  <c r="D426" i="5"/>
  <c r="C425" i="5"/>
  <c r="D425" i="5"/>
  <c r="C424" i="5"/>
  <c r="D424" i="5"/>
  <c r="C423" i="5"/>
  <c r="D423" i="5"/>
  <c r="C422" i="5"/>
  <c r="D422" i="5"/>
  <c r="C421" i="5"/>
  <c r="D421" i="5"/>
  <c r="C420" i="5"/>
  <c r="D420" i="5"/>
  <c r="C419" i="5"/>
  <c r="D419" i="5"/>
  <c r="C418" i="5"/>
  <c r="D418" i="5"/>
  <c r="C417" i="5"/>
  <c r="D417" i="5"/>
  <c r="C416" i="5"/>
  <c r="D416" i="5"/>
  <c r="C415" i="5"/>
  <c r="D415" i="5"/>
  <c r="C414" i="5"/>
  <c r="D414" i="5"/>
  <c r="C413" i="5"/>
  <c r="D413" i="5"/>
  <c r="C412" i="5"/>
  <c r="D412" i="5"/>
  <c r="C411" i="5"/>
  <c r="D411" i="5"/>
  <c r="C410" i="5"/>
  <c r="D410" i="5"/>
  <c r="C409" i="5"/>
  <c r="D409" i="5"/>
  <c r="C408" i="5"/>
  <c r="D408" i="5"/>
  <c r="C407" i="5"/>
  <c r="D407" i="5"/>
  <c r="C406" i="5"/>
  <c r="D406" i="5"/>
  <c r="C405" i="5"/>
  <c r="D405" i="5"/>
  <c r="C404" i="5"/>
  <c r="D404" i="5"/>
  <c r="C403" i="5"/>
  <c r="D403" i="5"/>
  <c r="C402" i="5"/>
  <c r="D402" i="5"/>
  <c r="C401" i="5"/>
  <c r="D401" i="5"/>
  <c r="C400" i="5"/>
  <c r="D400" i="5"/>
  <c r="C399" i="5"/>
  <c r="D399" i="5"/>
  <c r="C398" i="5"/>
  <c r="D398" i="5"/>
  <c r="C397" i="5"/>
  <c r="D397" i="5"/>
  <c r="C396" i="5"/>
  <c r="D396" i="5"/>
  <c r="C395" i="5"/>
  <c r="D395" i="5"/>
  <c r="C394" i="5"/>
  <c r="D394" i="5"/>
  <c r="C393" i="5"/>
  <c r="D393" i="5"/>
  <c r="C392" i="5"/>
  <c r="D392" i="5"/>
  <c r="C391" i="5"/>
  <c r="D391" i="5"/>
  <c r="C390" i="5"/>
  <c r="D390" i="5"/>
  <c r="C389" i="5"/>
  <c r="D389" i="5"/>
  <c r="C388" i="5"/>
  <c r="D388" i="5"/>
  <c r="C387" i="5"/>
  <c r="D387" i="5"/>
  <c r="C386" i="5"/>
  <c r="D386" i="5"/>
  <c r="C385" i="5"/>
  <c r="D385" i="5"/>
  <c r="C384" i="5"/>
  <c r="D384" i="5"/>
  <c r="C383" i="5"/>
  <c r="D383" i="5"/>
  <c r="C382" i="5"/>
  <c r="D382" i="5"/>
  <c r="C381" i="5"/>
  <c r="D381" i="5"/>
  <c r="C380" i="5"/>
  <c r="D380" i="5"/>
  <c r="C379" i="5"/>
  <c r="D379" i="5"/>
  <c r="C378" i="5"/>
  <c r="D378" i="5"/>
  <c r="C377" i="5"/>
  <c r="D377" i="5"/>
  <c r="C376" i="5"/>
  <c r="D376" i="5"/>
  <c r="C375" i="5"/>
  <c r="D375" i="5"/>
  <c r="C374" i="5"/>
  <c r="D374" i="5"/>
  <c r="C373" i="5"/>
  <c r="D373" i="5"/>
  <c r="C372" i="5"/>
  <c r="D372" i="5"/>
  <c r="C371" i="5"/>
  <c r="D371" i="5"/>
  <c r="C370" i="5"/>
  <c r="D370" i="5"/>
  <c r="C369" i="5"/>
  <c r="D369" i="5"/>
  <c r="C368" i="5"/>
  <c r="D368" i="5"/>
  <c r="C367" i="5"/>
  <c r="D367" i="5"/>
  <c r="C366" i="5"/>
  <c r="D366" i="5"/>
  <c r="C365" i="5"/>
  <c r="D365" i="5"/>
  <c r="C364" i="5"/>
  <c r="D364" i="5"/>
  <c r="C363" i="5"/>
  <c r="D363" i="5"/>
  <c r="C362" i="5"/>
  <c r="D362" i="5"/>
  <c r="C361" i="5"/>
  <c r="D361" i="5"/>
  <c r="C360" i="5"/>
  <c r="D360" i="5"/>
  <c r="C359" i="5"/>
  <c r="D359" i="5"/>
  <c r="C357" i="5"/>
  <c r="D357" i="5"/>
  <c r="C358" i="5"/>
  <c r="D358" i="5"/>
  <c r="C356" i="5"/>
  <c r="D356" i="5"/>
  <c r="C355" i="5"/>
  <c r="D355" i="5"/>
  <c r="C354" i="5"/>
  <c r="D354" i="5"/>
  <c r="C353" i="5"/>
  <c r="D353" i="5"/>
  <c r="C352" i="5"/>
  <c r="D352" i="5"/>
  <c r="C351" i="5"/>
  <c r="D351" i="5"/>
  <c r="C350" i="5"/>
  <c r="D350" i="5"/>
  <c r="C349" i="5"/>
  <c r="D349" i="5"/>
  <c r="C348" i="5"/>
  <c r="D348" i="5"/>
  <c r="C347" i="5"/>
  <c r="D347" i="5"/>
  <c r="C346" i="5"/>
  <c r="D346" i="5"/>
  <c r="C345" i="5"/>
  <c r="D345" i="5"/>
  <c r="C343" i="5"/>
  <c r="D343" i="5"/>
  <c r="C344" i="5"/>
  <c r="D344" i="5"/>
  <c r="C341" i="5"/>
  <c r="D341" i="5"/>
  <c r="C342" i="5"/>
  <c r="D342" i="5"/>
  <c r="C339" i="5"/>
  <c r="D339" i="5"/>
  <c r="C340" i="5"/>
  <c r="D340" i="5"/>
  <c r="C335" i="5"/>
  <c r="D335" i="5"/>
  <c r="C336" i="5"/>
  <c r="D336" i="5"/>
  <c r="C337" i="5"/>
  <c r="D337" i="5"/>
  <c r="C338" i="5"/>
  <c r="D338" i="5"/>
  <c r="C333" i="5"/>
  <c r="D333" i="5"/>
  <c r="C332" i="5"/>
  <c r="D332" i="5"/>
  <c r="C334" i="5"/>
  <c r="D334" i="5"/>
  <c r="C331" i="5"/>
  <c r="D331" i="5"/>
  <c r="C330" i="5"/>
  <c r="D330" i="5"/>
  <c r="C329" i="5"/>
  <c r="D329" i="5"/>
  <c r="C328" i="5"/>
  <c r="D328" i="5"/>
  <c r="C327" i="5"/>
  <c r="D327" i="5"/>
  <c r="C326" i="5"/>
  <c r="D326" i="5"/>
  <c r="C325" i="5"/>
  <c r="D325" i="5"/>
  <c r="C324" i="5"/>
  <c r="D324" i="5"/>
  <c r="C323" i="5"/>
  <c r="D323" i="5"/>
  <c r="C322" i="5"/>
  <c r="D322" i="5"/>
  <c r="C321" i="5"/>
  <c r="D321" i="5"/>
  <c r="C320" i="5"/>
  <c r="D320" i="5"/>
  <c r="C319" i="5"/>
  <c r="D319" i="5"/>
  <c r="C318" i="5"/>
  <c r="D318" i="5"/>
  <c r="C317" i="5"/>
  <c r="D317" i="5"/>
  <c r="C316" i="5"/>
  <c r="D316" i="5"/>
  <c r="D315" i="5"/>
  <c r="M315" i="5" s="1"/>
  <c r="C314" i="5"/>
  <c r="D314" i="5"/>
  <c r="C313" i="5"/>
  <c r="D313" i="5"/>
  <c r="C312" i="5"/>
  <c r="D312" i="5"/>
  <c r="C311" i="5"/>
  <c r="D311" i="5"/>
  <c r="C310" i="5"/>
  <c r="D310" i="5"/>
  <c r="C309" i="5"/>
  <c r="D309" i="5"/>
  <c r="C308" i="5"/>
  <c r="D308" i="5"/>
  <c r="C307" i="5"/>
  <c r="D307" i="5"/>
  <c r="C306" i="5"/>
  <c r="D306" i="5"/>
  <c r="C305" i="5"/>
  <c r="D305" i="5"/>
  <c r="C304" i="5"/>
  <c r="D304" i="5"/>
  <c r="C303" i="5"/>
  <c r="D303" i="5"/>
  <c r="C302" i="5"/>
  <c r="D302" i="5"/>
  <c r="C301" i="5"/>
  <c r="D301" i="5"/>
  <c r="C300" i="5"/>
  <c r="D300" i="5"/>
  <c r="C299" i="5"/>
  <c r="D299" i="5"/>
  <c r="C297" i="5"/>
  <c r="D297" i="5"/>
  <c r="C298" i="5"/>
  <c r="D298" i="5"/>
  <c r="C296" i="5"/>
  <c r="D296" i="5"/>
  <c r="C295" i="5"/>
  <c r="D295" i="5"/>
  <c r="C294" i="5"/>
  <c r="D294" i="5"/>
  <c r="C293" i="5"/>
  <c r="D293" i="5"/>
  <c r="C292" i="5"/>
  <c r="D292" i="5"/>
  <c r="C289" i="5"/>
  <c r="D289" i="5"/>
  <c r="C291" i="5"/>
  <c r="D291" i="5"/>
  <c r="C290" i="5"/>
  <c r="D290" i="5"/>
  <c r="D288" i="5"/>
  <c r="M288" i="5" s="1"/>
  <c r="C287" i="5"/>
  <c r="D287" i="5"/>
  <c r="C286" i="5"/>
  <c r="D286" i="5"/>
  <c r="C285" i="5"/>
  <c r="M285" i="5" s="1"/>
  <c r="C284" i="5"/>
  <c r="M284" i="5" s="1"/>
  <c r="C282" i="5"/>
  <c r="D282" i="5"/>
  <c r="C281" i="5"/>
  <c r="D281" i="5"/>
  <c r="C280" i="5"/>
  <c r="D280" i="5"/>
  <c r="C279" i="5"/>
  <c r="D279" i="5"/>
  <c r="C278" i="5"/>
  <c r="D278" i="5"/>
  <c r="C277" i="5"/>
  <c r="D277" i="5"/>
  <c r="C276" i="5"/>
  <c r="D276" i="5"/>
  <c r="C275" i="5"/>
  <c r="D275" i="5"/>
  <c r="C273" i="5"/>
  <c r="D273" i="5"/>
  <c r="C271" i="5"/>
  <c r="D271" i="5"/>
  <c r="C270" i="5"/>
  <c r="D270" i="5"/>
  <c r="C268" i="5"/>
  <c r="D268" i="5"/>
  <c r="C269" i="5"/>
  <c r="D269" i="5"/>
  <c r="C267" i="5"/>
  <c r="D267" i="5"/>
  <c r="C266" i="5"/>
  <c r="D266" i="5"/>
  <c r="C272" i="5"/>
  <c r="D272" i="5"/>
  <c r="C265" i="5"/>
  <c r="D265" i="5"/>
  <c r="C264" i="5"/>
  <c r="D264" i="5"/>
  <c r="C263" i="5"/>
  <c r="D263" i="5"/>
  <c r="C262" i="5"/>
  <c r="D262" i="5"/>
  <c r="C257" i="5"/>
  <c r="D257" i="5"/>
  <c r="C259" i="5"/>
  <c r="D259" i="5"/>
  <c r="C258" i="5"/>
  <c r="D258" i="5"/>
  <c r="C256" i="5"/>
  <c r="D256" i="5"/>
  <c r="C255" i="5"/>
  <c r="D255" i="5"/>
  <c r="C261" i="5"/>
  <c r="D261" i="5"/>
  <c r="C260" i="5"/>
  <c r="D260" i="5"/>
  <c r="C254" i="5"/>
  <c r="D254" i="5"/>
  <c r="C253" i="5"/>
  <c r="D253" i="5"/>
  <c r="C252" i="5"/>
  <c r="D252" i="5"/>
  <c r="C249" i="5"/>
  <c r="D249" i="5"/>
  <c r="C250" i="5"/>
  <c r="D250" i="5"/>
  <c r="C251" i="5"/>
  <c r="D251" i="5"/>
  <c r="C247" i="5"/>
  <c r="D247" i="5"/>
  <c r="C248" i="5"/>
  <c r="M248" i="5" s="1"/>
  <c r="C246" i="5"/>
  <c r="D246" i="5"/>
  <c r="C245" i="5"/>
  <c r="D245" i="5"/>
  <c r="C244" i="5"/>
  <c r="D244" i="5"/>
  <c r="C243" i="5"/>
  <c r="D243" i="5"/>
  <c r="C242" i="5"/>
  <c r="D242" i="5"/>
  <c r="C241" i="5"/>
  <c r="D241" i="5"/>
  <c r="C240" i="5"/>
  <c r="D240" i="5"/>
  <c r="C239" i="5"/>
  <c r="D239" i="5"/>
  <c r="C705" i="5"/>
  <c r="D705" i="5"/>
  <c r="C706" i="5"/>
  <c r="D706" i="5"/>
  <c r="C707" i="5"/>
  <c r="D707" i="5"/>
  <c r="C708" i="5"/>
  <c r="D708" i="5"/>
  <c r="C238" i="5"/>
  <c r="D238" i="5"/>
  <c r="C237" i="5"/>
  <c r="D237" i="5"/>
  <c r="C236" i="5"/>
  <c r="D236" i="5"/>
  <c r="C235" i="5"/>
  <c r="D235" i="5"/>
  <c r="C234" i="5"/>
  <c r="D234" i="5"/>
  <c r="C233" i="5"/>
  <c r="D233" i="5"/>
  <c r="C232" i="5"/>
  <c r="D232" i="5"/>
  <c r="C231" i="5"/>
  <c r="D231" i="5"/>
  <c r="C230" i="5"/>
  <c r="D230" i="5"/>
  <c r="C229" i="5"/>
  <c r="D229" i="5"/>
  <c r="C228" i="5"/>
  <c r="D228" i="5"/>
  <c r="C227" i="5"/>
  <c r="D227" i="5"/>
  <c r="C226" i="5"/>
  <c r="D226" i="5"/>
  <c r="C225" i="5"/>
  <c r="D225" i="5"/>
  <c r="C224" i="5"/>
  <c r="D224" i="5"/>
  <c r="C223" i="5"/>
  <c r="D223" i="5"/>
  <c r="C222" i="5"/>
  <c r="D222" i="5"/>
  <c r="C221" i="5"/>
  <c r="D221" i="5"/>
  <c r="C219" i="5"/>
  <c r="D219" i="5"/>
  <c r="C218" i="5"/>
  <c r="D218" i="5"/>
  <c r="C215" i="5"/>
  <c r="D215" i="5"/>
  <c r="D216" i="5"/>
  <c r="M216" i="5" s="1"/>
  <c r="C214" i="5"/>
  <c r="D214" i="5"/>
  <c r="C213" i="5"/>
  <c r="D213" i="5"/>
  <c r="C212" i="5"/>
  <c r="D212" i="5"/>
  <c r="C211" i="5"/>
  <c r="D211" i="5"/>
  <c r="C210" i="5"/>
  <c r="D210" i="5"/>
  <c r="C209" i="5"/>
  <c r="D209" i="5"/>
  <c r="C208" i="5"/>
  <c r="D208" i="5"/>
  <c r="C207" i="5"/>
  <c r="D207" i="5"/>
  <c r="C206" i="5"/>
  <c r="D206" i="5"/>
  <c r="C205" i="5"/>
  <c r="D205" i="5"/>
  <c r="C204" i="5"/>
  <c r="D204" i="5"/>
  <c r="C203" i="5"/>
  <c r="D203" i="5"/>
  <c r="C202" i="5"/>
  <c r="D202" i="5"/>
  <c r="C201" i="5"/>
  <c r="D201" i="5"/>
  <c r="C200" i="5"/>
  <c r="D200" i="5"/>
  <c r="C199" i="5"/>
  <c r="D199" i="5"/>
  <c r="C198" i="5"/>
  <c r="D198" i="5"/>
  <c r="C197" i="5"/>
  <c r="D197" i="5"/>
  <c r="C196" i="5"/>
  <c r="D196" i="5"/>
  <c r="C195" i="5"/>
  <c r="D195" i="5"/>
  <c r="C194" i="5"/>
  <c r="D194" i="5"/>
  <c r="C193" i="5"/>
  <c r="D193" i="5"/>
  <c r="C192" i="5"/>
  <c r="D192" i="5"/>
  <c r="C191" i="5"/>
  <c r="D191" i="5"/>
  <c r="C190" i="5"/>
  <c r="D190" i="5"/>
  <c r="C189" i="5"/>
  <c r="D189" i="5"/>
  <c r="C188" i="5"/>
  <c r="D188" i="5"/>
  <c r="C186" i="5"/>
  <c r="D186" i="5"/>
  <c r="C187" i="5"/>
  <c r="D187" i="5"/>
  <c r="C185" i="5"/>
  <c r="D185" i="5"/>
  <c r="C184" i="5"/>
  <c r="D184" i="5"/>
  <c r="C183" i="5"/>
  <c r="D183" i="5"/>
  <c r="C182" i="5"/>
  <c r="D182" i="5"/>
  <c r="C180" i="5"/>
  <c r="D180" i="5"/>
  <c r="C181" i="5"/>
  <c r="D181" i="5"/>
  <c r="C179" i="5"/>
  <c r="D179" i="5"/>
  <c r="C172" i="5"/>
  <c r="D172" i="5"/>
  <c r="C173" i="5"/>
  <c r="D173" i="5"/>
  <c r="C174" i="5"/>
  <c r="D174" i="5"/>
  <c r="C175" i="5"/>
  <c r="D175" i="5"/>
  <c r="C176" i="5"/>
  <c r="D176" i="5"/>
  <c r="C177" i="5"/>
  <c r="D177" i="5"/>
  <c r="C171" i="5"/>
  <c r="D171" i="5"/>
  <c r="C178" i="5"/>
  <c r="D178" i="5"/>
  <c r="C170" i="5"/>
  <c r="D170" i="5"/>
  <c r="C169" i="5"/>
  <c r="D169" i="5"/>
  <c r="C168" i="5"/>
  <c r="D168" i="5"/>
  <c r="C167" i="5"/>
  <c r="D167" i="5"/>
  <c r="C166" i="5"/>
  <c r="D166" i="5"/>
  <c r="C165" i="5"/>
  <c r="D165" i="5"/>
  <c r="C164" i="5"/>
  <c r="D164" i="5"/>
  <c r="C163" i="5"/>
  <c r="D163" i="5"/>
  <c r="C162" i="5"/>
  <c r="D162" i="5"/>
  <c r="C161" i="5"/>
  <c r="D161" i="5"/>
  <c r="C160" i="5"/>
  <c r="D160" i="5"/>
  <c r="C159" i="5"/>
  <c r="D159" i="5"/>
  <c r="C157" i="5"/>
  <c r="D157" i="5"/>
  <c r="C158" i="5"/>
  <c r="D158" i="5"/>
  <c r="C156" i="5"/>
  <c r="D156" i="5"/>
  <c r="C709" i="5"/>
  <c r="D709" i="5"/>
  <c r="C154" i="5"/>
  <c r="D154" i="5"/>
  <c r="C155" i="5"/>
  <c r="D155" i="5"/>
  <c r="C153" i="5"/>
  <c r="D153" i="5"/>
  <c r="C152" i="5"/>
  <c r="D152" i="5"/>
  <c r="C151" i="5"/>
  <c r="D151" i="5"/>
  <c r="C150" i="5"/>
  <c r="D150" i="5"/>
  <c r="C143" i="5"/>
  <c r="D143" i="5"/>
  <c r="C144" i="5"/>
  <c r="D144" i="5"/>
  <c r="C145" i="5"/>
  <c r="D145" i="5"/>
  <c r="C146" i="5"/>
  <c r="D146" i="5"/>
  <c r="C147" i="5"/>
  <c r="D147" i="5"/>
  <c r="C148" i="5"/>
  <c r="D148" i="5"/>
  <c r="C149" i="5"/>
  <c r="D149" i="5"/>
  <c r="C142" i="5"/>
  <c r="D142" i="5"/>
  <c r="C141" i="5"/>
  <c r="D141" i="5"/>
  <c r="C140" i="5"/>
  <c r="D140" i="5"/>
  <c r="C139" i="5"/>
  <c r="D139" i="5"/>
  <c r="C138" i="5"/>
  <c r="D138" i="5"/>
  <c r="C137" i="5"/>
  <c r="D137" i="5"/>
  <c r="C136" i="5"/>
  <c r="D136" i="5"/>
  <c r="C135" i="5"/>
  <c r="D135" i="5"/>
  <c r="C134" i="5"/>
  <c r="D134" i="5"/>
  <c r="C133" i="5"/>
  <c r="D133" i="5"/>
  <c r="C132" i="5"/>
  <c r="D132" i="5"/>
  <c r="C131" i="5"/>
  <c r="D131" i="5"/>
  <c r="C130" i="5"/>
  <c r="D130" i="5"/>
  <c r="C129" i="5"/>
  <c r="D129" i="5"/>
  <c r="C128" i="5"/>
  <c r="D128" i="5"/>
  <c r="C127" i="5"/>
  <c r="D127" i="5"/>
  <c r="C126" i="5"/>
  <c r="D126" i="5"/>
  <c r="C125" i="5"/>
  <c r="D125" i="5"/>
  <c r="C124" i="5"/>
  <c r="D124" i="5"/>
  <c r="C123" i="5"/>
  <c r="D123" i="5"/>
  <c r="C122" i="5"/>
  <c r="D122" i="5"/>
  <c r="C121" i="5"/>
  <c r="D121" i="5"/>
  <c r="C120" i="5"/>
  <c r="D120" i="5"/>
  <c r="C119" i="5"/>
  <c r="D119" i="5"/>
  <c r="C118" i="5"/>
  <c r="D118" i="5"/>
  <c r="C117" i="5"/>
  <c r="D117" i="5"/>
  <c r="C116" i="5"/>
  <c r="D116" i="5"/>
  <c r="C115" i="5"/>
  <c r="D115" i="5"/>
  <c r="C114" i="5"/>
  <c r="D114" i="5"/>
  <c r="C109" i="5"/>
  <c r="D109" i="5"/>
  <c r="C110" i="5"/>
  <c r="D110" i="5"/>
  <c r="C111" i="5"/>
  <c r="D111" i="5"/>
  <c r="C112" i="5"/>
  <c r="D112" i="5"/>
  <c r="C113" i="5"/>
  <c r="D113" i="5"/>
  <c r="C108" i="5"/>
  <c r="D108" i="5"/>
  <c r="C106" i="5"/>
  <c r="D106" i="5"/>
  <c r="C107" i="5"/>
  <c r="D107" i="5"/>
  <c r="C102" i="5"/>
  <c r="D102" i="5"/>
  <c r="C103" i="5"/>
  <c r="D103" i="5"/>
  <c r="C104" i="5"/>
  <c r="D104" i="5"/>
  <c r="C105" i="5"/>
  <c r="D105" i="5"/>
  <c r="C101" i="5"/>
  <c r="D101" i="5"/>
  <c r="C100" i="5"/>
  <c r="D100" i="5"/>
  <c r="C98" i="5"/>
  <c r="D98" i="5"/>
  <c r="C99" i="5"/>
  <c r="D99" i="5"/>
  <c r="C97" i="5"/>
  <c r="D97" i="5"/>
  <c r="C96" i="5"/>
  <c r="D96" i="5"/>
  <c r="C94" i="5"/>
  <c r="D94" i="5"/>
  <c r="C95" i="5"/>
  <c r="D95" i="5"/>
  <c r="C93" i="5"/>
  <c r="D93" i="5"/>
  <c r="C92" i="5"/>
  <c r="D92" i="5"/>
  <c r="C91" i="5"/>
  <c r="D91" i="5"/>
  <c r="C90" i="5"/>
  <c r="D90" i="5"/>
  <c r="C89" i="5"/>
  <c r="D89" i="5"/>
  <c r="C88" i="5"/>
  <c r="D88" i="5"/>
  <c r="C87" i="5"/>
  <c r="D87" i="5"/>
  <c r="C86" i="5"/>
  <c r="D86" i="5"/>
  <c r="C61" i="5"/>
  <c r="D61" i="5"/>
  <c r="C62" i="5"/>
  <c r="D6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59" i="5"/>
  <c r="D59" i="5"/>
  <c r="C58" i="5"/>
  <c r="D58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33" i="5"/>
  <c r="D33" i="5"/>
  <c r="C34" i="5"/>
  <c r="D34" i="5"/>
  <c r="C57" i="5"/>
  <c r="D57" i="5"/>
  <c r="C32" i="5"/>
  <c r="D32" i="5"/>
  <c r="C31" i="5"/>
  <c r="D31" i="5"/>
  <c r="C30" i="5"/>
  <c r="D30" i="5"/>
  <c r="C29" i="5"/>
  <c r="D29" i="5"/>
  <c r="C28" i="5"/>
  <c r="D28" i="5"/>
  <c r="C27" i="5"/>
  <c r="D27" i="5"/>
  <c r="C26" i="5"/>
  <c r="D26" i="5"/>
  <c r="C25" i="5"/>
  <c r="D25" i="5"/>
  <c r="C24" i="5"/>
  <c r="D24" i="5"/>
  <c r="C23" i="5"/>
  <c r="D23" i="5"/>
  <c r="C22" i="5"/>
  <c r="D22" i="5"/>
  <c r="C21" i="5"/>
  <c r="D21" i="5"/>
  <c r="C20" i="5"/>
  <c r="D20" i="5"/>
  <c r="C19" i="5"/>
  <c r="D19" i="5"/>
  <c r="C18" i="5"/>
  <c r="D18" i="5"/>
  <c r="C17" i="5"/>
  <c r="D17" i="5"/>
  <c r="C16" i="5"/>
  <c r="D16" i="5"/>
  <c r="C15" i="5"/>
  <c r="D15" i="5"/>
  <c r="C14" i="5"/>
  <c r="D14" i="5"/>
  <c r="C13" i="5"/>
  <c r="D13" i="5"/>
  <c r="C12" i="5"/>
  <c r="D12" i="5"/>
  <c r="C11" i="5"/>
  <c r="D11" i="5"/>
  <c r="C10" i="5"/>
  <c r="D10" i="5"/>
  <c r="C9" i="5"/>
  <c r="D9" i="5"/>
  <c r="C8" i="5"/>
  <c r="D8" i="5"/>
  <c r="C7" i="5"/>
  <c r="D7" i="5"/>
  <c r="C2" i="5"/>
  <c r="D2" i="5"/>
  <c r="C3" i="5"/>
  <c r="D3" i="5"/>
  <c r="C4" i="5"/>
  <c r="D4" i="5"/>
  <c r="C5" i="5"/>
  <c r="D5" i="5"/>
  <c r="C6" i="5"/>
  <c r="D6" i="5"/>
  <c r="C710" i="5"/>
  <c r="D710" i="5"/>
  <c r="C713" i="5"/>
  <c r="D713" i="5"/>
  <c r="C715" i="5"/>
  <c r="D715" i="5"/>
  <c r="C716" i="5"/>
  <c r="D716" i="5"/>
  <c r="C717" i="5"/>
  <c r="D717" i="5"/>
  <c r="C718" i="5"/>
  <c r="D718" i="5"/>
  <c r="C719" i="5"/>
  <c r="D719" i="5"/>
  <c r="C720" i="5"/>
  <c r="D720" i="5"/>
  <c r="C721" i="5"/>
  <c r="D721" i="5"/>
  <c r="C722" i="5"/>
  <c r="D722" i="5"/>
  <c r="C723" i="5"/>
  <c r="D723" i="5"/>
  <c r="C724" i="5"/>
  <c r="D724" i="5"/>
  <c r="C725" i="5"/>
  <c r="D725" i="5"/>
  <c r="C726" i="5"/>
  <c r="D726" i="5"/>
  <c r="C727" i="5"/>
  <c r="D727" i="5"/>
  <c r="C728" i="5"/>
  <c r="D728" i="5"/>
  <c r="C729" i="5"/>
  <c r="D729" i="5"/>
  <c r="C730" i="5"/>
  <c r="D730" i="5"/>
  <c r="C731" i="5"/>
  <c r="D731" i="5"/>
  <c r="C732" i="5"/>
  <c r="D732" i="5"/>
  <c r="C733" i="5"/>
  <c r="D733" i="5"/>
  <c r="C734" i="5"/>
  <c r="D734" i="5"/>
  <c r="C735" i="5"/>
  <c r="D735" i="5"/>
  <c r="C736" i="5"/>
  <c r="D736" i="5"/>
  <c r="C737" i="5"/>
  <c r="D737" i="5"/>
  <c r="C738" i="5"/>
  <c r="D738" i="5"/>
  <c r="C739" i="5"/>
  <c r="D739" i="5"/>
  <c r="C740" i="5"/>
  <c r="D740" i="5"/>
  <c r="C741" i="5"/>
  <c r="D741" i="5"/>
  <c r="C742" i="5"/>
  <c r="D742" i="5"/>
  <c r="C743" i="5"/>
  <c r="D743" i="5"/>
  <c r="C744" i="5"/>
  <c r="D744" i="5"/>
  <c r="C745" i="5"/>
  <c r="D745" i="5"/>
  <c r="C746" i="5"/>
  <c r="D746" i="5"/>
  <c r="C747" i="5"/>
  <c r="D747" i="5"/>
  <c r="C748" i="5"/>
  <c r="D748" i="5"/>
  <c r="C749" i="5"/>
  <c r="D749" i="5"/>
  <c r="C750" i="5"/>
  <c r="D750" i="5"/>
  <c r="C751" i="5"/>
  <c r="D751" i="5"/>
  <c r="C752" i="5"/>
  <c r="D752" i="5"/>
  <c r="C753" i="5"/>
  <c r="D753" i="5"/>
  <c r="C754" i="5"/>
  <c r="D754" i="5"/>
  <c r="C755" i="5"/>
  <c r="D755" i="5"/>
  <c r="C756" i="5"/>
  <c r="D756" i="5"/>
  <c r="C757" i="5"/>
  <c r="D757" i="5"/>
  <c r="C758" i="5"/>
  <c r="D758" i="5"/>
  <c r="C759" i="5"/>
  <c r="D759" i="5"/>
  <c r="C760" i="5"/>
  <c r="D760" i="5"/>
  <c r="C761" i="5"/>
  <c r="D761" i="5"/>
  <c r="C762" i="5"/>
  <c r="D762" i="5"/>
  <c r="C763" i="5"/>
  <c r="D763" i="5"/>
  <c r="C764" i="5"/>
  <c r="D764" i="5"/>
  <c r="C765" i="5"/>
  <c r="D765" i="5"/>
  <c r="C766" i="5"/>
  <c r="D766" i="5"/>
  <c r="C767" i="5"/>
  <c r="D767" i="5"/>
  <c r="C768" i="5"/>
  <c r="D768" i="5"/>
  <c r="C769" i="5"/>
  <c r="D769" i="5"/>
  <c r="C770" i="5"/>
  <c r="D770" i="5"/>
  <c r="C771" i="5"/>
  <c r="D771" i="5"/>
  <c r="C772" i="5"/>
  <c r="D772" i="5"/>
  <c r="C773" i="5"/>
  <c r="D773" i="5"/>
  <c r="C774" i="5"/>
  <c r="D774" i="5"/>
  <c r="C775" i="5"/>
  <c r="D775" i="5"/>
  <c r="C776" i="5"/>
  <c r="D776" i="5"/>
  <c r="C777" i="5"/>
  <c r="D777" i="5"/>
  <c r="C778" i="5"/>
  <c r="D778" i="5"/>
  <c r="C779" i="5"/>
  <c r="D779" i="5"/>
  <c r="C780" i="5"/>
  <c r="D780" i="5"/>
  <c r="C781" i="5"/>
  <c r="D781" i="5"/>
  <c r="C782" i="5"/>
  <c r="D782" i="5"/>
  <c r="C783" i="5"/>
  <c r="D783" i="5"/>
  <c r="C784" i="5"/>
  <c r="D784" i="5"/>
  <c r="C785" i="5"/>
  <c r="D785" i="5"/>
  <c r="C786" i="5"/>
  <c r="D786" i="5"/>
  <c r="C787" i="5"/>
  <c r="D787" i="5"/>
  <c r="C788" i="5"/>
  <c r="D788" i="5"/>
  <c r="C789" i="5"/>
  <c r="D789" i="5"/>
  <c r="C790" i="5"/>
  <c r="D790" i="5"/>
  <c r="C791" i="5"/>
  <c r="D791" i="5"/>
  <c r="C792" i="5"/>
  <c r="D792" i="5"/>
  <c r="C793" i="5"/>
  <c r="D793" i="5"/>
  <c r="C794" i="5"/>
  <c r="D794" i="5"/>
  <c r="C795" i="5"/>
  <c r="D795" i="5"/>
  <c r="C796" i="5"/>
  <c r="D796" i="5"/>
  <c r="C797" i="5"/>
  <c r="D797" i="5"/>
  <c r="C798" i="5"/>
  <c r="D798" i="5"/>
  <c r="C799" i="5"/>
  <c r="D799" i="5"/>
  <c r="C800" i="5"/>
  <c r="D800" i="5"/>
  <c r="C801" i="5"/>
  <c r="D801" i="5"/>
  <c r="C802" i="5"/>
  <c r="D802" i="5"/>
  <c r="C803" i="5"/>
  <c r="D803" i="5"/>
  <c r="C804" i="5"/>
  <c r="D804" i="5"/>
  <c r="C805" i="5"/>
  <c r="D805" i="5"/>
  <c r="C806" i="5"/>
  <c r="D806" i="5"/>
  <c r="C807" i="5"/>
  <c r="D807" i="5"/>
  <c r="C808" i="5"/>
  <c r="D808" i="5"/>
  <c r="C809" i="5"/>
  <c r="D809" i="5"/>
  <c r="C810" i="5"/>
  <c r="D810" i="5"/>
  <c r="C811" i="5"/>
  <c r="D811" i="5"/>
  <c r="C812" i="5"/>
  <c r="D812" i="5"/>
  <c r="C813" i="5"/>
  <c r="D813" i="5"/>
  <c r="C814" i="5"/>
  <c r="D814" i="5"/>
  <c r="C815" i="5"/>
  <c r="D815" i="5"/>
  <c r="C816" i="5"/>
  <c r="D816" i="5"/>
  <c r="C817" i="5"/>
  <c r="D817" i="5"/>
  <c r="C818" i="5"/>
  <c r="D818" i="5"/>
  <c r="C819" i="5"/>
  <c r="D819" i="5"/>
  <c r="C820" i="5"/>
  <c r="D820" i="5"/>
  <c r="C821" i="5"/>
  <c r="D821" i="5"/>
  <c r="C822" i="5"/>
  <c r="D822" i="5"/>
  <c r="C823" i="5"/>
  <c r="D823" i="5"/>
  <c r="C824" i="5"/>
  <c r="D824" i="5"/>
  <c r="C825" i="5"/>
  <c r="D825" i="5"/>
  <c r="C826" i="5"/>
  <c r="D826" i="5"/>
  <c r="C827" i="5"/>
  <c r="D827" i="5"/>
  <c r="C828" i="5"/>
  <c r="D828" i="5"/>
  <c r="C829" i="5"/>
  <c r="D829" i="5"/>
  <c r="C830" i="5"/>
  <c r="D830" i="5"/>
  <c r="C831" i="5"/>
  <c r="D831" i="5"/>
  <c r="C832" i="5"/>
  <c r="D832" i="5"/>
  <c r="C833" i="5"/>
  <c r="D833" i="5"/>
  <c r="C834" i="5"/>
  <c r="D834" i="5"/>
  <c r="C835" i="5"/>
  <c r="D835" i="5"/>
  <c r="C836" i="5"/>
  <c r="D836" i="5"/>
  <c r="C837" i="5"/>
  <c r="D837" i="5"/>
  <c r="C838" i="5"/>
  <c r="D838" i="5"/>
  <c r="C839" i="5"/>
  <c r="D839" i="5"/>
  <c r="C840" i="5"/>
  <c r="D840" i="5"/>
  <c r="C841" i="5"/>
  <c r="D841" i="5"/>
  <c r="C842" i="5"/>
  <c r="D842" i="5"/>
  <c r="C843" i="5"/>
  <c r="D843" i="5"/>
  <c r="C844" i="5"/>
  <c r="D844" i="5"/>
  <c r="C845" i="5"/>
  <c r="D845" i="5"/>
  <c r="C846" i="5"/>
  <c r="D846" i="5"/>
  <c r="C847" i="5"/>
  <c r="D847" i="5"/>
  <c r="C848" i="5"/>
  <c r="D848" i="5"/>
  <c r="C849" i="5"/>
  <c r="D849" i="5"/>
  <c r="C850" i="5"/>
  <c r="D850" i="5"/>
  <c r="C851" i="5"/>
  <c r="D851" i="5"/>
  <c r="C852" i="5"/>
  <c r="D852" i="5"/>
  <c r="C853" i="5"/>
  <c r="D853" i="5"/>
  <c r="C854" i="5"/>
  <c r="D854" i="5"/>
  <c r="C855" i="5"/>
  <c r="D855" i="5"/>
  <c r="C856" i="5"/>
  <c r="D856" i="5"/>
  <c r="C857" i="5"/>
  <c r="D857" i="5"/>
  <c r="C858" i="5"/>
  <c r="D858" i="5"/>
  <c r="C859" i="5"/>
  <c r="D859" i="5"/>
  <c r="C860" i="5"/>
  <c r="D860" i="5"/>
  <c r="C861" i="5"/>
  <c r="D861" i="5"/>
  <c r="C862" i="5"/>
  <c r="D862" i="5"/>
  <c r="C863" i="5"/>
  <c r="D863" i="5"/>
  <c r="C864" i="5"/>
  <c r="D864" i="5"/>
  <c r="C865" i="5"/>
  <c r="D865" i="5"/>
  <c r="C866" i="5"/>
  <c r="D866" i="5"/>
  <c r="C867" i="5"/>
  <c r="D867" i="5"/>
  <c r="C868" i="5"/>
  <c r="D868" i="5"/>
  <c r="C869" i="5"/>
  <c r="D869" i="5"/>
  <c r="D704" i="5"/>
  <c r="C704" i="5"/>
  <c r="M11" i="5" l="1"/>
  <c r="M13" i="5"/>
  <c r="M15" i="5"/>
  <c r="M17" i="5"/>
  <c r="M19" i="5"/>
  <c r="M21" i="5"/>
  <c r="M23" i="5"/>
  <c r="M25" i="5"/>
  <c r="M27" i="5"/>
  <c r="M29" i="5"/>
  <c r="M31" i="5"/>
  <c r="M57" i="5"/>
  <c r="M33" i="5"/>
  <c r="M55" i="5"/>
  <c r="M53" i="5"/>
  <c r="M51" i="5"/>
  <c r="M49" i="5"/>
  <c r="M47" i="5"/>
  <c r="M45" i="5"/>
  <c r="M43" i="5"/>
  <c r="M41" i="5"/>
  <c r="M39" i="5"/>
  <c r="M37" i="5"/>
  <c r="M35" i="5"/>
  <c r="M59" i="5"/>
  <c r="M84" i="5"/>
  <c r="M82" i="5"/>
  <c r="M80" i="5"/>
  <c r="M78" i="5"/>
  <c r="M76" i="5"/>
  <c r="M74" i="5"/>
  <c r="M72" i="5"/>
  <c r="M70" i="5"/>
  <c r="M68" i="5"/>
  <c r="M66" i="5"/>
  <c r="M64" i="5"/>
  <c r="M62" i="5"/>
  <c r="M86" i="5"/>
  <c r="M88" i="5"/>
  <c r="M90" i="5"/>
  <c r="M92" i="5"/>
  <c r="M95" i="5"/>
  <c r="M96" i="5"/>
  <c r="M99" i="5"/>
  <c r="M100" i="5"/>
  <c r="M105" i="5"/>
  <c r="M103" i="5"/>
  <c r="M107" i="5"/>
  <c r="M108" i="5"/>
  <c r="M112" i="5"/>
  <c r="M110" i="5"/>
  <c r="M114" i="5"/>
  <c r="M116" i="5"/>
  <c r="M118" i="5"/>
  <c r="M120" i="5"/>
  <c r="M122" i="5"/>
  <c r="M124" i="5"/>
  <c r="M126" i="5"/>
  <c r="M128" i="5"/>
  <c r="M130" i="5"/>
  <c r="M132" i="5"/>
  <c r="M134" i="5"/>
  <c r="M136" i="5"/>
  <c r="M138" i="5"/>
  <c r="M140" i="5"/>
  <c r="M142" i="5"/>
  <c r="M148" i="5"/>
  <c r="M146" i="5"/>
  <c r="M144" i="5"/>
  <c r="M150" i="5"/>
  <c r="M152" i="5"/>
  <c r="M155" i="5"/>
  <c r="M709" i="5"/>
  <c r="M158" i="5"/>
  <c r="M159" i="5"/>
  <c r="M161" i="5"/>
  <c r="M163" i="5"/>
  <c r="M165" i="5"/>
  <c r="M167" i="5"/>
  <c r="M169" i="5"/>
  <c r="M178" i="5"/>
  <c r="M177" i="5"/>
  <c r="M175" i="5"/>
  <c r="M173" i="5"/>
  <c r="M179" i="5"/>
  <c r="M180" i="5"/>
  <c r="M183" i="5"/>
  <c r="M185" i="5"/>
  <c r="M186" i="5"/>
  <c r="M189" i="5"/>
  <c r="M191" i="5"/>
  <c r="M193" i="5"/>
  <c r="M195" i="5"/>
  <c r="M197" i="5"/>
  <c r="M199" i="5"/>
  <c r="M201" i="5"/>
  <c r="M203" i="5"/>
  <c r="M205" i="5"/>
  <c r="M207" i="5"/>
  <c r="M209" i="5"/>
  <c r="M211" i="5"/>
  <c r="M213" i="5"/>
  <c r="M247" i="5"/>
  <c r="M250" i="5"/>
  <c r="M252" i="5"/>
  <c r="M254" i="5"/>
  <c r="M261" i="5"/>
  <c r="M256" i="5"/>
  <c r="M259" i="5"/>
  <c r="M262" i="5"/>
  <c r="M264" i="5"/>
  <c r="M272" i="5"/>
  <c r="M267" i="5"/>
  <c r="M268" i="5"/>
  <c r="M271" i="5"/>
  <c r="M275" i="5"/>
  <c r="M277" i="5"/>
  <c r="M279" i="5"/>
  <c r="M281" i="5"/>
  <c r="M287" i="5"/>
  <c r="M316" i="5"/>
  <c r="M318" i="5"/>
  <c r="M320" i="5"/>
  <c r="M322" i="5"/>
  <c r="M324" i="5"/>
  <c r="M326" i="5"/>
  <c r="M328" i="5"/>
  <c r="M330" i="5"/>
  <c r="M334" i="5"/>
  <c r="M333" i="5"/>
  <c r="M337" i="5"/>
  <c r="M335" i="5"/>
  <c r="M339" i="5"/>
  <c r="M341" i="5"/>
  <c r="M343" i="5"/>
  <c r="M346" i="5"/>
  <c r="M348" i="5"/>
  <c r="M350" i="5"/>
  <c r="M352" i="5"/>
  <c r="M354" i="5"/>
  <c r="M356" i="5"/>
  <c r="M357" i="5"/>
  <c r="M360" i="5"/>
  <c r="M362" i="5"/>
  <c r="M364" i="5"/>
  <c r="M366" i="5"/>
  <c r="M368" i="5"/>
  <c r="M370" i="5"/>
  <c r="M372" i="5"/>
  <c r="M374" i="5"/>
  <c r="M376" i="5"/>
  <c r="M378" i="5"/>
  <c r="M380" i="5"/>
  <c r="M382" i="5"/>
  <c r="M384" i="5"/>
  <c r="M386" i="5"/>
  <c r="M388" i="5"/>
  <c r="M390" i="5"/>
  <c r="M392" i="5"/>
  <c r="M394" i="5"/>
  <c r="M396" i="5"/>
  <c r="M398" i="5"/>
  <c r="M400" i="5"/>
  <c r="M402" i="5"/>
  <c r="M404" i="5"/>
  <c r="M406" i="5"/>
  <c r="M408" i="5"/>
  <c r="M410" i="5"/>
  <c r="M412" i="5"/>
  <c r="M414" i="5"/>
  <c r="M416" i="5"/>
  <c r="M418" i="5"/>
  <c r="M420" i="5"/>
  <c r="M422" i="5"/>
  <c r="M424" i="5"/>
  <c r="M426" i="5"/>
  <c r="M428" i="5"/>
  <c r="M430" i="5"/>
  <c r="M432" i="5"/>
  <c r="M434" i="5"/>
  <c r="M436" i="5"/>
  <c r="M438" i="5"/>
  <c r="M440" i="5"/>
  <c r="M442" i="5"/>
  <c r="M444" i="5"/>
  <c r="M446" i="5"/>
  <c r="M448" i="5"/>
  <c r="M450" i="5"/>
  <c r="M452" i="5"/>
  <c r="M454" i="5"/>
  <c r="M456" i="5"/>
  <c r="M458" i="5"/>
  <c r="M460" i="5"/>
  <c r="M462" i="5"/>
  <c r="M464" i="5"/>
  <c r="M466" i="5"/>
  <c r="M468" i="5"/>
  <c r="M470" i="5"/>
  <c r="M472" i="5"/>
  <c r="M474" i="5"/>
  <c r="M476" i="5"/>
  <c r="M478" i="5"/>
  <c r="M480" i="5"/>
  <c r="M482" i="5"/>
  <c r="M484" i="5"/>
  <c r="M486" i="5"/>
  <c r="M488" i="5"/>
  <c r="M490" i="5"/>
  <c r="M492" i="5"/>
  <c r="M494" i="5"/>
  <c r="M496" i="5"/>
  <c r="M498" i="5"/>
  <c r="M500" i="5"/>
  <c r="M502" i="5"/>
  <c r="M869" i="5"/>
  <c r="M865" i="5"/>
  <c r="M861" i="5"/>
  <c r="M857" i="5"/>
  <c r="M853" i="5"/>
  <c r="M849" i="5"/>
  <c r="M845" i="5"/>
  <c r="M841" i="5"/>
  <c r="M837" i="5"/>
  <c r="M833" i="5"/>
  <c r="M829" i="5"/>
  <c r="M825" i="5"/>
  <c r="M821" i="5"/>
  <c r="M817" i="5"/>
  <c r="M813" i="5"/>
  <c r="M809" i="5"/>
  <c r="M805" i="5"/>
  <c r="M801" i="5"/>
  <c r="M797" i="5"/>
  <c r="M793" i="5"/>
  <c r="M789" i="5"/>
  <c r="M785" i="5"/>
  <c r="M781" i="5"/>
  <c r="M777" i="5"/>
  <c r="M773" i="5"/>
  <c r="M769" i="5"/>
  <c r="M765" i="5"/>
  <c r="M761" i="5"/>
  <c r="M757" i="5"/>
  <c r="M753" i="5"/>
  <c r="M749" i="5"/>
  <c r="M745" i="5"/>
  <c r="M741" i="5"/>
  <c r="M737" i="5"/>
  <c r="M733" i="5"/>
  <c r="M729" i="5"/>
  <c r="M725" i="5"/>
  <c r="M721" i="5"/>
  <c r="M710" i="5"/>
  <c r="M6" i="5"/>
  <c r="M7" i="5"/>
  <c r="M10" i="5"/>
  <c r="M867" i="5"/>
  <c r="M863" i="5"/>
  <c r="M859" i="5"/>
  <c r="M855" i="5"/>
  <c r="M851" i="5"/>
  <c r="M847" i="5"/>
  <c r="M843" i="5"/>
  <c r="M839" i="5"/>
  <c r="M835" i="5"/>
  <c r="M831" i="5"/>
  <c r="M827" i="5"/>
  <c r="M823" i="5"/>
  <c r="M819" i="5"/>
  <c r="M815" i="5"/>
  <c r="M811" i="5"/>
  <c r="M807" i="5"/>
  <c r="M803" i="5"/>
  <c r="M799" i="5"/>
  <c r="M795" i="5"/>
  <c r="M791" i="5"/>
  <c r="M787" i="5"/>
  <c r="M783" i="5"/>
  <c r="M779" i="5"/>
  <c r="M775" i="5"/>
  <c r="M771" i="5"/>
  <c r="M767" i="5"/>
  <c r="M763" i="5"/>
  <c r="M759" i="5"/>
  <c r="M755" i="5"/>
  <c r="M751" i="5"/>
  <c r="M747" i="5"/>
  <c r="M743" i="5"/>
  <c r="M739" i="5"/>
  <c r="M735" i="5"/>
  <c r="M731" i="5"/>
  <c r="M727" i="5"/>
  <c r="M723" i="5"/>
  <c r="M719" i="5"/>
  <c r="M716" i="5"/>
  <c r="M3" i="5"/>
  <c r="M8" i="5"/>
  <c r="M868" i="5"/>
  <c r="M862" i="5"/>
  <c r="M856" i="5"/>
  <c r="M850" i="5"/>
  <c r="M844" i="5"/>
  <c r="M838" i="5"/>
  <c r="M832" i="5"/>
  <c r="M826" i="5"/>
  <c r="M818" i="5"/>
  <c r="M804" i="5"/>
  <c r="M12" i="5"/>
  <c r="M16" i="5"/>
  <c r="M20" i="5"/>
  <c r="M24" i="5"/>
  <c r="M30" i="5"/>
  <c r="M56" i="5"/>
  <c r="M50" i="5"/>
  <c r="M44" i="5"/>
  <c r="M38" i="5"/>
  <c r="M85" i="5"/>
  <c r="M81" i="5"/>
  <c r="M75" i="5"/>
  <c r="M69" i="5"/>
  <c r="M61" i="5"/>
  <c r="M91" i="5"/>
  <c r="M97" i="5"/>
  <c r="M104" i="5"/>
  <c r="M106" i="5"/>
  <c r="M109" i="5"/>
  <c r="M121" i="5"/>
  <c r="M127" i="5"/>
  <c r="M133" i="5"/>
  <c r="M139" i="5"/>
  <c r="M147" i="5"/>
  <c r="M151" i="5"/>
  <c r="M157" i="5"/>
  <c r="M164" i="5"/>
  <c r="M176" i="5"/>
  <c r="M864" i="5"/>
  <c r="M858" i="5"/>
  <c r="M852" i="5"/>
  <c r="M846" i="5"/>
  <c r="M840" i="5"/>
  <c r="M834" i="5"/>
  <c r="M828" i="5"/>
  <c r="M824" i="5"/>
  <c r="M820" i="5"/>
  <c r="M814" i="5"/>
  <c r="M812" i="5"/>
  <c r="M808" i="5"/>
  <c r="M806" i="5"/>
  <c r="M800" i="5"/>
  <c r="M796" i="5"/>
  <c r="M794" i="5"/>
  <c r="M790" i="5"/>
  <c r="M788" i="5"/>
  <c r="M784" i="5"/>
  <c r="M778" i="5"/>
  <c r="M774" i="5"/>
  <c r="M770" i="5"/>
  <c r="M766" i="5"/>
  <c r="M764" i="5"/>
  <c r="M760" i="5"/>
  <c r="M756" i="5"/>
  <c r="M752" i="5"/>
  <c r="M744" i="5"/>
  <c r="M740" i="5"/>
  <c r="M736" i="5"/>
  <c r="M732" i="5"/>
  <c r="M728" i="5"/>
  <c r="M718" i="5"/>
  <c r="M715" i="5"/>
  <c r="M713" i="5"/>
  <c r="M4" i="5"/>
  <c r="M26" i="5"/>
  <c r="M32" i="5"/>
  <c r="M52" i="5"/>
  <c r="M46" i="5"/>
  <c r="M40" i="5"/>
  <c r="M58" i="5"/>
  <c r="M79" i="5"/>
  <c r="M73" i="5"/>
  <c r="M67" i="5"/>
  <c r="M63" i="5"/>
  <c r="M89" i="5"/>
  <c r="M94" i="5"/>
  <c r="M101" i="5"/>
  <c r="M111" i="5"/>
  <c r="M117" i="5"/>
  <c r="M123" i="5"/>
  <c r="M129" i="5"/>
  <c r="M135" i="5"/>
  <c r="M141" i="5"/>
  <c r="M145" i="5"/>
  <c r="M153" i="5"/>
  <c r="M156" i="5"/>
  <c r="M162" i="5"/>
  <c r="M172" i="5"/>
  <c r="M866" i="5"/>
  <c r="M860" i="5"/>
  <c r="M854" i="5"/>
  <c r="M848" i="5"/>
  <c r="M842" i="5"/>
  <c r="M836" i="5"/>
  <c r="M830" i="5"/>
  <c r="M822" i="5"/>
  <c r="M816" i="5"/>
  <c r="M810" i="5"/>
  <c r="M802" i="5"/>
  <c r="M798" i="5"/>
  <c r="M792" i="5"/>
  <c r="M786" i="5"/>
  <c r="M782" i="5"/>
  <c r="M780" i="5"/>
  <c r="M776" i="5"/>
  <c r="M772" i="5"/>
  <c r="M768" i="5"/>
  <c r="M762" i="5"/>
  <c r="M758" i="5"/>
  <c r="M754" i="5"/>
  <c r="M750" i="5"/>
  <c r="M748" i="5"/>
  <c r="M746" i="5"/>
  <c r="M742" i="5"/>
  <c r="M738" i="5"/>
  <c r="M734" i="5"/>
  <c r="M730" i="5"/>
  <c r="M726" i="5"/>
  <c r="M724" i="5"/>
  <c r="M722" i="5"/>
  <c r="M720" i="5"/>
  <c r="M717" i="5"/>
  <c r="M5" i="5"/>
  <c r="M2" i="5"/>
  <c r="M9" i="5"/>
  <c r="M14" i="5"/>
  <c r="M18" i="5"/>
  <c r="M22" i="5"/>
  <c r="M28" i="5"/>
  <c r="M34" i="5"/>
  <c r="M54" i="5"/>
  <c r="M48" i="5"/>
  <c r="M42" i="5"/>
  <c r="M36" i="5"/>
  <c r="M83" i="5"/>
  <c r="M77" i="5"/>
  <c r="M71" i="5"/>
  <c r="M65" i="5"/>
  <c r="M87" i="5"/>
  <c r="M93" i="5"/>
  <c r="M98" i="5"/>
  <c r="M102" i="5"/>
  <c r="M113" i="5"/>
  <c r="M115" i="5"/>
  <c r="M119" i="5"/>
  <c r="M125" i="5"/>
  <c r="M131" i="5"/>
  <c r="M137" i="5"/>
  <c r="M149" i="5"/>
  <c r="M143" i="5"/>
  <c r="M154" i="5"/>
  <c r="M160" i="5"/>
  <c r="M166" i="5"/>
  <c r="M168" i="5"/>
  <c r="M170" i="5"/>
  <c r="M171" i="5"/>
  <c r="M181" i="5"/>
  <c r="M187" i="5"/>
  <c r="M192" i="5"/>
  <c r="M196" i="5"/>
  <c r="M202" i="5"/>
  <c r="M210" i="5"/>
  <c r="M249" i="5"/>
  <c r="M260" i="5"/>
  <c r="M258" i="5"/>
  <c r="M265" i="5"/>
  <c r="M269" i="5"/>
  <c r="M273" i="5"/>
  <c r="M280" i="5"/>
  <c r="M286" i="5"/>
  <c r="M319" i="5"/>
  <c r="M323" i="5"/>
  <c r="M329" i="5"/>
  <c r="M336" i="5"/>
  <c r="M344" i="5"/>
  <c r="M351" i="5"/>
  <c r="M358" i="5"/>
  <c r="M363" i="5"/>
  <c r="M369" i="5"/>
  <c r="M377" i="5"/>
  <c r="M383" i="5"/>
  <c r="M389" i="5"/>
  <c r="M395" i="5"/>
  <c r="M401" i="5"/>
  <c r="M405" i="5"/>
  <c r="M411" i="5"/>
  <c r="M415" i="5"/>
  <c r="M419" i="5"/>
  <c r="M427" i="5"/>
  <c r="M433" i="5"/>
  <c r="M439" i="5"/>
  <c r="M445" i="5"/>
  <c r="M451" i="5"/>
  <c r="M457" i="5"/>
  <c r="M461" i="5"/>
  <c r="M467" i="5"/>
  <c r="M475" i="5"/>
  <c r="M481" i="5"/>
  <c r="M487" i="5"/>
  <c r="M493" i="5"/>
  <c r="M499" i="5"/>
  <c r="M505" i="5"/>
  <c r="M511" i="5"/>
  <c r="M517" i="5"/>
  <c r="M523" i="5"/>
  <c r="M527" i="5"/>
  <c r="M533" i="5"/>
  <c r="M537" i="5"/>
  <c r="M543" i="5"/>
  <c r="M549" i="5"/>
  <c r="M551" i="5"/>
  <c r="M557" i="5"/>
  <c r="M563" i="5"/>
  <c r="M571" i="5"/>
  <c r="M577" i="5"/>
  <c r="M579" i="5"/>
  <c r="M585" i="5"/>
  <c r="M593" i="5"/>
  <c r="M597" i="5"/>
  <c r="M601" i="5"/>
  <c r="M607" i="5"/>
  <c r="M613" i="5"/>
  <c r="M621" i="5"/>
  <c r="M625" i="5"/>
  <c r="M631" i="5"/>
  <c r="M639" i="5"/>
  <c r="M641" i="5"/>
  <c r="M645" i="5"/>
  <c r="M649" i="5"/>
  <c r="M653" i="5"/>
  <c r="M657" i="5"/>
  <c r="M661" i="5"/>
  <c r="M667" i="5"/>
  <c r="M671" i="5"/>
  <c r="M675" i="5"/>
  <c r="M679" i="5"/>
  <c r="M683" i="5"/>
  <c r="M687" i="5"/>
  <c r="M691" i="5"/>
  <c r="M695" i="5"/>
  <c r="M699" i="5"/>
  <c r="M184" i="5"/>
  <c r="M190" i="5"/>
  <c r="M200" i="5"/>
  <c r="M204" i="5"/>
  <c r="M208" i="5"/>
  <c r="M212" i="5"/>
  <c r="M257" i="5"/>
  <c r="M278" i="5"/>
  <c r="M325" i="5"/>
  <c r="M331" i="5"/>
  <c r="M338" i="5"/>
  <c r="M342" i="5"/>
  <c r="M347" i="5"/>
  <c r="M353" i="5"/>
  <c r="M359" i="5"/>
  <c r="M365" i="5"/>
  <c r="M371" i="5"/>
  <c r="M375" i="5"/>
  <c r="M379" i="5"/>
  <c r="M385" i="5"/>
  <c r="M391" i="5"/>
  <c r="M399" i="5"/>
  <c r="M409" i="5"/>
  <c r="M423" i="5"/>
  <c r="M429" i="5"/>
  <c r="M437" i="5"/>
  <c r="M441" i="5"/>
  <c r="M447" i="5"/>
  <c r="M455" i="5"/>
  <c r="M463" i="5"/>
  <c r="M469" i="5"/>
  <c r="M473" i="5"/>
  <c r="M479" i="5"/>
  <c r="M485" i="5"/>
  <c r="M489" i="5"/>
  <c r="M495" i="5"/>
  <c r="M503" i="5"/>
  <c r="M509" i="5"/>
  <c r="M513" i="5"/>
  <c r="M519" i="5"/>
  <c r="M529" i="5"/>
  <c r="M539" i="5"/>
  <c r="M547" i="5"/>
  <c r="M555" i="5"/>
  <c r="M561" i="5"/>
  <c r="M567" i="5"/>
  <c r="M573" i="5"/>
  <c r="M583" i="5"/>
  <c r="M589" i="5"/>
  <c r="M595" i="5"/>
  <c r="M603" i="5"/>
  <c r="M609" i="5"/>
  <c r="M615" i="5"/>
  <c r="M619" i="5"/>
  <c r="M627" i="5"/>
  <c r="M633" i="5"/>
  <c r="M635" i="5"/>
  <c r="M637" i="5"/>
  <c r="M643" i="5"/>
  <c r="M647" i="5"/>
  <c r="M651" i="5"/>
  <c r="M655" i="5"/>
  <c r="M659" i="5"/>
  <c r="M663" i="5"/>
  <c r="M665" i="5"/>
  <c r="M669" i="5"/>
  <c r="M673" i="5"/>
  <c r="M677" i="5"/>
  <c r="M681" i="5"/>
  <c r="M685" i="5"/>
  <c r="M689" i="5"/>
  <c r="M693" i="5"/>
  <c r="M697" i="5"/>
  <c r="M702" i="5"/>
  <c r="M174" i="5"/>
  <c r="M182" i="5"/>
  <c r="M188" i="5"/>
  <c r="M194" i="5"/>
  <c r="M198" i="5"/>
  <c r="M206" i="5"/>
  <c r="M214" i="5"/>
  <c r="M251" i="5"/>
  <c r="M253" i="5"/>
  <c r="M255" i="5"/>
  <c r="M263" i="5"/>
  <c r="M266" i="5"/>
  <c r="M270" i="5"/>
  <c r="M276" i="5"/>
  <c r="M282" i="5"/>
  <c r="M317" i="5"/>
  <c r="M321" i="5"/>
  <c r="M327" i="5"/>
  <c r="M332" i="5"/>
  <c r="M340" i="5"/>
  <c r="M345" i="5"/>
  <c r="M349" i="5"/>
  <c r="M355" i="5"/>
  <c r="M361" i="5"/>
  <c r="M367" i="5"/>
  <c r="M373" i="5"/>
  <c r="M381" i="5"/>
  <c r="M387" i="5"/>
  <c r="M393" i="5"/>
  <c r="M397" i="5"/>
  <c r="M403" i="5"/>
  <c r="M407" i="5"/>
  <c r="M413" i="5"/>
  <c r="M417" i="5"/>
  <c r="M421" i="5"/>
  <c r="M425" i="5"/>
  <c r="M431" i="5"/>
  <c r="M435" i="5"/>
  <c r="M443" i="5"/>
  <c r="M449" i="5"/>
  <c r="M453" i="5"/>
  <c r="M459" i="5"/>
  <c r="M465" i="5"/>
  <c r="M471" i="5"/>
  <c r="M477" i="5"/>
  <c r="M483" i="5"/>
  <c r="M491" i="5"/>
  <c r="M497" i="5"/>
  <c r="M501" i="5"/>
  <c r="M507" i="5"/>
  <c r="M515" i="5"/>
  <c r="M521" i="5"/>
  <c r="M525" i="5"/>
  <c r="M531" i="5"/>
  <c r="M535" i="5"/>
  <c r="M541" i="5"/>
  <c r="M545" i="5"/>
  <c r="M553" i="5"/>
  <c r="M559" i="5"/>
  <c r="M565" i="5"/>
  <c r="M569" i="5"/>
  <c r="M575" i="5"/>
  <c r="M581" i="5"/>
  <c r="M587" i="5"/>
  <c r="M591" i="5"/>
  <c r="M599" i="5"/>
  <c r="M605" i="5"/>
  <c r="M611" i="5"/>
  <c r="M617" i="5"/>
  <c r="M623" i="5"/>
  <c r="M629" i="5"/>
  <c r="M703" i="5"/>
  <c r="M504" i="5"/>
  <c r="M506" i="5"/>
  <c r="M508" i="5"/>
  <c r="M510" i="5"/>
  <c r="M512" i="5"/>
  <c r="M514" i="5"/>
  <c r="M516" i="5"/>
  <c r="M518" i="5"/>
  <c r="M520" i="5"/>
  <c r="M522" i="5"/>
  <c r="M524" i="5"/>
  <c r="M526" i="5"/>
  <c r="M528" i="5"/>
  <c r="M530" i="5"/>
  <c r="M532" i="5"/>
  <c r="M534" i="5"/>
  <c r="M536" i="5"/>
  <c r="M538" i="5"/>
  <c r="M540" i="5"/>
  <c r="M542" i="5"/>
  <c r="M544" i="5"/>
  <c r="M546" i="5"/>
  <c r="M548" i="5"/>
  <c r="M550" i="5"/>
  <c r="M552" i="5"/>
  <c r="M554" i="5"/>
  <c r="M556" i="5"/>
  <c r="M558" i="5"/>
  <c r="M560" i="5"/>
  <c r="M562" i="5"/>
  <c r="M564" i="5"/>
  <c r="M566" i="5"/>
  <c r="M568" i="5"/>
  <c r="M570" i="5"/>
  <c r="M572" i="5"/>
  <c r="M574" i="5"/>
  <c r="M576" i="5"/>
  <c r="M578" i="5"/>
  <c r="M580" i="5"/>
  <c r="M582" i="5"/>
  <c r="M584" i="5"/>
  <c r="M586" i="5"/>
  <c r="M588" i="5"/>
  <c r="M590" i="5"/>
  <c r="M592" i="5"/>
  <c r="M594" i="5"/>
  <c r="M596" i="5"/>
  <c r="M598" i="5"/>
  <c r="M600" i="5"/>
  <c r="M602" i="5"/>
  <c r="M604" i="5"/>
  <c r="M606" i="5"/>
  <c r="M608" i="5"/>
  <c r="M610" i="5"/>
  <c r="M612" i="5"/>
  <c r="M614" i="5"/>
  <c r="M616" i="5"/>
  <c r="M618" i="5"/>
  <c r="M620" i="5"/>
  <c r="M622" i="5"/>
  <c r="M624" i="5"/>
  <c r="M626" i="5"/>
  <c r="M628" i="5"/>
  <c r="M630" i="5"/>
  <c r="M632" i="5"/>
  <c r="M634" i="5"/>
  <c r="M636" i="5"/>
  <c r="M638" i="5"/>
  <c r="M640" i="5"/>
  <c r="M642" i="5"/>
  <c r="M644" i="5"/>
  <c r="M646" i="5"/>
  <c r="M648" i="5"/>
  <c r="M650" i="5"/>
  <c r="M652" i="5"/>
  <c r="M654" i="5"/>
  <c r="M656" i="5"/>
  <c r="M658" i="5"/>
  <c r="M660" i="5"/>
  <c r="M662" i="5"/>
  <c r="M664" i="5"/>
  <c r="M666" i="5"/>
  <c r="M668" i="5"/>
  <c r="M670" i="5"/>
  <c r="M672" i="5"/>
  <c r="M674" i="5"/>
  <c r="M676" i="5"/>
  <c r="M678" i="5"/>
  <c r="M680" i="5"/>
  <c r="M682" i="5"/>
  <c r="M684" i="5"/>
  <c r="M686" i="5"/>
  <c r="M688" i="5"/>
  <c r="M690" i="5"/>
  <c r="M692" i="5"/>
  <c r="M694" i="5"/>
  <c r="M696" i="5"/>
  <c r="M698" i="5"/>
  <c r="M700" i="5"/>
  <c r="M701" i="5"/>
  <c r="M704" i="5"/>
  <c r="M215" i="5"/>
  <c r="M219" i="5"/>
  <c r="M222" i="5"/>
  <c r="M224" i="5"/>
  <c r="M226" i="5"/>
  <c r="M228" i="5"/>
  <c r="M230" i="5"/>
  <c r="M232" i="5"/>
  <c r="M234" i="5"/>
  <c r="M236" i="5"/>
  <c r="M238" i="5"/>
  <c r="M707" i="5"/>
  <c r="M705" i="5"/>
  <c r="M240" i="5"/>
  <c r="M242" i="5"/>
  <c r="M244" i="5"/>
  <c r="M246" i="5"/>
  <c r="M291" i="5"/>
  <c r="M292" i="5"/>
  <c r="M294" i="5"/>
  <c r="M296" i="5"/>
  <c r="M297" i="5"/>
  <c r="M300" i="5"/>
  <c r="M302" i="5"/>
  <c r="M304" i="5"/>
  <c r="M306" i="5"/>
  <c r="M308" i="5"/>
  <c r="M310" i="5"/>
  <c r="M312" i="5"/>
  <c r="M314" i="5"/>
  <c r="O13" i="5"/>
  <c r="N13" i="5"/>
  <c r="O15" i="5"/>
  <c r="N15" i="5"/>
  <c r="O17" i="5"/>
  <c r="N17" i="5"/>
  <c r="O19" i="5"/>
  <c r="N19" i="5"/>
  <c r="O21" i="5"/>
  <c r="N21" i="5"/>
  <c r="O904" i="5"/>
  <c r="N904" i="5"/>
  <c r="O902" i="5"/>
  <c r="N902" i="5"/>
  <c r="O900" i="5"/>
  <c r="N900" i="5"/>
  <c r="O898" i="5"/>
  <c r="N898" i="5"/>
  <c r="O23" i="5"/>
  <c r="N23" i="5"/>
  <c r="O25" i="5"/>
  <c r="N25" i="5"/>
  <c r="O27" i="5"/>
  <c r="N27" i="5"/>
  <c r="O29" i="5"/>
  <c r="N29" i="5"/>
  <c r="O31" i="5"/>
  <c r="N31" i="5"/>
  <c r="O57" i="5"/>
  <c r="N57" i="5"/>
  <c r="O33" i="5"/>
  <c r="N33" i="5"/>
  <c r="O896" i="5"/>
  <c r="N896" i="5"/>
  <c r="O894" i="5"/>
  <c r="N894" i="5"/>
  <c r="O892" i="5"/>
  <c r="N892" i="5"/>
  <c r="O890" i="5"/>
  <c r="N890" i="5"/>
  <c r="O888" i="5"/>
  <c r="N888" i="5"/>
  <c r="O886" i="5"/>
  <c r="N886" i="5"/>
  <c r="O884" i="5"/>
  <c r="N884" i="5"/>
  <c r="O882" i="5"/>
  <c r="N882" i="5"/>
  <c r="O880" i="5"/>
  <c r="N880" i="5"/>
  <c r="O878" i="5"/>
  <c r="N878" i="5"/>
  <c r="O56" i="5"/>
  <c r="N56" i="5"/>
  <c r="O54" i="5"/>
  <c r="N54" i="5"/>
  <c r="O52" i="5"/>
  <c r="N52" i="5"/>
  <c r="O50" i="5"/>
  <c r="N50" i="5"/>
  <c r="O48" i="5"/>
  <c r="N48" i="5"/>
  <c r="O46" i="5"/>
  <c r="N46" i="5"/>
  <c r="O44" i="5"/>
  <c r="N44" i="5"/>
  <c r="O42" i="5"/>
  <c r="N42" i="5"/>
  <c r="O40" i="5"/>
  <c r="N40" i="5"/>
  <c r="O38" i="5"/>
  <c r="N38" i="5"/>
  <c r="O36" i="5"/>
  <c r="N36" i="5"/>
  <c r="O58" i="5"/>
  <c r="N58" i="5"/>
  <c r="O85" i="5"/>
  <c r="N85" i="5"/>
  <c r="O83" i="5"/>
  <c r="N83" i="5"/>
  <c r="O81" i="5"/>
  <c r="N81" i="5"/>
  <c r="O79" i="5"/>
  <c r="N79" i="5"/>
  <c r="O77" i="5"/>
  <c r="N77" i="5"/>
  <c r="O75" i="5"/>
  <c r="N75" i="5"/>
  <c r="O73" i="5"/>
  <c r="N73" i="5"/>
  <c r="O71" i="5"/>
  <c r="N71" i="5"/>
  <c r="O69" i="5"/>
  <c r="N69" i="5"/>
  <c r="O67" i="5"/>
  <c r="N67" i="5"/>
  <c r="O65" i="5"/>
  <c r="N65" i="5"/>
  <c r="O63" i="5"/>
  <c r="N63" i="5"/>
  <c r="O61" i="5"/>
  <c r="N61" i="5"/>
  <c r="O877" i="5"/>
  <c r="N877" i="5"/>
  <c r="O87" i="5"/>
  <c r="N87" i="5"/>
  <c r="O89" i="5"/>
  <c r="N89" i="5"/>
  <c r="O91" i="5"/>
  <c r="N91" i="5"/>
  <c r="O93" i="5"/>
  <c r="N93" i="5"/>
  <c r="O94" i="5"/>
  <c r="N94" i="5"/>
  <c r="O97" i="5"/>
  <c r="N97" i="5"/>
  <c r="O98" i="5"/>
  <c r="N98" i="5"/>
  <c r="O101" i="5"/>
  <c r="N101" i="5"/>
  <c r="O104" i="5"/>
  <c r="N104" i="5"/>
  <c r="O102" i="5"/>
  <c r="N102" i="5"/>
  <c r="O106" i="5"/>
  <c r="N106" i="5"/>
  <c r="O113" i="5"/>
  <c r="N113" i="5"/>
  <c r="O111" i="5"/>
  <c r="N111" i="5"/>
  <c r="O109" i="5"/>
  <c r="N109" i="5"/>
  <c r="O115" i="5"/>
  <c r="N115" i="5"/>
  <c r="O117" i="5"/>
  <c r="N117" i="5"/>
  <c r="O119" i="5"/>
  <c r="N119" i="5"/>
  <c r="O121" i="5"/>
  <c r="N121" i="5"/>
  <c r="O122" i="5"/>
  <c r="N122" i="5"/>
  <c r="O124" i="5"/>
  <c r="N124" i="5"/>
  <c r="O126" i="5"/>
  <c r="N126" i="5"/>
  <c r="O128" i="5"/>
  <c r="N128" i="5"/>
  <c r="O130" i="5"/>
  <c r="N130" i="5"/>
  <c r="O132" i="5"/>
  <c r="N132" i="5"/>
  <c r="O134" i="5"/>
  <c r="N134" i="5"/>
  <c r="O136" i="5"/>
  <c r="N136" i="5"/>
  <c r="O138" i="5"/>
  <c r="N138" i="5"/>
  <c r="O140" i="5"/>
  <c r="N140" i="5"/>
  <c r="O142" i="5"/>
  <c r="N142" i="5"/>
  <c r="O148" i="5"/>
  <c r="N148" i="5"/>
  <c r="O146" i="5"/>
  <c r="N146" i="5"/>
  <c r="O144" i="5"/>
  <c r="N144" i="5"/>
  <c r="O150" i="5"/>
  <c r="N150" i="5"/>
  <c r="O152" i="5"/>
  <c r="N152" i="5"/>
  <c r="O155" i="5"/>
  <c r="N155" i="5"/>
  <c r="O709" i="5"/>
  <c r="N709" i="5"/>
  <c r="O158" i="5"/>
  <c r="N158" i="5"/>
  <c r="O159" i="5"/>
  <c r="N159" i="5"/>
  <c r="O259" i="5"/>
  <c r="N259" i="5"/>
  <c r="O292" i="5"/>
  <c r="N292" i="5"/>
  <c r="O294" i="5"/>
  <c r="N294" i="5"/>
  <c r="O296" i="5"/>
  <c r="N296" i="5"/>
  <c r="O297" i="5"/>
  <c r="N297" i="5"/>
  <c r="O300" i="5"/>
  <c r="N300" i="5"/>
  <c r="O302" i="5"/>
  <c r="N302" i="5"/>
  <c r="O304" i="5"/>
  <c r="N304" i="5"/>
  <c r="O306" i="5"/>
  <c r="N306" i="5"/>
  <c r="O308" i="5"/>
  <c r="N308" i="5"/>
  <c r="O310" i="5"/>
  <c r="N310" i="5"/>
  <c r="O312" i="5"/>
  <c r="N312" i="5"/>
  <c r="O314" i="5"/>
  <c r="N314" i="5"/>
  <c r="O316" i="5"/>
  <c r="N316" i="5"/>
  <c r="O318" i="5"/>
  <c r="N318" i="5"/>
  <c r="O320" i="5"/>
  <c r="N320" i="5"/>
  <c r="O322" i="5"/>
  <c r="N322" i="5"/>
  <c r="O324" i="5"/>
  <c r="N324" i="5"/>
  <c r="O326" i="5"/>
  <c r="N326" i="5"/>
  <c r="O328" i="5"/>
  <c r="N328" i="5"/>
  <c r="O330" i="5"/>
  <c r="N330" i="5"/>
  <c r="O334" i="5"/>
  <c r="N334" i="5"/>
  <c r="O333" i="5"/>
  <c r="N333" i="5"/>
  <c r="O337" i="5"/>
  <c r="N337" i="5"/>
  <c r="O335" i="5"/>
  <c r="N335" i="5"/>
  <c r="O339" i="5"/>
  <c r="N339" i="5"/>
  <c r="O341" i="5"/>
  <c r="N341" i="5"/>
  <c r="O346" i="5"/>
  <c r="N346" i="5"/>
  <c r="O350" i="5"/>
  <c r="N350" i="5"/>
  <c r="O352" i="5"/>
  <c r="N352" i="5"/>
  <c r="O354" i="5"/>
  <c r="N354" i="5"/>
  <c r="O356" i="5"/>
  <c r="N356" i="5"/>
  <c r="O357" i="5"/>
  <c r="N357" i="5"/>
  <c r="O360" i="5"/>
  <c r="N360" i="5"/>
  <c r="O362" i="5"/>
  <c r="N362" i="5"/>
  <c r="O364" i="5"/>
  <c r="N364" i="5"/>
  <c r="O366" i="5"/>
  <c r="N366" i="5"/>
  <c r="O368" i="5"/>
  <c r="N368" i="5"/>
  <c r="O370" i="5"/>
  <c r="N370" i="5"/>
  <c r="O372" i="5"/>
  <c r="N372" i="5"/>
  <c r="O374" i="5"/>
  <c r="N374" i="5"/>
  <c r="O376" i="5"/>
  <c r="N376" i="5"/>
  <c r="O378" i="5"/>
  <c r="N378" i="5"/>
  <c r="O380" i="5"/>
  <c r="N380" i="5"/>
  <c r="O382" i="5"/>
  <c r="N382" i="5"/>
  <c r="O384" i="5"/>
  <c r="N384" i="5"/>
  <c r="O386" i="5"/>
  <c r="N386" i="5"/>
  <c r="O388" i="5"/>
  <c r="N388" i="5"/>
  <c r="O390" i="5"/>
  <c r="N390" i="5"/>
  <c r="O392" i="5"/>
  <c r="N392" i="5"/>
  <c r="O394" i="5"/>
  <c r="N394" i="5"/>
  <c r="O396" i="5"/>
  <c r="N396" i="5"/>
  <c r="O398" i="5"/>
  <c r="N398" i="5"/>
  <c r="O400" i="5"/>
  <c r="N400" i="5"/>
  <c r="O402" i="5"/>
  <c r="N402" i="5"/>
  <c r="O404" i="5"/>
  <c r="N404" i="5"/>
  <c r="O406" i="5"/>
  <c r="N406" i="5"/>
  <c r="O408" i="5"/>
  <c r="N408" i="5"/>
  <c r="O410" i="5"/>
  <c r="N410" i="5"/>
  <c r="O412" i="5"/>
  <c r="N412" i="5"/>
  <c r="O414" i="5"/>
  <c r="N414" i="5"/>
  <c r="O416" i="5"/>
  <c r="N416" i="5"/>
  <c r="O418" i="5"/>
  <c r="N418" i="5"/>
  <c r="O420" i="5"/>
  <c r="N420" i="5"/>
  <c r="O422" i="5"/>
  <c r="N422" i="5"/>
  <c r="O424" i="5"/>
  <c r="N424" i="5"/>
  <c r="O426" i="5"/>
  <c r="N426" i="5"/>
  <c r="O428" i="5"/>
  <c r="N428" i="5"/>
  <c r="O430" i="5"/>
  <c r="N430" i="5"/>
  <c r="O432" i="5"/>
  <c r="N432" i="5"/>
  <c r="O434" i="5"/>
  <c r="N434" i="5"/>
  <c r="O436" i="5"/>
  <c r="N436" i="5"/>
  <c r="O438" i="5"/>
  <c r="N438" i="5"/>
  <c r="O440" i="5"/>
  <c r="N440" i="5"/>
  <c r="O442" i="5"/>
  <c r="N442" i="5"/>
  <c r="O444" i="5"/>
  <c r="N444" i="5"/>
  <c r="O446" i="5"/>
  <c r="N446" i="5"/>
  <c r="O448" i="5"/>
  <c r="N448" i="5"/>
  <c r="O450" i="5"/>
  <c r="N450" i="5"/>
  <c r="O452" i="5"/>
  <c r="N452" i="5"/>
  <c r="O454" i="5"/>
  <c r="N454" i="5"/>
  <c r="O456" i="5"/>
  <c r="N456" i="5"/>
  <c r="O458" i="5"/>
  <c r="N458" i="5"/>
  <c r="O460" i="5"/>
  <c r="N460" i="5"/>
  <c r="O462" i="5"/>
  <c r="N462" i="5"/>
  <c r="O464" i="5"/>
  <c r="N464" i="5"/>
  <c r="O466" i="5"/>
  <c r="N466" i="5"/>
  <c r="O468" i="5"/>
  <c r="N468" i="5"/>
  <c r="O470" i="5"/>
  <c r="N470" i="5"/>
  <c r="O472" i="5"/>
  <c r="N472" i="5"/>
  <c r="O474" i="5"/>
  <c r="N474" i="5"/>
  <c r="O476" i="5"/>
  <c r="N476" i="5"/>
  <c r="O478" i="5"/>
  <c r="N478" i="5"/>
  <c r="O480" i="5"/>
  <c r="N480" i="5"/>
  <c r="O482" i="5"/>
  <c r="N482" i="5"/>
  <c r="O484" i="5"/>
  <c r="N484" i="5"/>
  <c r="O486" i="5"/>
  <c r="N486" i="5"/>
  <c r="O488" i="5"/>
  <c r="N488" i="5"/>
  <c r="O490" i="5"/>
  <c r="N490" i="5"/>
  <c r="O492" i="5"/>
  <c r="N492" i="5"/>
  <c r="O494" i="5"/>
  <c r="N494" i="5"/>
  <c r="O496" i="5"/>
  <c r="N496" i="5"/>
  <c r="O498" i="5"/>
  <c r="N498" i="5"/>
  <c r="O500" i="5"/>
  <c r="N500" i="5"/>
  <c r="O502" i="5"/>
  <c r="N502" i="5"/>
  <c r="O504" i="5"/>
  <c r="N504" i="5"/>
  <c r="O506" i="5"/>
  <c r="N506" i="5"/>
  <c r="O508" i="5"/>
  <c r="N508" i="5"/>
  <c r="O510" i="5"/>
  <c r="N510" i="5"/>
  <c r="O512" i="5"/>
  <c r="N512" i="5"/>
  <c r="O514" i="5"/>
  <c r="N514" i="5"/>
  <c r="O516" i="5"/>
  <c r="N516" i="5"/>
  <c r="O518" i="5"/>
  <c r="N518" i="5"/>
  <c r="O520" i="5"/>
  <c r="N520" i="5"/>
  <c r="O522" i="5"/>
  <c r="N522" i="5"/>
  <c r="O524" i="5"/>
  <c r="N524" i="5"/>
  <c r="O526" i="5"/>
  <c r="N526" i="5"/>
  <c r="O528" i="5"/>
  <c r="N528" i="5"/>
  <c r="O530" i="5"/>
  <c r="N530" i="5"/>
  <c r="O532" i="5"/>
  <c r="N532" i="5"/>
  <c r="O534" i="5"/>
  <c r="N534" i="5"/>
  <c r="O536" i="5"/>
  <c r="N536" i="5"/>
  <c r="O538" i="5"/>
  <c r="N538" i="5"/>
  <c r="O540" i="5"/>
  <c r="N540" i="5"/>
  <c r="O542" i="5"/>
  <c r="N542" i="5"/>
  <c r="O544" i="5"/>
  <c r="N544" i="5"/>
  <c r="O546" i="5"/>
  <c r="N546" i="5"/>
  <c r="O548" i="5"/>
  <c r="N548" i="5"/>
  <c r="O550" i="5"/>
  <c r="N550" i="5"/>
  <c r="O552" i="5"/>
  <c r="N552" i="5"/>
  <c r="O554" i="5"/>
  <c r="N554" i="5"/>
  <c r="O556" i="5"/>
  <c r="N556" i="5"/>
  <c r="O558" i="5"/>
  <c r="N558" i="5"/>
  <c r="O560" i="5"/>
  <c r="N560" i="5"/>
  <c r="O562" i="5"/>
  <c r="N562" i="5"/>
  <c r="O564" i="5"/>
  <c r="N564" i="5"/>
  <c r="O566" i="5"/>
  <c r="N566" i="5"/>
  <c r="O568" i="5"/>
  <c r="N568" i="5"/>
  <c r="O570" i="5"/>
  <c r="N570" i="5"/>
  <c r="O572" i="5"/>
  <c r="N572" i="5"/>
  <c r="O574" i="5"/>
  <c r="N574" i="5"/>
  <c r="O576" i="5"/>
  <c r="N576" i="5"/>
  <c r="O578" i="5"/>
  <c r="N578" i="5"/>
  <c r="O580" i="5"/>
  <c r="N580" i="5"/>
  <c r="O582" i="5"/>
  <c r="N582" i="5"/>
  <c r="O584" i="5"/>
  <c r="N584" i="5"/>
  <c r="O586" i="5"/>
  <c r="N586" i="5"/>
  <c r="O588" i="5"/>
  <c r="N588" i="5"/>
  <c r="O590" i="5"/>
  <c r="N590" i="5"/>
  <c r="O592" i="5"/>
  <c r="N592" i="5"/>
  <c r="O594" i="5"/>
  <c r="N594" i="5"/>
  <c r="O596" i="5"/>
  <c r="N596" i="5"/>
  <c r="O598" i="5"/>
  <c r="N598" i="5"/>
  <c r="O600" i="5"/>
  <c r="N600" i="5"/>
  <c r="O602" i="5"/>
  <c r="N602" i="5"/>
  <c r="O604" i="5"/>
  <c r="N604" i="5"/>
  <c r="O606" i="5"/>
  <c r="N606" i="5"/>
  <c r="O608" i="5"/>
  <c r="N608" i="5"/>
  <c r="O610" i="5"/>
  <c r="N610" i="5"/>
  <c r="O612" i="5"/>
  <c r="N612" i="5"/>
  <c r="O614" i="5"/>
  <c r="N614" i="5"/>
  <c r="O616" i="5"/>
  <c r="N616" i="5"/>
  <c r="O618" i="5"/>
  <c r="N618" i="5"/>
  <c r="O620" i="5"/>
  <c r="N620" i="5"/>
  <c r="O622" i="5"/>
  <c r="N622" i="5"/>
  <c r="O624" i="5"/>
  <c r="N624" i="5"/>
  <c r="O626" i="5"/>
  <c r="N626" i="5"/>
  <c r="O628" i="5"/>
  <c r="N628" i="5"/>
  <c r="O630" i="5"/>
  <c r="N630" i="5"/>
  <c r="O632" i="5"/>
  <c r="N632" i="5"/>
  <c r="O634" i="5"/>
  <c r="N634" i="5"/>
  <c r="O636" i="5"/>
  <c r="N636" i="5"/>
  <c r="O638" i="5"/>
  <c r="N638" i="5"/>
  <c r="O640" i="5"/>
  <c r="N640" i="5"/>
  <c r="O642" i="5"/>
  <c r="N642" i="5"/>
  <c r="O644" i="5"/>
  <c r="N644" i="5"/>
  <c r="O646" i="5"/>
  <c r="N646" i="5"/>
  <c r="O648" i="5"/>
  <c r="N648" i="5"/>
  <c r="O650" i="5"/>
  <c r="N650" i="5"/>
  <c r="O652" i="5"/>
  <c r="N652" i="5"/>
  <c r="O654" i="5"/>
  <c r="N654" i="5"/>
  <c r="O656" i="5"/>
  <c r="N656" i="5"/>
  <c r="O658" i="5"/>
  <c r="N658" i="5"/>
  <c r="O660" i="5"/>
  <c r="N660" i="5"/>
  <c r="O662" i="5"/>
  <c r="N662" i="5"/>
  <c r="O664" i="5"/>
  <c r="N664" i="5"/>
  <c r="O666" i="5"/>
  <c r="N666" i="5"/>
  <c r="O668" i="5"/>
  <c r="N668" i="5"/>
  <c r="O670" i="5"/>
  <c r="N670" i="5"/>
  <c r="O672" i="5"/>
  <c r="N672" i="5"/>
  <c r="O674" i="5"/>
  <c r="N674" i="5"/>
  <c r="O676" i="5"/>
  <c r="N676" i="5"/>
  <c r="O678" i="5"/>
  <c r="N678" i="5"/>
  <c r="O680" i="5"/>
  <c r="N680" i="5"/>
  <c r="O682" i="5"/>
  <c r="N682" i="5"/>
  <c r="O684" i="5"/>
  <c r="N684" i="5"/>
  <c r="O686" i="5"/>
  <c r="N686" i="5"/>
  <c r="O688" i="5"/>
  <c r="N688" i="5"/>
  <c r="O690" i="5"/>
  <c r="N690" i="5"/>
  <c r="O692" i="5"/>
  <c r="N692" i="5"/>
  <c r="O694" i="5"/>
  <c r="N694" i="5"/>
  <c r="O696" i="5"/>
  <c r="N696" i="5"/>
  <c r="O698" i="5"/>
  <c r="N698" i="5"/>
  <c r="O700" i="5"/>
  <c r="N700" i="5"/>
  <c r="O701" i="5"/>
  <c r="N701" i="5"/>
  <c r="O905" i="5"/>
  <c r="N905" i="5"/>
  <c r="O869" i="5"/>
  <c r="N869" i="5"/>
  <c r="O867" i="5"/>
  <c r="N867" i="5"/>
  <c r="O865" i="5"/>
  <c r="N865" i="5"/>
  <c r="O863" i="5"/>
  <c r="N863" i="5"/>
  <c r="O861" i="5"/>
  <c r="N861" i="5"/>
  <c r="O859" i="5"/>
  <c r="N859" i="5"/>
  <c r="O857" i="5"/>
  <c r="N857" i="5"/>
  <c r="O855" i="5"/>
  <c r="N855" i="5"/>
  <c r="O853" i="5"/>
  <c r="N853" i="5"/>
  <c r="O851" i="5"/>
  <c r="N851" i="5"/>
  <c r="O849" i="5"/>
  <c r="N849" i="5"/>
  <c r="O847" i="5"/>
  <c r="N847" i="5"/>
  <c r="O845" i="5"/>
  <c r="N845" i="5"/>
  <c r="O843" i="5"/>
  <c r="N843" i="5"/>
  <c r="O841" i="5"/>
  <c r="N841" i="5"/>
  <c r="O839" i="5"/>
  <c r="N839" i="5"/>
  <c r="O837" i="5"/>
  <c r="N837" i="5"/>
  <c r="O835" i="5"/>
  <c r="N835" i="5"/>
  <c r="O833" i="5"/>
  <c r="N833" i="5"/>
  <c r="O831" i="5"/>
  <c r="N831" i="5"/>
  <c r="O829" i="5"/>
  <c r="N829" i="5"/>
  <c r="O827" i="5"/>
  <c r="N827" i="5"/>
  <c r="O825" i="5"/>
  <c r="N825" i="5"/>
  <c r="O823" i="5"/>
  <c r="N823" i="5"/>
  <c r="O821" i="5"/>
  <c r="N821" i="5"/>
  <c r="O819" i="5"/>
  <c r="N819" i="5"/>
  <c r="O817" i="5"/>
  <c r="N817" i="5"/>
  <c r="O815" i="5"/>
  <c r="N815" i="5"/>
  <c r="O813" i="5"/>
  <c r="N813" i="5"/>
  <c r="O811" i="5"/>
  <c r="N811" i="5"/>
  <c r="O809" i="5"/>
  <c r="N809" i="5"/>
  <c r="O807" i="5"/>
  <c r="N807" i="5"/>
  <c r="O805" i="5"/>
  <c r="N805" i="5"/>
  <c r="O803" i="5"/>
  <c r="N803" i="5"/>
  <c r="O801" i="5"/>
  <c r="N801" i="5"/>
  <c r="O799" i="5"/>
  <c r="N799" i="5"/>
  <c r="O797" i="5"/>
  <c r="N797" i="5"/>
  <c r="O795" i="5"/>
  <c r="N795" i="5"/>
  <c r="O793" i="5"/>
  <c r="N793" i="5"/>
  <c r="O791" i="5"/>
  <c r="N791" i="5"/>
  <c r="O789" i="5"/>
  <c r="N789" i="5"/>
  <c r="O787" i="5"/>
  <c r="N787" i="5"/>
  <c r="O785" i="5"/>
  <c r="N785" i="5"/>
  <c r="O783" i="5"/>
  <c r="N783" i="5"/>
  <c r="O781" i="5"/>
  <c r="N781" i="5"/>
  <c r="O779" i="5"/>
  <c r="N779" i="5"/>
  <c r="O777" i="5"/>
  <c r="N777" i="5"/>
  <c r="O775" i="5"/>
  <c r="N775" i="5"/>
  <c r="O773" i="5"/>
  <c r="N773" i="5"/>
  <c r="O771" i="5"/>
  <c r="N771" i="5"/>
  <c r="O769" i="5"/>
  <c r="N769" i="5"/>
  <c r="O767" i="5"/>
  <c r="N767" i="5"/>
  <c r="O765" i="5"/>
  <c r="N765" i="5"/>
  <c r="O763" i="5"/>
  <c r="N763" i="5"/>
  <c r="O761" i="5"/>
  <c r="N761" i="5"/>
  <c r="O759" i="5"/>
  <c r="N759" i="5"/>
  <c r="O757" i="5"/>
  <c r="N757" i="5"/>
  <c r="O755" i="5"/>
  <c r="N755" i="5"/>
  <c r="O753" i="5"/>
  <c r="N753" i="5"/>
  <c r="O751" i="5"/>
  <c r="N751" i="5"/>
  <c r="O749" i="5"/>
  <c r="N749" i="5"/>
  <c r="O747" i="5"/>
  <c r="N747" i="5"/>
  <c r="O745" i="5"/>
  <c r="N745" i="5"/>
  <c r="O743" i="5"/>
  <c r="N743" i="5"/>
  <c r="O741" i="5"/>
  <c r="N741" i="5"/>
  <c r="O739" i="5"/>
  <c r="N739" i="5"/>
  <c r="O737" i="5"/>
  <c r="N737" i="5"/>
  <c r="O735" i="5"/>
  <c r="N735" i="5"/>
  <c r="O733" i="5"/>
  <c r="N733" i="5"/>
  <c r="O731" i="5"/>
  <c r="N731" i="5"/>
  <c r="O729" i="5"/>
  <c r="N729" i="5"/>
  <c r="O727" i="5"/>
  <c r="N727" i="5"/>
  <c r="O725" i="5"/>
  <c r="N725" i="5"/>
  <c r="O723" i="5"/>
  <c r="N723" i="5"/>
  <c r="O721" i="5"/>
  <c r="N721" i="5"/>
  <c r="O719" i="5"/>
  <c r="N719" i="5"/>
  <c r="O716" i="5"/>
  <c r="N716" i="5"/>
  <c r="O710" i="5"/>
  <c r="N710" i="5"/>
  <c r="O6" i="5"/>
  <c r="N6" i="5"/>
  <c r="O3" i="5"/>
  <c r="N3" i="5"/>
  <c r="O7" i="5"/>
  <c r="N7" i="5"/>
  <c r="O8" i="5"/>
  <c r="N8" i="5"/>
  <c r="O10" i="5"/>
  <c r="N10" i="5"/>
  <c r="O162" i="5"/>
  <c r="N162" i="5"/>
  <c r="O164" i="5"/>
  <c r="N164" i="5"/>
  <c r="O166" i="5"/>
  <c r="N166" i="5"/>
  <c r="O169" i="5"/>
  <c r="N169" i="5"/>
  <c r="O178" i="5"/>
  <c r="N178" i="5"/>
  <c r="O177" i="5"/>
  <c r="N177" i="5"/>
  <c r="O175" i="5"/>
  <c r="N175" i="5"/>
  <c r="O173" i="5"/>
  <c r="N173" i="5"/>
  <c r="O179" i="5"/>
  <c r="N179" i="5"/>
  <c r="O180" i="5"/>
  <c r="N180" i="5"/>
  <c r="O183" i="5"/>
  <c r="N183" i="5"/>
  <c r="O185" i="5"/>
  <c r="N185" i="5"/>
  <c r="O186" i="5"/>
  <c r="N186" i="5"/>
  <c r="O189" i="5"/>
  <c r="N189" i="5"/>
  <c r="O191" i="5"/>
  <c r="N191" i="5"/>
  <c r="O193" i="5"/>
  <c r="N193" i="5"/>
  <c r="O195" i="5"/>
  <c r="N195" i="5"/>
  <c r="O197" i="5"/>
  <c r="N197" i="5"/>
  <c r="O199" i="5"/>
  <c r="N199" i="5"/>
  <c r="O201" i="5"/>
  <c r="N201" i="5"/>
  <c r="O203" i="5"/>
  <c r="N203" i="5"/>
  <c r="O205" i="5"/>
  <c r="N205" i="5"/>
  <c r="O207" i="5"/>
  <c r="N207" i="5"/>
  <c r="O209" i="5"/>
  <c r="N209" i="5"/>
  <c r="O211" i="5"/>
  <c r="N211" i="5"/>
  <c r="O213" i="5"/>
  <c r="N213" i="5"/>
  <c r="O217" i="5"/>
  <c r="N217" i="5"/>
  <c r="O218" i="5"/>
  <c r="N218" i="5"/>
  <c r="O221" i="5"/>
  <c r="N221" i="5"/>
  <c r="O223" i="5"/>
  <c r="N223" i="5"/>
  <c r="O225" i="5"/>
  <c r="N225" i="5"/>
  <c r="O227" i="5"/>
  <c r="N227" i="5"/>
  <c r="O229" i="5"/>
  <c r="N229" i="5"/>
  <c r="O231" i="5"/>
  <c r="N231" i="5"/>
  <c r="O233" i="5"/>
  <c r="N233" i="5"/>
  <c r="O235" i="5"/>
  <c r="N235" i="5"/>
  <c r="O237" i="5"/>
  <c r="N237" i="5"/>
  <c r="O708" i="5"/>
  <c r="N708" i="5"/>
  <c r="O706" i="5"/>
  <c r="N706" i="5"/>
  <c r="O239" i="5"/>
  <c r="N239" i="5"/>
  <c r="O241" i="5"/>
  <c r="N241" i="5"/>
  <c r="O243" i="5"/>
  <c r="N243" i="5"/>
  <c r="O245" i="5"/>
  <c r="N245" i="5"/>
  <c r="O249" i="5"/>
  <c r="N249" i="5"/>
  <c r="O248" i="5"/>
  <c r="N248" i="5"/>
  <c r="O257" i="5"/>
  <c r="N257" i="5"/>
  <c r="O262" i="5"/>
  <c r="N262" i="5"/>
  <c r="O264" i="5"/>
  <c r="N264" i="5"/>
  <c r="O274" i="5"/>
  <c r="N274" i="5"/>
  <c r="O272" i="5"/>
  <c r="N272" i="5"/>
  <c r="O267" i="5"/>
  <c r="N267" i="5"/>
  <c r="O268" i="5"/>
  <c r="N268" i="5"/>
  <c r="O271" i="5"/>
  <c r="N271" i="5"/>
  <c r="O276" i="5"/>
  <c r="N276" i="5"/>
  <c r="O278" i="5"/>
  <c r="N278" i="5"/>
  <c r="O280" i="5"/>
  <c r="N280" i="5"/>
  <c r="O282" i="5"/>
  <c r="N282" i="5"/>
  <c r="O284" i="5"/>
  <c r="N284" i="5"/>
  <c r="O286" i="5"/>
  <c r="N286" i="5"/>
  <c r="O288" i="5"/>
  <c r="N288" i="5"/>
  <c r="O291" i="5"/>
  <c r="N291" i="5"/>
  <c r="O289" i="5"/>
  <c r="N289" i="5"/>
  <c r="M218" i="5"/>
  <c r="M221" i="5"/>
  <c r="M223" i="5"/>
  <c r="M225" i="5"/>
  <c r="M227" i="5"/>
  <c r="M229" i="5"/>
  <c r="M231" i="5"/>
  <c r="M233" i="5"/>
  <c r="M235" i="5"/>
  <c r="M237" i="5"/>
  <c r="M708" i="5"/>
  <c r="M706" i="5"/>
  <c r="M239" i="5"/>
  <c r="M241" i="5"/>
  <c r="M243" i="5"/>
  <c r="M245" i="5"/>
  <c r="M290" i="5"/>
  <c r="M289" i="5"/>
  <c r="M293" i="5"/>
  <c r="M295" i="5"/>
  <c r="M298" i="5"/>
  <c r="M299" i="5"/>
  <c r="M301" i="5"/>
  <c r="M303" i="5"/>
  <c r="M305" i="5"/>
  <c r="M307" i="5"/>
  <c r="M309" i="5"/>
  <c r="M311" i="5"/>
  <c r="M313" i="5"/>
  <c r="O704" i="5"/>
  <c r="N704" i="5"/>
  <c r="O14" i="5"/>
  <c r="N14" i="5"/>
  <c r="O16" i="5"/>
  <c r="N16" i="5"/>
  <c r="O18" i="5"/>
  <c r="N18" i="5"/>
  <c r="O20" i="5"/>
  <c r="N20" i="5"/>
  <c r="O903" i="5"/>
  <c r="N903" i="5"/>
  <c r="O901" i="5"/>
  <c r="N901" i="5"/>
  <c r="O899" i="5"/>
  <c r="N899" i="5"/>
  <c r="O897" i="5"/>
  <c r="N897" i="5"/>
  <c r="O22" i="5"/>
  <c r="N22" i="5"/>
  <c r="O24" i="5"/>
  <c r="N24" i="5"/>
  <c r="O26" i="5"/>
  <c r="N26" i="5"/>
  <c r="O28" i="5"/>
  <c r="N28" i="5"/>
  <c r="O30" i="5"/>
  <c r="N30" i="5"/>
  <c r="O32" i="5"/>
  <c r="N32" i="5"/>
  <c r="O34" i="5"/>
  <c r="N34" i="5"/>
  <c r="O895" i="5"/>
  <c r="N895" i="5"/>
  <c r="O893" i="5"/>
  <c r="N893" i="5"/>
  <c r="O891" i="5"/>
  <c r="N891" i="5"/>
  <c r="O889" i="5"/>
  <c r="N889" i="5"/>
  <c r="O887" i="5"/>
  <c r="N887" i="5"/>
  <c r="O885" i="5"/>
  <c r="N885" i="5"/>
  <c r="O883" i="5"/>
  <c r="N883" i="5"/>
  <c r="O881" i="5"/>
  <c r="N881" i="5"/>
  <c r="O879" i="5"/>
  <c r="N879" i="5"/>
  <c r="O55" i="5"/>
  <c r="N55" i="5"/>
  <c r="O53" i="5"/>
  <c r="N53" i="5"/>
  <c r="O51" i="5"/>
  <c r="N51" i="5"/>
  <c r="O49" i="5"/>
  <c r="N49" i="5"/>
  <c r="O47" i="5"/>
  <c r="N47" i="5"/>
  <c r="O45" i="5"/>
  <c r="N45" i="5"/>
  <c r="O43" i="5"/>
  <c r="N43" i="5"/>
  <c r="O41" i="5"/>
  <c r="N41" i="5"/>
  <c r="O39" i="5"/>
  <c r="N39" i="5"/>
  <c r="O37" i="5"/>
  <c r="N37" i="5"/>
  <c r="O35" i="5"/>
  <c r="N35" i="5"/>
  <c r="O59" i="5"/>
  <c r="N59" i="5"/>
  <c r="O84" i="5"/>
  <c r="N84" i="5"/>
  <c r="O82" i="5"/>
  <c r="N82" i="5"/>
  <c r="O80" i="5"/>
  <c r="N80" i="5"/>
  <c r="O78" i="5"/>
  <c r="N78" i="5"/>
  <c r="O76" i="5"/>
  <c r="N76" i="5"/>
  <c r="O74" i="5"/>
  <c r="N74" i="5"/>
  <c r="O72" i="5"/>
  <c r="N72" i="5"/>
  <c r="O70" i="5"/>
  <c r="N70" i="5"/>
  <c r="O68" i="5"/>
  <c r="N68" i="5"/>
  <c r="O66" i="5"/>
  <c r="N66" i="5"/>
  <c r="O64" i="5"/>
  <c r="N64" i="5"/>
  <c r="O62" i="5"/>
  <c r="N62" i="5"/>
  <c r="O60" i="5"/>
  <c r="N60" i="5"/>
  <c r="O86" i="5"/>
  <c r="N86" i="5"/>
  <c r="O88" i="5"/>
  <c r="N88" i="5"/>
  <c r="O90" i="5"/>
  <c r="N90" i="5"/>
  <c r="O92" i="5"/>
  <c r="N92" i="5"/>
  <c r="O95" i="5"/>
  <c r="N95" i="5"/>
  <c r="O96" i="5"/>
  <c r="N96" i="5"/>
  <c r="O99" i="5"/>
  <c r="N99" i="5"/>
  <c r="O100" i="5"/>
  <c r="N100" i="5"/>
  <c r="O105" i="5"/>
  <c r="N105" i="5"/>
  <c r="O103" i="5"/>
  <c r="N103" i="5"/>
  <c r="O107" i="5"/>
  <c r="N107" i="5"/>
  <c r="O108" i="5"/>
  <c r="N108" i="5"/>
  <c r="O112" i="5"/>
  <c r="N112" i="5"/>
  <c r="O110" i="5"/>
  <c r="N110" i="5"/>
  <c r="O114" i="5"/>
  <c r="N114" i="5"/>
  <c r="O116" i="5"/>
  <c r="N116" i="5"/>
  <c r="O118" i="5"/>
  <c r="N118" i="5"/>
  <c r="O120" i="5"/>
  <c r="N120" i="5"/>
  <c r="O123" i="5"/>
  <c r="N123" i="5"/>
  <c r="O125" i="5"/>
  <c r="N125" i="5"/>
  <c r="O127" i="5"/>
  <c r="N127" i="5"/>
  <c r="O129" i="5"/>
  <c r="N129" i="5"/>
  <c r="O131" i="5"/>
  <c r="N131" i="5"/>
  <c r="O133" i="5"/>
  <c r="N133" i="5"/>
  <c r="O135" i="5"/>
  <c r="N135" i="5"/>
  <c r="O137" i="5"/>
  <c r="N137" i="5"/>
  <c r="O139" i="5"/>
  <c r="N139" i="5"/>
  <c r="O141" i="5"/>
  <c r="N141" i="5"/>
  <c r="O149" i="5"/>
  <c r="N149" i="5"/>
  <c r="O147" i="5"/>
  <c r="N147" i="5"/>
  <c r="O145" i="5"/>
  <c r="N145" i="5"/>
  <c r="O143" i="5"/>
  <c r="N143" i="5"/>
  <c r="O151" i="5"/>
  <c r="N151" i="5"/>
  <c r="O153" i="5"/>
  <c r="N153" i="5"/>
  <c r="O154" i="5"/>
  <c r="N154" i="5"/>
  <c r="O156" i="5"/>
  <c r="N156" i="5"/>
  <c r="O157" i="5"/>
  <c r="N157" i="5"/>
  <c r="O160" i="5"/>
  <c r="N160" i="5"/>
  <c r="O161" i="5"/>
  <c r="N161" i="5"/>
  <c r="O252" i="5"/>
  <c r="N252" i="5"/>
  <c r="O253" i="5"/>
  <c r="N253" i="5"/>
  <c r="O254" i="5"/>
  <c r="N254" i="5"/>
  <c r="O260" i="5"/>
  <c r="N260" i="5"/>
  <c r="O261" i="5"/>
  <c r="N261" i="5"/>
  <c r="O255" i="5"/>
  <c r="N255" i="5"/>
  <c r="O256" i="5"/>
  <c r="N256" i="5"/>
  <c r="O258" i="5"/>
  <c r="N258" i="5"/>
  <c r="O293" i="5"/>
  <c r="N293" i="5"/>
  <c r="O295" i="5"/>
  <c r="N295" i="5"/>
  <c r="O298" i="5"/>
  <c r="N298" i="5"/>
  <c r="O299" i="5"/>
  <c r="N299" i="5"/>
  <c r="O301" i="5"/>
  <c r="N301" i="5"/>
  <c r="O303" i="5"/>
  <c r="N303" i="5"/>
  <c r="O305" i="5"/>
  <c r="N305" i="5"/>
  <c r="O307" i="5"/>
  <c r="N307" i="5"/>
  <c r="O309" i="5"/>
  <c r="N309" i="5"/>
  <c r="O311" i="5"/>
  <c r="N311" i="5"/>
  <c r="O313" i="5"/>
  <c r="N313" i="5"/>
  <c r="O315" i="5"/>
  <c r="N315" i="5"/>
  <c r="O317" i="5"/>
  <c r="N317" i="5"/>
  <c r="O319" i="5"/>
  <c r="N319" i="5"/>
  <c r="O321" i="5"/>
  <c r="N321" i="5"/>
  <c r="O323" i="5"/>
  <c r="N323" i="5"/>
  <c r="O325" i="5"/>
  <c r="N325" i="5"/>
  <c r="O327" i="5"/>
  <c r="N327" i="5"/>
  <c r="O329" i="5"/>
  <c r="N329" i="5"/>
  <c r="O331" i="5"/>
  <c r="N331" i="5"/>
  <c r="O332" i="5"/>
  <c r="N332" i="5"/>
  <c r="O338" i="5"/>
  <c r="N338" i="5"/>
  <c r="O336" i="5"/>
  <c r="N336" i="5"/>
  <c r="O340" i="5"/>
  <c r="N340" i="5"/>
  <c r="O342" i="5"/>
  <c r="N342" i="5"/>
  <c r="O344" i="5"/>
  <c r="N344" i="5"/>
  <c r="O343" i="5"/>
  <c r="N343" i="5"/>
  <c r="O349" i="5"/>
  <c r="N349" i="5"/>
  <c r="O351" i="5"/>
  <c r="N351" i="5"/>
  <c r="O353" i="5"/>
  <c r="N353" i="5"/>
  <c r="O355" i="5"/>
  <c r="N355" i="5"/>
  <c r="O358" i="5"/>
  <c r="N358" i="5"/>
  <c r="O359" i="5"/>
  <c r="N359" i="5"/>
  <c r="O361" i="5"/>
  <c r="N361" i="5"/>
  <c r="O363" i="5"/>
  <c r="N363" i="5"/>
  <c r="O365" i="5"/>
  <c r="N365" i="5"/>
  <c r="O367" i="5"/>
  <c r="N367" i="5"/>
  <c r="O369" i="5"/>
  <c r="N369" i="5"/>
  <c r="O371" i="5"/>
  <c r="N371" i="5"/>
  <c r="O373" i="5"/>
  <c r="N373" i="5"/>
  <c r="O375" i="5"/>
  <c r="N375" i="5"/>
  <c r="O377" i="5"/>
  <c r="N377" i="5"/>
  <c r="O379" i="5"/>
  <c r="N379" i="5"/>
  <c r="O381" i="5"/>
  <c r="N381" i="5"/>
  <c r="O383" i="5"/>
  <c r="N383" i="5"/>
  <c r="O385" i="5"/>
  <c r="N385" i="5"/>
  <c r="O387" i="5"/>
  <c r="N387" i="5"/>
  <c r="O389" i="5"/>
  <c r="N389" i="5"/>
  <c r="O391" i="5"/>
  <c r="N391" i="5"/>
  <c r="O393" i="5"/>
  <c r="N393" i="5"/>
  <c r="O395" i="5"/>
  <c r="N395" i="5"/>
  <c r="O397" i="5"/>
  <c r="N397" i="5"/>
  <c r="O399" i="5"/>
  <c r="N399" i="5"/>
  <c r="O401" i="5"/>
  <c r="N401" i="5"/>
  <c r="O403" i="5"/>
  <c r="N403" i="5"/>
  <c r="O405" i="5"/>
  <c r="N405" i="5"/>
  <c r="O407" i="5"/>
  <c r="N407" i="5"/>
  <c r="O409" i="5"/>
  <c r="N409" i="5"/>
  <c r="O411" i="5"/>
  <c r="N411" i="5"/>
  <c r="O413" i="5"/>
  <c r="N413" i="5"/>
  <c r="O415" i="5"/>
  <c r="N415" i="5"/>
  <c r="O417" i="5"/>
  <c r="N417" i="5"/>
  <c r="O419" i="5"/>
  <c r="N419" i="5"/>
  <c r="O421" i="5"/>
  <c r="N421" i="5"/>
  <c r="O423" i="5"/>
  <c r="N423" i="5"/>
  <c r="O425" i="5"/>
  <c r="N425" i="5"/>
  <c r="O427" i="5"/>
  <c r="N427" i="5"/>
  <c r="O429" i="5"/>
  <c r="N429" i="5"/>
  <c r="O431" i="5"/>
  <c r="N431" i="5"/>
  <c r="O433" i="5"/>
  <c r="N433" i="5"/>
  <c r="O435" i="5"/>
  <c r="N435" i="5"/>
  <c r="O437" i="5"/>
  <c r="N437" i="5"/>
  <c r="O439" i="5"/>
  <c r="N439" i="5"/>
  <c r="O441" i="5"/>
  <c r="N441" i="5"/>
  <c r="O443" i="5"/>
  <c r="N443" i="5"/>
  <c r="O445" i="5"/>
  <c r="N445" i="5"/>
  <c r="O447" i="5"/>
  <c r="N447" i="5"/>
  <c r="O449" i="5"/>
  <c r="N449" i="5"/>
  <c r="O451" i="5"/>
  <c r="N451" i="5"/>
  <c r="O453" i="5"/>
  <c r="N453" i="5"/>
  <c r="O455" i="5"/>
  <c r="N455" i="5"/>
  <c r="O457" i="5"/>
  <c r="N457" i="5"/>
  <c r="O459" i="5"/>
  <c r="N459" i="5"/>
  <c r="O461" i="5"/>
  <c r="N461" i="5"/>
  <c r="O463" i="5"/>
  <c r="N463" i="5"/>
  <c r="O465" i="5"/>
  <c r="N465" i="5"/>
  <c r="O467" i="5"/>
  <c r="N467" i="5"/>
  <c r="O469" i="5"/>
  <c r="N469" i="5"/>
  <c r="O471" i="5"/>
  <c r="N471" i="5"/>
  <c r="O473" i="5"/>
  <c r="N473" i="5"/>
  <c r="O475" i="5"/>
  <c r="N475" i="5"/>
  <c r="O477" i="5"/>
  <c r="N477" i="5"/>
  <c r="O479" i="5"/>
  <c r="N479" i="5"/>
  <c r="O481" i="5"/>
  <c r="N481" i="5"/>
  <c r="O483" i="5"/>
  <c r="N483" i="5"/>
  <c r="O485" i="5"/>
  <c r="N485" i="5"/>
  <c r="O487" i="5"/>
  <c r="N487" i="5"/>
  <c r="O489" i="5"/>
  <c r="N489" i="5"/>
  <c r="O491" i="5"/>
  <c r="N491" i="5"/>
  <c r="O493" i="5"/>
  <c r="N493" i="5"/>
  <c r="O495" i="5"/>
  <c r="N495" i="5"/>
  <c r="O497" i="5"/>
  <c r="N497" i="5"/>
  <c r="O499" i="5"/>
  <c r="N499" i="5"/>
  <c r="O501" i="5"/>
  <c r="N501" i="5"/>
  <c r="O503" i="5"/>
  <c r="N503" i="5"/>
  <c r="O505" i="5"/>
  <c r="N505" i="5"/>
  <c r="O507" i="5"/>
  <c r="N507" i="5"/>
  <c r="O509" i="5"/>
  <c r="N509" i="5"/>
  <c r="O511" i="5"/>
  <c r="N511" i="5"/>
  <c r="O513" i="5"/>
  <c r="N513" i="5"/>
  <c r="O515" i="5"/>
  <c r="N515" i="5"/>
  <c r="O517" i="5"/>
  <c r="N517" i="5"/>
  <c r="O519" i="5"/>
  <c r="N519" i="5"/>
  <c r="O521" i="5"/>
  <c r="N521" i="5"/>
  <c r="O523" i="5"/>
  <c r="N523" i="5"/>
  <c r="O525" i="5"/>
  <c r="N525" i="5"/>
  <c r="O527" i="5"/>
  <c r="N527" i="5"/>
  <c r="O529" i="5"/>
  <c r="N529" i="5"/>
  <c r="O531" i="5"/>
  <c r="N531" i="5"/>
  <c r="O533" i="5"/>
  <c r="N533" i="5"/>
  <c r="O535" i="5"/>
  <c r="N535" i="5"/>
  <c r="O537" i="5"/>
  <c r="N537" i="5"/>
  <c r="O539" i="5"/>
  <c r="N539" i="5"/>
  <c r="O541" i="5"/>
  <c r="N541" i="5"/>
  <c r="O543" i="5"/>
  <c r="N543" i="5"/>
  <c r="O545" i="5"/>
  <c r="N545" i="5"/>
  <c r="O547" i="5"/>
  <c r="N547" i="5"/>
  <c r="O549" i="5"/>
  <c r="N549" i="5"/>
  <c r="O551" i="5"/>
  <c r="N551" i="5"/>
  <c r="O553" i="5"/>
  <c r="N553" i="5"/>
  <c r="O555" i="5"/>
  <c r="N555" i="5"/>
  <c r="O557" i="5"/>
  <c r="N557" i="5"/>
  <c r="O559" i="5"/>
  <c r="N559" i="5"/>
  <c r="O561" i="5"/>
  <c r="N561" i="5"/>
  <c r="O563" i="5"/>
  <c r="N563" i="5"/>
  <c r="O565" i="5"/>
  <c r="N565" i="5"/>
  <c r="O567" i="5"/>
  <c r="N567" i="5"/>
  <c r="O569" i="5"/>
  <c r="N569" i="5"/>
  <c r="O571" i="5"/>
  <c r="N571" i="5"/>
  <c r="O573" i="5"/>
  <c r="N573" i="5"/>
  <c r="O575" i="5"/>
  <c r="N575" i="5"/>
  <c r="O577" i="5"/>
  <c r="N577" i="5"/>
  <c r="O579" i="5"/>
  <c r="N579" i="5"/>
  <c r="O581" i="5"/>
  <c r="N581" i="5"/>
  <c r="O583" i="5"/>
  <c r="N583" i="5"/>
  <c r="O585" i="5"/>
  <c r="N585" i="5"/>
  <c r="O587" i="5"/>
  <c r="N587" i="5"/>
  <c r="O589" i="5"/>
  <c r="N589" i="5"/>
  <c r="O591" i="5"/>
  <c r="N591" i="5"/>
  <c r="O593" i="5"/>
  <c r="N593" i="5"/>
  <c r="O595" i="5"/>
  <c r="N595" i="5"/>
  <c r="O597" i="5"/>
  <c r="N597" i="5"/>
  <c r="O599" i="5"/>
  <c r="N599" i="5"/>
  <c r="O601" i="5"/>
  <c r="N601" i="5"/>
  <c r="O603" i="5"/>
  <c r="N603" i="5"/>
  <c r="O605" i="5"/>
  <c r="N605" i="5"/>
  <c r="O607" i="5"/>
  <c r="N607" i="5"/>
  <c r="O609" i="5"/>
  <c r="N609" i="5"/>
  <c r="O611" i="5"/>
  <c r="N611" i="5"/>
  <c r="O613" i="5"/>
  <c r="N613" i="5"/>
  <c r="O615" i="5"/>
  <c r="N615" i="5"/>
  <c r="O617" i="5"/>
  <c r="N617" i="5"/>
  <c r="O619" i="5"/>
  <c r="N619" i="5"/>
  <c r="O621" i="5"/>
  <c r="N621" i="5"/>
  <c r="O623" i="5"/>
  <c r="N623" i="5"/>
  <c r="O625" i="5"/>
  <c r="N625" i="5"/>
  <c r="O627" i="5"/>
  <c r="N627" i="5"/>
  <c r="O629" i="5"/>
  <c r="N629" i="5"/>
  <c r="O631" i="5"/>
  <c r="N631" i="5"/>
  <c r="O633" i="5"/>
  <c r="N633" i="5"/>
  <c r="O635" i="5"/>
  <c r="N635" i="5"/>
  <c r="O637" i="5"/>
  <c r="N637" i="5"/>
  <c r="O639" i="5"/>
  <c r="N639" i="5"/>
  <c r="O641" i="5"/>
  <c r="N641" i="5"/>
  <c r="O643" i="5"/>
  <c r="N643" i="5"/>
  <c r="O645" i="5"/>
  <c r="N645" i="5"/>
  <c r="O647" i="5"/>
  <c r="N647" i="5"/>
  <c r="O649" i="5"/>
  <c r="N649" i="5"/>
  <c r="O651" i="5"/>
  <c r="N651" i="5"/>
  <c r="O653" i="5"/>
  <c r="N653" i="5"/>
  <c r="O655" i="5"/>
  <c r="N655" i="5"/>
  <c r="O657" i="5"/>
  <c r="N657" i="5"/>
  <c r="O659" i="5"/>
  <c r="N659" i="5"/>
  <c r="O661" i="5"/>
  <c r="N661" i="5"/>
  <c r="O663" i="5"/>
  <c r="N663" i="5"/>
  <c r="O665" i="5"/>
  <c r="N665" i="5"/>
  <c r="O667" i="5"/>
  <c r="N667" i="5"/>
  <c r="O669" i="5"/>
  <c r="N669" i="5"/>
  <c r="O671" i="5"/>
  <c r="N671" i="5"/>
  <c r="O673" i="5"/>
  <c r="N673" i="5"/>
  <c r="O675" i="5"/>
  <c r="N675" i="5"/>
  <c r="O677" i="5"/>
  <c r="N677" i="5"/>
  <c r="O679" i="5"/>
  <c r="N679" i="5"/>
  <c r="O681" i="5"/>
  <c r="N681" i="5"/>
  <c r="O683" i="5"/>
  <c r="N683" i="5"/>
  <c r="O685" i="5"/>
  <c r="N685" i="5"/>
  <c r="O687" i="5"/>
  <c r="N687" i="5"/>
  <c r="O689" i="5"/>
  <c r="N689" i="5"/>
  <c r="O691" i="5"/>
  <c r="N691" i="5"/>
  <c r="O693" i="5"/>
  <c r="N693" i="5"/>
  <c r="O695" i="5"/>
  <c r="N695" i="5"/>
  <c r="O697" i="5"/>
  <c r="N697" i="5"/>
  <c r="O699" i="5"/>
  <c r="N699" i="5"/>
  <c r="O702" i="5"/>
  <c r="N702" i="5"/>
  <c r="O703" i="5"/>
  <c r="N703" i="5"/>
  <c r="O868" i="5"/>
  <c r="N868" i="5"/>
  <c r="O866" i="5"/>
  <c r="N866" i="5"/>
  <c r="O864" i="5"/>
  <c r="N864" i="5"/>
  <c r="O862" i="5"/>
  <c r="N862" i="5"/>
  <c r="O860" i="5"/>
  <c r="N860" i="5"/>
  <c r="O858" i="5"/>
  <c r="N858" i="5"/>
  <c r="O856" i="5"/>
  <c r="N856" i="5"/>
  <c r="O854" i="5"/>
  <c r="N854" i="5"/>
  <c r="O852" i="5"/>
  <c r="N852" i="5"/>
  <c r="O850" i="5"/>
  <c r="N850" i="5"/>
  <c r="O848" i="5"/>
  <c r="N848" i="5"/>
  <c r="O846" i="5"/>
  <c r="N846" i="5"/>
  <c r="O844" i="5"/>
  <c r="N844" i="5"/>
  <c r="O842" i="5"/>
  <c r="N842" i="5"/>
  <c r="O840" i="5"/>
  <c r="N840" i="5"/>
  <c r="O838" i="5"/>
  <c r="N838" i="5"/>
  <c r="O836" i="5"/>
  <c r="N836" i="5"/>
  <c r="O834" i="5"/>
  <c r="N834" i="5"/>
  <c r="O832" i="5"/>
  <c r="N832" i="5"/>
  <c r="O830" i="5"/>
  <c r="N830" i="5"/>
  <c r="O828" i="5"/>
  <c r="N828" i="5"/>
  <c r="O826" i="5"/>
  <c r="N826" i="5"/>
  <c r="O824" i="5"/>
  <c r="N824" i="5"/>
  <c r="O822" i="5"/>
  <c r="N822" i="5"/>
  <c r="O820" i="5"/>
  <c r="N820" i="5"/>
  <c r="O818" i="5"/>
  <c r="N818" i="5"/>
  <c r="O816" i="5"/>
  <c r="N816" i="5"/>
  <c r="O814" i="5"/>
  <c r="N814" i="5"/>
  <c r="O812" i="5"/>
  <c r="N812" i="5"/>
  <c r="O810" i="5"/>
  <c r="N810" i="5"/>
  <c r="O808" i="5"/>
  <c r="N808" i="5"/>
  <c r="O806" i="5"/>
  <c r="N806" i="5"/>
  <c r="O804" i="5"/>
  <c r="N804" i="5"/>
  <c r="O802" i="5"/>
  <c r="N802" i="5"/>
  <c r="O800" i="5"/>
  <c r="N800" i="5"/>
  <c r="O798" i="5"/>
  <c r="N798" i="5"/>
  <c r="O796" i="5"/>
  <c r="N796" i="5"/>
  <c r="O794" i="5"/>
  <c r="N794" i="5"/>
  <c r="O792" i="5"/>
  <c r="N792" i="5"/>
  <c r="O790" i="5"/>
  <c r="N790" i="5"/>
  <c r="O788" i="5"/>
  <c r="N788" i="5"/>
  <c r="O786" i="5"/>
  <c r="N786" i="5"/>
  <c r="O784" i="5"/>
  <c r="N784" i="5"/>
  <c r="O782" i="5"/>
  <c r="N782" i="5"/>
  <c r="O780" i="5"/>
  <c r="N780" i="5"/>
  <c r="O778" i="5"/>
  <c r="N778" i="5"/>
  <c r="O776" i="5"/>
  <c r="N776" i="5"/>
  <c r="O774" i="5"/>
  <c r="N774" i="5"/>
  <c r="O772" i="5"/>
  <c r="N772" i="5"/>
  <c r="O770" i="5"/>
  <c r="N770" i="5"/>
  <c r="O768" i="5"/>
  <c r="N768" i="5"/>
  <c r="O766" i="5"/>
  <c r="N766" i="5"/>
  <c r="O764" i="5"/>
  <c r="N764" i="5"/>
  <c r="O762" i="5"/>
  <c r="N762" i="5"/>
  <c r="O760" i="5"/>
  <c r="N760" i="5"/>
  <c r="O758" i="5"/>
  <c r="N758" i="5"/>
  <c r="O756" i="5"/>
  <c r="N756" i="5"/>
  <c r="O754" i="5"/>
  <c r="N754" i="5"/>
  <c r="O752" i="5"/>
  <c r="N752" i="5"/>
  <c r="O750" i="5"/>
  <c r="N750" i="5"/>
  <c r="O748" i="5"/>
  <c r="N748" i="5"/>
  <c r="O746" i="5"/>
  <c r="N746" i="5"/>
  <c r="O744" i="5"/>
  <c r="N744" i="5"/>
  <c r="O742" i="5"/>
  <c r="N742" i="5"/>
  <c r="O740" i="5"/>
  <c r="N740" i="5"/>
  <c r="O738" i="5"/>
  <c r="N738" i="5"/>
  <c r="O736" i="5"/>
  <c r="N736" i="5"/>
  <c r="O734" i="5"/>
  <c r="N734" i="5"/>
  <c r="O732" i="5"/>
  <c r="N732" i="5"/>
  <c r="O730" i="5"/>
  <c r="N730" i="5"/>
  <c r="O728" i="5"/>
  <c r="N728" i="5"/>
  <c r="O726" i="5"/>
  <c r="N726" i="5"/>
  <c r="O724" i="5"/>
  <c r="N724" i="5"/>
  <c r="O722" i="5"/>
  <c r="N722" i="5"/>
  <c r="O720" i="5"/>
  <c r="N720" i="5"/>
  <c r="O718" i="5"/>
  <c r="N718" i="5"/>
  <c r="O717" i="5"/>
  <c r="N717" i="5"/>
  <c r="O715" i="5"/>
  <c r="N715" i="5"/>
  <c r="O713" i="5"/>
  <c r="N713" i="5"/>
  <c r="O5" i="5"/>
  <c r="N5" i="5"/>
  <c r="O4" i="5"/>
  <c r="N4" i="5"/>
  <c r="O2" i="5"/>
  <c r="N2" i="5"/>
  <c r="O9" i="5"/>
  <c r="N9" i="5"/>
  <c r="O11" i="5"/>
  <c r="N11" i="5"/>
  <c r="O12" i="5"/>
  <c r="N12" i="5"/>
  <c r="O163" i="5"/>
  <c r="N163" i="5"/>
  <c r="O165" i="5"/>
  <c r="N165" i="5"/>
  <c r="O167" i="5"/>
  <c r="N167" i="5"/>
  <c r="O168" i="5"/>
  <c r="N168" i="5"/>
  <c r="O170" i="5"/>
  <c r="N170" i="5"/>
  <c r="O171" i="5"/>
  <c r="N171" i="5"/>
  <c r="O176" i="5"/>
  <c r="N176" i="5"/>
  <c r="O174" i="5"/>
  <c r="N174" i="5"/>
  <c r="O172" i="5"/>
  <c r="N172" i="5"/>
  <c r="O181" i="5"/>
  <c r="N181" i="5"/>
  <c r="O182" i="5"/>
  <c r="N182" i="5"/>
  <c r="O184" i="5"/>
  <c r="N184" i="5"/>
  <c r="O187" i="5"/>
  <c r="N187" i="5"/>
  <c r="O188" i="5"/>
  <c r="N188" i="5"/>
  <c r="O190" i="5"/>
  <c r="N190" i="5"/>
  <c r="O192" i="5"/>
  <c r="N192" i="5"/>
  <c r="O194" i="5"/>
  <c r="N194" i="5"/>
  <c r="O196" i="5"/>
  <c r="N196" i="5"/>
  <c r="O198" i="5"/>
  <c r="N198" i="5"/>
  <c r="O200" i="5"/>
  <c r="N200" i="5"/>
  <c r="O202" i="5"/>
  <c r="N202" i="5"/>
  <c r="O204" i="5"/>
  <c r="N204" i="5"/>
  <c r="O206" i="5"/>
  <c r="N206" i="5"/>
  <c r="O208" i="5"/>
  <c r="N208" i="5"/>
  <c r="O210" i="5"/>
  <c r="N210" i="5"/>
  <c r="O212" i="5"/>
  <c r="N212" i="5"/>
  <c r="O214" i="5"/>
  <c r="N214" i="5"/>
  <c r="O216" i="5"/>
  <c r="N216" i="5"/>
  <c r="O215" i="5"/>
  <c r="N215" i="5"/>
  <c r="O220" i="5"/>
  <c r="N220" i="5"/>
  <c r="O219" i="5"/>
  <c r="N219" i="5"/>
  <c r="O222" i="5"/>
  <c r="N222" i="5"/>
  <c r="O224" i="5"/>
  <c r="N224" i="5"/>
  <c r="O226" i="5"/>
  <c r="N226" i="5"/>
  <c r="O228" i="5"/>
  <c r="N228" i="5"/>
  <c r="O230" i="5"/>
  <c r="N230" i="5"/>
  <c r="O232" i="5"/>
  <c r="N232" i="5"/>
  <c r="O234" i="5"/>
  <c r="N234" i="5"/>
  <c r="O236" i="5"/>
  <c r="N236" i="5"/>
  <c r="O238" i="5"/>
  <c r="N238" i="5"/>
  <c r="O707" i="5"/>
  <c r="N707" i="5"/>
  <c r="O705" i="5"/>
  <c r="N705" i="5"/>
  <c r="O240" i="5"/>
  <c r="N240" i="5"/>
  <c r="O242" i="5"/>
  <c r="N242" i="5"/>
  <c r="O244" i="5"/>
  <c r="N244" i="5"/>
  <c r="O246" i="5"/>
  <c r="N246" i="5"/>
  <c r="O247" i="5"/>
  <c r="N247" i="5"/>
  <c r="O251" i="5"/>
  <c r="N251" i="5"/>
  <c r="O250" i="5"/>
  <c r="N250" i="5"/>
  <c r="O263" i="5"/>
  <c r="N263" i="5"/>
  <c r="O265" i="5"/>
  <c r="N265" i="5"/>
  <c r="O266" i="5"/>
  <c r="N266" i="5"/>
  <c r="O269" i="5"/>
  <c r="N269" i="5"/>
  <c r="O270" i="5"/>
  <c r="N270" i="5"/>
  <c r="O273" i="5"/>
  <c r="N273" i="5"/>
  <c r="O275" i="5"/>
  <c r="N275" i="5"/>
  <c r="O277" i="5"/>
  <c r="N277" i="5"/>
  <c r="O279" i="5"/>
  <c r="N279" i="5"/>
  <c r="O281" i="5"/>
  <c r="N281" i="5"/>
  <c r="O283" i="5"/>
  <c r="N283" i="5"/>
  <c r="O285" i="5"/>
  <c r="N285" i="5"/>
  <c r="O287" i="5"/>
  <c r="N287" i="5"/>
  <c r="O290" i="5"/>
  <c r="N290" i="5"/>
  <c r="O345" i="5"/>
  <c r="N345" i="5"/>
  <c r="O347" i="5"/>
  <c r="N347" i="5"/>
  <c r="O348" i="5"/>
  <c r="N348" i="5"/>
  <c r="A708" i="5"/>
  <c r="A707" i="5"/>
  <c r="A705" i="5"/>
  <c r="A706" i="5"/>
  <c r="A704" i="5"/>
  <c r="A703" i="5"/>
  <c r="E704" i="5"/>
  <c r="E703" i="5"/>
  <c r="E701" i="5"/>
  <c r="E702" i="5"/>
  <c r="E700" i="5"/>
  <c r="E699" i="5"/>
  <c r="E698" i="5" l="1"/>
  <c r="E697" i="5"/>
  <c r="E696" i="5"/>
  <c r="E695" i="5"/>
  <c r="E694" i="5"/>
  <c r="E693" i="5"/>
  <c r="E692" i="5"/>
  <c r="E691" i="5"/>
  <c r="E690" i="5"/>
  <c r="E689" i="5"/>
  <c r="E688" i="5"/>
  <c r="E687" i="5"/>
  <c r="E686" i="5"/>
  <c r="E685" i="5"/>
  <c r="E684" i="5"/>
  <c r="E683" i="5"/>
  <c r="E682" i="5"/>
  <c r="E681" i="5"/>
  <c r="E680" i="5"/>
  <c r="E679" i="5"/>
  <c r="E678" i="5"/>
  <c r="E677" i="5"/>
  <c r="E676" i="5"/>
  <c r="E675" i="5"/>
  <c r="E674" i="5"/>
  <c r="E673" i="5"/>
  <c r="E672" i="5"/>
  <c r="E671" i="5"/>
  <c r="E670" i="5"/>
  <c r="E669" i="5"/>
  <c r="E668" i="5"/>
  <c r="E667" i="5"/>
  <c r="E666" i="5"/>
  <c r="E665" i="5"/>
  <c r="E664" i="5"/>
  <c r="E663" i="5"/>
  <c r="E662" i="5"/>
  <c r="E661" i="5"/>
  <c r="E660" i="5"/>
  <c r="E659" i="5"/>
  <c r="E658" i="5"/>
  <c r="E657" i="5"/>
  <c r="E656" i="5"/>
  <c r="E655" i="5"/>
  <c r="E654" i="5"/>
  <c r="E653" i="5"/>
  <c r="E652" i="5"/>
  <c r="E651" i="5"/>
  <c r="E650" i="5"/>
  <c r="E649" i="5"/>
  <c r="E648" i="5"/>
  <c r="E647" i="5"/>
  <c r="E646" i="5"/>
  <c r="E645" i="5"/>
  <c r="E644" i="5"/>
  <c r="E643" i="5"/>
  <c r="E642" i="5"/>
  <c r="E641" i="5"/>
  <c r="E640" i="5"/>
  <c r="E639" i="5"/>
  <c r="E638" i="5"/>
  <c r="E637" i="5"/>
  <c r="E636" i="5"/>
  <c r="E635" i="5"/>
  <c r="E634" i="5"/>
  <c r="E633" i="5"/>
  <c r="E632" i="5"/>
  <c r="E631" i="5"/>
  <c r="E630" i="5"/>
  <c r="E629" i="5"/>
  <c r="E628" i="5"/>
  <c r="E627" i="5"/>
  <c r="E626" i="5"/>
  <c r="E625" i="5"/>
  <c r="E624" i="5"/>
  <c r="E623" i="5"/>
  <c r="E622" i="5"/>
  <c r="E621" i="5"/>
  <c r="E620" i="5"/>
  <c r="E619" i="5"/>
  <c r="E618" i="5"/>
  <c r="E617" i="5"/>
  <c r="E616" i="5"/>
  <c r="E615" i="5"/>
  <c r="E614" i="5"/>
  <c r="E613" i="5"/>
  <c r="E612" i="5"/>
  <c r="E611" i="5"/>
  <c r="E610" i="5"/>
  <c r="E609" i="5"/>
  <c r="E608" i="5"/>
  <c r="E607" i="5"/>
  <c r="E606" i="5"/>
  <c r="E605" i="5"/>
  <c r="E604" i="5"/>
  <c r="E603" i="5"/>
  <c r="E602" i="5"/>
  <c r="E601" i="5"/>
  <c r="E600" i="5"/>
  <c r="E599" i="5"/>
  <c r="E598" i="5"/>
  <c r="E597" i="5"/>
  <c r="E596" i="5"/>
  <c r="E595" i="5"/>
  <c r="E594" i="5"/>
  <c r="E593" i="5"/>
  <c r="E592" i="5"/>
  <c r="E591" i="5"/>
  <c r="E590" i="5"/>
  <c r="E589" i="5"/>
  <c r="E588" i="5"/>
  <c r="E587" i="5"/>
  <c r="E586" i="5"/>
  <c r="E585" i="5"/>
  <c r="E584" i="5"/>
  <c r="E583" i="5"/>
  <c r="E582" i="5"/>
  <c r="E581" i="5"/>
  <c r="E580" i="5"/>
  <c r="E579" i="5"/>
  <c r="E578" i="5"/>
  <c r="E577" i="5"/>
  <c r="E576" i="5"/>
  <c r="E575" i="5"/>
  <c r="E574" i="5"/>
  <c r="E573" i="5"/>
  <c r="E572" i="5"/>
  <c r="E571" i="5"/>
  <c r="E570" i="5"/>
  <c r="E569" i="5"/>
  <c r="E568" i="5"/>
  <c r="E567" i="5"/>
  <c r="E566" i="5"/>
  <c r="E565" i="5"/>
  <c r="E564" i="5"/>
  <c r="E563" i="5"/>
  <c r="E562" i="5"/>
  <c r="E561" i="5"/>
  <c r="E560" i="5"/>
  <c r="E559" i="5"/>
  <c r="E558" i="5"/>
  <c r="E557" i="5"/>
  <c r="E556" i="5"/>
  <c r="E555" i="5"/>
  <c r="E554" i="5"/>
  <c r="E553" i="5"/>
  <c r="E552" i="5"/>
  <c r="E551" i="5"/>
  <c r="E550" i="5"/>
  <c r="E549" i="5"/>
  <c r="E548" i="5"/>
  <c r="E547" i="5"/>
  <c r="E546" i="5"/>
  <c r="E545" i="5"/>
  <c r="E544" i="5"/>
  <c r="E543" i="5"/>
  <c r="E542" i="5"/>
  <c r="E541" i="5"/>
  <c r="E540" i="5"/>
  <c r="E539" i="5"/>
  <c r="E538" i="5"/>
  <c r="E537" i="5"/>
  <c r="E536" i="5"/>
  <c r="E535" i="5"/>
  <c r="E534" i="5"/>
  <c r="E533" i="5"/>
  <c r="E532" i="5"/>
  <c r="E531" i="5"/>
  <c r="E530" i="5"/>
  <c r="E529" i="5"/>
  <c r="E528" i="5"/>
  <c r="E527" i="5"/>
  <c r="E526" i="5"/>
  <c r="E525" i="5"/>
  <c r="E524" i="5"/>
  <c r="E523" i="5"/>
  <c r="E522" i="5"/>
  <c r="E521" i="5"/>
  <c r="E520" i="5"/>
  <c r="E519" i="5"/>
  <c r="E518" i="5"/>
  <c r="E517" i="5"/>
  <c r="E516" i="5"/>
  <c r="E515" i="5"/>
  <c r="E514" i="5"/>
  <c r="E513" i="5"/>
  <c r="E512" i="5"/>
  <c r="E511" i="5"/>
  <c r="E510" i="5"/>
  <c r="E509" i="5"/>
  <c r="E508" i="5"/>
  <c r="E507" i="5"/>
  <c r="E506" i="5"/>
  <c r="E505" i="5"/>
  <c r="E504" i="5"/>
  <c r="E503" i="5"/>
  <c r="E502" i="5"/>
  <c r="E501" i="5"/>
  <c r="E500" i="5"/>
  <c r="E499" i="5"/>
  <c r="E498" i="5"/>
  <c r="E497" i="5"/>
  <c r="E496" i="5"/>
  <c r="E495" i="5"/>
  <c r="E494" i="5"/>
  <c r="E493" i="5"/>
  <c r="E492" i="5"/>
  <c r="E491" i="5"/>
  <c r="E490" i="5"/>
  <c r="E489" i="5"/>
  <c r="E488" i="5"/>
  <c r="E487" i="5"/>
  <c r="E486" i="5"/>
  <c r="E485" i="5"/>
  <c r="E484" i="5"/>
  <c r="E483" i="5"/>
  <c r="E482" i="5"/>
  <c r="E481" i="5"/>
  <c r="E480" i="5"/>
  <c r="E479" i="5"/>
  <c r="E478" i="5"/>
  <c r="E477" i="5"/>
  <c r="E476" i="5"/>
  <c r="E475" i="5"/>
  <c r="E474" i="5"/>
  <c r="E473" i="5"/>
  <c r="E472" i="5"/>
  <c r="E471" i="5"/>
  <c r="E470" i="5"/>
  <c r="E469" i="5"/>
  <c r="E468" i="5"/>
  <c r="E467" i="5"/>
  <c r="E466" i="5"/>
  <c r="E465" i="5"/>
  <c r="E464" i="5"/>
  <c r="E463" i="5"/>
  <c r="E462" i="5"/>
  <c r="E461" i="5"/>
  <c r="E460" i="5"/>
  <c r="E459" i="5"/>
  <c r="E458" i="5"/>
  <c r="E457" i="5"/>
  <c r="E456" i="5"/>
  <c r="E455" i="5"/>
  <c r="E454" i="5"/>
  <c r="E453" i="5"/>
  <c r="E452" i="5"/>
  <c r="E451" i="5"/>
  <c r="E450" i="5"/>
  <c r="E449" i="5"/>
  <c r="E448" i="5"/>
  <c r="E447" i="5"/>
  <c r="E446" i="5"/>
  <c r="E445" i="5"/>
  <c r="E444" i="5"/>
  <c r="E443" i="5"/>
  <c r="E442" i="5"/>
  <c r="E441" i="5"/>
  <c r="E440" i="5"/>
  <c r="E439" i="5"/>
  <c r="E438" i="5"/>
  <c r="E437" i="5"/>
  <c r="E436" i="5"/>
  <c r="E435" i="5"/>
  <c r="E434" i="5"/>
  <c r="E433" i="5"/>
  <c r="E432" i="5"/>
  <c r="E431" i="5"/>
  <c r="E430" i="5"/>
  <c r="E429" i="5"/>
  <c r="E428" i="5"/>
  <c r="E427" i="5"/>
  <c r="E426" i="5"/>
  <c r="E425" i="5"/>
  <c r="E424" i="5"/>
  <c r="E423" i="5"/>
  <c r="E422" i="5"/>
  <c r="E421" i="5"/>
  <c r="E420" i="5"/>
  <c r="E419" i="5"/>
  <c r="E418" i="5"/>
  <c r="E417" i="5"/>
  <c r="E416" i="5"/>
  <c r="E415" i="5"/>
  <c r="E414" i="5"/>
  <c r="E413" i="5"/>
  <c r="E412" i="5"/>
  <c r="E411" i="5"/>
  <c r="E410" i="5"/>
  <c r="E409" i="5"/>
  <c r="E408" i="5"/>
  <c r="E407" i="5"/>
  <c r="E406" i="5"/>
  <c r="E405" i="5"/>
  <c r="E404" i="5"/>
  <c r="E403" i="5"/>
  <c r="E402" i="5"/>
  <c r="E401" i="5"/>
  <c r="E400" i="5"/>
  <c r="E399" i="5"/>
  <c r="E398" i="5"/>
  <c r="E397" i="5"/>
  <c r="E396" i="5"/>
  <c r="E395" i="5"/>
  <c r="E394" i="5"/>
  <c r="E393" i="5"/>
  <c r="E392" i="5"/>
  <c r="E391" i="5"/>
  <c r="E390" i="5"/>
  <c r="E389" i="5"/>
  <c r="E388" i="5"/>
  <c r="E387" i="5"/>
  <c r="E386" i="5"/>
  <c r="E385" i="5"/>
  <c r="E384" i="5"/>
  <c r="E383" i="5"/>
  <c r="E382" i="5"/>
  <c r="E381" i="5"/>
  <c r="E380" i="5"/>
  <c r="E379" i="5"/>
  <c r="E378" i="5"/>
  <c r="E377" i="5"/>
  <c r="E376" i="5"/>
  <c r="E375" i="5"/>
  <c r="E374" i="5"/>
  <c r="E373" i="5"/>
  <c r="E372" i="5"/>
  <c r="E371" i="5"/>
  <c r="E370" i="5"/>
  <c r="E369" i="5"/>
  <c r="E368" i="5"/>
  <c r="E367" i="5"/>
  <c r="E366" i="5"/>
  <c r="E365" i="5"/>
  <c r="E364" i="5"/>
  <c r="E363" i="5"/>
  <c r="E362" i="5"/>
  <c r="E361" i="5"/>
  <c r="E360" i="5"/>
  <c r="E359" i="5"/>
  <c r="E357" i="5"/>
  <c r="E358" i="5"/>
  <c r="E356" i="5"/>
  <c r="E355" i="5"/>
  <c r="E354" i="5"/>
  <c r="E353" i="5"/>
  <c r="E352" i="5"/>
  <c r="E351" i="5"/>
  <c r="E350" i="5"/>
  <c r="E349" i="5"/>
  <c r="E348" i="5"/>
  <c r="E347" i="5"/>
  <c r="E346" i="5"/>
  <c r="E345" i="5"/>
  <c r="E343" i="5"/>
  <c r="E344" i="5"/>
  <c r="E341" i="5"/>
  <c r="E342" i="5"/>
  <c r="E339" i="5"/>
  <c r="E340" i="5"/>
  <c r="E335" i="5"/>
  <c r="E336" i="5"/>
  <c r="E337" i="5"/>
  <c r="E338" i="5"/>
  <c r="E333" i="5"/>
  <c r="E332" i="5"/>
  <c r="E334" i="5"/>
  <c r="E331" i="5"/>
  <c r="E330" i="5"/>
  <c r="E329" i="5"/>
  <c r="E328" i="5"/>
  <c r="E327" i="5"/>
  <c r="E326" i="5"/>
  <c r="E325" i="5"/>
  <c r="E324" i="5"/>
  <c r="E323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E310" i="5"/>
  <c r="E309" i="5"/>
  <c r="E308" i="5"/>
  <c r="E307" i="5"/>
  <c r="E306" i="5"/>
  <c r="E305" i="5"/>
  <c r="E304" i="5"/>
  <c r="E303" i="5"/>
  <c r="E302" i="5"/>
  <c r="E301" i="5"/>
  <c r="E300" i="5"/>
  <c r="E299" i="5"/>
  <c r="E297" i="5"/>
  <c r="E298" i="5"/>
  <c r="E296" i="5"/>
  <c r="E295" i="5"/>
  <c r="E294" i="5"/>
  <c r="E293" i="5"/>
  <c r="E292" i="5"/>
  <c r="E289" i="5"/>
  <c r="E291" i="5"/>
  <c r="E290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3" i="5"/>
  <c r="E271" i="5"/>
  <c r="E270" i="5"/>
  <c r="E268" i="5"/>
  <c r="E269" i="5"/>
  <c r="E267" i="5"/>
  <c r="E266" i="5"/>
  <c r="E272" i="5"/>
  <c r="E265" i="5"/>
  <c r="E264" i="5"/>
  <c r="E263" i="5"/>
  <c r="E262" i="5"/>
  <c r="E257" i="5"/>
  <c r="E259" i="5"/>
  <c r="E258" i="5"/>
  <c r="E256" i="5"/>
  <c r="E255" i="5"/>
  <c r="E261" i="5"/>
  <c r="E260" i="5"/>
  <c r="E254" i="5"/>
  <c r="E253" i="5"/>
  <c r="E252" i="5"/>
  <c r="E249" i="5"/>
  <c r="E250" i="5"/>
  <c r="E251" i="5"/>
  <c r="E247" i="5"/>
  <c r="E248" i="5"/>
  <c r="E246" i="5"/>
  <c r="E245" i="5"/>
  <c r="E244" i="5"/>
  <c r="E243" i="5"/>
  <c r="E242" i="5"/>
  <c r="E241" i="5"/>
  <c r="E240" i="5"/>
  <c r="E239" i="5"/>
  <c r="E705" i="5"/>
  <c r="E706" i="5"/>
  <c r="E707" i="5"/>
  <c r="E708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19" i="5"/>
  <c r="E218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6" i="5"/>
  <c r="E187" i="5"/>
  <c r="E185" i="5"/>
  <c r="E184" i="5"/>
  <c r="E183" i="5"/>
  <c r="E182" i="5"/>
  <c r="E180" i="5"/>
  <c r="E181" i="5"/>
  <c r="E179" i="5"/>
  <c r="E172" i="5"/>
  <c r="E173" i="5"/>
  <c r="E174" i="5"/>
  <c r="E175" i="5"/>
  <c r="E176" i="5"/>
  <c r="E177" i="5"/>
  <c r="E171" i="5"/>
  <c r="E178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7" i="5"/>
  <c r="E158" i="5"/>
  <c r="E156" i="5"/>
  <c r="E709" i="5"/>
  <c r="E154" i="5"/>
  <c r="E155" i="5"/>
  <c r="E153" i="5"/>
  <c r="E152" i="5"/>
  <c r="E151" i="5"/>
  <c r="E150" i="5"/>
  <c r="E143" i="5"/>
  <c r="E144" i="5"/>
  <c r="E145" i="5"/>
  <c r="E146" i="5"/>
  <c r="E147" i="5"/>
  <c r="E148" i="5"/>
  <c r="E149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09" i="5"/>
  <c r="E110" i="5"/>
  <c r="E111" i="5"/>
  <c r="E112" i="5"/>
  <c r="E113" i="5"/>
  <c r="E108" i="5"/>
  <c r="E106" i="5"/>
  <c r="E107" i="5"/>
  <c r="E102" i="5"/>
  <c r="E103" i="5"/>
  <c r="E104" i="5"/>
  <c r="E105" i="5"/>
  <c r="E101" i="5"/>
  <c r="E100" i="5"/>
  <c r="E98" i="5"/>
  <c r="E99" i="5"/>
  <c r="E97" i="5"/>
  <c r="E96" i="5"/>
  <c r="E94" i="5"/>
  <c r="E95" i="5"/>
  <c r="E93" i="5"/>
  <c r="E92" i="5"/>
  <c r="E91" i="5"/>
  <c r="E90" i="5"/>
  <c r="E89" i="5"/>
  <c r="E88" i="5"/>
  <c r="E87" i="5"/>
  <c r="E86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59" i="5"/>
  <c r="E58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33" i="5"/>
  <c r="E34" i="5"/>
  <c r="E57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2" i="5"/>
  <c r="E3" i="5"/>
  <c r="E4" i="5"/>
  <c r="E5" i="5"/>
  <c r="E6" i="5"/>
  <c r="E710" i="5"/>
  <c r="E713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0" i="5"/>
  <c r="A369" i="5"/>
  <c r="A368" i="5"/>
  <c r="A367" i="5"/>
  <c r="A366" i="5"/>
  <c r="A365" i="5"/>
  <c r="A364" i="5"/>
  <c r="A363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7" i="5"/>
  <c r="A348" i="5"/>
  <c r="A345" i="5"/>
  <c r="A346" i="5"/>
  <c r="A343" i="5"/>
  <c r="A344" i="5"/>
  <c r="A339" i="5"/>
  <c r="A340" i="5"/>
  <c r="A341" i="5"/>
  <c r="A342" i="5"/>
  <c r="A337" i="5"/>
  <c r="A338" i="5"/>
  <c r="A335" i="5"/>
  <c r="A334" i="5"/>
  <c r="A333" i="5"/>
  <c r="A331" i="5"/>
  <c r="A330" i="5"/>
  <c r="A329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1" i="5"/>
  <c r="A302" i="5"/>
  <c r="A300" i="5"/>
  <c r="A296" i="5"/>
  <c r="A295" i="5"/>
  <c r="A294" i="5"/>
  <c r="A292" i="5"/>
  <c r="A291" i="5"/>
  <c r="A290" i="5"/>
  <c r="A289" i="5"/>
  <c r="A288" i="5"/>
  <c r="A287" i="5"/>
  <c r="A286" i="5"/>
  <c r="A285" i="5"/>
  <c r="A284" i="5"/>
  <c r="A277" i="5"/>
  <c r="A275" i="5"/>
  <c r="A274" i="5"/>
  <c r="A276" i="5"/>
  <c r="A269" i="5"/>
  <c r="A268" i="5"/>
  <c r="A267" i="5"/>
  <c r="A266" i="5"/>
  <c r="A263" i="5"/>
  <c r="A262" i="5"/>
  <c r="A260" i="5"/>
  <c r="A259" i="5"/>
  <c r="A265" i="5"/>
  <c r="A264" i="5"/>
  <c r="A258" i="5"/>
  <c r="A257" i="5"/>
  <c r="A256" i="5"/>
  <c r="A254" i="5"/>
  <c r="A251" i="5"/>
  <c r="A252" i="5"/>
  <c r="A250" i="5"/>
  <c r="A249" i="5"/>
  <c r="A248" i="5"/>
  <c r="A247" i="5"/>
  <c r="A246" i="5"/>
  <c r="A245" i="5"/>
  <c r="A244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19" i="5"/>
  <c r="A218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6" i="5"/>
  <c r="A187" i="5"/>
  <c r="A185" i="5"/>
  <c r="A184" i="5"/>
  <c r="A183" i="5"/>
  <c r="A182" i="5"/>
  <c r="A180" i="5"/>
  <c r="A181" i="5"/>
  <c r="A179" i="5"/>
  <c r="A178" i="5"/>
  <c r="A170" i="5"/>
  <c r="A169" i="5"/>
  <c r="A168" i="5"/>
  <c r="A167" i="5"/>
  <c r="A166" i="5"/>
  <c r="A165" i="5"/>
  <c r="A164" i="5"/>
  <c r="A160" i="5"/>
  <c r="A159" i="5"/>
  <c r="A157" i="5"/>
  <c r="A709" i="5"/>
  <c r="A153" i="5"/>
  <c r="A152" i="5"/>
  <c r="A151" i="5"/>
  <c r="A143" i="5"/>
  <c r="A144" i="5"/>
  <c r="A145" i="5"/>
  <c r="A146" i="5"/>
  <c r="A147" i="5"/>
  <c r="A148" i="5"/>
  <c r="A149" i="5"/>
  <c r="A142" i="5"/>
  <c r="A141" i="5"/>
  <c r="A140" i="5"/>
  <c r="A139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09" i="5"/>
  <c r="A110" i="5"/>
  <c r="A111" i="5"/>
  <c r="A112" i="5"/>
  <c r="A113" i="5"/>
  <c r="A108" i="5"/>
  <c r="A106" i="5"/>
  <c r="A102" i="5"/>
  <c r="A103" i="5"/>
  <c r="A104" i="5"/>
  <c r="A105" i="5"/>
  <c r="A101" i="5"/>
  <c r="A100" i="5"/>
  <c r="A99" i="5"/>
  <c r="A96" i="5"/>
  <c r="A94" i="5"/>
  <c r="A93" i="5"/>
  <c r="A92" i="5"/>
  <c r="A91" i="5"/>
  <c r="A90" i="5"/>
  <c r="A89" i="5"/>
  <c r="A88" i="5"/>
  <c r="A87" i="5"/>
  <c r="A86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59" i="5"/>
  <c r="A58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33" i="5"/>
  <c r="A34" i="5"/>
  <c r="A57" i="5"/>
  <c r="A32" i="5"/>
  <c r="A31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2" i="5"/>
  <c r="A3" i="5"/>
  <c r="A4" i="5"/>
  <c r="A5" i="5"/>
  <c r="A6" i="5"/>
  <c r="A710" i="5"/>
  <c r="A713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</calcChain>
</file>

<file path=xl/sharedStrings.xml><?xml version="1.0" encoding="utf-8"?>
<sst xmlns="http://schemas.openxmlformats.org/spreadsheetml/2006/main" count="2772" uniqueCount="46">
  <si>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</si>
  <si>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</si>
  <si>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</si>
  <si>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</si>
  <si>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</si>
  <si>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</si>
  <si>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</si>
  <si>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</si>
  <si>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</si>
  <si>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</si>
  <si>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</si>
  <si>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</si>
  <si>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</si>
  <si>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</si>
  <si>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Masterwood</t>
  </si>
  <si>
    <t>Delik</t>
  </si>
  <si>
    <t>Elektrik Kesilmesi</t>
  </si>
  <si>
    <t>DELİK SAYISI</t>
  </si>
  <si>
    <t>DELİK+FREEZE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</si>
  <si>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</si>
  <si>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</si>
  <si>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</si>
  <si>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</si>
  <si>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</si>
  <si>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</si>
  <si>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ÜRETİM ORANI</t>
  </si>
  <si>
    <t>KAYIP SÜRE ORANI</t>
  </si>
  <si>
    <t>FİİLİ ÇALIŞMA ORANI</t>
  </si>
  <si>
    <t>Bakım/Onarım</t>
  </si>
  <si>
    <t>CIFT MESAİ YAPILDI</t>
  </si>
  <si>
    <t>İstasyondan İş Bek.</t>
  </si>
  <si>
    <t>Normal Mesai</t>
  </si>
  <si>
    <t>Fazla Mesai</t>
  </si>
  <si>
    <t>Vardiya</t>
  </si>
  <si>
    <t>ÇALIŞMA KOŞULU</t>
  </si>
  <si>
    <t>özel urunler delındıyı icin işletım yavas ilerlıyor</t>
  </si>
  <si>
    <t>pıroje ısı oldugundsn dolsyı ışlev agır işlıyor</t>
  </si>
  <si>
    <t>özel ürünler</t>
  </si>
  <si>
    <t>EROL USTA, HASAN USTA, ÜRGE MEHMET . ARGE ÇALIŞMALARI</t>
  </si>
  <si>
    <t>denizbank özel ürünler işlendi frezeli</t>
  </si>
  <si>
    <t xml:space="preserve"> </t>
  </si>
  <si>
    <t>ÖNCEKİ</t>
  </si>
  <si>
    <t>fazla mesai</t>
  </si>
  <si>
    <t>özel ürünleri ayıklama duraklama nedeni</t>
  </si>
  <si>
    <t>3saat</t>
  </si>
  <si>
    <t>8 saat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</si>
</sst>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F]d\ mmmm\ yyyy\ h:mm;@"/>
    <numFmt numFmtId="165" formatCode="00000"/>
    <numFmt numFmtId="166" formatCode="0.0"/>
  </numFmts>
  <fonts count="18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i/>
      <u/>
      <sz val="12"/>
      <color theme="1"/>
      <name val="Arial Narrow"/>
      <family val="2"/>
      <charset val="16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29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8" fillId="5" borderId="2" xfId="0" applyFont="1" applyFill="1" applyBorder="1"/>
    <xf numFmtId="0" fontId="9" fillId="6" borderId="0" xfId="0" applyFont="1" applyFill="1"/>
    <xf numFmtId="166" fontId="10" fillId="4" borderId="2" xfId="0" applyNumberFormat="1" applyFont="1" applyFill="1" applyBorder="1"/>
    <xf numFmtId="164" fontId="11" fillId="0" borderId="0" xfId="0" applyNumberFormat="1" applyFont="1"/>
    <xf numFmtId="0" fontId="11" fillId="0" borderId="0" xfId="0" applyFont="1"/>
    <xf numFmtId="0" fontId="0" fillId="2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" fillId="8" borderId="1" xfId="0" applyFont="1" applyFill="1" applyBorder="1" applyProtection="1">
      <protection locked="0"/>
    </xf>
    <xf numFmtId="49" fontId="3" fillId="3" borderId="0" xfId="0" applyNumberFormat="1" applyFont="1" applyFill="1" applyAlignment="1">
      <alignment horizontal="right"/>
    </xf>
    <xf numFmtId="49" fontId="0" fillId="0" borderId="0" xfId="0" applyNumberFormat="1"/>
    <xf numFmtId="0" fontId="0" fillId="9" borderId="0" xfId="0" applyFill="1"/>
    <xf numFmtId="164" fontId="12" fillId="9" borderId="0" xfId="0" applyNumberFormat="1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5" fontId="12" fillId="9" borderId="0" xfId="0" applyNumberFormat="1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15" fillId="9" borderId="3" xfId="0" applyFont="1" applyFill="1" applyBorder="1" applyAlignment="1">
      <alignment horizontal="center"/>
    </xf>
    <xf numFmtId="0" fontId="15" fillId="9" borderId="4" xfId="0" applyFont="1" applyFill="1" applyBorder="1" applyAlignment="1">
      <alignment horizontal="center"/>
    </xf>
    <xf numFmtId="22" fontId="2" fillId="7" borderId="1" xfId="0" applyNumberFormat="1" applyFont="1" applyFill="1" applyBorder="1" applyAlignment="1">
      <alignment horizontal="left" vertical="center"/>
    </xf>
    <xf numFmtId="0" fontId="5" fillId="2" borderId="1" xfId="0" applyFont="1" applyFill="1" applyBorder="1" applyAlignment="1" applyProtection="1">
      <alignment horizontal="right" indent="1"/>
      <protection locked="0"/>
    </xf>
    <xf numFmtId="0" fontId="1" fillId="0" borderId="1" xfId="0" applyFont="1" applyBorder="1" applyProtection="1">
      <protection locked="0"/>
    </xf>
    <xf numFmtId="9" fontId="14" fillId="9" borderId="0" xfId="1" applyFont="1" applyFill="1" applyAlignment="1" applyProtection="1">
      <alignment horizont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</cellXfs>
  <cellStyles count="2">
    <cellStyle name="Normal" xfId="0" builtinId="0"/>
    <cellStyle name="Yüzd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575128</xdr:colOff>
      <xdr:row>2</xdr:row>
      <xdr:rowOff>31976</xdr:rowOff>
    </xdr:from>
    <xdr:to>
      <xdr:col>5</xdr:col>
      <xdr:colOff>35378</xdr:colOff>
      <xdr:row>18</xdr:row>
      <xdr:rowOff>22452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0053" y="917801"/>
          <a:ext cx="6199188" cy="6886576"/>
        </a:xfrm>
        <a:prstGeom prst="rect">
          <a:avLst/>
        </a:prstGeom>
        <a:noFill/>
        <a:ln w="571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1371599</xdr:colOff>
      <xdr:row>15</xdr:row>
      <xdr:rowOff>180974</xdr:rowOff>
    </xdr:from>
    <xdr:to>
      <xdr:col>4</xdr:col>
      <xdr:colOff>1390649</xdr:colOff>
      <xdr:row>17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</a:t>
          </a:r>
          <a:r>
            <a:rPr lang="tr-TR" sz="2200" b="1">
              <a:solidFill>
                <a:sysClr val="windowText" lastClr="000000"/>
              </a:solidFill>
            </a:rPr>
            <a:t>MASTERWOOD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8"/>
  <sheetViews>
    <sheetView tabSelected="1" workbookViewId="0">
      <selection activeCell="E12" sqref="E12"/>
    </sheetView>
  </sheetViews>
  <sheetFormatPr defaultColWidth="9.1328125" defaultRowHeight="14.25"/>
  <cols>
    <col min="1" max="3" width="9.1328125" style="8"/>
    <col min="4" max="4" width="45.59765625" style="8" bestFit="1" customWidth="1"/>
    <col min="5" max="5" width="39.59765625" style="8" customWidth="1"/>
    <col min="6" max="16384" width="9.1328125" style="8"/>
  </cols>
  <sheetData>
    <row r="1" spans="4:5" ht="55.5" customHeight="1">
      <c r="D1" s="27"/>
      <c r="E1" s="27"/>
    </row>
    <row r="3" spans="4:5">
      <c r="D3" s="10"/>
    </row>
    <row r="4" spans="4:5" ht="35.25" customHeight="1">
      <c r="D4" s="11" t="s">
        <v>0</v>
      </c>
      <c r="E4" s="23">
        <v>46044</v>
      </c>
    </row>
    <row r="5" spans="4:5" ht="35.25" customHeight="1">
      <c r="D5" s="11" t="s">
        <v>1</v>
      </c>
      <c r="E5" s="13">
        <v>2</v>
      </c>
    </row>
    <row r="6" spans="4:5" ht="35.25" customHeight="1">
      <c r="D6" s="11" t="s">
        <v>17</v>
      </c>
      <c r="E6" s="25"/>
    </row>
    <row r="7" spans="4:5" ht="35.25" customHeight="1">
      <c r="D7" s="11" t="s">
        <v>18</v>
      </c>
      <c r="E7" s="25">
        <v>232</v>
      </c>
    </row>
    <row r="8" spans="4:5" ht="35.25" customHeight="1">
      <c r="D8" s="11" t="s">
        <v>34</v>
      </c>
      <c r="E8" s="13" t="s">
        <v>31</v>
      </c>
    </row>
    <row r="9" spans="4:5" ht="35.25" customHeight="1">
      <c r="D9" s="11" t="s">
        <v>19</v>
      </c>
      <c r="E9" s="9">
        <v>15</v>
      </c>
    </row>
    <row r="10" spans="4:5" ht="35.25" customHeight="1">
      <c r="D10" s="11" t="s">
        <v>20</v>
      </c>
      <c r="E10" s="13" t="s">
        <v>10</v>
      </c>
    </row>
    <row r="11" spans="4:5" ht="35.25" customHeight="1">
      <c r="D11" s="11" t="s">
        <v>21</v>
      </c>
      <c r="E11" s="9">
        <v>120</v>
      </c>
    </row>
    <row r="12" spans="4:5" ht="35.25" customHeight="1">
      <c r="D12" s="11" t="s">
        <v>22</v>
      </c>
      <c r="E12" s="13" t="s">
        <v>8</v>
      </c>
    </row>
    <row r="13" spans="4:5" ht="35.25" customHeight="1">
      <c r="D13" s="11" t="s">
        <v>23</v>
      </c>
      <c r="E13" s="9"/>
    </row>
    <row r="14" spans="4:5" ht="35.25" customHeight="1">
      <c r="D14" s="11" t="s">
        <v>24</v>
      </c>
      <c r="E14" s="13"/>
    </row>
    <row r="15" spans="4:5" ht="35.25" customHeight="1">
      <c r="D15" s="11" t="s">
        <v>3</v>
      </c>
      <c r="E15" s="24"/>
    </row>
    <row r="16" spans="4:5" ht="35.25" customHeight="1">
      <c r="D16" s="12"/>
      <c r="E16" s="10"/>
    </row>
    <row r="17" spans="4:5" ht="35.25" customHeight="1">
      <c r="D17" s="12"/>
      <c r="E17" s="12"/>
    </row>
    <row r="18" spans="4:5" ht="35.25" customHeight="1">
      <c r="D18" s="10"/>
      <c r="E18" s="10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E14 E10 E12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 filterMode="1"/>
  <dimension ref="A1:O1004"/>
  <sheetViews>
    <sheetView zoomScale="110" zoomScaleNormal="110" workbookViewId="0"/>
  </sheetViews>
  <sheetFormatPr defaultColWidth="9.1328125" defaultRowHeight="21.75" customHeight="1"/>
  <cols>
    <col min="1" max="1" width="21" style="19" bestFit="1" customWidth="1"/>
    <col min="2" max="2" width="16.59765625" style="18" bestFit="1" customWidth="1"/>
    <col min="3" max="3" width="18.59765625" style="18" bestFit="1" customWidth="1"/>
    <col min="4" max="4" width="27.59765625" style="18" bestFit="1" customWidth="1"/>
    <col min="5" max="5" width="24.1328125" style="20" customWidth="1"/>
    <col min="6" max="6" width="33.1328125" style="20" customWidth="1"/>
    <col min="7" max="7" width="28.1328125" style="20" bestFit="1" customWidth="1"/>
    <col min="8" max="8" width="33.1328125" style="20" customWidth="1"/>
    <col min="9" max="9" width="28.1328125" style="20" bestFit="1" customWidth="1"/>
    <col min="10" max="10" width="33.1328125" style="20" customWidth="1"/>
    <col min="11" max="11" width="28.1328125" style="20" bestFit="1" customWidth="1"/>
    <col min="12" max="12" width="19" style="16" customWidth="1"/>
    <col min="13" max="13" width="16" style="16" bestFit="1" customWidth="1"/>
    <col min="14" max="14" width="20.59765625" style="16" bestFit="1" customWidth="1"/>
    <col min="15" max="15" width="22" style="16" bestFit="1" customWidth="1"/>
    <col min="16" max="16384" width="9.1328125" style="16"/>
  </cols>
  <sheetData>
    <row r="1" spans="1:15" ht="21.75" customHeight="1" thickBot="1">
      <c r="A1" s="21" t="s">
        <v>0</v>
      </c>
      <c r="B1" s="22" t="s">
        <v>1</v>
      </c>
      <c r="C1" s="22" t="s">
        <v>17</v>
      </c>
      <c r="D1" s="22" t="s">
        <v>18</v>
      </c>
      <c r="E1" s="22" t="s">
        <v>34</v>
      </c>
      <c r="F1" s="22" t="s">
        <v>19</v>
      </c>
      <c r="G1" s="22" t="s">
        <v>20</v>
      </c>
      <c r="H1" s="22" t="s">
        <v>21</v>
      </c>
      <c r="I1" s="22" t="s">
        <v>22</v>
      </c>
      <c r="J1" s="22" t="s">
        <v>23</v>
      </c>
      <c r="K1" s="22" t="s">
        <v>24</v>
      </c>
      <c r="L1" s="22" t="s">
        <v>3</v>
      </c>
      <c r="M1" s="22" t="s">
        <v>25</v>
      </c>
      <c r="N1" s="22" t="s">
        <v>26</v>
      </c>
      <c r="O1" s="22" t="s">
        <v>27</v>
      </c>
    </row>
    <row r="2" spans="1:15" ht="21.75" customHeight="1">
      <c r="A2" s="17">
        <f>'GİRDİ RAPORU'!A797</f>
        <v>46027</v>
      </c>
      <c r="B2" s="18">
        <f>'GİRDİ RAPORU'!B797</f>
        <v>2</v>
      </c>
      <c r="C2" s="18">
        <f>'GİRDİ RAPORU'!C797</f>
        <v>0</v>
      </c>
      <c r="D2" s="18">
        <f>'GİRDİ RAPORU'!D797</f>
        <v>190</v>
      </c>
      <c r="E2" s="18" t="str">
        <f>'GİRDİ RAPORU'!E797</f>
        <v>Normal Mesai</v>
      </c>
      <c r="F2" s="18">
        <f>'GİRDİ RAPORU'!F797</f>
        <v>15</v>
      </c>
      <c r="G2" s="18" t="str">
        <f>'GİRDİ RAPORU'!G797</f>
        <v>Makine Arızası</v>
      </c>
      <c r="H2" s="18">
        <f>'GİRDİ RAPORU'!H797</f>
        <v>180</v>
      </c>
      <c r="I2" s="18" t="str">
        <f>'GİRDİ RAPORU'!I797</f>
        <v>Temizlik</v>
      </c>
      <c r="J2" s="18">
        <f>'GİRDİ RAPORU'!J797</f>
        <v>0</v>
      </c>
      <c r="K2" s="18">
        <f>'GİRDİ RAPORU'!K797</f>
        <v>0</v>
      </c>
      <c r="L2" s="18">
        <f>'GİRDİ RAPORU'!L797</f>
        <v>0</v>
      </c>
      <c r="M2" s="26">
        <f t="shared" ref="M2:M65" si="0">(C2+D2)/750</f>
        <v>0.25333333333333335</v>
      </c>
      <c r="N2" s="26">
        <f t="shared" ref="N2:N65" si="1">(F2+H2+J2)/540</f>
        <v>0.3611111111111111</v>
      </c>
      <c r="O2" s="26">
        <f t="shared" ref="O2:O65" si="2">(540-F2-H2-J2)/540</f>
        <v>0.63888888888888884</v>
      </c>
    </row>
    <row r="3" spans="1:15" ht="21.75" customHeight="1">
      <c r="A3" s="17">
        <f>'GİRDİ RAPORU'!A798</f>
        <v>46028</v>
      </c>
      <c r="B3" s="18">
        <f>'GİRDİ RAPORU'!B798</f>
        <v>2</v>
      </c>
      <c r="C3" s="18">
        <f>'GİRDİ RAPORU'!C798</f>
        <v>0</v>
      </c>
      <c r="D3" s="18">
        <f>'GİRDİ RAPORU'!D798</f>
        <v>70</v>
      </c>
      <c r="E3" s="18" t="str">
        <f>'GİRDİ RAPORU'!E798</f>
        <v>Normal Mesai</v>
      </c>
      <c r="F3" s="18">
        <f>'GİRDİ RAPORU'!F798</f>
        <v>15</v>
      </c>
      <c r="G3" s="18" t="str">
        <f>'GİRDİ RAPORU'!G798</f>
        <v>Makine Arızası</v>
      </c>
      <c r="H3" s="18">
        <f>'GİRDİ RAPORU'!H798</f>
        <v>300</v>
      </c>
      <c r="I3" s="18" t="str">
        <f>'GİRDİ RAPORU'!I798</f>
        <v>Temizlik</v>
      </c>
      <c r="J3" s="18">
        <f>'GİRDİ RAPORU'!J798</f>
        <v>0</v>
      </c>
      <c r="K3" s="18">
        <f>'GİRDİ RAPORU'!K798</f>
        <v>0</v>
      </c>
      <c r="L3" s="18">
        <f>'GİRDİ RAPORU'!L798</f>
        <v>0</v>
      </c>
      <c r="M3" s="26">
        <f t="shared" si="0"/>
        <v>9.3333333333333338E-2</v>
      </c>
      <c r="N3" s="26">
        <f t="shared" si="1"/>
        <v>0.58333333333333337</v>
      </c>
      <c r="O3" s="26">
        <f t="shared" si="2"/>
        <v>0.41666666666666669</v>
      </c>
    </row>
    <row r="4" spans="1:15" ht="21.75" customHeight="1">
      <c r="A4" s="17">
        <f>'GİRDİ RAPORU'!A799</f>
        <v>46029</v>
      </c>
      <c r="B4" s="18">
        <f>'GİRDİ RAPORU'!B799</f>
        <v>2</v>
      </c>
      <c r="C4" s="18">
        <f>'GİRDİ RAPORU'!C799</f>
        <v>0</v>
      </c>
      <c r="D4" s="18">
        <f>'GİRDİ RAPORU'!D799</f>
        <v>22</v>
      </c>
      <c r="E4" s="18" t="str">
        <f>'GİRDİ RAPORU'!E799</f>
        <v>Normal Mesai</v>
      </c>
      <c r="F4" s="18">
        <f>'GİRDİ RAPORU'!F799</f>
        <v>15</v>
      </c>
      <c r="G4" s="18" t="str">
        <f>'GİRDİ RAPORU'!G799</f>
        <v>Temizlik</v>
      </c>
      <c r="H4" s="18">
        <v>500</v>
      </c>
      <c r="I4" s="18" t="str">
        <f>'GİRDİ RAPORU'!I799</f>
        <v>Makine Arızası</v>
      </c>
      <c r="J4" s="18">
        <f>'GİRDİ RAPORU'!J799</f>
        <v>0</v>
      </c>
      <c r="K4" s="18">
        <f>'GİRDİ RAPORU'!K799</f>
        <v>0</v>
      </c>
      <c r="L4" s="18">
        <f>'GİRDİ RAPORU'!L799</f>
        <v>0</v>
      </c>
      <c r="M4" s="26">
        <f t="shared" si="0"/>
        <v>2.9333333333333333E-2</v>
      </c>
      <c r="N4" s="26">
        <f t="shared" si="1"/>
        <v>0.95370370370370372</v>
      </c>
      <c r="O4" s="26">
        <f t="shared" si="2"/>
        <v>4.6296296296296294E-2</v>
      </c>
    </row>
    <row r="5" spans="1:15" ht="21.75" customHeight="1">
      <c r="A5" s="17">
        <f>'GİRDİ RAPORU'!A801</f>
        <v>46030</v>
      </c>
      <c r="B5" s="18">
        <f>'GİRDİ RAPORU'!B801</f>
        <v>2</v>
      </c>
      <c r="C5" s="18">
        <f>'GİRDİ RAPORU'!C801</f>
        <v>0</v>
      </c>
      <c r="D5" s="18">
        <f>'GİRDİ RAPORU'!D801</f>
        <v>340</v>
      </c>
      <c r="E5" s="18" t="str">
        <f>'GİRDİ RAPORU'!E801</f>
        <v>Normal Mesai</v>
      </c>
      <c r="F5" s="18">
        <f>'GİRDİ RAPORU'!F801</f>
        <v>15</v>
      </c>
      <c r="G5" s="18" t="str">
        <f>'GİRDİ RAPORU'!G801</f>
        <v>Temizlik</v>
      </c>
      <c r="H5" s="18">
        <f>'GİRDİ RAPORU'!H801</f>
        <v>15</v>
      </c>
      <c r="I5" s="18" t="str">
        <f>'GİRDİ RAPORU'!I801</f>
        <v>Temizlik</v>
      </c>
      <c r="J5" s="18">
        <f>'GİRDİ RAPORU'!J801</f>
        <v>0</v>
      </c>
      <c r="K5" s="18">
        <f>'GİRDİ RAPORU'!K801</f>
        <v>0</v>
      </c>
      <c r="L5" s="18">
        <f>'GİRDİ RAPORU'!L801</f>
        <v>0</v>
      </c>
      <c r="M5" s="26">
        <f t="shared" si="0"/>
        <v>0.45333333333333331</v>
      </c>
      <c r="N5" s="26">
        <f t="shared" si="1"/>
        <v>5.5555555555555552E-2</v>
      </c>
      <c r="O5" s="26">
        <f t="shared" si="2"/>
        <v>0.94444444444444442</v>
      </c>
    </row>
    <row r="6" spans="1:15" ht="21.75" customHeight="1">
      <c r="A6" s="17">
        <f>'GİRDİ RAPORU'!A802</f>
        <v>46031</v>
      </c>
      <c r="B6" s="18">
        <f>'GİRDİ RAPORU'!B802</f>
        <v>2</v>
      </c>
      <c r="C6" s="18">
        <f>'GİRDİ RAPORU'!C802</f>
        <v>0</v>
      </c>
      <c r="D6" s="18">
        <f>'GİRDİ RAPORU'!D802</f>
        <v>280</v>
      </c>
      <c r="E6" s="18" t="str">
        <f>'GİRDİ RAPORU'!E802</f>
        <v>Normal Mesai</v>
      </c>
      <c r="F6" s="18">
        <f>'GİRDİ RAPORU'!F802</f>
        <v>15</v>
      </c>
      <c r="G6" s="18" t="str">
        <f>'GİRDİ RAPORU'!G802</f>
        <v>Temizlik</v>
      </c>
      <c r="H6" s="18">
        <f>'GİRDİ RAPORU'!H802</f>
        <v>60</v>
      </c>
      <c r="I6" s="18" t="str">
        <f>'GİRDİ RAPORU'!I802</f>
        <v>Temizlik</v>
      </c>
      <c r="J6" s="18">
        <f>'GİRDİ RAPORU'!J802</f>
        <v>30</v>
      </c>
      <c r="K6" s="18" t="str">
        <f>'GİRDİ RAPORU'!K802</f>
        <v>Ar-ge Çalışması</v>
      </c>
      <c r="L6" s="18">
        <f>'GİRDİ RAPORU'!L802</f>
        <v>0</v>
      </c>
      <c r="M6" s="26">
        <f t="shared" si="0"/>
        <v>0.37333333333333335</v>
      </c>
      <c r="N6" s="26">
        <f t="shared" si="1"/>
        <v>0.19444444444444445</v>
      </c>
      <c r="O6" s="26">
        <f t="shared" si="2"/>
        <v>0.80555555555555558</v>
      </c>
    </row>
    <row r="7" spans="1:15" ht="21.75" hidden="1" customHeight="1">
      <c r="A7" s="17">
        <f>'GİRDİ RAPORU'!A796</f>
        <v>46021</v>
      </c>
      <c r="B7" s="18">
        <f>'GİRDİ RAPORU'!B796</f>
        <v>2</v>
      </c>
      <c r="C7" s="18">
        <f>'GİRDİ RAPORU'!C796</f>
        <v>0</v>
      </c>
      <c r="D7" s="18">
        <f>'GİRDİ RAPORU'!D796</f>
        <v>205</v>
      </c>
      <c r="E7" s="18" t="str">
        <f>'GİRDİ RAPORU'!E796</f>
        <v>Normal Mesai</v>
      </c>
      <c r="F7" s="18">
        <f>'GİRDİ RAPORU'!F796</f>
        <v>15</v>
      </c>
      <c r="G7" s="18" t="str">
        <f>'GİRDİ RAPORU'!G796</f>
        <v>Hazırlık/İlk Isınma</v>
      </c>
      <c r="H7" s="18">
        <f>'GİRDİ RAPORU'!H796</f>
        <v>120</v>
      </c>
      <c r="I7" s="18" t="str">
        <f>'GİRDİ RAPORU'!I796</f>
        <v>Temizlik</v>
      </c>
      <c r="J7" s="18">
        <f>'GİRDİ RAPORU'!J796</f>
        <v>0</v>
      </c>
      <c r="K7" s="18">
        <f>'GİRDİ RAPORU'!K796</f>
        <v>0</v>
      </c>
      <c r="L7" s="18">
        <f>'GİRDİ RAPORU'!L796</f>
        <v>0</v>
      </c>
      <c r="M7" s="26">
        <f t="shared" si="0"/>
        <v>0.27333333333333332</v>
      </c>
      <c r="N7" s="26">
        <f t="shared" si="1"/>
        <v>0.25</v>
      </c>
      <c r="O7" s="26">
        <f t="shared" si="2"/>
        <v>0.75</v>
      </c>
    </row>
    <row r="8" spans="1:15" ht="21.75" hidden="1" customHeight="1">
      <c r="A8" s="17">
        <f>'GİRDİ RAPORU'!A794</f>
        <v>46020</v>
      </c>
      <c r="B8" s="18">
        <f>'GİRDİ RAPORU'!B794</f>
        <v>2</v>
      </c>
      <c r="C8" s="18">
        <f>'GİRDİ RAPORU'!C794</f>
        <v>0</v>
      </c>
      <c r="D8" s="18">
        <f>'GİRDİ RAPORU'!D794</f>
        <v>300</v>
      </c>
      <c r="E8" s="18" t="str">
        <f>'GİRDİ RAPORU'!E794</f>
        <v>Normal Mesai</v>
      </c>
      <c r="F8" s="18">
        <f>'GİRDİ RAPORU'!F794</f>
        <v>15</v>
      </c>
      <c r="G8" s="18" t="str">
        <f>'GİRDİ RAPORU'!G794</f>
        <v>Hazırlık/İlk Isınma</v>
      </c>
      <c r="H8" s="18">
        <f>'GİRDİ RAPORU'!H794</f>
        <v>15</v>
      </c>
      <c r="I8" s="18" t="str">
        <f>'GİRDİ RAPORU'!I794</f>
        <v>Temizlik</v>
      </c>
      <c r="J8" s="18">
        <f>'GİRDİ RAPORU'!J794</f>
        <v>0</v>
      </c>
      <c r="K8" s="18">
        <f>'GİRDİ RAPORU'!K794</f>
        <v>0</v>
      </c>
      <c r="L8" s="18">
        <f>'GİRDİ RAPORU'!L794</f>
        <v>0</v>
      </c>
      <c r="M8" s="26">
        <f t="shared" si="0"/>
        <v>0.4</v>
      </c>
      <c r="N8" s="26">
        <f t="shared" si="1"/>
        <v>5.5555555555555552E-2</v>
      </c>
      <c r="O8" s="26">
        <f t="shared" si="2"/>
        <v>0.94444444444444442</v>
      </c>
    </row>
    <row r="9" spans="1:15" ht="21.75" hidden="1" customHeight="1">
      <c r="A9" s="17">
        <f>'GİRDİ RAPORU'!A793</f>
        <v>46017</v>
      </c>
      <c r="B9" s="18">
        <f>'GİRDİ RAPORU'!B793</f>
        <v>2</v>
      </c>
      <c r="C9" s="18">
        <f>'GİRDİ RAPORU'!C793</f>
        <v>0</v>
      </c>
      <c r="D9" s="18">
        <f>'GİRDİ RAPORU'!D793</f>
        <v>257</v>
      </c>
      <c r="E9" s="18" t="str">
        <f>'GİRDİ RAPORU'!E793</f>
        <v>Normal Mesai</v>
      </c>
      <c r="F9" s="18">
        <f>'GİRDİ RAPORU'!F793</f>
        <v>15</v>
      </c>
      <c r="G9" s="18" t="str">
        <f>'GİRDİ RAPORU'!G793</f>
        <v>Hazırlık/İlk Isınma</v>
      </c>
      <c r="H9" s="18">
        <f>'GİRDİ RAPORU'!H793</f>
        <v>90</v>
      </c>
      <c r="I9" s="18" t="str">
        <f>'GİRDİ RAPORU'!I793</f>
        <v>Temizlik</v>
      </c>
      <c r="J9" s="18">
        <f>'GİRDİ RAPORU'!J793</f>
        <v>0</v>
      </c>
      <c r="K9" s="18">
        <f>'GİRDİ RAPORU'!K793</f>
        <v>0</v>
      </c>
      <c r="L9" s="18">
        <f>'GİRDİ RAPORU'!L793</f>
        <v>0</v>
      </c>
      <c r="M9" s="26">
        <f t="shared" si="0"/>
        <v>0.34266666666666667</v>
      </c>
      <c r="N9" s="26">
        <f t="shared" si="1"/>
        <v>0.19444444444444445</v>
      </c>
      <c r="O9" s="26">
        <f t="shared" si="2"/>
        <v>0.80555555555555558</v>
      </c>
    </row>
    <row r="10" spans="1:15" ht="21.75" hidden="1" customHeight="1">
      <c r="A10" s="17">
        <f>'GİRDİ RAPORU'!A792</f>
        <v>46016</v>
      </c>
      <c r="B10" s="18">
        <f>'GİRDİ RAPORU'!B792</f>
        <v>2</v>
      </c>
      <c r="C10" s="18">
        <f>'GİRDİ RAPORU'!C792</f>
        <v>0</v>
      </c>
      <c r="D10" s="18">
        <f>'GİRDİ RAPORU'!D792</f>
        <v>292</v>
      </c>
      <c r="E10" s="18" t="str">
        <f>'GİRDİ RAPORU'!E792</f>
        <v>Normal Mesai</v>
      </c>
      <c r="F10" s="18">
        <f>'GİRDİ RAPORU'!F792</f>
        <v>90</v>
      </c>
      <c r="G10" s="18" t="str">
        <f>'GİRDİ RAPORU'!G792</f>
        <v>Bakım/Onarım</v>
      </c>
      <c r="H10" s="18">
        <f>'GİRDİ RAPORU'!H792</f>
        <v>15</v>
      </c>
      <c r="I10" s="18" t="str">
        <f>'GİRDİ RAPORU'!I792</f>
        <v>Temizlik</v>
      </c>
      <c r="J10" s="18">
        <f>'GİRDİ RAPORU'!J792</f>
        <v>0</v>
      </c>
      <c r="K10" s="18">
        <f>'GİRDİ RAPORU'!K792</f>
        <v>0</v>
      </c>
      <c r="L10" s="18">
        <f>'GİRDİ RAPORU'!L792</f>
        <v>0</v>
      </c>
      <c r="M10" s="26">
        <f t="shared" si="0"/>
        <v>0.38933333333333331</v>
      </c>
      <c r="N10" s="26">
        <f t="shared" si="1"/>
        <v>0.19444444444444445</v>
      </c>
      <c r="O10" s="26">
        <f t="shared" si="2"/>
        <v>0.80555555555555558</v>
      </c>
    </row>
    <row r="11" spans="1:15" ht="21.75" hidden="1" customHeight="1">
      <c r="A11" s="17">
        <f>'GİRDİ RAPORU'!A791</f>
        <v>46015</v>
      </c>
      <c r="B11" s="18">
        <f>'GİRDİ RAPORU'!B791</f>
        <v>2</v>
      </c>
      <c r="C11" s="18">
        <f>'GİRDİ RAPORU'!C791</f>
        <v>262</v>
      </c>
      <c r="D11" s="18">
        <f>'GİRDİ RAPORU'!D791</f>
        <v>0</v>
      </c>
      <c r="E11" s="18" t="str">
        <f>'GİRDİ RAPORU'!E791</f>
        <v>Normal Mesai</v>
      </c>
      <c r="F11" s="18">
        <f>'GİRDİ RAPORU'!F791</f>
        <v>15</v>
      </c>
      <c r="G11" s="18" t="str">
        <f>'GİRDİ RAPORU'!G791</f>
        <v>Temizlik</v>
      </c>
      <c r="H11" s="18">
        <f>'GİRDİ RAPORU'!H791</f>
        <v>35</v>
      </c>
      <c r="I11" s="18" t="str">
        <f>'GİRDİ RAPORU'!I791</f>
        <v>Bakım/Onarım</v>
      </c>
      <c r="J11" s="18">
        <f>'GİRDİ RAPORU'!J1667</f>
        <v>0</v>
      </c>
      <c r="K11" s="18">
        <f>'GİRDİ RAPORU'!K1667</f>
        <v>0</v>
      </c>
      <c r="L11" s="18">
        <f>'GİRDİ RAPORU'!L1667</f>
        <v>0</v>
      </c>
      <c r="M11" s="26">
        <f t="shared" si="0"/>
        <v>0.34933333333333333</v>
      </c>
      <c r="N11" s="26">
        <f t="shared" si="1"/>
        <v>9.2592592592592587E-2</v>
      </c>
      <c r="O11" s="26">
        <f t="shared" si="2"/>
        <v>0.90740740740740744</v>
      </c>
    </row>
    <row r="12" spans="1:15" ht="21.75" hidden="1" customHeight="1">
      <c r="A12" s="17">
        <f>'GİRDİ RAPORU'!A790</f>
        <v>46014</v>
      </c>
      <c r="B12" s="18">
        <f>'GİRDİ RAPORU'!B790</f>
        <v>2</v>
      </c>
      <c r="C12" s="18">
        <f>'GİRDİ RAPORU'!C790</f>
        <v>306</v>
      </c>
      <c r="D12" s="18">
        <f>'GİRDİ RAPORU'!D790</f>
        <v>0</v>
      </c>
      <c r="E12" s="18" t="str">
        <f>'GİRDİ RAPORU'!E790</f>
        <v>Normal Mesai</v>
      </c>
      <c r="F12" s="18">
        <f>'GİRDİ RAPORU'!F790</f>
        <v>15</v>
      </c>
      <c r="G12" s="18" t="str">
        <f>'GİRDİ RAPORU'!G790</f>
        <v>Temizlik</v>
      </c>
      <c r="H12" s="18">
        <f>'GİRDİ RAPORU'!H790</f>
        <v>15</v>
      </c>
      <c r="I12" s="18" t="str">
        <f>'GİRDİ RAPORU'!I790</f>
        <v>Hazırlık/İlk Isınma</v>
      </c>
      <c r="J12" s="18">
        <f>'GİRDİ RAPORU'!J1666</f>
        <v>0</v>
      </c>
      <c r="K12" s="18">
        <f>'GİRDİ RAPORU'!K1666</f>
        <v>0</v>
      </c>
      <c r="L12" s="18">
        <f>'GİRDİ RAPORU'!L1666</f>
        <v>0</v>
      </c>
      <c r="M12" s="26">
        <f t="shared" si="0"/>
        <v>0.40799999999999997</v>
      </c>
      <c r="N12" s="26">
        <f t="shared" si="1"/>
        <v>5.5555555555555552E-2</v>
      </c>
      <c r="O12" s="26">
        <f t="shared" si="2"/>
        <v>0.94444444444444442</v>
      </c>
    </row>
    <row r="13" spans="1:15" ht="21.75" hidden="1" customHeight="1">
      <c r="A13" s="17">
        <f>'GİRDİ RAPORU'!A787</f>
        <v>46013</v>
      </c>
      <c r="B13" s="18">
        <f>'GİRDİ RAPORU'!B787</f>
        <v>2</v>
      </c>
      <c r="C13" s="18">
        <f>'GİRDİ RAPORU'!C787</f>
        <v>280</v>
      </c>
      <c r="D13" s="18">
        <f>'GİRDİ RAPORU'!D787</f>
        <v>0</v>
      </c>
      <c r="E13" s="18" t="str">
        <f>'GİRDİ RAPORU'!E787</f>
        <v>Normal Mesai</v>
      </c>
      <c r="F13" s="18">
        <f>'GİRDİ RAPORU'!F787</f>
        <v>15</v>
      </c>
      <c r="G13" s="18" t="str">
        <f>'GİRDİ RAPORU'!G787</f>
        <v>Temizlik</v>
      </c>
      <c r="H13" s="18">
        <f>'GİRDİ RAPORU'!H787</f>
        <v>15</v>
      </c>
      <c r="I13" s="18" t="str">
        <f>'GİRDİ RAPORU'!I787</f>
        <v>Ar-ge Çalışması</v>
      </c>
      <c r="J13" s="18">
        <f>'GİRDİ RAPORU'!J1665</f>
        <v>0</v>
      </c>
      <c r="K13" s="18">
        <f>'GİRDİ RAPORU'!K1665</f>
        <v>0</v>
      </c>
      <c r="L13" s="18">
        <f>'GİRDİ RAPORU'!L1665</f>
        <v>0</v>
      </c>
      <c r="M13" s="26">
        <f t="shared" si="0"/>
        <v>0.37333333333333335</v>
      </c>
      <c r="N13" s="26">
        <f t="shared" si="1"/>
        <v>5.5555555555555552E-2</v>
      </c>
      <c r="O13" s="26">
        <f t="shared" si="2"/>
        <v>0.94444444444444442</v>
      </c>
    </row>
    <row r="14" spans="1:15" ht="21.75" hidden="1" customHeight="1">
      <c r="A14" s="17">
        <f>'GİRDİ RAPORU'!A786</f>
        <v>46010</v>
      </c>
      <c r="B14" s="18">
        <f>'GİRDİ RAPORU'!B786</f>
        <v>2</v>
      </c>
      <c r="C14" s="18">
        <f>'GİRDİ RAPORU'!C786</f>
        <v>222</v>
      </c>
      <c r="D14" s="18">
        <f>'GİRDİ RAPORU'!D786</f>
        <v>0</v>
      </c>
      <c r="E14" s="18" t="str">
        <f>'GİRDİ RAPORU'!E786</f>
        <v>Normal Mesai</v>
      </c>
      <c r="F14" s="18">
        <f>'GİRDİ RAPORU'!F786</f>
        <v>60</v>
      </c>
      <c r="G14" s="18" t="str">
        <f>'GİRDİ RAPORU'!G786</f>
        <v>Temizlik</v>
      </c>
      <c r="H14" s="18">
        <f>'GİRDİ RAPORU'!H786</f>
        <v>15</v>
      </c>
      <c r="I14" s="18" t="str">
        <f>'GİRDİ RAPORU'!I786</f>
        <v>Ar-ge Çalışması</v>
      </c>
      <c r="J14" s="18">
        <f>'GİRDİ RAPORU'!J1664</f>
        <v>0</v>
      </c>
      <c r="K14" s="18">
        <f>'GİRDİ RAPORU'!K1664</f>
        <v>0</v>
      </c>
      <c r="L14" s="18">
        <f>'GİRDİ RAPORU'!L1664</f>
        <v>0</v>
      </c>
      <c r="M14" s="26">
        <f t="shared" si="0"/>
        <v>0.29599999999999999</v>
      </c>
      <c r="N14" s="26">
        <f t="shared" si="1"/>
        <v>0.1388888888888889</v>
      </c>
      <c r="O14" s="26">
        <f t="shared" si="2"/>
        <v>0.86111111111111116</v>
      </c>
    </row>
    <row r="15" spans="1:15" ht="21.75" hidden="1" customHeight="1">
      <c r="A15" s="17">
        <f>'GİRDİ RAPORU'!A785</f>
        <v>46009</v>
      </c>
      <c r="B15" s="18">
        <f>'GİRDİ RAPORU'!B785</f>
        <v>2</v>
      </c>
      <c r="C15" s="18">
        <f>'GİRDİ RAPORU'!C785</f>
        <v>252</v>
      </c>
      <c r="D15" s="18">
        <f>'GİRDİ RAPORU'!D785</f>
        <v>0</v>
      </c>
      <c r="E15" s="18" t="str">
        <f>'GİRDİ RAPORU'!E785</f>
        <v>Normal Mesai</v>
      </c>
      <c r="F15" s="18">
        <f>'GİRDİ RAPORU'!F785</f>
        <v>15</v>
      </c>
      <c r="G15" s="18" t="str">
        <f>'GİRDİ RAPORU'!G785</f>
        <v>Temizlik</v>
      </c>
      <c r="H15" s="18">
        <f>'GİRDİ RAPORU'!H785</f>
        <v>15</v>
      </c>
      <c r="I15" s="18" t="str">
        <f>'GİRDİ RAPORU'!I785</f>
        <v>Hazırlık/İlk Isınma</v>
      </c>
      <c r="J15" s="18">
        <f>'GİRDİ RAPORU'!J1663</f>
        <v>0</v>
      </c>
      <c r="K15" s="18">
        <f>'GİRDİ RAPORU'!K1663</f>
        <v>0</v>
      </c>
      <c r="L15" s="18">
        <f>'GİRDİ RAPORU'!L1663</f>
        <v>0</v>
      </c>
      <c r="M15" s="26">
        <f t="shared" si="0"/>
        <v>0.33600000000000002</v>
      </c>
      <c r="N15" s="26">
        <f t="shared" si="1"/>
        <v>5.5555555555555552E-2</v>
      </c>
      <c r="O15" s="26">
        <f t="shared" si="2"/>
        <v>0.94444444444444442</v>
      </c>
    </row>
    <row r="16" spans="1:15" ht="21.75" hidden="1" customHeight="1">
      <c r="A16" s="17">
        <f>'GİRDİ RAPORU'!A782</f>
        <v>46008</v>
      </c>
      <c r="B16" s="18">
        <f>'GİRDİ RAPORU'!B782</f>
        <v>2</v>
      </c>
      <c r="C16" s="18">
        <f>'GİRDİ RAPORU'!C782</f>
        <v>350</v>
      </c>
      <c r="D16" s="18">
        <f>'GİRDİ RAPORU'!D782</f>
        <v>0</v>
      </c>
      <c r="E16" s="18" t="str">
        <f>'GİRDİ RAPORU'!E782</f>
        <v>Normal Mesai</v>
      </c>
      <c r="F16" s="18">
        <f>'GİRDİ RAPORU'!F782</f>
        <v>15</v>
      </c>
      <c r="G16" s="18" t="str">
        <f>'GİRDİ RAPORU'!G782</f>
        <v>Temizlik</v>
      </c>
      <c r="H16" s="18">
        <f>'GİRDİ RAPORU'!H782</f>
        <v>15</v>
      </c>
      <c r="I16" s="18" t="str">
        <f>'GİRDİ RAPORU'!I782</f>
        <v>Hazırlık/İlk Isınma</v>
      </c>
      <c r="J16" s="18">
        <f>'GİRDİ RAPORU'!J1662</f>
        <v>0</v>
      </c>
      <c r="K16" s="18">
        <f>'GİRDİ RAPORU'!K1662</f>
        <v>0</v>
      </c>
      <c r="L16" s="18">
        <f>'GİRDİ RAPORU'!L1662</f>
        <v>0</v>
      </c>
      <c r="M16" s="26">
        <f t="shared" si="0"/>
        <v>0.46666666666666667</v>
      </c>
      <c r="N16" s="26">
        <f t="shared" si="1"/>
        <v>5.5555555555555552E-2</v>
      </c>
      <c r="O16" s="26">
        <f t="shared" si="2"/>
        <v>0.94444444444444442</v>
      </c>
    </row>
    <row r="17" spans="1:15" ht="21.75" hidden="1" customHeight="1">
      <c r="A17" s="17">
        <f>'GİRDİ RAPORU'!A781</f>
        <v>46007</v>
      </c>
      <c r="B17" s="18">
        <f>'GİRDİ RAPORU'!B781</f>
        <v>2</v>
      </c>
      <c r="C17" s="18">
        <f>'GİRDİ RAPORU'!C781</f>
        <v>300</v>
      </c>
      <c r="D17" s="18">
        <f>'GİRDİ RAPORU'!D781</f>
        <v>0</v>
      </c>
      <c r="E17" s="18" t="str">
        <f>'GİRDİ RAPORU'!E781</f>
        <v>Normal Mesai</v>
      </c>
      <c r="F17" s="18">
        <f>'GİRDİ RAPORU'!F781</f>
        <v>15</v>
      </c>
      <c r="G17" s="18" t="str">
        <f>'GİRDİ RAPORU'!G781</f>
        <v>Temizlik</v>
      </c>
      <c r="H17" s="18">
        <f>'GİRDİ RAPORU'!H781</f>
        <v>15</v>
      </c>
      <c r="I17" s="18" t="str">
        <f>'GİRDİ RAPORU'!I781</f>
        <v>Hazırlık/İlk Isınma</v>
      </c>
      <c r="J17" s="18">
        <f>'GİRDİ RAPORU'!J1661</f>
        <v>0</v>
      </c>
      <c r="K17" s="18">
        <f>'GİRDİ RAPORU'!K1661</f>
        <v>0</v>
      </c>
      <c r="L17" s="18">
        <f>'GİRDİ RAPORU'!L1661</f>
        <v>0</v>
      </c>
      <c r="M17" s="26">
        <f t="shared" si="0"/>
        <v>0.4</v>
      </c>
      <c r="N17" s="26">
        <f t="shared" si="1"/>
        <v>5.5555555555555552E-2</v>
      </c>
      <c r="O17" s="26">
        <f t="shared" si="2"/>
        <v>0.94444444444444442</v>
      </c>
    </row>
    <row r="18" spans="1:15" ht="21.75" hidden="1" customHeight="1">
      <c r="A18" s="17">
        <f>'GİRDİ RAPORU'!A780</f>
        <v>46006</v>
      </c>
      <c r="B18" s="18">
        <f>'GİRDİ RAPORU'!B780</f>
        <v>2</v>
      </c>
      <c r="C18" s="18">
        <f>'GİRDİ RAPORU'!C780</f>
        <v>380</v>
      </c>
      <c r="D18" s="18">
        <f>'GİRDİ RAPORU'!D780</f>
        <v>0</v>
      </c>
      <c r="E18" s="18" t="str">
        <f>'GİRDİ RAPORU'!E780</f>
        <v>Normal Mesai</v>
      </c>
      <c r="F18" s="18">
        <f>'GİRDİ RAPORU'!F780</f>
        <v>15</v>
      </c>
      <c r="G18" s="18" t="str">
        <f>'GİRDİ RAPORU'!G780</f>
        <v>Temizlik</v>
      </c>
      <c r="H18" s="18">
        <f>'GİRDİ RAPORU'!H780</f>
        <v>15</v>
      </c>
      <c r="I18" s="18" t="str">
        <f>'GİRDİ RAPORU'!I780</f>
        <v>Hazırlık/İlk Isınma</v>
      </c>
      <c r="J18" s="18">
        <f>'GİRDİ RAPORU'!J1660</f>
        <v>0</v>
      </c>
      <c r="K18" s="18">
        <f>'GİRDİ RAPORU'!K1660</f>
        <v>0</v>
      </c>
      <c r="L18" s="18">
        <f>'GİRDİ RAPORU'!L1660</f>
        <v>0</v>
      </c>
      <c r="M18" s="26">
        <f t="shared" si="0"/>
        <v>0.50666666666666671</v>
      </c>
      <c r="N18" s="26">
        <f t="shared" si="1"/>
        <v>5.5555555555555552E-2</v>
      </c>
      <c r="O18" s="26">
        <f t="shared" si="2"/>
        <v>0.94444444444444442</v>
      </c>
    </row>
    <row r="19" spans="1:15" ht="21.75" hidden="1" customHeight="1">
      <c r="A19" s="17">
        <f>'GİRDİ RAPORU'!A779</f>
        <v>46003</v>
      </c>
      <c r="B19" s="18">
        <f>'GİRDİ RAPORU'!B779</f>
        <v>2</v>
      </c>
      <c r="C19" s="18">
        <f>'GİRDİ RAPORU'!C779</f>
        <v>232</v>
      </c>
      <c r="D19" s="18">
        <f>'GİRDİ RAPORU'!D779</f>
        <v>0</v>
      </c>
      <c r="E19" s="18" t="str">
        <f>'GİRDİ RAPORU'!E779</f>
        <v>Normal Mesai</v>
      </c>
      <c r="F19" s="18">
        <f>'GİRDİ RAPORU'!F779</f>
        <v>60</v>
      </c>
      <c r="G19" s="18" t="str">
        <f>'GİRDİ RAPORU'!G779</f>
        <v>Temizlik</v>
      </c>
      <c r="H19" s="18">
        <f>'GİRDİ RAPORU'!H779</f>
        <v>15</v>
      </c>
      <c r="I19" s="18" t="str">
        <f>'GİRDİ RAPORU'!I779</f>
        <v>Hazırlık/İlk Isınma</v>
      </c>
      <c r="J19" s="18">
        <f>'GİRDİ RAPORU'!J1659</f>
        <v>0</v>
      </c>
      <c r="K19" s="18">
        <f>'GİRDİ RAPORU'!K1659</f>
        <v>0</v>
      </c>
      <c r="L19" s="18">
        <f>'GİRDİ RAPORU'!L1659</f>
        <v>0</v>
      </c>
      <c r="M19" s="26">
        <f t="shared" si="0"/>
        <v>0.30933333333333335</v>
      </c>
      <c r="N19" s="26">
        <f t="shared" si="1"/>
        <v>0.1388888888888889</v>
      </c>
      <c r="O19" s="26">
        <f t="shared" si="2"/>
        <v>0.86111111111111116</v>
      </c>
    </row>
    <row r="20" spans="1:15" ht="21.75" hidden="1" customHeight="1">
      <c r="A20" s="17">
        <f>'GİRDİ RAPORU'!A778</f>
        <v>46002</v>
      </c>
      <c r="B20" s="18">
        <f>'GİRDİ RAPORU'!B778</f>
        <v>2</v>
      </c>
      <c r="C20" s="18">
        <f>'GİRDİ RAPORU'!C778</f>
        <v>250</v>
      </c>
      <c r="D20" s="18">
        <f>'GİRDİ RAPORU'!D778</f>
        <v>0</v>
      </c>
      <c r="E20" s="18" t="str">
        <f>'GİRDİ RAPORU'!E778</f>
        <v>Normal Mesai</v>
      </c>
      <c r="F20" s="18">
        <f>'GİRDİ RAPORU'!F778</f>
        <v>15</v>
      </c>
      <c r="G20" s="18" t="str">
        <f>'GİRDİ RAPORU'!G778</f>
        <v>Temizlik</v>
      </c>
      <c r="H20" s="18">
        <f>'GİRDİ RAPORU'!H778</f>
        <v>15</v>
      </c>
      <c r="I20" s="18" t="str">
        <f>'GİRDİ RAPORU'!I778</f>
        <v>Hazırlık/İlk Isınma</v>
      </c>
      <c r="J20" s="18">
        <f>'GİRDİ RAPORU'!J1658</f>
        <v>0</v>
      </c>
      <c r="K20" s="18">
        <f>'GİRDİ RAPORU'!K1658</f>
        <v>0</v>
      </c>
      <c r="L20" s="18">
        <f>'GİRDİ RAPORU'!L1658</f>
        <v>0</v>
      </c>
      <c r="M20" s="26">
        <f t="shared" si="0"/>
        <v>0.33333333333333331</v>
      </c>
      <c r="N20" s="26">
        <f t="shared" si="1"/>
        <v>5.5555555555555552E-2</v>
      </c>
      <c r="O20" s="26">
        <f t="shared" si="2"/>
        <v>0.94444444444444442</v>
      </c>
    </row>
    <row r="21" spans="1:15" ht="21.75" hidden="1" customHeight="1">
      <c r="A21" s="17">
        <f>'GİRDİ RAPORU'!A777</f>
        <v>46001</v>
      </c>
      <c r="B21" s="18">
        <f>'GİRDİ RAPORU'!B777</f>
        <v>2</v>
      </c>
      <c r="C21" s="18">
        <f>'GİRDİ RAPORU'!C777</f>
        <v>230</v>
      </c>
      <c r="D21" s="18">
        <f>'GİRDİ RAPORU'!D777</f>
        <v>0</v>
      </c>
      <c r="E21" s="18" t="str">
        <f>'GİRDİ RAPORU'!E777</f>
        <v>Normal Mesai</v>
      </c>
      <c r="F21" s="18">
        <f>'GİRDİ RAPORU'!F777</f>
        <v>15</v>
      </c>
      <c r="G21" s="18" t="str">
        <f>'GİRDİ RAPORU'!G777</f>
        <v>Temizlik</v>
      </c>
      <c r="H21" s="18">
        <f>'GİRDİ RAPORU'!H777</f>
        <v>15</v>
      </c>
      <c r="I21" s="18" t="str">
        <f>'GİRDİ RAPORU'!I777</f>
        <v>Hazırlık/İlk Isınma</v>
      </c>
      <c r="J21" s="18">
        <f>'GİRDİ RAPORU'!J1657</f>
        <v>0</v>
      </c>
      <c r="K21" s="18">
        <f>'GİRDİ RAPORU'!K1657</f>
        <v>0</v>
      </c>
      <c r="L21" s="18">
        <f>'GİRDİ RAPORU'!L1657</f>
        <v>0</v>
      </c>
      <c r="M21" s="26">
        <f t="shared" si="0"/>
        <v>0.30666666666666664</v>
      </c>
      <c r="N21" s="26">
        <f t="shared" si="1"/>
        <v>5.5555555555555552E-2</v>
      </c>
      <c r="O21" s="26">
        <f t="shared" si="2"/>
        <v>0.94444444444444442</v>
      </c>
    </row>
    <row r="22" spans="1:15" ht="21.75" hidden="1" customHeight="1">
      <c r="A22" s="17">
        <f>'GİRDİ RAPORU'!A768</f>
        <v>46000</v>
      </c>
      <c r="B22" s="18">
        <f>'GİRDİ RAPORU'!B768</f>
        <v>2</v>
      </c>
      <c r="C22" s="18">
        <f>'GİRDİ RAPORU'!C768</f>
        <v>78</v>
      </c>
      <c r="D22" s="18">
        <f>'GİRDİ RAPORU'!D768</f>
        <v>0</v>
      </c>
      <c r="E22" s="18" t="str">
        <f>'GİRDİ RAPORU'!E768</f>
        <v>Normal Mesai</v>
      </c>
      <c r="F22" s="18">
        <f>'GİRDİ RAPORU'!F768</f>
        <v>420</v>
      </c>
      <c r="G22" s="18" t="str">
        <f>'GİRDİ RAPORU'!G768</f>
        <v>Makine Arızası</v>
      </c>
      <c r="H22" s="18">
        <f>'GİRDİ RAPORU'!H768</f>
        <v>15</v>
      </c>
      <c r="I22" s="18" t="str">
        <f>'GİRDİ RAPORU'!I768</f>
        <v>Hazırlık/İlk Isınma</v>
      </c>
      <c r="J22" s="18">
        <f>'GİRDİ RAPORU'!J1656</f>
        <v>0</v>
      </c>
      <c r="K22" s="18">
        <f>'GİRDİ RAPORU'!K1656</f>
        <v>0</v>
      </c>
      <c r="L22" s="18">
        <f>'GİRDİ RAPORU'!L1656</f>
        <v>0</v>
      </c>
      <c r="M22" s="26">
        <f t="shared" si="0"/>
        <v>0.104</v>
      </c>
      <c r="N22" s="26">
        <f t="shared" si="1"/>
        <v>0.80555555555555558</v>
      </c>
      <c r="O22" s="26">
        <f t="shared" si="2"/>
        <v>0.19444444444444445</v>
      </c>
    </row>
    <row r="23" spans="1:15" ht="21.75" hidden="1" customHeight="1">
      <c r="A23" s="17">
        <f>'GİRDİ RAPORU'!A767</f>
        <v>45999</v>
      </c>
      <c r="B23" s="18">
        <f>'GİRDİ RAPORU'!B767</f>
        <v>2</v>
      </c>
      <c r="C23" s="18">
        <f>'GİRDİ RAPORU'!C767</f>
        <v>138</v>
      </c>
      <c r="D23" s="18">
        <f>'GİRDİ RAPORU'!D767</f>
        <v>0</v>
      </c>
      <c r="E23" s="18" t="str">
        <f>'GİRDİ RAPORU'!E767</f>
        <v>Normal Mesai</v>
      </c>
      <c r="F23" s="18">
        <f>'GİRDİ RAPORU'!F767</f>
        <v>15</v>
      </c>
      <c r="G23" s="18" t="str">
        <f>'GİRDİ RAPORU'!G767</f>
        <v>Temizlik</v>
      </c>
      <c r="H23" s="18">
        <f>'GİRDİ RAPORU'!H767</f>
        <v>15</v>
      </c>
      <c r="I23" s="18" t="str">
        <f>'GİRDİ RAPORU'!I767</f>
        <v>Hazırlık/İlk Isınma</v>
      </c>
      <c r="J23" s="18">
        <f>'GİRDİ RAPORU'!J1655</f>
        <v>0</v>
      </c>
      <c r="K23" s="18">
        <f>'GİRDİ RAPORU'!K1655</f>
        <v>0</v>
      </c>
      <c r="L23" s="18">
        <f>'GİRDİ RAPORU'!L1655</f>
        <v>0</v>
      </c>
      <c r="M23" s="26">
        <f t="shared" si="0"/>
        <v>0.184</v>
      </c>
      <c r="N23" s="26">
        <f t="shared" si="1"/>
        <v>5.5555555555555552E-2</v>
      </c>
      <c r="O23" s="26">
        <f t="shared" si="2"/>
        <v>0.94444444444444442</v>
      </c>
    </row>
    <row r="24" spans="1:15" ht="21.75" hidden="1" customHeight="1">
      <c r="A24" s="17">
        <f>'GİRDİ RAPORU'!A766</f>
        <v>45996</v>
      </c>
      <c r="B24" s="18">
        <f>'GİRDİ RAPORU'!B766</f>
        <v>2</v>
      </c>
      <c r="C24" s="18">
        <f>'GİRDİ RAPORU'!C766</f>
        <v>180</v>
      </c>
      <c r="D24" s="18">
        <f>'GİRDİ RAPORU'!D766</f>
        <v>0</v>
      </c>
      <c r="E24" s="18" t="str">
        <f>'GİRDİ RAPORU'!E766</f>
        <v>Normal Mesai</v>
      </c>
      <c r="F24" s="18">
        <f>'GİRDİ RAPORU'!F766</f>
        <v>75</v>
      </c>
      <c r="G24" s="18" t="str">
        <f>'GİRDİ RAPORU'!G766</f>
        <v>Temizlik</v>
      </c>
      <c r="H24" s="18">
        <f>'GİRDİ RAPORU'!H766</f>
        <v>15</v>
      </c>
      <c r="I24" s="18" t="str">
        <f>'GİRDİ RAPORU'!I766</f>
        <v>Hazırlık/İlk Isınma</v>
      </c>
      <c r="J24" s="18">
        <f>'GİRDİ RAPORU'!J1654</f>
        <v>0</v>
      </c>
      <c r="K24" s="18">
        <f>'GİRDİ RAPORU'!K1654</f>
        <v>0</v>
      </c>
      <c r="L24" s="18">
        <f>'GİRDİ RAPORU'!L1654</f>
        <v>0</v>
      </c>
      <c r="M24" s="26">
        <f t="shared" si="0"/>
        <v>0.24</v>
      </c>
      <c r="N24" s="26">
        <f t="shared" si="1"/>
        <v>0.16666666666666666</v>
      </c>
      <c r="O24" s="26">
        <f t="shared" si="2"/>
        <v>0.83333333333333337</v>
      </c>
    </row>
    <row r="25" spans="1:15" ht="21.75" hidden="1" customHeight="1">
      <c r="A25" s="17">
        <f>'GİRDİ RAPORU'!A765</f>
        <v>45995</v>
      </c>
      <c r="B25" s="18">
        <f>'GİRDİ RAPORU'!B765</f>
        <v>2</v>
      </c>
      <c r="C25" s="18">
        <f>'GİRDİ RAPORU'!C765</f>
        <v>262</v>
      </c>
      <c r="D25" s="18">
        <f>'GİRDİ RAPORU'!D765</f>
        <v>0</v>
      </c>
      <c r="E25" s="18" t="str">
        <f>'GİRDİ RAPORU'!E765</f>
        <v>Normal Mesai</v>
      </c>
      <c r="F25" s="18">
        <f>'GİRDİ RAPORU'!F765</f>
        <v>15</v>
      </c>
      <c r="G25" s="18" t="str">
        <f>'GİRDİ RAPORU'!G765</f>
        <v>Temizlik</v>
      </c>
      <c r="H25" s="18">
        <f>'GİRDİ RAPORU'!H765</f>
        <v>15</v>
      </c>
      <c r="I25" s="18" t="str">
        <f>'GİRDİ RAPORU'!I765</f>
        <v>Hazırlık/İlk Isınma</v>
      </c>
      <c r="J25" s="18">
        <f>'GİRDİ RAPORU'!J1653</f>
        <v>0</v>
      </c>
      <c r="K25" s="18">
        <f>'GİRDİ RAPORU'!K1653</f>
        <v>0</v>
      </c>
      <c r="L25" s="18">
        <f>'GİRDİ RAPORU'!L1653</f>
        <v>0</v>
      </c>
      <c r="M25" s="26">
        <f t="shared" si="0"/>
        <v>0.34933333333333333</v>
      </c>
      <c r="N25" s="26">
        <f t="shared" si="1"/>
        <v>5.5555555555555552E-2</v>
      </c>
      <c r="O25" s="26">
        <f t="shared" si="2"/>
        <v>0.94444444444444442</v>
      </c>
    </row>
    <row r="26" spans="1:15" ht="21.75" hidden="1" customHeight="1">
      <c r="A26" s="17">
        <f>'GİRDİ RAPORU'!A764</f>
        <v>45994</v>
      </c>
      <c r="B26" s="18">
        <f>'GİRDİ RAPORU'!B764</f>
        <v>2</v>
      </c>
      <c r="C26" s="18">
        <f>'GİRDİ RAPORU'!C764</f>
        <v>210</v>
      </c>
      <c r="D26" s="18">
        <f>'GİRDİ RAPORU'!D764</f>
        <v>0</v>
      </c>
      <c r="E26" s="18" t="str">
        <f>'GİRDİ RAPORU'!E764</f>
        <v>Normal Mesai</v>
      </c>
      <c r="F26" s="18">
        <f>'GİRDİ RAPORU'!F764</f>
        <v>15</v>
      </c>
      <c r="G26" s="18" t="str">
        <f>'GİRDİ RAPORU'!G764</f>
        <v>Temizlik</v>
      </c>
      <c r="H26" s="18">
        <f>'GİRDİ RAPORU'!H764</f>
        <v>15</v>
      </c>
      <c r="I26" s="18" t="str">
        <f>'GİRDİ RAPORU'!I764</f>
        <v>Hazırlık/İlk Isınma</v>
      </c>
      <c r="J26" s="18">
        <f>'GİRDİ RAPORU'!J1652</f>
        <v>0</v>
      </c>
      <c r="K26" s="18">
        <f>'GİRDİ RAPORU'!K1652</f>
        <v>0</v>
      </c>
      <c r="L26" s="18">
        <f>'GİRDİ RAPORU'!L1652</f>
        <v>0</v>
      </c>
      <c r="M26" s="26">
        <f t="shared" si="0"/>
        <v>0.28000000000000003</v>
      </c>
      <c r="N26" s="26">
        <f t="shared" si="1"/>
        <v>5.5555555555555552E-2</v>
      </c>
      <c r="O26" s="26">
        <f t="shared" si="2"/>
        <v>0.94444444444444442</v>
      </c>
    </row>
    <row r="27" spans="1:15" ht="21.75" hidden="1" customHeight="1">
      <c r="A27" s="17">
        <f>'GİRDİ RAPORU'!A763</f>
        <v>45993</v>
      </c>
      <c r="B27" s="18">
        <f>'GİRDİ RAPORU'!B763</f>
        <v>2</v>
      </c>
      <c r="C27" s="18">
        <f>'GİRDİ RAPORU'!C763</f>
        <v>75</v>
      </c>
      <c r="D27" s="18">
        <f>'GİRDİ RAPORU'!D763</f>
        <v>0</v>
      </c>
      <c r="E27" s="18" t="str">
        <f>'GİRDİ RAPORU'!E763</f>
        <v>Normal Mesai</v>
      </c>
      <c r="F27" s="18">
        <f>'GİRDİ RAPORU'!F763</f>
        <v>15</v>
      </c>
      <c r="G27" s="18" t="str">
        <f>'GİRDİ RAPORU'!G763</f>
        <v>Temizlik</v>
      </c>
      <c r="H27" s="18">
        <f>'GİRDİ RAPORU'!H763</f>
        <v>15</v>
      </c>
      <c r="I27" s="18" t="str">
        <f>'GİRDİ RAPORU'!I763</f>
        <v>Hazırlık/İlk Isınma</v>
      </c>
      <c r="J27" s="18">
        <f>'GİRDİ RAPORU'!J1651</f>
        <v>0</v>
      </c>
      <c r="K27" s="18">
        <f>'GİRDİ RAPORU'!K1651</f>
        <v>0</v>
      </c>
      <c r="L27" s="18">
        <f>'GİRDİ RAPORU'!L1651</f>
        <v>0</v>
      </c>
      <c r="M27" s="26">
        <f t="shared" si="0"/>
        <v>0.1</v>
      </c>
      <c r="N27" s="26">
        <f t="shared" si="1"/>
        <v>5.5555555555555552E-2</v>
      </c>
      <c r="O27" s="26">
        <f t="shared" si="2"/>
        <v>0.94444444444444442</v>
      </c>
    </row>
    <row r="28" spans="1:15" ht="21.75" hidden="1" customHeight="1">
      <c r="A28" s="17">
        <f>'GİRDİ RAPORU'!A762</f>
        <v>45988</v>
      </c>
      <c r="B28" s="18">
        <f>'GİRDİ RAPORU'!B762</f>
        <v>2</v>
      </c>
      <c r="C28" s="18">
        <f>'GİRDİ RAPORU'!C762</f>
        <v>282</v>
      </c>
      <c r="D28" s="18">
        <f>'GİRDİ RAPORU'!D762</f>
        <v>0</v>
      </c>
      <c r="E28" s="18" t="str">
        <f>'GİRDİ RAPORU'!E762</f>
        <v>Normal Mesai</v>
      </c>
      <c r="F28" s="18">
        <f>'GİRDİ RAPORU'!F762</f>
        <v>30</v>
      </c>
      <c r="G28" s="18" t="str">
        <f>'GİRDİ RAPORU'!G762</f>
        <v>Temizlik</v>
      </c>
      <c r="H28" s="18">
        <f>'GİRDİ RAPORU'!H762</f>
        <v>15</v>
      </c>
      <c r="I28" s="18" t="str">
        <f>'GİRDİ RAPORU'!I762</f>
        <v>Hazırlık/İlk Isınma</v>
      </c>
      <c r="J28" s="18">
        <f>'GİRDİ RAPORU'!J1650</f>
        <v>0</v>
      </c>
      <c r="K28" s="18">
        <f>'GİRDİ RAPORU'!K1650</f>
        <v>0</v>
      </c>
      <c r="L28" s="18">
        <f>'GİRDİ RAPORU'!L1650</f>
        <v>0</v>
      </c>
      <c r="M28" s="26">
        <f t="shared" si="0"/>
        <v>0.376</v>
      </c>
      <c r="N28" s="26">
        <f t="shared" si="1"/>
        <v>8.3333333333333329E-2</v>
      </c>
      <c r="O28" s="26">
        <f t="shared" si="2"/>
        <v>0.91666666666666663</v>
      </c>
    </row>
    <row r="29" spans="1:15" ht="21.75" hidden="1" customHeight="1">
      <c r="A29" s="17">
        <f>'GİRDİ RAPORU'!A760</f>
        <v>45987</v>
      </c>
      <c r="B29" s="18">
        <f>'GİRDİ RAPORU'!B760</f>
        <v>2</v>
      </c>
      <c r="C29" s="18">
        <f>'GİRDİ RAPORU'!C760</f>
        <v>360</v>
      </c>
      <c r="D29" s="18">
        <f>'GİRDİ RAPORU'!D760</f>
        <v>0</v>
      </c>
      <c r="E29" s="18" t="str">
        <f>'GİRDİ RAPORU'!E760</f>
        <v>Normal Mesai</v>
      </c>
      <c r="F29" s="18">
        <f>'GİRDİ RAPORU'!F760</f>
        <v>15</v>
      </c>
      <c r="G29" s="18" t="str">
        <f>'GİRDİ RAPORU'!G760</f>
        <v>Temizlik</v>
      </c>
      <c r="H29" s="18">
        <f>'GİRDİ RAPORU'!H760</f>
        <v>15</v>
      </c>
      <c r="I29" s="18" t="str">
        <f>'GİRDİ RAPORU'!I760</f>
        <v>Hazırlık/İlk Isınma</v>
      </c>
      <c r="J29" s="18">
        <f>'GİRDİ RAPORU'!J1649</f>
        <v>0</v>
      </c>
      <c r="K29" s="18">
        <f>'GİRDİ RAPORU'!K1649</f>
        <v>0</v>
      </c>
      <c r="L29" s="18">
        <f>'GİRDİ RAPORU'!L1649</f>
        <v>0</v>
      </c>
      <c r="M29" s="26">
        <f t="shared" si="0"/>
        <v>0.48</v>
      </c>
      <c r="N29" s="26">
        <f t="shared" si="1"/>
        <v>5.5555555555555552E-2</v>
      </c>
      <c r="O29" s="26">
        <f t="shared" si="2"/>
        <v>0.94444444444444442</v>
      </c>
    </row>
    <row r="30" spans="1:15" ht="21.75" hidden="1" customHeight="1">
      <c r="A30" s="17">
        <v>45986</v>
      </c>
      <c r="B30" s="18">
        <f>'GİRDİ RAPORU'!B759</f>
        <v>2</v>
      </c>
      <c r="C30" s="18">
        <f>'GİRDİ RAPORU'!C759</f>
        <v>232</v>
      </c>
      <c r="D30" s="18">
        <f>'GİRDİ RAPORU'!D759</f>
        <v>0</v>
      </c>
      <c r="E30" s="18" t="str">
        <f>'GİRDİ RAPORU'!E759</f>
        <v>Normal Mesai</v>
      </c>
      <c r="F30" s="18">
        <f>'GİRDİ RAPORU'!F759</f>
        <v>15</v>
      </c>
      <c r="G30" s="18" t="str">
        <f>'GİRDİ RAPORU'!G759</f>
        <v>Temizlik</v>
      </c>
      <c r="H30" s="18">
        <f>'GİRDİ RAPORU'!H759</f>
        <v>15</v>
      </c>
      <c r="I30" s="18" t="str">
        <f>'GİRDİ RAPORU'!I759</f>
        <v>Hazırlık/İlk Isınma</v>
      </c>
      <c r="J30" s="18">
        <f>'GİRDİ RAPORU'!J1648</f>
        <v>0</v>
      </c>
      <c r="K30" s="18">
        <f>'GİRDİ RAPORU'!K1648</f>
        <v>0</v>
      </c>
      <c r="L30" s="18">
        <f>'GİRDİ RAPORU'!L1648</f>
        <v>0</v>
      </c>
      <c r="M30" s="26">
        <f t="shared" si="0"/>
        <v>0.30933333333333335</v>
      </c>
      <c r="N30" s="26">
        <f t="shared" si="1"/>
        <v>5.5555555555555552E-2</v>
      </c>
      <c r="O30" s="26">
        <f t="shared" si="2"/>
        <v>0.94444444444444442</v>
      </c>
    </row>
    <row r="31" spans="1:15" ht="21.75" hidden="1" customHeight="1">
      <c r="A31" s="17">
        <f>'GİRDİ RAPORU'!A758</f>
        <v>45985</v>
      </c>
      <c r="B31" s="18">
        <f>'GİRDİ RAPORU'!B758</f>
        <v>2</v>
      </c>
      <c r="C31" s="18">
        <f>'GİRDİ RAPORU'!C758</f>
        <v>270</v>
      </c>
      <c r="D31" s="18">
        <f>'GİRDİ RAPORU'!D758</f>
        <v>0</v>
      </c>
      <c r="E31" s="18" t="str">
        <f>'GİRDİ RAPORU'!E758</f>
        <v>Normal Mesai</v>
      </c>
      <c r="F31" s="18">
        <f>'GİRDİ RAPORU'!F758</f>
        <v>60</v>
      </c>
      <c r="G31" s="18" t="str">
        <f>'GİRDİ RAPORU'!G758</f>
        <v>Temizlik</v>
      </c>
      <c r="H31" s="18">
        <f>'GİRDİ RAPORU'!H758</f>
        <v>15</v>
      </c>
      <c r="I31" s="18" t="str">
        <f>'GİRDİ RAPORU'!I758</f>
        <v>Hazırlık/İlk Isınma</v>
      </c>
      <c r="J31" s="18">
        <f>'GİRDİ RAPORU'!J1647</f>
        <v>0</v>
      </c>
      <c r="K31" s="18">
        <f>'GİRDİ RAPORU'!K1647</f>
        <v>0</v>
      </c>
      <c r="L31" s="18">
        <f>'GİRDİ RAPORU'!L1647</f>
        <v>0</v>
      </c>
      <c r="M31" s="26">
        <f t="shared" si="0"/>
        <v>0.36</v>
      </c>
      <c r="N31" s="26">
        <f t="shared" si="1"/>
        <v>0.1388888888888889</v>
      </c>
      <c r="O31" s="26">
        <f t="shared" si="2"/>
        <v>0.86111111111111116</v>
      </c>
    </row>
    <row r="32" spans="1:15" ht="21.75" hidden="1" customHeight="1">
      <c r="A32" s="17">
        <f>'GİRDİ RAPORU'!A757</f>
        <v>45982</v>
      </c>
      <c r="B32" s="18">
        <f>'GİRDİ RAPORU'!B757</f>
        <v>2</v>
      </c>
      <c r="C32" s="18">
        <f>'GİRDİ RAPORU'!C757</f>
        <v>211</v>
      </c>
      <c r="D32" s="18">
        <f>'GİRDİ RAPORU'!D757</f>
        <v>0</v>
      </c>
      <c r="E32" s="18" t="str">
        <f>'GİRDİ RAPORU'!E757</f>
        <v>Normal Mesai</v>
      </c>
      <c r="F32" s="18">
        <f>'GİRDİ RAPORU'!F757</f>
        <v>60</v>
      </c>
      <c r="G32" s="18" t="str">
        <f>'GİRDİ RAPORU'!G757</f>
        <v>Temizlik</v>
      </c>
      <c r="H32" s="18">
        <f>'GİRDİ RAPORU'!H757</f>
        <v>15</v>
      </c>
      <c r="I32" s="18" t="str">
        <f>'GİRDİ RAPORU'!I757</f>
        <v>Hazırlık/İlk Isınma</v>
      </c>
      <c r="J32" s="18">
        <f>'GİRDİ RAPORU'!J1646</f>
        <v>0</v>
      </c>
      <c r="K32" s="18">
        <f>'GİRDİ RAPORU'!K1646</f>
        <v>0</v>
      </c>
      <c r="L32" s="18">
        <f>'GİRDİ RAPORU'!L1646</f>
        <v>0</v>
      </c>
      <c r="M32" s="26">
        <f t="shared" si="0"/>
        <v>0.28133333333333332</v>
      </c>
      <c r="N32" s="26">
        <f t="shared" si="1"/>
        <v>0.1388888888888889</v>
      </c>
      <c r="O32" s="26">
        <f t="shared" si="2"/>
        <v>0.86111111111111116</v>
      </c>
    </row>
    <row r="33" spans="1:15" ht="21.75" hidden="1" customHeight="1">
      <c r="A33" s="17">
        <f>'GİRDİ RAPORU'!A754</f>
        <v>45981</v>
      </c>
      <c r="B33" s="18">
        <f>'GİRDİ RAPORU'!B754</f>
        <v>2</v>
      </c>
      <c r="C33" s="18">
        <f>'GİRDİ RAPORU'!C754</f>
        <v>248</v>
      </c>
      <c r="D33" s="18">
        <f>'GİRDİ RAPORU'!D754</f>
        <v>0</v>
      </c>
      <c r="E33" s="18" t="str">
        <f>'GİRDİ RAPORU'!E754</f>
        <v>Normal Mesai</v>
      </c>
      <c r="F33" s="18">
        <f>'GİRDİ RAPORU'!F754</f>
        <v>15</v>
      </c>
      <c r="G33" s="18" t="str">
        <f>'GİRDİ RAPORU'!G754</f>
        <v>Temizlik</v>
      </c>
      <c r="H33" s="18">
        <f>'GİRDİ RAPORU'!H754</f>
        <v>15</v>
      </c>
      <c r="I33" s="18" t="str">
        <f>'GİRDİ RAPORU'!I754</f>
        <v>Hazırlık/İlk Isınma</v>
      </c>
      <c r="J33" s="18">
        <f>'GİRDİ RAPORU'!J1644</f>
        <v>0</v>
      </c>
      <c r="K33" s="18">
        <f>'GİRDİ RAPORU'!K1644</f>
        <v>0</v>
      </c>
      <c r="L33" s="18">
        <f>'GİRDİ RAPORU'!L1644</f>
        <v>0</v>
      </c>
      <c r="M33" s="26">
        <f t="shared" si="0"/>
        <v>0.33066666666666666</v>
      </c>
      <c r="N33" s="26">
        <f t="shared" si="1"/>
        <v>5.5555555555555552E-2</v>
      </c>
      <c r="O33" s="26">
        <f t="shared" si="2"/>
        <v>0.94444444444444442</v>
      </c>
    </row>
    <row r="34" spans="1:15" ht="21.75" hidden="1" customHeight="1">
      <c r="A34" s="17">
        <f>'GİRDİ RAPORU'!A755</f>
        <v>45981</v>
      </c>
      <c r="B34" s="18">
        <f>'GİRDİ RAPORU'!B755</f>
        <v>2</v>
      </c>
      <c r="C34" s="18">
        <f>'GİRDİ RAPORU'!C755</f>
        <v>248</v>
      </c>
      <c r="D34" s="18">
        <f>'GİRDİ RAPORU'!D755</f>
        <v>0</v>
      </c>
      <c r="E34" s="18" t="str">
        <f>'GİRDİ RAPORU'!E755</f>
        <v>Normal Mesai</v>
      </c>
      <c r="F34" s="18">
        <f>'GİRDİ RAPORU'!F755</f>
        <v>15</v>
      </c>
      <c r="G34" s="18" t="str">
        <f>'GİRDİ RAPORU'!G755</f>
        <v>Temizlik</v>
      </c>
      <c r="H34" s="18">
        <f>'GİRDİ RAPORU'!H755</f>
        <v>15</v>
      </c>
      <c r="I34" s="18" t="str">
        <f>'GİRDİ RAPORU'!I755</f>
        <v>Hazırlık/İlk Isınma</v>
      </c>
      <c r="J34" s="18">
        <f>'GİRDİ RAPORU'!J1645</f>
        <v>0</v>
      </c>
      <c r="K34" s="18">
        <f>'GİRDİ RAPORU'!K1645</f>
        <v>0</v>
      </c>
      <c r="L34" s="18">
        <f>'GİRDİ RAPORU'!L1645</f>
        <v>0</v>
      </c>
      <c r="M34" s="26">
        <f t="shared" si="0"/>
        <v>0.33066666666666666</v>
      </c>
      <c r="N34" s="26">
        <f t="shared" si="1"/>
        <v>5.5555555555555552E-2</v>
      </c>
      <c r="O34" s="26">
        <f t="shared" si="2"/>
        <v>0.94444444444444442</v>
      </c>
    </row>
    <row r="35" spans="1:15" ht="21.75" hidden="1" customHeight="1">
      <c r="A35" s="17">
        <f>'GİRDİ RAPORU'!A713</f>
        <v>45980</v>
      </c>
      <c r="B35" s="18">
        <f>'GİRDİ RAPORU'!B713</f>
        <v>2</v>
      </c>
      <c r="C35" s="18">
        <f>'GİRDİ RAPORU'!C713</f>
        <v>348</v>
      </c>
      <c r="D35" s="18">
        <f>'GİRDİ RAPORU'!D713</f>
        <v>0</v>
      </c>
      <c r="E35" s="18" t="str">
        <f>'GİRDİ RAPORU'!E713</f>
        <v>Normal Mesai</v>
      </c>
      <c r="F35" s="18">
        <f>'GİRDİ RAPORU'!F713</f>
        <v>15</v>
      </c>
      <c r="G35" s="18" t="str">
        <f>'GİRDİ RAPORU'!G713</f>
        <v>Temizlik</v>
      </c>
      <c r="H35" s="18">
        <f>'GİRDİ RAPORU'!H713</f>
        <v>15</v>
      </c>
      <c r="I35" s="18" t="str">
        <f>'GİRDİ RAPORU'!I713</f>
        <v>Hazırlık/İlk Isınma</v>
      </c>
      <c r="J35" s="18">
        <f>'GİRDİ RAPORU'!J1621</f>
        <v>0</v>
      </c>
      <c r="K35" s="18">
        <f>'GİRDİ RAPORU'!K1621</f>
        <v>0</v>
      </c>
      <c r="L35" s="18">
        <f>'GİRDİ RAPORU'!L1621</f>
        <v>0</v>
      </c>
      <c r="M35" s="26">
        <f t="shared" si="0"/>
        <v>0.46400000000000002</v>
      </c>
      <c r="N35" s="26">
        <f t="shared" si="1"/>
        <v>5.5555555555555552E-2</v>
      </c>
      <c r="O35" s="26">
        <f t="shared" si="2"/>
        <v>0.94444444444444442</v>
      </c>
    </row>
    <row r="36" spans="1:15" ht="21.75" hidden="1" customHeight="1">
      <c r="A36" s="17">
        <f>'GİRDİ RAPORU'!A714</f>
        <v>45980</v>
      </c>
      <c r="B36" s="18">
        <f>'GİRDİ RAPORU'!B714</f>
        <v>2</v>
      </c>
      <c r="C36" s="18">
        <f>'GİRDİ RAPORU'!C714</f>
        <v>348</v>
      </c>
      <c r="D36" s="18">
        <f>'GİRDİ RAPORU'!D714</f>
        <v>0</v>
      </c>
      <c r="E36" s="18" t="str">
        <f>'GİRDİ RAPORU'!E714</f>
        <v>Normal Mesai</v>
      </c>
      <c r="F36" s="18">
        <f>'GİRDİ RAPORU'!F714</f>
        <v>15</v>
      </c>
      <c r="G36" s="18" t="str">
        <f>'GİRDİ RAPORU'!G714</f>
        <v>Temizlik</v>
      </c>
      <c r="H36" s="18">
        <f>'GİRDİ RAPORU'!H714</f>
        <v>15</v>
      </c>
      <c r="I36" s="18" t="str">
        <f>'GİRDİ RAPORU'!I714</f>
        <v>Hazırlık/İlk Isınma</v>
      </c>
      <c r="J36" s="18">
        <f>'GİRDİ RAPORU'!J1622</f>
        <v>0</v>
      </c>
      <c r="K36" s="18">
        <f>'GİRDİ RAPORU'!K1622</f>
        <v>0</v>
      </c>
      <c r="L36" s="18">
        <f>'GİRDİ RAPORU'!L1622</f>
        <v>0</v>
      </c>
      <c r="M36" s="26">
        <f t="shared" si="0"/>
        <v>0.46400000000000002</v>
      </c>
      <c r="N36" s="26">
        <f t="shared" si="1"/>
        <v>5.5555555555555552E-2</v>
      </c>
      <c r="O36" s="26">
        <f t="shared" si="2"/>
        <v>0.94444444444444442</v>
      </c>
    </row>
    <row r="37" spans="1:15" ht="21.75" hidden="1" customHeight="1">
      <c r="A37" s="17">
        <f>'GİRDİ RAPORU'!A715</f>
        <v>45980</v>
      </c>
      <c r="B37" s="18">
        <f>'GİRDİ RAPORU'!B715</f>
        <v>2</v>
      </c>
      <c r="C37" s="18">
        <f>'GİRDİ RAPORU'!C715</f>
        <v>348</v>
      </c>
      <c r="D37" s="18">
        <f>'GİRDİ RAPORU'!D715</f>
        <v>0</v>
      </c>
      <c r="E37" s="18" t="str">
        <f>'GİRDİ RAPORU'!E715</f>
        <v>Normal Mesai</v>
      </c>
      <c r="F37" s="18">
        <f>'GİRDİ RAPORU'!F715</f>
        <v>15</v>
      </c>
      <c r="G37" s="18" t="str">
        <f>'GİRDİ RAPORU'!G715</f>
        <v>Temizlik</v>
      </c>
      <c r="H37" s="18">
        <f>'GİRDİ RAPORU'!H715</f>
        <v>15</v>
      </c>
      <c r="I37" s="18" t="str">
        <f>'GİRDİ RAPORU'!I715</f>
        <v>Hazırlık/İlk Isınma</v>
      </c>
      <c r="J37" s="18">
        <f>'GİRDİ RAPORU'!J1623</f>
        <v>0</v>
      </c>
      <c r="K37" s="18">
        <f>'GİRDİ RAPORU'!K1623</f>
        <v>0</v>
      </c>
      <c r="L37" s="18">
        <f>'GİRDİ RAPORU'!L1623</f>
        <v>0</v>
      </c>
      <c r="M37" s="26">
        <f t="shared" si="0"/>
        <v>0.46400000000000002</v>
      </c>
      <c r="N37" s="26">
        <f t="shared" si="1"/>
        <v>5.5555555555555552E-2</v>
      </c>
      <c r="O37" s="26">
        <f t="shared" si="2"/>
        <v>0.94444444444444442</v>
      </c>
    </row>
    <row r="38" spans="1:15" ht="21.75" hidden="1" customHeight="1">
      <c r="A38" s="17">
        <f>'GİRDİ RAPORU'!A716</f>
        <v>45980</v>
      </c>
      <c r="B38" s="18">
        <f>'GİRDİ RAPORU'!B716</f>
        <v>2</v>
      </c>
      <c r="C38" s="18">
        <f>'GİRDİ RAPORU'!C716</f>
        <v>248</v>
      </c>
      <c r="D38" s="18">
        <f>'GİRDİ RAPORU'!D716</f>
        <v>0</v>
      </c>
      <c r="E38" s="18" t="str">
        <f>'GİRDİ RAPORU'!E716</f>
        <v>Normal Mesai</v>
      </c>
      <c r="F38" s="18">
        <f>'GİRDİ RAPORU'!F716</f>
        <v>15</v>
      </c>
      <c r="G38" s="18" t="str">
        <f>'GİRDİ RAPORU'!G716</f>
        <v>Temizlik</v>
      </c>
      <c r="H38" s="18">
        <f>'GİRDİ RAPORU'!H716</f>
        <v>15</v>
      </c>
      <c r="I38" s="18" t="str">
        <f>'GİRDİ RAPORU'!I716</f>
        <v>Hazırlık/İlk Isınma</v>
      </c>
      <c r="J38" s="18">
        <f>'GİRDİ RAPORU'!J1624</f>
        <v>0</v>
      </c>
      <c r="K38" s="18">
        <f>'GİRDİ RAPORU'!K1624</f>
        <v>0</v>
      </c>
      <c r="L38" s="18">
        <f>'GİRDİ RAPORU'!L1624</f>
        <v>0</v>
      </c>
      <c r="M38" s="26">
        <f t="shared" si="0"/>
        <v>0.33066666666666666</v>
      </c>
      <c r="N38" s="26">
        <f t="shared" si="1"/>
        <v>5.5555555555555552E-2</v>
      </c>
      <c r="O38" s="26">
        <f t="shared" si="2"/>
        <v>0.94444444444444442</v>
      </c>
    </row>
    <row r="39" spans="1:15" ht="21.75" hidden="1" customHeight="1">
      <c r="A39" s="17">
        <f>'GİRDİ RAPORU'!A717</f>
        <v>45980</v>
      </c>
      <c r="B39" s="18">
        <f>'GİRDİ RAPORU'!B717</f>
        <v>2</v>
      </c>
      <c r="C39" s="18">
        <f>'GİRDİ RAPORU'!C717</f>
        <v>248</v>
      </c>
      <c r="D39" s="18">
        <f>'GİRDİ RAPORU'!D717</f>
        <v>0</v>
      </c>
      <c r="E39" s="18" t="str">
        <f>'GİRDİ RAPORU'!E717</f>
        <v>Normal Mesai</v>
      </c>
      <c r="F39" s="18">
        <f>'GİRDİ RAPORU'!F717</f>
        <v>15</v>
      </c>
      <c r="G39" s="18" t="str">
        <f>'GİRDİ RAPORU'!G717</f>
        <v>Temizlik</v>
      </c>
      <c r="H39" s="18">
        <f>'GİRDİ RAPORU'!H717</f>
        <v>15</v>
      </c>
      <c r="I39" s="18" t="str">
        <f>'GİRDİ RAPORU'!I717</f>
        <v>Hazırlık/İlk Isınma</v>
      </c>
      <c r="J39" s="18">
        <f>'GİRDİ RAPORU'!J1625</f>
        <v>0</v>
      </c>
      <c r="K39" s="18">
        <f>'GİRDİ RAPORU'!K1625</f>
        <v>0</v>
      </c>
      <c r="L39" s="18">
        <f>'GİRDİ RAPORU'!L1625</f>
        <v>0</v>
      </c>
      <c r="M39" s="26">
        <f t="shared" si="0"/>
        <v>0.33066666666666666</v>
      </c>
      <c r="N39" s="26">
        <f t="shared" si="1"/>
        <v>5.5555555555555552E-2</v>
      </c>
      <c r="O39" s="26">
        <f t="shared" si="2"/>
        <v>0.94444444444444442</v>
      </c>
    </row>
    <row r="40" spans="1:15" ht="21.75" hidden="1" customHeight="1">
      <c r="A40" s="17">
        <f>'GİRDİ RAPORU'!A718</f>
        <v>45980</v>
      </c>
      <c r="B40" s="18">
        <f>'GİRDİ RAPORU'!B718</f>
        <v>2</v>
      </c>
      <c r="C40" s="18">
        <f>'GİRDİ RAPORU'!C718</f>
        <v>248</v>
      </c>
      <c r="D40" s="18">
        <f>'GİRDİ RAPORU'!D718</f>
        <v>0</v>
      </c>
      <c r="E40" s="18" t="str">
        <f>'GİRDİ RAPORU'!E718</f>
        <v>Normal Mesai</v>
      </c>
      <c r="F40" s="18">
        <f>'GİRDİ RAPORU'!F718</f>
        <v>15</v>
      </c>
      <c r="G40" s="18" t="str">
        <f>'GİRDİ RAPORU'!G718</f>
        <v>Temizlik</v>
      </c>
      <c r="H40" s="18">
        <f>'GİRDİ RAPORU'!H718</f>
        <v>15</v>
      </c>
      <c r="I40" s="18" t="str">
        <f>'GİRDİ RAPORU'!I718</f>
        <v>Hazırlık/İlk Isınma</v>
      </c>
      <c r="J40" s="18">
        <f>'GİRDİ RAPORU'!J1626</f>
        <v>0</v>
      </c>
      <c r="K40" s="18">
        <f>'GİRDİ RAPORU'!K1626</f>
        <v>0</v>
      </c>
      <c r="L40" s="18">
        <f>'GİRDİ RAPORU'!L1626</f>
        <v>0</v>
      </c>
      <c r="M40" s="26">
        <f t="shared" si="0"/>
        <v>0.33066666666666666</v>
      </c>
      <c r="N40" s="26">
        <f t="shared" si="1"/>
        <v>5.5555555555555552E-2</v>
      </c>
      <c r="O40" s="26">
        <f t="shared" si="2"/>
        <v>0.94444444444444442</v>
      </c>
    </row>
    <row r="41" spans="1:15" ht="21.75" hidden="1" customHeight="1">
      <c r="A41" s="17">
        <f>'GİRDİ RAPORU'!A719</f>
        <v>45980</v>
      </c>
      <c r="B41" s="18">
        <f>'GİRDİ RAPORU'!B719</f>
        <v>2</v>
      </c>
      <c r="C41" s="18">
        <f>'GİRDİ RAPORU'!C719</f>
        <v>248</v>
      </c>
      <c r="D41" s="18">
        <f>'GİRDİ RAPORU'!D719</f>
        <v>0</v>
      </c>
      <c r="E41" s="18" t="str">
        <f>'GİRDİ RAPORU'!E719</f>
        <v>Normal Mesai</v>
      </c>
      <c r="F41" s="18">
        <f>'GİRDİ RAPORU'!F719</f>
        <v>15</v>
      </c>
      <c r="G41" s="18" t="str">
        <f>'GİRDİ RAPORU'!G719</f>
        <v>Temizlik</v>
      </c>
      <c r="H41" s="18">
        <f>'GİRDİ RAPORU'!H719</f>
        <v>15</v>
      </c>
      <c r="I41" s="18" t="str">
        <f>'GİRDİ RAPORU'!I719</f>
        <v>Hazırlık/İlk Isınma</v>
      </c>
      <c r="J41" s="18">
        <f>'GİRDİ RAPORU'!J1627</f>
        <v>0</v>
      </c>
      <c r="K41" s="18">
        <f>'GİRDİ RAPORU'!K1627</f>
        <v>0</v>
      </c>
      <c r="L41" s="18">
        <f>'GİRDİ RAPORU'!L1627</f>
        <v>0</v>
      </c>
      <c r="M41" s="26">
        <f t="shared" si="0"/>
        <v>0.33066666666666666</v>
      </c>
      <c r="N41" s="26">
        <f t="shared" si="1"/>
        <v>5.5555555555555552E-2</v>
      </c>
      <c r="O41" s="26">
        <f t="shared" si="2"/>
        <v>0.94444444444444442</v>
      </c>
    </row>
    <row r="42" spans="1:15" ht="21.75" hidden="1" customHeight="1">
      <c r="A42" s="17">
        <f>'GİRDİ RAPORU'!A720</f>
        <v>45980</v>
      </c>
      <c r="B42" s="18">
        <f>'GİRDİ RAPORU'!B720</f>
        <v>2</v>
      </c>
      <c r="C42" s="18">
        <f>'GİRDİ RAPORU'!C720</f>
        <v>248</v>
      </c>
      <c r="D42" s="18">
        <f>'GİRDİ RAPORU'!D720</f>
        <v>0</v>
      </c>
      <c r="E42" s="18" t="str">
        <f>'GİRDİ RAPORU'!E720</f>
        <v>Normal Mesai</v>
      </c>
      <c r="F42" s="18">
        <f>'GİRDİ RAPORU'!F720</f>
        <v>15</v>
      </c>
      <c r="G42" s="18" t="str">
        <f>'GİRDİ RAPORU'!G720</f>
        <v>Temizlik</v>
      </c>
      <c r="H42" s="18">
        <f>'GİRDİ RAPORU'!H720</f>
        <v>15</v>
      </c>
      <c r="I42" s="18" t="str">
        <f>'GİRDİ RAPORU'!I720</f>
        <v>Hazırlık/İlk Isınma</v>
      </c>
      <c r="J42" s="18">
        <f>'GİRDİ RAPORU'!J1628</f>
        <v>0</v>
      </c>
      <c r="K42" s="18">
        <f>'GİRDİ RAPORU'!K1628</f>
        <v>0</v>
      </c>
      <c r="L42" s="18">
        <f>'GİRDİ RAPORU'!L1628</f>
        <v>0</v>
      </c>
      <c r="M42" s="26">
        <f t="shared" si="0"/>
        <v>0.33066666666666666</v>
      </c>
      <c r="N42" s="26">
        <f t="shared" si="1"/>
        <v>5.5555555555555552E-2</v>
      </c>
      <c r="O42" s="26">
        <f t="shared" si="2"/>
        <v>0.94444444444444442</v>
      </c>
    </row>
    <row r="43" spans="1:15" ht="21.75" hidden="1" customHeight="1">
      <c r="A43" s="17">
        <f>'GİRDİ RAPORU'!A721</f>
        <v>45980</v>
      </c>
      <c r="B43" s="18">
        <f>'GİRDİ RAPORU'!B721</f>
        <v>2</v>
      </c>
      <c r="C43" s="18">
        <f>'GİRDİ RAPORU'!C721</f>
        <v>248</v>
      </c>
      <c r="D43" s="18">
        <f>'GİRDİ RAPORU'!D721</f>
        <v>0</v>
      </c>
      <c r="E43" s="18" t="str">
        <f>'GİRDİ RAPORU'!E721</f>
        <v>Normal Mesai</v>
      </c>
      <c r="F43" s="18">
        <f>'GİRDİ RAPORU'!F721</f>
        <v>15</v>
      </c>
      <c r="G43" s="18" t="str">
        <f>'GİRDİ RAPORU'!G721</f>
        <v>Temizlik</v>
      </c>
      <c r="H43" s="18">
        <f>'GİRDİ RAPORU'!H721</f>
        <v>15</v>
      </c>
      <c r="I43" s="18" t="str">
        <f>'GİRDİ RAPORU'!I721</f>
        <v>Hazırlık/İlk Isınma</v>
      </c>
      <c r="J43" s="18">
        <f>'GİRDİ RAPORU'!J1629</f>
        <v>0</v>
      </c>
      <c r="K43" s="18">
        <f>'GİRDİ RAPORU'!K1629</f>
        <v>0</v>
      </c>
      <c r="L43" s="18">
        <f>'GİRDİ RAPORU'!L1629</f>
        <v>0</v>
      </c>
      <c r="M43" s="26">
        <f t="shared" si="0"/>
        <v>0.33066666666666666</v>
      </c>
      <c r="N43" s="26">
        <f t="shared" si="1"/>
        <v>5.5555555555555552E-2</v>
      </c>
      <c r="O43" s="26">
        <f t="shared" si="2"/>
        <v>0.94444444444444442</v>
      </c>
    </row>
    <row r="44" spans="1:15" ht="21.75" hidden="1" customHeight="1">
      <c r="A44" s="17">
        <f>'GİRDİ RAPORU'!A722</f>
        <v>45980</v>
      </c>
      <c r="B44" s="18">
        <f>'GİRDİ RAPORU'!B722</f>
        <v>2</v>
      </c>
      <c r="C44" s="18">
        <f>'GİRDİ RAPORU'!C722</f>
        <v>248</v>
      </c>
      <c r="D44" s="18">
        <f>'GİRDİ RAPORU'!D722</f>
        <v>0</v>
      </c>
      <c r="E44" s="18" t="str">
        <f>'GİRDİ RAPORU'!E722</f>
        <v>Normal Mesai</v>
      </c>
      <c r="F44" s="18">
        <f>'GİRDİ RAPORU'!F722</f>
        <v>15</v>
      </c>
      <c r="G44" s="18" t="str">
        <f>'GİRDİ RAPORU'!G722</f>
        <v>Temizlik</v>
      </c>
      <c r="H44" s="18">
        <f>'GİRDİ RAPORU'!H722</f>
        <v>15</v>
      </c>
      <c r="I44" s="18" t="str">
        <f>'GİRDİ RAPORU'!I722</f>
        <v>Hazırlık/İlk Isınma</v>
      </c>
      <c r="J44" s="18">
        <f>'GİRDİ RAPORU'!J1630</f>
        <v>0</v>
      </c>
      <c r="K44" s="18">
        <f>'GİRDİ RAPORU'!K1630</f>
        <v>0</v>
      </c>
      <c r="L44" s="18">
        <f>'GİRDİ RAPORU'!L1630</f>
        <v>0</v>
      </c>
      <c r="M44" s="26">
        <f t="shared" si="0"/>
        <v>0.33066666666666666</v>
      </c>
      <c r="N44" s="26">
        <f t="shared" si="1"/>
        <v>5.5555555555555552E-2</v>
      </c>
      <c r="O44" s="26">
        <f t="shared" si="2"/>
        <v>0.94444444444444442</v>
      </c>
    </row>
    <row r="45" spans="1:15" ht="21.75" hidden="1" customHeight="1">
      <c r="A45" s="17">
        <f>'GİRDİ RAPORU'!A723</f>
        <v>45980</v>
      </c>
      <c r="B45" s="18">
        <f>'GİRDİ RAPORU'!B723</f>
        <v>2</v>
      </c>
      <c r="C45" s="18">
        <f>'GİRDİ RAPORU'!C723</f>
        <v>248</v>
      </c>
      <c r="D45" s="18">
        <f>'GİRDİ RAPORU'!D723</f>
        <v>0</v>
      </c>
      <c r="E45" s="18" t="str">
        <f>'GİRDİ RAPORU'!E723</f>
        <v>Normal Mesai</v>
      </c>
      <c r="F45" s="18">
        <f>'GİRDİ RAPORU'!F723</f>
        <v>15</v>
      </c>
      <c r="G45" s="18" t="str">
        <f>'GİRDİ RAPORU'!G723</f>
        <v>Temizlik</v>
      </c>
      <c r="H45" s="18">
        <f>'GİRDİ RAPORU'!H723</f>
        <v>15</v>
      </c>
      <c r="I45" s="18" t="str">
        <f>'GİRDİ RAPORU'!I723</f>
        <v>Hazırlık/İlk Isınma</v>
      </c>
      <c r="J45" s="18">
        <f>'GİRDİ RAPORU'!J1631</f>
        <v>0</v>
      </c>
      <c r="K45" s="18">
        <f>'GİRDİ RAPORU'!K1631</f>
        <v>0</v>
      </c>
      <c r="L45" s="18">
        <f>'GİRDİ RAPORU'!L1631</f>
        <v>0</v>
      </c>
      <c r="M45" s="26">
        <f t="shared" si="0"/>
        <v>0.33066666666666666</v>
      </c>
      <c r="N45" s="26">
        <f t="shared" si="1"/>
        <v>5.5555555555555552E-2</v>
      </c>
      <c r="O45" s="26">
        <f t="shared" si="2"/>
        <v>0.94444444444444442</v>
      </c>
    </row>
    <row r="46" spans="1:15" ht="21.75" hidden="1" customHeight="1">
      <c r="A46" s="17">
        <f>'GİRDİ RAPORU'!A724</f>
        <v>45980</v>
      </c>
      <c r="B46" s="18">
        <f>'GİRDİ RAPORU'!B724</f>
        <v>2</v>
      </c>
      <c r="C46" s="18">
        <f>'GİRDİ RAPORU'!C724</f>
        <v>248</v>
      </c>
      <c r="D46" s="18">
        <f>'GİRDİ RAPORU'!D724</f>
        <v>0</v>
      </c>
      <c r="E46" s="18" t="str">
        <f>'GİRDİ RAPORU'!E724</f>
        <v>Normal Mesai</v>
      </c>
      <c r="F46" s="18">
        <f>'GİRDİ RAPORU'!F724</f>
        <v>15</v>
      </c>
      <c r="G46" s="18" t="str">
        <f>'GİRDİ RAPORU'!G724</f>
        <v>Temizlik</v>
      </c>
      <c r="H46" s="18">
        <f>'GİRDİ RAPORU'!H724</f>
        <v>15</v>
      </c>
      <c r="I46" s="18" t="str">
        <f>'GİRDİ RAPORU'!I724</f>
        <v>Hazırlık/İlk Isınma</v>
      </c>
      <c r="J46" s="18">
        <f>'GİRDİ RAPORU'!J1632</f>
        <v>0</v>
      </c>
      <c r="K46" s="18">
        <f>'GİRDİ RAPORU'!K1632</f>
        <v>0</v>
      </c>
      <c r="L46" s="18">
        <f>'GİRDİ RAPORU'!L1632</f>
        <v>0</v>
      </c>
      <c r="M46" s="26">
        <f t="shared" si="0"/>
        <v>0.33066666666666666</v>
      </c>
      <c r="N46" s="26">
        <f t="shared" si="1"/>
        <v>5.5555555555555552E-2</v>
      </c>
      <c r="O46" s="26">
        <f t="shared" si="2"/>
        <v>0.94444444444444442</v>
      </c>
    </row>
    <row r="47" spans="1:15" ht="21.75" hidden="1" customHeight="1">
      <c r="A47" s="17">
        <f>'GİRDİ RAPORU'!A725</f>
        <v>45980</v>
      </c>
      <c r="B47" s="18">
        <f>'GİRDİ RAPORU'!B725</f>
        <v>2</v>
      </c>
      <c r="C47" s="18">
        <f>'GİRDİ RAPORU'!C725</f>
        <v>248</v>
      </c>
      <c r="D47" s="18">
        <f>'GİRDİ RAPORU'!D725</f>
        <v>0</v>
      </c>
      <c r="E47" s="18" t="str">
        <f>'GİRDİ RAPORU'!E725</f>
        <v>Normal Mesai</v>
      </c>
      <c r="F47" s="18">
        <f>'GİRDİ RAPORU'!F725</f>
        <v>15</v>
      </c>
      <c r="G47" s="18" t="str">
        <f>'GİRDİ RAPORU'!G725</f>
        <v>Temizlik</v>
      </c>
      <c r="H47" s="18">
        <f>'GİRDİ RAPORU'!H725</f>
        <v>15</v>
      </c>
      <c r="I47" s="18" t="str">
        <f>'GİRDİ RAPORU'!I725</f>
        <v>Hazırlık/İlk Isınma</v>
      </c>
      <c r="J47" s="18">
        <f>'GİRDİ RAPORU'!J1633</f>
        <v>0</v>
      </c>
      <c r="K47" s="18">
        <f>'GİRDİ RAPORU'!K1633</f>
        <v>0</v>
      </c>
      <c r="L47" s="18">
        <f>'GİRDİ RAPORU'!L1633</f>
        <v>0</v>
      </c>
      <c r="M47" s="26">
        <f t="shared" si="0"/>
        <v>0.33066666666666666</v>
      </c>
      <c r="N47" s="26">
        <f t="shared" si="1"/>
        <v>5.5555555555555552E-2</v>
      </c>
      <c r="O47" s="26">
        <f t="shared" si="2"/>
        <v>0.94444444444444442</v>
      </c>
    </row>
    <row r="48" spans="1:15" ht="21.75" hidden="1" customHeight="1">
      <c r="A48" s="17">
        <f>'GİRDİ RAPORU'!A726</f>
        <v>45980</v>
      </c>
      <c r="B48" s="18">
        <f>'GİRDİ RAPORU'!B726</f>
        <v>2</v>
      </c>
      <c r="C48" s="18">
        <f>'GİRDİ RAPORU'!C726</f>
        <v>248</v>
      </c>
      <c r="D48" s="18">
        <f>'GİRDİ RAPORU'!D726</f>
        <v>0</v>
      </c>
      <c r="E48" s="18" t="str">
        <f>'GİRDİ RAPORU'!E726</f>
        <v>Normal Mesai</v>
      </c>
      <c r="F48" s="18">
        <f>'GİRDİ RAPORU'!F726</f>
        <v>15</v>
      </c>
      <c r="G48" s="18" t="str">
        <f>'GİRDİ RAPORU'!G726</f>
        <v>Temizlik</v>
      </c>
      <c r="H48" s="18">
        <f>'GİRDİ RAPORU'!H726</f>
        <v>15</v>
      </c>
      <c r="I48" s="18" t="str">
        <f>'GİRDİ RAPORU'!I726</f>
        <v>Hazırlık/İlk Isınma</v>
      </c>
      <c r="J48" s="18">
        <f>'GİRDİ RAPORU'!J1634</f>
        <v>0</v>
      </c>
      <c r="K48" s="18">
        <f>'GİRDİ RAPORU'!K1634</f>
        <v>0</v>
      </c>
      <c r="L48" s="18">
        <f>'GİRDİ RAPORU'!L1634</f>
        <v>0</v>
      </c>
      <c r="M48" s="26">
        <f t="shared" si="0"/>
        <v>0.33066666666666666</v>
      </c>
      <c r="N48" s="26">
        <f t="shared" si="1"/>
        <v>5.5555555555555552E-2</v>
      </c>
      <c r="O48" s="26">
        <f t="shared" si="2"/>
        <v>0.94444444444444442</v>
      </c>
    </row>
    <row r="49" spans="1:15" ht="21.75" hidden="1" customHeight="1">
      <c r="A49" s="17">
        <f>'GİRDİ RAPORU'!A727</f>
        <v>45980</v>
      </c>
      <c r="B49" s="18">
        <f>'GİRDİ RAPORU'!B727</f>
        <v>2</v>
      </c>
      <c r="C49" s="18">
        <f>'GİRDİ RAPORU'!C727</f>
        <v>248</v>
      </c>
      <c r="D49" s="18">
        <f>'GİRDİ RAPORU'!D727</f>
        <v>0</v>
      </c>
      <c r="E49" s="18" t="str">
        <f>'GİRDİ RAPORU'!E727</f>
        <v>Normal Mesai</v>
      </c>
      <c r="F49" s="18">
        <f>'GİRDİ RAPORU'!F727</f>
        <v>15</v>
      </c>
      <c r="G49" s="18" t="str">
        <f>'GİRDİ RAPORU'!G727</f>
        <v>Temizlik</v>
      </c>
      <c r="H49" s="18">
        <f>'GİRDİ RAPORU'!H727</f>
        <v>15</v>
      </c>
      <c r="I49" s="18" t="str">
        <f>'GİRDİ RAPORU'!I727</f>
        <v>Hazırlık/İlk Isınma</v>
      </c>
      <c r="J49" s="18">
        <f>'GİRDİ RAPORU'!J1635</f>
        <v>0</v>
      </c>
      <c r="K49" s="18">
        <f>'GİRDİ RAPORU'!K1635</f>
        <v>0</v>
      </c>
      <c r="L49" s="18">
        <f>'GİRDİ RAPORU'!L1635</f>
        <v>0</v>
      </c>
      <c r="M49" s="26">
        <f t="shared" si="0"/>
        <v>0.33066666666666666</v>
      </c>
      <c r="N49" s="26">
        <f t="shared" si="1"/>
        <v>5.5555555555555552E-2</v>
      </c>
      <c r="O49" s="26">
        <f t="shared" si="2"/>
        <v>0.94444444444444442</v>
      </c>
    </row>
    <row r="50" spans="1:15" ht="21.75" hidden="1" customHeight="1">
      <c r="A50" s="17">
        <f>'GİRDİ RAPORU'!A728</f>
        <v>45980</v>
      </c>
      <c r="B50" s="18">
        <f>'GİRDİ RAPORU'!B728</f>
        <v>2</v>
      </c>
      <c r="C50" s="18">
        <f>'GİRDİ RAPORU'!C728</f>
        <v>248</v>
      </c>
      <c r="D50" s="18">
        <f>'GİRDİ RAPORU'!D728</f>
        <v>0</v>
      </c>
      <c r="E50" s="18" t="str">
        <f>'GİRDİ RAPORU'!E728</f>
        <v>Normal Mesai</v>
      </c>
      <c r="F50" s="18">
        <f>'GİRDİ RAPORU'!F728</f>
        <v>15</v>
      </c>
      <c r="G50" s="18" t="str">
        <f>'GİRDİ RAPORU'!G728</f>
        <v>Temizlik</v>
      </c>
      <c r="H50" s="18">
        <f>'GİRDİ RAPORU'!H728</f>
        <v>15</v>
      </c>
      <c r="I50" s="18" t="str">
        <f>'GİRDİ RAPORU'!I728</f>
        <v>Hazırlık/İlk Isınma</v>
      </c>
      <c r="J50" s="18">
        <f>'GİRDİ RAPORU'!J1636</f>
        <v>0</v>
      </c>
      <c r="K50" s="18">
        <f>'GİRDİ RAPORU'!K1636</f>
        <v>0</v>
      </c>
      <c r="L50" s="18">
        <f>'GİRDİ RAPORU'!L1636</f>
        <v>0</v>
      </c>
      <c r="M50" s="26">
        <f t="shared" si="0"/>
        <v>0.33066666666666666</v>
      </c>
      <c r="N50" s="26">
        <f t="shared" si="1"/>
        <v>5.5555555555555552E-2</v>
      </c>
      <c r="O50" s="26">
        <f t="shared" si="2"/>
        <v>0.94444444444444442</v>
      </c>
    </row>
    <row r="51" spans="1:15" ht="21.75" hidden="1" customHeight="1">
      <c r="A51" s="17">
        <f>'GİRDİ RAPORU'!A729</f>
        <v>45980</v>
      </c>
      <c r="B51" s="18">
        <f>'GİRDİ RAPORU'!B729</f>
        <v>2</v>
      </c>
      <c r="C51" s="18">
        <f>'GİRDİ RAPORU'!C729</f>
        <v>248</v>
      </c>
      <c r="D51" s="18">
        <f>'GİRDİ RAPORU'!D729</f>
        <v>0</v>
      </c>
      <c r="E51" s="18" t="str">
        <f>'GİRDİ RAPORU'!E729</f>
        <v>Normal Mesai</v>
      </c>
      <c r="F51" s="18">
        <f>'GİRDİ RAPORU'!F729</f>
        <v>15</v>
      </c>
      <c r="G51" s="18" t="str">
        <f>'GİRDİ RAPORU'!G729</f>
        <v>Temizlik</v>
      </c>
      <c r="H51" s="18">
        <f>'GİRDİ RAPORU'!H729</f>
        <v>15</v>
      </c>
      <c r="I51" s="18" t="str">
        <f>'GİRDİ RAPORU'!I729</f>
        <v>Hazırlık/İlk Isınma</v>
      </c>
      <c r="J51" s="18">
        <f>'GİRDİ RAPORU'!J1637</f>
        <v>0</v>
      </c>
      <c r="K51" s="18">
        <f>'GİRDİ RAPORU'!K1637</f>
        <v>0</v>
      </c>
      <c r="L51" s="18">
        <f>'GİRDİ RAPORU'!L1637</f>
        <v>0</v>
      </c>
      <c r="M51" s="26">
        <f t="shared" si="0"/>
        <v>0.33066666666666666</v>
      </c>
      <c r="N51" s="26">
        <f t="shared" si="1"/>
        <v>5.5555555555555552E-2</v>
      </c>
      <c r="O51" s="26">
        <f t="shared" si="2"/>
        <v>0.94444444444444442</v>
      </c>
    </row>
    <row r="52" spans="1:15" ht="21.75" hidden="1" customHeight="1">
      <c r="A52" s="17">
        <f>'GİRDİ RAPORU'!A730</f>
        <v>45980</v>
      </c>
      <c r="B52" s="18">
        <f>'GİRDİ RAPORU'!B730</f>
        <v>2</v>
      </c>
      <c r="C52" s="18">
        <f>'GİRDİ RAPORU'!C730</f>
        <v>248</v>
      </c>
      <c r="D52" s="18">
        <f>'GİRDİ RAPORU'!D730</f>
        <v>0</v>
      </c>
      <c r="E52" s="18" t="str">
        <f>'GİRDİ RAPORU'!E730</f>
        <v>Normal Mesai</v>
      </c>
      <c r="F52" s="18">
        <f>'GİRDİ RAPORU'!F730</f>
        <v>15</v>
      </c>
      <c r="G52" s="18" t="str">
        <f>'GİRDİ RAPORU'!G730</f>
        <v>Temizlik</v>
      </c>
      <c r="H52" s="18">
        <f>'GİRDİ RAPORU'!H730</f>
        <v>15</v>
      </c>
      <c r="I52" s="18" t="str">
        <f>'GİRDİ RAPORU'!I730</f>
        <v>Hazırlık/İlk Isınma</v>
      </c>
      <c r="J52" s="18">
        <f>'GİRDİ RAPORU'!J1638</f>
        <v>0</v>
      </c>
      <c r="K52" s="18">
        <f>'GİRDİ RAPORU'!K1638</f>
        <v>0</v>
      </c>
      <c r="L52" s="18">
        <f>'GİRDİ RAPORU'!L1638</f>
        <v>0</v>
      </c>
      <c r="M52" s="26">
        <f t="shared" si="0"/>
        <v>0.33066666666666666</v>
      </c>
      <c r="N52" s="26">
        <f t="shared" si="1"/>
        <v>5.5555555555555552E-2</v>
      </c>
      <c r="O52" s="26">
        <f t="shared" si="2"/>
        <v>0.94444444444444442</v>
      </c>
    </row>
    <row r="53" spans="1:15" ht="21.75" hidden="1" customHeight="1">
      <c r="A53" s="17">
        <f>'GİRDİ RAPORU'!A731</f>
        <v>45980</v>
      </c>
      <c r="B53" s="18">
        <f>'GİRDİ RAPORU'!B731</f>
        <v>2</v>
      </c>
      <c r="C53" s="18">
        <f>'GİRDİ RAPORU'!C731</f>
        <v>248</v>
      </c>
      <c r="D53" s="18">
        <f>'GİRDİ RAPORU'!D731</f>
        <v>0</v>
      </c>
      <c r="E53" s="18" t="str">
        <f>'GİRDİ RAPORU'!E731</f>
        <v>Normal Mesai</v>
      </c>
      <c r="F53" s="18">
        <f>'GİRDİ RAPORU'!F731</f>
        <v>15</v>
      </c>
      <c r="G53" s="18" t="str">
        <f>'GİRDİ RAPORU'!G731</f>
        <v>Temizlik</v>
      </c>
      <c r="H53" s="18">
        <f>'GİRDİ RAPORU'!H731</f>
        <v>15</v>
      </c>
      <c r="I53" s="18" t="str">
        <f>'GİRDİ RAPORU'!I731</f>
        <v>Hazırlık/İlk Isınma</v>
      </c>
      <c r="J53" s="18">
        <f>'GİRDİ RAPORU'!J1639</f>
        <v>0</v>
      </c>
      <c r="K53" s="18">
        <f>'GİRDİ RAPORU'!K1639</f>
        <v>0</v>
      </c>
      <c r="L53" s="18">
        <f>'GİRDİ RAPORU'!L1639</f>
        <v>0</v>
      </c>
      <c r="M53" s="26">
        <f t="shared" si="0"/>
        <v>0.33066666666666666</v>
      </c>
      <c r="N53" s="26">
        <f t="shared" si="1"/>
        <v>5.5555555555555552E-2</v>
      </c>
      <c r="O53" s="26">
        <f t="shared" si="2"/>
        <v>0.94444444444444442</v>
      </c>
    </row>
    <row r="54" spans="1:15" ht="21.75" hidden="1" customHeight="1">
      <c r="A54" s="17">
        <f>'GİRDİ RAPORU'!A732</f>
        <v>45980</v>
      </c>
      <c r="B54" s="18">
        <f>'GİRDİ RAPORU'!B732</f>
        <v>2</v>
      </c>
      <c r="C54" s="18">
        <f>'GİRDİ RAPORU'!C732</f>
        <v>248</v>
      </c>
      <c r="D54" s="18">
        <f>'GİRDİ RAPORU'!D732</f>
        <v>0</v>
      </c>
      <c r="E54" s="18" t="str">
        <f>'GİRDİ RAPORU'!E732</f>
        <v>Normal Mesai</v>
      </c>
      <c r="F54" s="18">
        <f>'GİRDİ RAPORU'!F732</f>
        <v>15</v>
      </c>
      <c r="G54" s="18" t="str">
        <f>'GİRDİ RAPORU'!G732</f>
        <v>Temizlik</v>
      </c>
      <c r="H54" s="18">
        <f>'GİRDİ RAPORU'!H732</f>
        <v>15</v>
      </c>
      <c r="I54" s="18" t="str">
        <f>'GİRDİ RAPORU'!I732</f>
        <v>Hazırlık/İlk Isınma</v>
      </c>
      <c r="J54" s="18">
        <f>'GİRDİ RAPORU'!J1640</f>
        <v>0</v>
      </c>
      <c r="K54" s="18">
        <f>'GİRDİ RAPORU'!K1640</f>
        <v>0</v>
      </c>
      <c r="L54" s="18">
        <f>'GİRDİ RAPORU'!L1640</f>
        <v>0</v>
      </c>
      <c r="M54" s="26">
        <f t="shared" si="0"/>
        <v>0.33066666666666666</v>
      </c>
      <c r="N54" s="26">
        <f t="shared" si="1"/>
        <v>5.5555555555555552E-2</v>
      </c>
      <c r="O54" s="26">
        <f t="shared" si="2"/>
        <v>0.94444444444444442</v>
      </c>
    </row>
    <row r="55" spans="1:15" ht="21.75" hidden="1" customHeight="1">
      <c r="A55" s="17">
        <f>'GİRDİ RAPORU'!A733</f>
        <v>45980</v>
      </c>
      <c r="B55" s="18">
        <f>'GİRDİ RAPORU'!B733</f>
        <v>2</v>
      </c>
      <c r="C55" s="18">
        <f>'GİRDİ RAPORU'!C733</f>
        <v>248</v>
      </c>
      <c r="D55" s="18">
        <f>'GİRDİ RAPORU'!D733</f>
        <v>0</v>
      </c>
      <c r="E55" s="18" t="str">
        <f>'GİRDİ RAPORU'!E733</f>
        <v>Normal Mesai</v>
      </c>
      <c r="F55" s="18">
        <f>'GİRDİ RAPORU'!F733</f>
        <v>15</v>
      </c>
      <c r="G55" s="18" t="str">
        <f>'GİRDİ RAPORU'!G733</f>
        <v>Temizlik</v>
      </c>
      <c r="H55" s="18">
        <f>'GİRDİ RAPORU'!H733</f>
        <v>15</v>
      </c>
      <c r="I55" s="18" t="str">
        <f>'GİRDİ RAPORU'!I733</f>
        <v>Hazırlık/İlk Isınma</v>
      </c>
      <c r="J55" s="18">
        <f>'GİRDİ RAPORU'!J1641</f>
        <v>0</v>
      </c>
      <c r="K55" s="18">
        <f>'GİRDİ RAPORU'!K1641</f>
        <v>0</v>
      </c>
      <c r="L55" s="18">
        <f>'GİRDİ RAPORU'!L1641</f>
        <v>0</v>
      </c>
      <c r="M55" s="26">
        <f t="shared" si="0"/>
        <v>0.33066666666666666</v>
      </c>
      <c r="N55" s="26">
        <f t="shared" si="1"/>
        <v>5.5555555555555552E-2</v>
      </c>
      <c r="O55" s="26">
        <f t="shared" si="2"/>
        <v>0.94444444444444442</v>
      </c>
    </row>
    <row r="56" spans="1:15" ht="21.75" hidden="1" customHeight="1">
      <c r="A56" s="17">
        <f>'GİRDİ RAPORU'!A734</f>
        <v>45980</v>
      </c>
      <c r="B56" s="18">
        <f>'GİRDİ RAPORU'!B734</f>
        <v>2</v>
      </c>
      <c r="C56" s="18">
        <f>'GİRDİ RAPORU'!C734</f>
        <v>248</v>
      </c>
      <c r="D56" s="18">
        <f>'GİRDİ RAPORU'!D734</f>
        <v>0</v>
      </c>
      <c r="E56" s="18" t="str">
        <f>'GİRDİ RAPORU'!E734</f>
        <v>Normal Mesai</v>
      </c>
      <c r="F56" s="18">
        <f>'GİRDİ RAPORU'!F734</f>
        <v>15</v>
      </c>
      <c r="G56" s="18" t="str">
        <f>'GİRDİ RAPORU'!G734</f>
        <v>Temizlik</v>
      </c>
      <c r="H56" s="18">
        <f>'GİRDİ RAPORU'!H734</f>
        <v>15</v>
      </c>
      <c r="I56" s="18" t="str">
        <f>'GİRDİ RAPORU'!I734</f>
        <v>Hazırlık/İlk Isınma</v>
      </c>
      <c r="J56" s="18">
        <f>'GİRDİ RAPORU'!J1642</f>
        <v>0</v>
      </c>
      <c r="K56" s="18">
        <f>'GİRDİ RAPORU'!K1642</f>
        <v>0</v>
      </c>
      <c r="L56" s="18">
        <f>'GİRDİ RAPORU'!L1642</f>
        <v>0</v>
      </c>
      <c r="M56" s="26">
        <f t="shared" si="0"/>
        <v>0.33066666666666666</v>
      </c>
      <c r="N56" s="26">
        <f t="shared" si="1"/>
        <v>5.5555555555555552E-2</v>
      </c>
      <c r="O56" s="26">
        <f t="shared" si="2"/>
        <v>0.94444444444444442</v>
      </c>
    </row>
    <row r="57" spans="1:15" ht="21.75" hidden="1" customHeight="1">
      <c r="A57" s="17">
        <f>'GİRDİ RAPORU'!A756</f>
        <v>45980</v>
      </c>
      <c r="B57" s="18">
        <f>'GİRDİ RAPORU'!B756</f>
        <v>2</v>
      </c>
      <c r="C57" s="18">
        <f>'GİRDİ RAPORU'!C756</f>
        <v>350</v>
      </c>
      <c r="D57" s="18">
        <f>'GİRDİ RAPORU'!D756</f>
        <v>0</v>
      </c>
      <c r="E57" s="18" t="str">
        <f>'GİRDİ RAPORU'!E756</f>
        <v>Normal Mesai</v>
      </c>
      <c r="F57" s="18">
        <f>'GİRDİ RAPORU'!F756</f>
        <v>15</v>
      </c>
      <c r="G57" s="18" t="str">
        <f>'GİRDİ RAPORU'!G756</f>
        <v>Temizlik</v>
      </c>
      <c r="H57" s="18">
        <f>'GİRDİ RAPORU'!H756</f>
        <v>15</v>
      </c>
      <c r="I57" s="18" t="str">
        <f>'GİRDİ RAPORU'!I756</f>
        <v>Hazırlık/İlk Isınma</v>
      </c>
      <c r="J57" s="18">
        <f>'GİRDİ RAPORU'!J1643</f>
        <v>0</v>
      </c>
      <c r="K57" s="18">
        <f>'GİRDİ RAPORU'!K1643</f>
        <v>0</v>
      </c>
      <c r="L57" s="18">
        <f>'GİRDİ RAPORU'!L1643</f>
        <v>0</v>
      </c>
      <c r="M57" s="26">
        <f t="shared" si="0"/>
        <v>0.46666666666666667</v>
      </c>
      <c r="N57" s="26">
        <f t="shared" si="1"/>
        <v>5.5555555555555552E-2</v>
      </c>
      <c r="O57" s="26">
        <f t="shared" si="2"/>
        <v>0.94444444444444442</v>
      </c>
    </row>
    <row r="58" spans="1:15" ht="21.75" hidden="1" customHeight="1">
      <c r="A58" s="17">
        <f>'GİRDİ RAPORU'!A712</f>
        <v>45979</v>
      </c>
      <c r="B58" s="18">
        <f>'GİRDİ RAPORU'!B712</f>
        <v>2</v>
      </c>
      <c r="C58" s="18">
        <f>'GİRDİ RAPORU'!C712</f>
        <v>382</v>
      </c>
      <c r="D58" s="18">
        <f>'GİRDİ RAPORU'!D712</f>
        <v>0</v>
      </c>
      <c r="E58" s="18" t="str">
        <f>'GİRDİ RAPORU'!E712</f>
        <v>Normal Mesai</v>
      </c>
      <c r="F58" s="18">
        <f>'GİRDİ RAPORU'!F712</f>
        <v>15</v>
      </c>
      <c r="G58" s="18" t="str">
        <f>'GİRDİ RAPORU'!G712</f>
        <v>Temizlik</v>
      </c>
      <c r="H58" s="18">
        <f>'GİRDİ RAPORU'!H712</f>
        <v>15</v>
      </c>
      <c r="I58" s="18" t="str">
        <f>'GİRDİ RAPORU'!I712</f>
        <v>Hazırlık/İlk Isınma</v>
      </c>
      <c r="J58" s="18">
        <f>'GİRDİ RAPORU'!J1620</f>
        <v>0</v>
      </c>
      <c r="K58" s="18">
        <f>'GİRDİ RAPORU'!K1620</f>
        <v>0</v>
      </c>
      <c r="L58" s="18">
        <f>'GİRDİ RAPORU'!L1620</f>
        <v>0</v>
      </c>
      <c r="M58" s="26">
        <f t="shared" si="0"/>
        <v>0.5093333333333333</v>
      </c>
      <c r="N58" s="26">
        <f t="shared" si="1"/>
        <v>5.5555555555555552E-2</v>
      </c>
      <c r="O58" s="26">
        <f t="shared" si="2"/>
        <v>0.94444444444444442</v>
      </c>
    </row>
    <row r="59" spans="1:15" ht="21.75" hidden="1" customHeight="1">
      <c r="A59" s="17">
        <f>'GİRDİ RAPORU'!A711</f>
        <v>45978</v>
      </c>
      <c r="B59" s="18">
        <f>'GİRDİ RAPORU'!B711</f>
        <v>2</v>
      </c>
      <c r="C59" s="18">
        <f>'GİRDİ RAPORU'!C711</f>
        <v>220</v>
      </c>
      <c r="D59" s="18">
        <f>'GİRDİ RAPORU'!D711</f>
        <v>0</v>
      </c>
      <c r="E59" s="18" t="str">
        <f>'GİRDİ RAPORU'!E711</f>
        <v>Normal Mesai</v>
      </c>
      <c r="F59" s="18">
        <f>'GİRDİ RAPORU'!F711</f>
        <v>15</v>
      </c>
      <c r="G59" s="18" t="str">
        <f>'GİRDİ RAPORU'!G711</f>
        <v>Temizlik</v>
      </c>
      <c r="H59" s="18">
        <f>'GİRDİ RAPORU'!H711</f>
        <v>15</v>
      </c>
      <c r="I59" s="18" t="str">
        <f>'GİRDİ RAPORU'!I711</f>
        <v>Hazırlık/İlk Isınma</v>
      </c>
      <c r="J59" s="18">
        <f>'GİRDİ RAPORU'!J1618</f>
        <v>0</v>
      </c>
      <c r="K59" s="18">
        <f>'GİRDİ RAPORU'!K1618</f>
        <v>0</v>
      </c>
      <c r="L59" s="18">
        <f>'GİRDİ RAPORU'!L1618</f>
        <v>0</v>
      </c>
      <c r="M59" s="26">
        <f t="shared" si="0"/>
        <v>0.29333333333333333</v>
      </c>
      <c r="N59" s="26">
        <f t="shared" si="1"/>
        <v>5.5555555555555552E-2</v>
      </c>
      <c r="O59" s="26">
        <f t="shared" si="2"/>
        <v>0.94444444444444442</v>
      </c>
    </row>
    <row r="60" spans="1:15" ht="21.75" hidden="1" customHeight="1">
      <c r="A60" s="17">
        <f>'GİRDİ RAPORU'!A685</f>
        <v>45978</v>
      </c>
      <c r="B60" s="18">
        <f>'GİRDİ RAPORU'!B685</f>
        <v>2</v>
      </c>
      <c r="C60" s="18">
        <f>'GİRDİ RAPORU'!C685</f>
        <v>260</v>
      </c>
      <c r="D60" s="18">
        <f>'GİRDİ RAPORU'!D685</f>
        <v>0</v>
      </c>
      <c r="E60" s="18" t="str">
        <f>'GİRDİ RAPORU'!E685</f>
        <v>Normal Mesai</v>
      </c>
      <c r="F60" s="18">
        <f>'GİRDİ RAPORU'!F685</f>
        <v>15</v>
      </c>
      <c r="G60" s="18" t="str">
        <f>'GİRDİ RAPORU'!G685</f>
        <v>Temizlik</v>
      </c>
      <c r="H60" s="18">
        <f>'GİRDİ RAPORU'!H685</f>
        <v>15</v>
      </c>
      <c r="I60" s="18" t="str">
        <f>'GİRDİ RAPORU'!I685</f>
        <v>Hazırlık/İlk Isınma</v>
      </c>
      <c r="J60" s="18">
        <f>'GİRDİ RAPORU'!J1619</f>
        <v>0</v>
      </c>
      <c r="K60" s="18">
        <f>'GİRDİ RAPORU'!K1619</f>
        <v>0</v>
      </c>
      <c r="L60" s="18">
        <f>'GİRDİ RAPORU'!L1619</f>
        <v>0</v>
      </c>
      <c r="M60" s="26">
        <f t="shared" si="0"/>
        <v>0.34666666666666668</v>
      </c>
      <c r="N60" s="26">
        <f t="shared" si="1"/>
        <v>5.5555555555555552E-2</v>
      </c>
      <c r="O60" s="26">
        <f t="shared" si="2"/>
        <v>0.94444444444444442</v>
      </c>
    </row>
    <row r="61" spans="1:15" ht="21.75" hidden="1" customHeight="1">
      <c r="A61" s="17">
        <f>'GİRDİ RAPORU'!A686</f>
        <v>45975</v>
      </c>
      <c r="B61" s="18">
        <f>'GİRDİ RAPORU'!B686</f>
        <v>2</v>
      </c>
      <c r="C61" s="18">
        <f>'GİRDİ RAPORU'!C686</f>
        <v>250</v>
      </c>
      <c r="D61" s="18">
        <f>'GİRDİ RAPORU'!D686</f>
        <v>0</v>
      </c>
      <c r="E61" s="18" t="str">
        <f>'GİRDİ RAPORU'!E686</f>
        <v>Normal Mesai</v>
      </c>
      <c r="F61" s="18">
        <f>'GİRDİ RAPORU'!F686</f>
        <v>15</v>
      </c>
      <c r="G61" s="18" t="str">
        <f>'GİRDİ RAPORU'!G686</f>
        <v>Temizlik</v>
      </c>
      <c r="H61" s="18">
        <f>'GİRDİ RAPORU'!H686</f>
        <v>15</v>
      </c>
      <c r="I61" s="18" t="str">
        <f>'GİRDİ RAPORU'!I686</f>
        <v>Hazırlık/İlk Isınma</v>
      </c>
      <c r="J61" s="18">
        <f>'GİRDİ RAPORU'!J1593</f>
        <v>0</v>
      </c>
      <c r="K61" s="18">
        <f>'GİRDİ RAPORU'!K1593</f>
        <v>0</v>
      </c>
      <c r="L61" s="18">
        <f>'GİRDİ RAPORU'!L1593</f>
        <v>0</v>
      </c>
      <c r="M61" s="26">
        <f t="shared" si="0"/>
        <v>0.33333333333333331</v>
      </c>
      <c r="N61" s="26">
        <f t="shared" si="1"/>
        <v>5.5555555555555552E-2</v>
      </c>
      <c r="O61" s="26">
        <f t="shared" si="2"/>
        <v>0.94444444444444442</v>
      </c>
    </row>
    <row r="62" spans="1:15" ht="21.75" hidden="1" customHeight="1">
      <c r="A62" s="17">
        <f>'GİRDİ RAPORU'!A687</f>
        <v>45975</v>
      </c>
      <c r="B62" s="18">
        <f>'GİRDİ RAPORU'!B687</f>
        <v>2</v>
      </c>
      <c r="C62" s="18">
        <f>'GİRDİ RAPORU'!C687</f>
        <v>250</v>
      </c>
      <c r="D62" s="18">
        <f>'GİRDİ RAPORU'!D687</f>
        <v>0</v>
      </c>
      <c r="E62" s="18" t="str">
        <f>'GİRDİ RAPORU'!E687</f>
        <v>Normal Mesai</v>
      </c>
      <c r="F62" s="18">
        <f>'GİRDİ RAPORU'!F687</f>
        <v>15</v>
      </c>
      <c r="G62" s="18" t="str">
        <f>'GİRDİ RAPORU'!G687</f>
        <v>Temizlik</v>
      </c>
      <c r="H62" s="18">
        <f>'GİRDİ RAPORU'!H687</f>
        <v>15</v>
      </c>
      <c r="I62" s="18" t="str">
        <f>'GİRDİ RAPORU'!I687</f>
        <v>Hazırlık/İlk Isınma</v>
      </c>
      <c r="J62" s="18">
        <f>'GİRDİ RAPORU'!J1594</f>
        <v>0</v>
      </c>
      <c r="K62" s="18">
        <f>'GİRDİ RAPORU'!K1594</f>
        <v>0</v>
      </c>
      <c r="L62" s="18">
        <f>'GİRDİ RAPORU'!L1594</f>
        <v>0</v>
      </c>
      <c r="M62" s="26">
        <f t="shared" si="0"/>
        <v>0.33333333333333331</v>
      </c>
      <c r="N62" s="26">
        <f t="shared" si="1"/>
        <v>5.5555555555555552E-2</v>
      </c>
      <c r="O62" s="26">
        <f t="shared" si="2"/>
        <v>0.94444444444444442</v>
      </c>
    </row>
    <row r="63" spans="1:15" ht="21.75" hidden="1" customHeight="1">
      <c r="A63" s="17">
        <f>'GİRDİ RAPORU'!A688</f>
        <v>45975</v>
      </c>
      <c r="B63" s="18">
        <f>'GİRDİ RAPORU'!B688</f>
        <v>2</v>
      </c>
      <c r="C63" s="18">
        <f>'GİRDİ RAPORU'!C688</f>
        <v>250</v>
      </c>
      <c r="D63" s="18">
        <f>'GİRDİ RAPORU'!D688</f>
        <v>0</v>
      </c>
      <c r="E63" s="18" t="str">
        <f>'GİRDİ RAPORU'!E688</f>
        <v>Normal Mesai</v>
      </c>
      <c r="F63" s="18">
        <f>'GİRDİ RAPORU'!F688</f>
        <v>15</v>
      </c>
      <c r="G63" s="18" t="str">
        <f>'GİRDİ RAPORU'!G688</f>
        <v>Temizlik</v>
      </c>
      <c r="H63" s="18">
        <f>'GİRDİ RAPORU'!H688</f>
        <v>15</v>
      </c>
      <c r="I63" s="18" t="str">
        <f>'GİRDİ RAPORU'!I688</f>
        <v>Hazırlık/İlk Isınma</v>
      </c>
      <c r="J63" s="18">
        <f>'GİRDİ RAPORU'!J1595</f>
        <v>0</v>
      </c>
      <c r="K63" s="18">
        <f>'GİRDİ RAPORU'!K1595</f>
        <v>0</v>
      </c>
      <c r="L63" s="18">
        <f>'GİRDİ RAPORU'!L1595</f>
        <v>0</v>
      </c>
      <c r="M63" s="26">
        <f t="shared" si="0"/>
        <v>0.33333333333333331</v>
      </c>
      <c r="N63" s="26">
        <f t="shared" si="1"/>
        <v>5.5555555555555552E-2</v>
      </c>
      <c r="O63" s="26">
        <f t="shared" si="2"/>
        <v>0.94444444444444442</v>
      </c>
    </row>
    <row r="64" spans="1:15" ht="21.75" hidden="1" customHeight="1">
      <c r="A64" s="17">
        <f>'GİRDİ RAPORU'!A689</f>
        <v>45975</v>
      </c>
      <c r="B64" s="18">
        <f>'GİRDİ RAPORU'!B689</f>
        <v>2</v>
      </c>
      <c r="C64" s="18">
        <f>'GİRDİ RAPORU'!C689</f>
        <v>400</v>
      </c>
      <c r="D64" s="18">
        <f>'GİRDİ RAPORU'!D689</f>
        <v>0</v>
      </c>
      <c r="E64" s="18" t="str">
        <f>'GİRDİ RAPORU'!E689</f>
        <v>Normal Mesai</v>
      </c>
      <c r="F64" s="18">
        <f>'GİRDİ RAPORU'!F689</f>
        <v>15</v>
      </c>
      <c r="G64" s="18" t="str">
        <f>'GİRDİ RAPORU'!G689</f>
        <v>Temizlik</v>
      </c>
      <c r="H64" s="18">
        <f>'GİRDİ RAPORU'!H689</f>
        <v>15</v>
      </c>
      <c r="I64" s="18" t="str">
        <f>'GİRDİ RAPORU'!I689</f>
        <v>Hazırlık/İlk Isınma</v>
      </c>
      <c r="J64" s="18">
        <f>'GİRDİ RAPORU'!J1596</f>
        <v>0</v>
      </c>
      <c r="K64" s="18">
        <f>'GİRDİ RAPORU'!K1596</f>
        <v>0</v>
      </c>
      <c r="L64" s="18">
        <f>'GİRDİ RAPORU'!L1596</f>
        <v>0</v>
      </c>
      <c r="M64" s="26">
        <f t="shared" si="0"/>
        <v>0.53333333333333333</v>
      </c>
      <c r="N64" s="26">
        <f t="shared" si="1"/>
        <v>5.5555555555555552E-2</v>
      </c>
      <c r="O64" s="26">
        <f t="shared" si="2"/>
        <v>0.94444444444444442</v>
      </c>
    </row>
    <row r="65" spans="1:15" ht="21.75" hidden="1" customHeight="1">
      <c r="A65" s="17">
        <f>'GİRDİ RAPORU'!A690</f>
        <v>45975</v>
      </c>
      <c r="B65" s="18">
        <f>'GİRDİ RAPORU'!B690</f>
        <v>2</v>
      </c>
      <c r="C65" s="18">
        <f>'GİRDİ RAPORU'!C690</f>
        <v>400</v>
      </c>
      <c r="D65" s="18">
        <f>'GİRDİ RAPORU'!D690</f>
        <v>0</v>
      </c>
      <c r="E65" s="18" t="str">
        <f>'GİRDİ RAPORU'!E690</f>
        <v>Normal Mesai</v>
      </c>
      <c r="F65" s="18">
        <f>'GİRDİ RAPORU'!F690</f>
        <v>15</v>
      </c>
      <c r="G65" s="18" t="str">
        <f>'GİRDİ RAPORU'!G690</f>
        <v>Temizlik</v>
      </c>
      <c r="H65" s="18">
        <f>'GİRDİ RAPORU'!H690</f>
        <v>15</v>
      </c>
      <c r="I65" s="18" t="str">
        <f>'GİRDİ RAPORU'!I690</f>
        <v>Hazırlık/İlk Isınma</v>
      </c>
      <c r="J65" s="18">
        <f>'GİRDİ RAPORU'!J1597</f>
        <v>0</v>
      </c>
      <c r="K65" s="18">
        <f>'GİRDİ RAPORU'!K1597</f>
        <v>0</v>
      </c>
      <c r="L65" s="18">
        <f>'GİRDİ RAPORU'!L1597</f>
        <v>0</v>
      </c>
      <c r="M65" s="26">
        <f t="shared" si="0"/>
        <v>0.53333333333333333</v>
      </c>
      <c r="N65" s="26">
        <f t="shared" si="1"/>
        <v>5.5555555555555552E-2</v>
      </c>
      <c r="O65" s="26">
        <f t="shared" si="2"/>
        <v>0.94444444444444442</v>
      </c>
    </row>
    <row r="66" spans="1:15" ht="21.75" hidden="1" customHeight="1">
      <c r="A66" s="17">
        <f>'GİRDİ RAPORU'!A691</f>
        <v>45975</v>
      </c>
      <c r="B66" s="18">
        <f>'GİRDİ RAPORU'!B691</f>
        <v>2</v>
      </c>
      <c r="C66" s="18">
        <f>'GİRDİ RAPORU'!C691</f>
        <v>400</v>
      </c>
      <c r="D66" s="18">
        <f>'GİRDİ RAPORU'!D691</f>
        <v>0</v>
      </c>
      <c r="E66" s="18" t="str">
        <f>'GİRDİ RAPORU'!E691</f>
        <v>Normal Mesai</v>
      </c>
      <c r="F66" s="18">
        <f>'GİRDİ RAPORU'!F691</f>
        <v>15</v>
      </c>
      <c r="G66" s="18" t="str">
        <f>'GİRDİ RAPORU'!G691</f>
        <v>Temizlik</v>
      </c>
      <c r="H66" s="18">
        <f>'GİRDİ RAPORU'!H691</f>
        <v>15</v>
      </c>
      <c r="I66" s="18" t="str">
        <f>'GİRDİ RAPORU'!I691</f>
        <v>Hazırlık/İlk Isınma</v>
      </c>
      <c r="J66" s="18">
        <f>'GİRDİ RAPORU'!J1598</f>
        <v>0</v>
      </c>
      <c r="K66" s="18">
        <f>'GİRDİ RAPORU'!K1598</f>
        <v>0</v>
      </c>
      <c r="L66" s="18">
        <f>'GİRDİ RAPORU'!L1598</f>
        <v>0</v>
      </c>
      <c r="M66" s="26">
        <f t="shared" ref="M66:M129" si="3">(C66+D66)/750</f>
        <v>0.53333333333333333</v>
      </c>
      <c r="N66" s="26">
        <f t="shared" ref="N66:N129" si="4">(F66+H66+J66)/540</f>
        <v>5.5555555555555552E-2</v>
      </c>
      <c r="O66" s="26">
        <f t="shared" ref="O66:O129" si="5">(540-F66-H66-J66)/540</f>
        <v>0.94444444444444442</v>
      </c>
    </row>
    <row r="67" spans="1:15" ht="21.75" hidden="1" customHeight="1">
      <c r="A67" s="17">
        <f>'GİRDİ RAPORU'!A692</f>
        <v>45975</v>
      </c>
      <c r="B67" s="18">
        <f>'GİRDİ RAPORU'!B692</f>
        <v>2</v>
      </c>
      <c r="C67" s="18">
        <f>'GİRDİ RAPORU'!C692</f>
        <v>400</v>
      </c>
      <c r="D67" s="18">
        <f>'GİRDİ RAPORU'!D692</f>
        <v>0</v>
      </c>
      <c r="E67" s="18" t="str">
        <f>'GİRDİ RAPORU'!E692</f>
        <v>Normal Mesai</v>
      </c>
      <c r="F67" s="18">
        <f>'GİRDİ RAPORU'!F692</f>
        <v>15</v>
      </c>
      <c r="G67" s="18" t="str">
        <f>'GİRDİ RAPORU'!G692</f>
        <v>Temizlik</v>
      </c>
      <c r="H67" s="18">
        <f>'GİRDİ RAPORU'!H692</f>
        <v>15</v>
      </c>
      <c r="I67" s="18" t="str">
        <f>'GİRDİ RAPORU'!I692</f>
        <v>Hazırlık/İlk Isınma</v>
      </c>
      <c r="J67" s="18">
        <f>'GİRDİ RAPORU'!J1599</f>
        <v>0</v>
      </c>
      <c r="K67" s="18">
        <f>'GİRDİ RAPORU'!K1599</f>
        <v>0</v>
      </c>
      <c r="L67" s="18">
        <f>'GİRDİ RAPORU'!L1599</f>
        <v>0</v>
      </c>
      <c r="M67" s="26">
        <f t="shared" si="3"/>
        <v>0.53333333333333333</v>
      </c>
      <c r="N67" s="26">
        <f t="shared" si="4"/>
        <v>5.5555555555555552E-2</v>
      </c>
      <c r="O67" s="26">
        <f t="shared" si="5"/>
        <v>0.94444444444444442</v>
      </c>
    </row>
    <row r="68" spans="1:15" ht="21.75" hidden="1" customHeight="1">
      <c r="A68" s="17">
        <f>'GİRDİ RAPORU'!A693</f>
        <v>45975</v>
      </c>
      <c r="B68" s="18">
        <f>'GİRDİ RAPORU'!B693</f>
        <v>2</v>
      </c>
      <c r="C68" s="18">
        <f>'GİRDİ RAPORU'!C693</f>
        <v>400</v>
      </c>
      <c r="D68" s="18">
        <f>'GİRDİ RAPORU'!D693</f>
        <v>0</v>
      </c>
      <c r="E68" s="18" t="str">
        <f>'GİRDİ RAPORU'!E693</f>
        <v>Normal Mesai</v>
      </c>
      <c r="F68" s="18">
        <f>'GİRDİ RAPORU'!F693</f>
        <v>15</v>
      </c>
      <c r="G68" s="18" t="str">
        <f>'GİRDİ RAPORU'!G693</f>
        <v>Temizlik</v>
      </c>
      <c r="H68" s="18">
        <f>'GİRDİ RAPORU'!H693</f>
        <v>15</v>
      </c>
      <c r="I68" s="18" t="str">
        <f>'GİRDİ RAPORU'!I693</f>
        <v>Hazırlık/İlk Isınma</v>
      </c>
      <c r="J68" s="18">
        <f>'GİRDİ RAPORU'!J1600</f>
        <v>0</v>
      </c>
      <c r="K68" s="18">
        <f>'GİRDİ RAPORU'!K1600</f>
        <v>0</v>
      </c>
      <c r="L68" s="18">
        <f>'GİRDİ RAPORU'!L1600</f>
        <v>0</v>
      </c>
      <c r="M68" s="26">
        <f t="shared" si="3"/>
        <v>0.53333333333333333</v>
      </c>
      <c r="N68" s="26">
        <f t="shared" si="4"/>
        <v>5.5555555555555552E-2</v>
      </c>
      <c r="O68" s="26">
        <f t="shared" si="5"/>
        <v>0.94444444444444442</v>
      </c>
    </row>
    <row r="69" spans="1:15" ht="21.75" hidden="1" customHeight="1">
      <c r="A69" s="17">
        <f>'GİRDİ RAPORU'!A694</f>
        <v>45975</v>
      </c>
      <c r="B69" s="18">
        <f>'GİRDİ RAPORU'!B694</f>
        <v>2</v>
      </c>
      <c r="C69" s="18">
        <f>'GİRDİ RAPORU'!C694</f>
        <v>400</v>
      </c>
      <c r="D69" s="18">
        <f>'GİRDİ RAPORU'!D694</f>
        <v>0</v>
      </c>
      <c r="E69" s="18" t="str">
        <f>'GİRDİ RAPORU'!E694</f>
        <v>Normal Mesai</v>
      </c>
      <c r="F69" s="18">
        <f>'GİRDİ RAPORU'!F694</f>
        <v>15</v>
      </c>
      <c r="G69" s="18" t="str">
        <f>'GİRDİ RAPORU'!G694</f>
        <v>Temizlik</v>
      </c>
      <c r="H69" s="18">
        <f>'GİRDİ RAPORU'!H694</f>
        <v>15</v>
      </c>
      <c r="I69" s="18" t="str">
        <f>'GİRDİ RAPORU'!I694</f>
        <v>Hazırlık/İlk Isınma</v>
      </c>
      <c r="J69" s="18">
        <f>'GİRDİ RAPORU'!J1601</f>
        <v>0</v>
      </c>
      <c r="K69" s="18">
        <f>'GİRDİ RAPORU'!K1601</f>
        <v>0</v>
      </c>
      <c r="L69" s="18">
        <f>'GİRDİ RAPORU'!L1601</f>
        <v>0</v>
      </c>
      <c r="M69" s="26">
        <f t="shared" si="3"/>
        <v>0.53333333333333333</v>
      </c>
      <c r="N69" s="26">
        <f t="shared" si="4"/>
        <v>5.5555555555555552E-2</v>
      </c>
      <c r="O69" s="26">
        <f t="shared" si="5"/>
        <v>0.94444444444444442</v>
      </c>
    </row>
    <row r="70" spans="1:15" ht="21.75" hidden="1" customHeight="1">
      <c r="A70" s="17">
        <f>'GİRDİ RAPORU'!A695</f>
        <v>45975</v>
      </c>
      <c r="B70" s="18">
        <f>'GİRDİ RAPORU'!B695</f>
        <v>2</v>
      </c>
      <c r="C70" s="18">
        <f>'GİRDİ RAPORU'!C695</f>
        <v>400</v>
      </c>
      <c r="D70" s="18">
        <f>'GİRDİ RAPORU'!D695</f>
        <v>0</v>
      </c>
      <c r="E70" s="18" t="str">
        <f>'GİRDİ RAPORU'!E695</f>
        <v>Normal Mesai</v>
      </c>
      <c r="F70" s="18">
        <f>'GİRDİ RAPORU'!F695</f>
        <v>15</v>
      </c>
      <c r="G70" s="18" t="str">
        <f>'GİRDİ RAPORU'!G695</f>
        <v>Temizlik</v>
      </c>
      <c r="H70" s="18">
        <f>'GİRDİ RAPORU'!H695</f>
        <v>15</v>
      </c>
      <c r="I70" s="18" t="str">
        <f>'GİRDİ RAPORU'!I695</f>
        <v>Hazırlık/İlk Isınma</v>
      </c>
      <c r="J70" s="18">
        <f>'GİRDİ RAPORU'!J1602</f>
        <v>0</v>
      </c>
      <c r="K70" s="18">
        <f>'GİRDİ RAPORU'!K1602</f>
        <v>0</v>
      </c>
      <c r="L70" s="18">
        <f>'GİRDİ RAPORU'!L1602</f>
        <v>0</v>
      </c>
      <c r="M70" s="26">
        <f t="shared" si="3"/>
        <v>0.53333333333333333</v>
      </c>
      <c r="N70" s="26">
        <f t="shared" si="4"/>
        <v>5.5555555555555552E-2</v>
      </c>
      <c r="O70" s="26">
        <f t="shared" si="5"/>
        <v>0.94444444444444442</v>
      </c>
    </row>
    <row r="71" spans="1:15" ht="21.75" hidden="1" customHeight="1">
      <c r="A71" s="17">
        <f>'GİRDİ RAPORU'!A696</f>
        <v>45975</v>
      </c>
      <c r="B71" s="18">
        <f>'GİRDİ RAPORU'!B696</f>
        <v>2</v>
      </c>
      <c r="C71" s="18">
        <f>'GİRDİ RAPORU'!C696</f>
        <v>400</v>
      </c>
      <c r="D71" s="18">
        <f>'GİRDİ RAPORU'!D696</f>
        <v>0</v>
      </c>
      <c r="E71" s="18" t="str">
        <f>'GİRDİ RAPORU'!E696</f>
        <v>Normal Mesai</v>
      </c>
      <c r="F71" s="18">
        <f>'GİRDİ RAPORU'!F696</f>
        <v>15</v>
      </c>
      <c r="G71" s="18" t="str">
        <f>'GİRDİ RAPORU'!G696</f>
        <v>Temizlik</v>
      </c>
      <c r="H71" s="18">
        <f>'GİRDİ RAPORU'!H696</f>
        <v>15</v>
      </c>
      <c r="I71" s="18" t="str">
        <f>'GİRDİ RAPORU'!I696</f>
        <v>Hazırlık/İlk Isınma</v>
      </c>
      <c r="J71" s="18">
        <f>'GİRDİ RAPORU'!J1603</f>
        <v>0</v>
      </c>
      <c r="K71" s="18">
        <f>'GİRDİ RAPORU'!K1603</f>
        <v>0</v>
      </c>
      <c r="L71" s="18">
        <f>'GİRDİ RAPORU'!L1603</f>
        <v>0</v>
      </c>
      <c r="M71" s="26">
        <f t="shared" si="3"/>
        <v>0.53333333333333333</v>
      </c>
      <c r="N71" s="26">
        <f t="shared" si="4"/>
        <v>5.5555555555555552E-2</v>
      </c>
      <c r="O71" s="26">
        <f t="shared" si="5"/>
        <v>0.94444444444444442</v>
      </c>
    </row>
    <row r="72" spans="1:15" ht="21.75" hidden="1" customHeight="1">
      <c r="A72" s="17">
        <f>'GİRDİ RAPORU'!A697</f>
        <v>45975</v>
      </c>
      <c r="B72" s="18">
        <f>'GİRDİ RAPORU'!B697</f>
        <v>2</v>
      </c>
      <c r="C72" s="18">
        <f>'GİRDİ RAPORU'!C697</f>
        <v>400</v>
      </c>
      <c r="D72" s="18">
        <f>'GİRDİ RAPORU'!D697</f>
        <v>0</v>
      </c>
      <c r="E72" s="18" t="str">
        <f>'GİRDİ RAPORU'!E697</f>
        <v>Normal Mesai</v>
      </c>
      <c r="F72" s="18">
        <f>'GİRDİ RAPORU'!F697</f>
        <v>15</v>
      </c>
      <c r="G72" s="18" t="str">
        <f>'GİRDİ RAPORU'!G697</f>
        <v>Temizlik</v>
      </c>
      <c r="H72" s="18">
        <f>'GİRDİ RAPORU'!H697</f>
        <v>15</v>
      </c>
      <c r="I72" s="18" t="str">
        <f>'GİRDİ RAPORU'!I697</f>
        <v>Hazırlık/İlk Isınma</v>
      </c>
      <c r="J72" s="18">
        <f>'GİRDİ RAPORU'!J1604</f>
        <v>0</v>
      </c>
      <c r="K72" s="18">
        <f>'GİRDİ RAPORU'!K1604</f>
        <v>0</v>
      </c>
      <c r="L72" s="18">
        <f>'GİRDİ RAPORU'!L1604</f>
        <v>0</v>
      </c>
      <c r="M72" s="26">
        <f t="shared" si="3"/>
        <v>0.53333333333333333</v>
      </c>
      <c r="N72" s="26">
        <f t="shared" si="4"/>
        <v>5.5555555555555552E-2</v>
      </c>
      <c r="O72" s="26">
        <f t="shared" si="5"/>
        <v>0.94444444444444442</v>
      </c>
    </row>
    <row r="73" spans="1:15" ht="21.75" hidden="1" customHeight="1">
      <c r="A73" s="17">
        <f>'GİRDİ RAPORU'!A698</f>
        <v>45975</v>
      </c>
      <c r="B73" s="18">
        <f>'GİRDİ RAPORU'!B698</f>
        <v>2</v>
      </c>
      <c r="C73" s="18">
        <f>'GİRDİ RAPORU'!C698</f>
        <v>400</v>
      </c>
      <c r="D73" s="18">
        <f>'GİRDİ RAPORU'!D698</f>
        <v>0</v>
      </c>
      <c r="E73" s="18" t="str">
        <f>'GİRDİ RAPORU'!E698</f>
        <v>Normal Mesai</v>
      </c>
      <c r="F73" s="18">
        <f>'GİRDİ RAPORU'!F698</f>
        <v>15</v>
      </c>
      <c r="G73" s="18" t="str">
        <f>'GİRDİ RAPORU'!G698</f>
        <v>Temizlik</v>
      </c>
      <c r="H73" s="18">
        <f>'GİRDİ RAPORU'!H698</f>
        <v>15</v>
      </c>
      <c r="I73" s="18" t="str">
        <f>'GİRDİ RAPORU'!I698</f>
        <v>Hazırlık/İlk Isınma</v>
      </c>
      <c r="J73" s="18">
        <f>'GİRDİ RAPORU'!J1605</f>
        <v>0</v>
      </c>
      <c r="K73" s="18">
        <f>'GİRDİ RAPORU'!K1605</f>
        <v>0</v>
      </c>
      <c r="L73" s="18">
        <f>'GİRDİ RAPORU'!L1605</f>
        <v>0</v>
      </c>
      <c r="M73" s="26">
        <f t="shared" si="3"/>
        <v>0.53333333333333333</v>
      </c>
      <c r="N73" s="26">
        <f t="shared" si="4"/>
        <v>5.5555555555555552E-2</v>
      </c>
      <c r="O73" s="26">
        <f t="shared" si="5"/>
        <v>0.94444444444444442</v>
      </c>
    </row>
    <row r="74" spans="1:15" ht="21.75" hidden="1" customHeight="1">
      <c r="A74" s="17">
        <f>'GİRDİ RAPORU'!A699</f>
        <v>45975</v>
      </c>
      <c r="B74" s="18">
        <f>'GİRDİ RAPORU'!B699</f>
        <v>2</v>
      </c>
      <c r="C74" s="18">
        <f>'GİRDİ RAPORU'!C699</f>
        <v>400</v>
      </c>
      <c r="D74" s="18">
        <f>'GİRDİ RAPORU'!D699</f>
        <v>0</v>
      </c>
      <c r="E74" s="18" t="str">
        <f>'GİRDİ RAPORU'!E699</f>
        <v>Normal Mesai</v>
      </c>
      <c r="F74" s="18">
        <f>'GİRDİ RAPORU'!F699</f>
        <v>15</v>
      </c>
      <c r="G74" s="18" t="str">
        <f>'GİRDİ RAPORU'!G699</f>
        <v>Temizlik</v>
      </c>
      <c r="H74" s="18">
        <f>'GİRDİ RAPORU'!H699</f>
        <v>15</v>
      </c>
      <c r="I74" s="18" t="str">
        <f>'GİRDİ RAPORU'!I699</f>
        <v>Hazırlık/İlk Isınma</v>
      </c>
      <c r="J74" s="18">
        <f>'GİRDİ RAPORU'!J1606</f>
        <v>0</v>
      </c>
      <c r="K74" s="18">
        <f>'GİRDİ RAPORU'!K1606</f>
        <v>0</v>
      </c>
      <c r="L74" s="18">
        <f>'GİRDİ RAPORU'!L1606</f>
        <v>0</v>
      </c>
      <c r="M74" s="26">
        <f t="shared" si="3"/>
        <v>0.53333333333333333</v>
      </c>
      <c r="N74" s="26">
        <f t="shared" si="4"/>
        <v>5.5555555555555552E-2</v>
      </c>
      <c r="O74" s="26">
        <f t="shared" si="5"/>
        <v>0.94444444444444442</v>
      </c>
    </row>
    <row r="75" spans="1:15" ht="21.75" hidden="1" customHeight="1">
      <c r="A75" s="17">
        <f>'GİRDİ RAPORU'!A700</f>
        <v>45975</v>
      </c>
      <c r="B75" s="18">
        <f>'GİRDİ RAPORU'!B700</f>
        <v>2</v>
      </c>
      <c r="C75" s="18">
        <f>'GİRDİ RAPORU'!C700</f>
        <v>400</v>
      </c>
      <c r="D75" s="18">
        <f>'GİRDİ RAPORU'!D700</f>
        <v>0</v>
      </c>
      <c r="E75" s="18" t="str">
        <f>'GİRDİ RAPORU'!E700</f>
        <v>Normal Mesai</v>
      </c>
      <c r="F75" s="18">
        <f>'GİRDİ RAPORU'!F700</f>
        <v>15</v>
      </c>
      <c r="G75" s="18" t="str">
        <f>'GİRDİ RAPORU'!G700</f>
        <v>Temizlik</v>
      </c>
      <c r="H75" s="18">
        <f>'GİRDİ RAPORU'!H700</f>
        <v>15</v>
      </c>
      <c r="I75" s="18" t="str">
        <f>'GİRDİ RAPORU'!I700</f>
        <v>Hazırlık/İlk Isınma</v>
      </c>
      <c r="J75" s="18">
        <f>'GİRDİ RAPORU'!J1607</f>
        <v>0</v>
      </c>
      <c r="K75" s="18">
        <f>'GİRDİ RAPORU'!K1607</f>
        <v>0</v>
      </c>
      <c r="L75" s="18">
        <f>'GİRDİ RAPORU'!L1607</f>
        <v>0</v>
      </c>
      <c r="M75" s="26">
        <f t="shared" si="3"/>
        <v>0.53333333333333333</v>
      </c>
      <c r="N75" s="26">
        <f t="shared" si="4"/>
        <v>5.5555555555555552E-2</v>
      </c>
      <c r="O75" s="26">
        <f t="shared" si="5"/>
        <v>0.94444444444444442</v>
      </c>
    </row>
    <row r="76" spans="1:15" ht="21.75" hidden="1" customHeight="1">
      <c r="A76" s="17">
        <f>'GİRDİ RAPORU'!A701</f>
        <v>45975</v>
      </c>
      <c r="B76" s="18">
        <f>'GİRDİ RAPORU'!B701</f>
        <v>2</v>
      </c>
      <c r="C76" s="18">
        <f>'GİRDİ RAPORU'!C701</f>
        <v>400</v>
      </c>
      <c r="D76" s="18">
        <f>'GİRDİ RAPORU'!D701</f>
        <v>0</v>
      </c>
      <c r="E76" s="18" t="str">
        <f>'GİRDİ RAPORU'!E701</f>
        <v>Normal Mesai</v>
      </c>
      <c r="F76" s="18">
        <f>'GİRDİ RAPORU'!F701</f>
        <v>15</v>
      </c>
      <c r="G76" s="18" t="str">
        <f>'GİRDİ RAPORU'!G701</f>
        <v>Temizlik</v>
      </c>
      <c r="H76" s="18">
        <f>'GİRDİ RAPORU'!H701</f>
        <v>15</v>
      </c>
      <c r="I76" s="18" t="str">
        <f>'GİRDİ RAPORU'!I701</f>
        <v>Hazırlık/İlk Isınma</v>
      </c>
      <c r="J76" s="18">
        <f>'GİRDİ RAPORU'!J1608</f>
        <v>0</v>
      </c>
      <c r="K76" s="18">
        <f>'GİRDİ RAPORU'!K1608</f>
        <v>0</v>
      </c>
      <c r="L76" s="18">
        <f>'GİRDİ RAPORU'!L1608</f>
        <v>0</v>
      </c>
      <c r="M76" s="26">
        <f t="shared" si="3"/>
        <v>0.53333333333333333</v>
      </c>
      <c r="N76" s="26">
        <f t="shared" si="4"/>
        <v>5.5555555555555552E-2</v>
      </c>
      <c r="O76" s="26">
        <f t="shared" si="5"/>
        <v>0.94444444444444442</v>
      </c>
    </row>
    <row r="77" spans="1:15" ht="21.75" hidden="1" customHeight="1">
      <c r="A77" s="17">
        <f>'GİRDİ RAPORU'!A702</f>
        <v>45975</v>
      </c>
      <c r="B77" s="18">
        <f>'GİRDİ RAPORU'!B702</f>
        <v>2</v>
      </c>
      <c r="C77" s="18">
        <f>'GİRDİ RAPORU'!C702</f>
        <v>400</v>
      </c>
      <c r="D77" s="18">
        <f>'GİRDİ RAPORU'!D702</f>
        <v>0</v>
      </c>
      <c r="E77" s="18" t="str">
        <f>'GİRDİ RAPORU'!E702</f>
        <v>Normal Mesai</v>
      </c>
      <c r="F77" s="18">
        <f>'GİRDİ RAPORU'!F702</f>
        <v>15</v>
      </c>
      <c r="G77" s="18" t="str">
        <f>'GİRDİ RAPORU'!G702</f>
        <v>Temizlik</v>
      </c>
      <c r="H77" s="18">
        <f>'GİRDİ RAPORU'!H702</f>
        <v>15</v>
      </c>
      <c r="I77" s="18" t="str">
        <f>'GİRDİ RAPORU'!I702</f>
        <v>Hazırlık/İlk Isınma</v>
      </c>
      <c r="J77" s="18">
        <f>'GİRDİ RAPORU'!J1609</f>
        <v>0</v>
      </c>
      <c r="K77" s="18">
        <f>'GİRDİ RAPORU'!K1609</f>
        <v>0</v>
      </c>
      <c r="L77" s="18">
        <f>'GİRDİ RAPORU'!L1609</f>
        <v>0</v>
      </c>
      <c r="M77" s="26">
        <f t="shared" si="3"/>
        <v>0.53333333333333333</v>
      </c>
      <c r="N77" s="26">
        <f t="shared" si="4"/>
        <v>5.5555555555555552E-2</v>
      </c>
      <c r="O77" s="26">
        <f t="shared" si="5"/>
        <v>0.94444444444444442</v>
      </c>
    </row>
    <row r="78" spans="1:15" ht="21.75" hidden="1" customHeight="1">
      <c r="A78" s="17">
        <f>'GİRDİ RAPORU'!A703</f>
        <v>45975</v>
      </c>
      <c r="B78" s="18">
        <f>'GİRDİ RAPORU'!B703</f>
        <v>2</v>
      </c>
      <c r="C78" s="18">
        <f>'GİRDİ RAPORU'!C703</f>
        <v>400</v>
      </c>
      <c r="D78" s="18">
        <f>'GİRDİ RAPORU'!D703</f>
        <v>0</v>
      </c>
      <c r="E78" s="18" t="str">
        <f>'GİRDİ RAPORU'!E703</f>
        <v>Normal Mesai</v>
      </c>
      <c r="F78" s="18">
        <f>'GİRDİ RAPORU'!F703</f>
        <v>15</v>
      </c>
      <c r="G78" s="18" t="str">
        <f>'GİRDİ RAPORU'!G703</f>
        <v>Temizlik</v>
      </c>
      <c r="H78" s="18">
        <f>'GİRDİ RAPORU'!H703</f>
        <v>15</v>
      </c>
      <c r="I78" s="18" t="str">
        <f>'GİRDİ RAPORU'!I703</f>
        <v>Hazırlık/İlk Isınma</v>
      </c>
      <c r="J78" s="18">
        <f>'GİRDİ RAPORU'!J1610</f>
        <v>0</v>
      </c>
      <c r="K78" s="18">
        <f>'GİRDİ RAPORU'!K1610</f>
        <v>0</v>
      </c>
      <c r="L78" s="18">
        <f>'GİRDİ RAPORU'!L1610</f>
        <v>0</v>
      </c>
      <c r="M78" s="26">
        <f t="shared" si="3"/>
        <v>0.53333333333333333</v>
      </c>
      <c r="N78" s="26">
        <f t="shared" si="4"/>
        <v>5.5555555555555552E-2</v>
      </c>
      <c r="O78" s="26">
        <f t="shared" si="5"/>
        <v>0.94444444444444442</v>
      </c>
    </row>
    <row r="79" spans="1:15" ht="21.75" hidden="1" customHeight="1">
      <c r="A79" s="17">
        <f>'GİRDİ RAPORU'!A704</f>
        <v>45975</v>
      </c>
      <c r="B79" s="18">
        <f>'GİRDİ RAPORU'!B704</f>
        <v>2</v>
      </c>
      <c r="C79" s="18">
        <f>'GİRDİ RAPORU'!C704</f>
        <v>400</v>
      </c>
      <c r="D79" s="18">
        <f>'GİRDİ RAPORU'!D704</f>
        <v>0</v>
      </c>
      <c r="E79" s="18" t="str">
        <f>'GİRDİ RAPORU'!E704</f>
        <v>Normal Mesai</v>
      </c>
      <c r="F79" s="18">
        <f>'GİRDİ RAPORU'!F704</f>
        <v>15</v>
      </c>
      <c r="G79" s="18" t="str">
        <f>'GİRDİ RAPORU'!G704</f>
        <v>Temizlik</v>
      </c>
      <c r="H79" s="18">
        <f>'GİRDİ RAPORU'!H704</f>
        <v>15</v>
      </c>
      <c r="I79" s="18" t="str">
        <f>'GİRDİ RAPORU'!I704</f>
        <v>Hazırlık/İlk Isınma</v>
      </c>
      <c r="J79" s="18">
        <f>'GİRDİ RAPORU'!J1611</f>
        <v>0</v>
      </c>
      <c r="K79" s="18">
        <f>'GİRDİ RAPORU'!K1611</f>
        <v>0</v>
      </c>
      <c r="L79" s="18">
        <f>'GİRDİ RAPORU'!L1611</f>
        <v>0</v>
      </c>
      <c r="M79" s="26">
        <f t="shared" si="3"/>
        <v>0.53333333333333333</v>
      </c>
      <c r="N79" s="26">
        <f t="shared" si="4"/>
        <v>5.5555555555555552E-2</v>
      </c>
      <c r="O79" s="26">
        <f t="shared" si="5"/>
        <v>0.94444444444444442</v>
      </c>
    </row>
    <row r="80" spans="1:15" ht="21.75" hidden="1" customHeight="1">
      <c r="A80" s="17">
        <f>'GİRDİ RAPORU'!A705</f>
        <v>45975</v>
      </c>
      <c r="B80" s="18">
        <f>'GİRDİ RAPORU'!B705</f>
        <v>2</v>
      </c>
      <c r="C80" s="18">
        <f>'GİRDİ RAPORU'!C705</f>
        <v>400</v>
      </c>
      <c r="D80" s="18">
        <f>'GİRDİ RAPORU'!D705</f>
        <v>0</v>
      </c>
      <c r="E80" s="18" t="str">
        <f>'GİRDİ RAPORU'!E705</f>
        <v>Normal Mesai</v>
      </c>
      <c r="F80" s="18">
        <f>'GİRDİ RAPORU'!F705</f>
        <v>15</v>
      </c>
      <c r="G80" s="18" t="str">
        <f>'GİRDİ RAPORU'!G705</f>
        <v>Temizlik</v>
      </c>
      <c r="H80" s="18">
        <f>'GİRDİ RAPORU'!H705</f>
        <v>15</v>
      </c>
      <c r="I80" s="18" t="str">
        <f>'GİRDİ RAPORU'!I705</f>
        <v>Hazırlık/İlk Isınma</v>
      </c>
      <c r="J80" s="18">
        <f>'GİRDİ RAPORU'!J1612</f>
        <v>0</v>
      </c>
      <c r="K80" s="18">
        <f>'GİRDİ RAPORU'!K1612</f>
        <v>0</v>
      </c>
      <c r="L80" s="18">
        <f>'GİRDİ RAPORU'!L1612</f>
        <v>0</v>
      </c>
      <c r="M80" s="26">
        <f t="shared" si="3"/>
        <v>0.53333333333333333</v>
      </c>
      <c r="N80" s="26">
        <f t="shared" si="4"/>
        <v>5.5555555555555552E-2</v>
      </c>
      <c r="O80" s="26">
        <f t="shared" si="5"/>
        <v>0.94444444444444442</v>
      </c>
    </row>
    <row r="81" spans="1:15" ht="21.75" hidden="1" customHeight="1">
      <c r="A81" s="17">
        <f>'GİRDİ RAPORU'!A706</f>
        <v>45975</v>
      </c>
      <c r="B81" s="18">
        <f>'GİRDİ RAPORU'!B706</f>
        <v>2</v>
      </c>
      <c r="C81" s="18">
        <f>'GİRDİ RAPORU'!C706</f>
        <v>400</v>
      </c>
      <c r="D81" s="18">
        <f>'GİRDİ RAPORU'!D706</f>
        <v>0</v>
      </c>
      <c r="E81" s="18" t="str">
        <f>'GİRDİ RAPORU'!E706</f>
        <v>Normal Mesai</v>
      </c>
      <c r="F81" s="18">
        <f>'GİRDİ RAPORU'!F706</f>
        <v>15</v>
      </c>
      <c r="G81" s="18" t="str">
        <f>'GİRDİ RAPORU'!G706</f>
        <v>Temizlik</v>
      </c>
      <c r="H81" s="18">
        <f>'GİRDİ RAPORU'!H706</f>
        <v>15</v>
      </c>
      <c r="I81" s="18" t="str">
        <f>'GİRDİ RAPORU'!I706</f>
        <v>Hazırlık/İlk Isınma</v>
      </c>
      <c r="J81" s="18">
        <f>'GİRDİ RAPORU'!J1613</f>
        <v>0</v>
      </c>
      <c r="K81" s="18">
        <f>'GİRDİ RAPORU'!K1613</f>
        <v>0</v>
      </c>
      <c r="L81" s="18">
        <f>'GİRDİ RAPORU'!L1613</f>
        <v>0</v>
      </c>
      <c r="M81" s="26">
        <f t="shared" si="3"/>
        <v>0.53333333333333333</v>
      </c>
      <c r="N81" s="26">
        <f t="shared" si="4"/>
        <v>5.5555555555555552E-2</v>
      </c>
      <c r="O81" s="26">
        <f t="shared" si="5"/>
        <v>0.94444444444444442</v>
      </c>
    </row>
    <row r="82" spans="1:15" ht="21.75" hidden="1" customHeight="1">
      <c r="A82" s="17">
        <f>'GİRDİ RAPORU'!A707</f>
        <v>45975</v>
      </c>
      <c r="B82" s="18">
        <f>'GİRDİ RAPORU'!B707</f>
        <v>2</v>
      </c>
      <c r="C82" s="18">
        <f>'GİRDİ RAPORU'!C707</f>
        <v>400</v>
      </c>
      <c r="D82" s="18">
        <f>'GİRDİ RAPORU'!D707</f>
        <v>0</v>
      </c>
      <c r="E82" s="18" t="str">
        <f>'GİRDİ RAPORU'!E707</f>
        <v>Normal Mesai</v>
      </c>
      <c r="F82" s="18">
        <f>'GİRDİ RAPORU'!F707</f>
        <v>15</v>
      </c>
      <c r="G82" s="18" t="str">
        <f>'GİRDİ RAPORU'!G707</f>
        <v>Temizlik</v>
      </c>
      <c r="H82" s="18">
        <f>'GİRDİ RAPORU'!H707</f>
        <v>15</v>
      </c>
      <c r="I82" s="18" t="str">
        <f>'GİRDİ RAPORU'!I707</f>
        <v>Hazırlık/İlk Isınma</v>
      </c>
      <c r="J82" s="18">
        <f>'GİRDİ RAPORU'!J1614</f>
        <v>0</v>
      </c>
      <c r="K82" s="18">
        <f>'GİRDİ RAPORU'!K1614</f>
        <v>0</v>
      </c>
      <c r="L82" s="18">
        <f>'GİRDİ RAPORU'!L1614</f>
        <v>0</v>
      </c>
      <c r="M82" s="26">
        <f t="shared" si="3"/>
        <v>0.53333333333333333</v>
      </c>
      <c r="N82" s="26">
        <f t="shared" si="4"/>
        <v>5.5555555555555552E-2</v>
      </c>
      <c r="O82" s="26">
        <f t="shared" si="5"/>
        <v>0.94444444444444442</v>
      </c>
    </row>
    <row r="83" spans="1:15" ht="21.75" hidden="1" customHeight="1">
      <c r="A83" s="17">
        <f>'GİRDİ RAPORU'!A708</f>
        <v>45975</v>
      </c>
      <c r="B83" s="18">
        <f>'GİRDİ RAPORU'!B708</f>
        <v>2</v>
      </c>
      <c r="C83" s="18">
        <f>'GİRDİ RAPORU'!C708</f>
        <v>400</v>
      </c>
      <c r="D83" s="18">
        <f>'GİRDİ RAPORU'!D708</f>
        <v>0</v>
      </c>
      <c r="E83" s="18" t="str">
        <f>'GİRDİ RAPORU'!E708</f>
        <v>Normal Mesai</v>
      </c>
      <c r="F83" s="18">
        <f>'GİRDİ RAPORU'!F708</f>
        <v>15</v>
      </c>
      <c r="G83" s="18" t="str">
        <f>'GİRDİ RAPORU'!G708</f>
        <v>Temizlik</v>
      </c>
      <c r="H83" s="18">
        <f>'GİRDİ RAPORU'!H708</f>
        <v>15</v>
      </c>
      <c r="I83" s="18" t="str">
        <f>'GİRDİ RAPORU'!I708</f>
        <v>Hazırlık/İlk Isınma</v>
      </c>
      <c r="J83" s="18">
        <f>'GİRDİ RAPORU'!J1615</f>
        <v>0</v>
      </c>
      <c r="K83" s="18">
        <f>'GİRDİ RAPORU'!K1615</f>
        <v>0</v>
      </c>
      <c r="L83" s="18">
        <f>'GİRDİ RAPORU'!L1615</f>
        <v>0</v>
      </c>
      <c r="M83" s="26">
        <f t="shared" si="3"/>
        <v>0.53333333333333333</v>
      </c>
      <c r="N83" s="26">
        <f t="shared" si="4"/>
        <v>5.5555555555555552E-2</v>
      </c>
      <c r="O83" s="26">
        <f t="shared" si="5"/>
        <v>0.94444444444444442</v>
      </c>
    </row>
    <row r="84" spans="1:15" ht="21.75" hidden="1" customHeight="1">
      <c r="A84" s="17">
        <f>'GİRDİ RAPORU'!A709</f>
        <v>45975</v>
      </c>
      <c r="B84" s="18">
        <f>'GİRDİ RAPORU'!B709</f>
        <v>2</v>
      </c>
      <c r="C84" s="18">
        <f>'GİRDİ RAPORU'!C709</f>
        <v>400</v>
      </c>
      <c r="D84" s="18">
        <f>'GİRDİ RAPORU'!D709</f>
        <v>0</v>
      </c>
      <c r="E84" s="18" t="str">
        <f>'GİRDİ RAPORU'!E709</f>
        <v>Normal Mesai</v>
      </c>
      <c r="F84" s="18">
        <f>'GİRDİ RAPORU'!F709</f>
        <v>15</v>
      </c>
      <c r="G84" s="18" t="str">
        <f>'GİRDİ RAPORU'!G709</f>
        <v>Temizlik</v>
      </c>
      <c r="H84" s="18">
        <f>'GİRDİ RAPORU'!H709</f>
        <v>15</v>
      </c>
      <c r="I84" s="18" t="str">
        <f>'GİRDİ RAPORU'!I709</f>
        <v>Hazırlık/İlk Isınma</v>
      </c>
      <c r="J84" s="18">
        <f>'GİRDİ RAPORU'!J1616</f>
        <v>0</v>
      </c>
      <c r="K84" s="18">
        <f>'GİRDİ RAPORU'!K1616</f>
        <v>0</v>
      </c>
      <c r="L84" s="18">
        <f>'GİRDİ RAPORU'!L1616</f>
        <v>0</v>
      </c>
      <c r="M84" s="26">
        <f t="shared" si="3"/>
        <v>0.53333333333333333</v>
      </c>
      <c r="N84" s="26">
        <f t="shared" si="4"/>
        <v>5.5555555555555552E-2</v>
      </c>
      <c r="O84" s="26">
        <f t="shared" si="5"/>
        <v>0.94444444444444442</v>
      </c>
    </row>
    <row r="85" spans="1:15" ht="21.75" hidden="1" customHeight="1">
      <c r="A85" s="17">
        <f>'GİRDİ RAPORU'!A710</f>
        <v>45975</v>
      </c>
      <c r="B85" s="18">
        <f>'GİRDİ RAPORU'!B710</f>
        <v>2</v>
      </c>
      <c r="C85" s="18">
        <f>'GİRDİ RAPORU'!C710</f>
        <v>400</v>
      </c>
      <c r="D85" s="18">
        <f>'GİRDİ RAPORU'!D710</f>
        <v>0</v>
      </c>
      <c r="E85" s="18" t="str">
        <f>'GİRDİ RAPORU'!E710</f>
        <v>Normal Mesai</v>
      </c>
      <c r="F85" s="18">
        <f>'GİRDİ RAPORU'!F710</f>
        <v>15</v>
      </c>
      <c r="G85" s="18" t="str">
        <f>'GİRDİ RAPORU'!G710</f>
        <v>Temizlik</v>
      </c>
      <c r="H85" s="18">
        <f>'GİRDİ RAPORU'!H710</f>
        <v>15</v>
      </c>
      <c r="I85" s="18" t="str">
        <f>'GİRDİ RAPORU'!I710</f>
        <v>Hazırlık/İlk Isınma</v>
      </c>
      <c r="J85" s="18">
        <f>'GİRDİ RAPORU'!J1617</f>
        <v>0</v>
      </c>
      <c r="K85" s="18">
        <f>'GİRDİ RAPORU'!K1617</f>
        <v>0</v>
      </c>
      <c r="L85" s="18">
        <f>'GİRDİ RAPORU'!L1617</f>
        <v>0</v>
      </c>
      <c r="M85" s="26">
        <f t="shared" si="3"/>
        <v>0.53333333333333333</v>
      </c>
      <c r="N85" s="26">
        <f t="shared" si="4"/>
        <v>5.5555555555555552E-2</v>
      </c>
      <c r="O85" s="26">
        <f t="shared" si="5"/>
        <v>0.94444444444444442</v>
      </c>
    </row>
    <row r="86" spans="1:15" ht="21.75" hidden="1" customHeight="1">
      <c r="A86" s="17">
        <f>'GİRDİ RAPORU'!A683</f>
        <v>45974</v>
      </c>
      <c r="B86" s="18">
        <f>'GİRDİ RAPORU'!B683</f>
        <v>2</v>
      </c>
      <c r="C86" s="18">
        <f>'GİRDİ RAPORU'!C683</f>
        <v>300</v>
      </c>
      <c r="D86" s="18">
        <f>'GİRDİ RAPORU'!D683</f>
        <v>0</v>
      </c>
      <c r="E86" s="18" t="str">
        <f>'GİRDİ RAPORU'!E683</f>
        <v>Normal Mesai</v>
      </c>
      <c r="F86" s="18">
        <f>'GİRDİ RAPORU'!F683</f>
        <v>15</v>
      </c>
      <c r="G86" s="18" t="str">
        <f>'GİRDİ RAPORU'!G683</f>
        <v>Temizlik</v>
      </c>
      <c r="H86" s="18">
        <f>'GİRDİ RAPORU'!H683</f>
        <v>15</v>
      </c>
      <c r="I86" s="18" t="str">
        <f>'GİRDİ RAPORU'!I683</f>
        <v>Hazırlık/İlk Isınma</v>
      </c>
      <c r="J86" s="18">
        <f>'GİRDİ RAPORU'!J1592</f>
        <v>0</v>
      </c>
      <c r="K86" s="18">
        <f>'GİRDİ RAPORU'!K1592</f>
        <v>0</v>
      </c>
      <c r="L86" s="18">
        <f>'GİRDİ RAPORU'!L1592</f>
        <v>0</v>
      </c>
      <c r="M86" s="26">
        <f t="shared" si="3"/>
        <v>0.4</v>
      </c>
      <c r="N86" s="26">
        <f t="shared" si="4"/>
        <v>5.5555555555555552E-2</v>
      </c>
      <c r="O86" s="26">
        <f t="shared" si="5"/>
        <v>0.94444444444444442</v>
      </c>
    </row>
    <row r="87" spans="1:15" ht="21.75" hidden="1" customHeight="1">
      <c r="A87" s="17">
        <f>'GİRDİ RAPORU'!A682</f>
        <v>45973</v>
      </c>
      <c r="B87" s="18">
        <f>'GİRDİ RAPORU'!B682</f>
        <v>2</v>
      </c>
      <c r="C87" s="18">
        <f>'GİRDİ RAPORU'!C682</f>
        <v>366</v>
      </c>
      <c r="D87" s="18">
        <f>'GİRDİ RAPORU'!D682</f>
        <v>0</v>
      </c>
      <c r="E87" s="18" t="str">
        <f>'GİRDİ RAPORU'!E682</f>
        <v>Normal Mesai</v>
      </c>
      <c r="F87" s="18">
        <f>'GİRDİ RAPORU'!F682</f>
        <v>15</v>
      </c>
      <c r="G87" s="18" t="str">
        <f>'GİRDİ RAPORU'!G682</f>
        <v>Temizlik</v>
      </c>
      <c r="H87" s="18">
        <f>'GİRDİ RAPORU'!H682</f>
        <v>15</v>
      </c>
      <c r="I87" s="18" t="str">
        <f>'GİRDİ RAPORU'!I682</f>
        <v>Hazırlık/İlk Isınma</v>
      </c>
      <c r="J87" s="18">
        <f>'GİRDİ RAPORU'!J1591</f>
        <v>0</v>
      </c>
      <c r="K87" s="18">
        <f>'GİRDİ RAPORU'!K1591</f>
        <v>0</v>
      </c>
      <c r="L87" s="18">
        <f>'GİRDİ RAPORU'!L1591</f>
        <v>0</v>
      </c>
      <c r="M87" s="26">
        <f t="shared" si="3"/>
        <v>0.48799999999999999</v>
      </c>
      <c r="N87" s="26">
        <f t="shared" si="4"/>
        <v>5.5555555555555552E-2</v>
      </c>
      <c r="O87" s="26">
        <f t="shared" si="5"/>
        <v>0.94444444444444442</v>
      </c>
    </row>
    <row r="88" spans="1:15" ht="21.75" hidden="1" customHeight="1">
      <c r="A88" s="17">
        <f>'GİRDİ RAPORU'!A680</f>
        <v>45971</v>
      </c>
      <c r="B88" s="18">
        <f>'GİRDİ RAPORU'!B680</f>
        <v>2</v>
      </c>
      <c r="C88" s="18">
        <f>'GİRDİ RAPORU'!C680</f>
        <v>310</v>
      </c>
      <c r="D88" s="18">
        <f>'GİRDİ RAPORU'!D680</f>
        <v>0</v>
      </c>
      <c r="E88" s="18" t="str">
        <f>'GİRDİ RAPORU'!E680</f>
        <v>Normal Mesai</v>
      </c>
      <c r="F88" s="18">
        <f>'GİRDİ RAPORU'!F680</f>
        <v>15</v>
      </c>
      <c r="G88" s="18" t="str">
        <f>'GİRDİ RAPORU'!G680</f>
        <v>Temizlik</v>
      </c>
      <c r="H88" s="18">
        <f>'GİRDİ RAPORU'!H680</f>
        <v>15</v>
      </c>
      <c r="I88" s="18" t="str">
        <f>'GİRDİ RAPORU'!I680</f>
        <v>Hazırlık/İlk Isınma</v>
      </c>
      <c r="J88" s="18">
        <f>'GİRDİ RAPORU'!J1590</f>
        <v>0</v>
      </c>
      <c r="K88" s="18">
        <f>'GİRDİ RAPORU'!K1590</f>
        <v>0</v>
      </c>
      <c r="L88" s="18">
        <f>'GİRDİ RAPORU'!L1590</f>
        <v>0</v>
      </c>
      <c r="M88" s="26">
        <f t="shared" si="3"/>
        <v>0.41333333333333333</v>
      </c>
      <c r="N88" s="26">
        <f t="shared" si="4"/>
        <v>5.5555555555555552E-2</v>
      </c>
      <c r="O88" s="26">
        <f t="shared" si="5"/>
        <v>0.94444444444444442</v>
      </c>
    </row>
    <row r="89" spans="1:15" ht="21.75" hidden="1" customHeight="1">
      <c r="A89" s="17">
        <f>'GİRDİ RAPORU'!A679</f>
        <v>45967</v>
      </c>
      <c r="B89" s="18">
        <f>'GİRDİ RAPORU'!B679</f>
        <v>2</v>
      </c>
      <c r="C89" s="18">
        <f>'GİRDİ RAPORU'!C679</f>
        <v>344</v>
      </c>
      <c r="D89" s="18">
        <f>'GİRDİ RAPORU'!D679</f>
        <v>0</v>
      </c>
      <c r="E89" s="18" t="str">
        <f>'GİRDİ RAPORU'!E679</f>
        <v>Normal Mesai</v>
      </c>
      <c r="F89" s="18">
        <f>'GİRDİ RAPORU'!F679</f>
        <v>15</v>
      </c>
      <c r="G89" s="18" t="str">
        <f>'GİRDİ RAPORU'!G679</f>
        <v>Temizlik</v>
      </c>
      <c r="H89" s="18">
        <f>'GİRDİ RAPORU'!H679</f>
        <v>15</v>
      </c>
      <c r="I89" s="18" t="str">
        <f>'GİRDİ RAPORU'!I679</f>
        <v>Hazırlık/İlk Isınma</v>
      </c>
      <c r="J89" s="18">
        <f>'GİRDİ RAPORU'!J1589</f>
        <v>0</v>
      </c>
      <c r="K89" s="18">
        <f>'GİRDİ RAPORU'!K1589</f>
        <v>0</v>
      </c>
      <c r="L89" s="18">
        <f>'GİRDİ RAPORU'!L1589</f>
        <v>0</v>
      </c>
      <c r="M89" s="26">
        <f t="shared" si="3"/>
        <v>0.45866666666666667</v>
      </c>
      <c r="N89" s="26">
        <f t="shared" si="4"/>
        <v>5.5555555555555552E-2</v>
      </c>
      <c r="O89" s="26">
        <f t="shared" si="5"/>
        <v>0.94444444444444442</v>
      </c>
    </row>
    <row r="90" spans="1:15" ht="21.75" hidden="1" customHeight="1">
      <c r="A90" s="17">
        <f>'GİRDİ RAPORU'!A677</f>
        <v>45965</v>
      </c>
      <c r="B90" s="18">
        <f>'GİRDİ RAPORU'!B677</f>
        <v>2</v>
      </c>
      <c r="C90" s="18">
        <f>'GİRDİ RAPORU'!C677</f>
        <v>318</v>
      </c>
      <c r="D90" s="18">
        <f>'GİRDİ RAPORU'!D677</f>
        <v>0</v>
      </c>
      <c r="E90" s="18" t="str">
        <f>'GİRDİ RAPORU'!E677</f>
        <v>Normal Mesai</v>
      </c>
      <c r="F90" s="18">
        <f>'GİRDİ RAPORU'!F677</f>
        <v>15</v>
      </c>
      <c r="G90" s="18" t="str">
        <f>'GİRDİ RAPORU'!G677</f>
        <v>Temizlik</v>
      </c>
      <c r="H90" s="18">
        <f>'GİRDİ RAPORU'!H677</f>
        <v>15</v>
      </c>
      <c r="I90" s="18" t="str">
        <f>'GİRDİ RAPORU'!I677</f>
        <v>Hazırlık/İlk Isınma</v>
      </c>
      <c r="J90" s="18">
        <f>'GİRDİ RAPORU'!J1588</f>
        <v>0</v>
      </c>
      <c r="K90" s="18">
        <f>'GİRDİ RAPORU'!K1588</f>
        <v>0</v>
      </c>
      <c r="L90" s="18">
        <f>'GİRDİ RAPORU'!L1588</f>
        <v>0</v>
      </c>
      <c r="M90" s="26">
        <f t="shared" si="3"/>
        <v>0.42399999999999999</v>
      </c>
      <c r="N90" s="26">
        <f t="shared" si="4"/>
        <v>5.5555555555555552E-2</v>
      </c>
      <c r="O90" s="26">
        <f t="shared" si="5"/>
        <v>0.94444444444444442</v>
      </c>
    </row>
    <row r="91" spans="1:15" ht="21.75" hidden="1" customHeight="1">
      <c r="A91" s="17">
        <f>'GİRDİ RAPORU'!A676</f>
        <v>45964</v>
      </c>
      <c r="B91" s="18">
        <f>'GİRDİ RAPORU'!B676</f>
        <v>2</v>
      </c>
      <c r="C91" s="18">
        <f>'GİRDİ RAPORU'!C676</f>
        <v>408</v>
      </c>
      <c r="D91" s="18">
        <f>'GİRDİ RAPORU'!D676</f>
        <v>0</v>
      </c>
      <c r="E91" s="18" t="str">
        <f>'GİRDİ RAPORU'!E676</f>
        <v>Normal Mesai</v>
      </c>
      <c r="F91" s="18">
        <f>'GİRDİ RAPORU'!F676</f>
        <v>15</v>
      </c>
      <c r="G91" s="18" t="str">
        <f>'GİRDİ RAPORU'!G676</f>
        <v>Temizlik</v>
      </c>
      <c r="H91" s="18">
        <f>'GİRDİ RAPORU'!H676</f>
        <v>15</v>
      </c>
      <c r="I91" s="18" t="str">
        <f>'GİRDİ RAPORU'!I676</f>
        <v>Hazırlık/İlk Isınma</v>
      </c>
      <c r="J91" s="18">
        <f>'GİRDİ RAPORU'!J1587</f>
        <v>0</v>
      </c>
      <c r="K91" s="18">
        <f>'GİRDİ RAPORU'!K1587</f>
        <v>0</v>
      </c>
      <c r="L91" s="18">
        <f>'GİRDİ RAPORU'!L1587</f>
        <v>0</v>
      </c>
      <c r="M91" s="26">
        <f t="shared" si="3"/>
        <v>0.54400000000000004</v>
      </c>
      <c r="N91" s="26">
        <f t="shared" si="4"/>
        <v>5.5555555555555552E-2</v>
      </c>
      <c r="O91" s="26">
        <f t="shared" si="5"/>
        <v>0.94444444444444442</v>
      </c>
    </row>
    <row r="92" spans="1:15" ht="21.75" hidden="1" customHeight="1">
      <c r="A92" s="17">
        <f>'GİRDİ RAPORU'!A674</f>
        <v>45961</v>
      </c>
      <c r="B92" s="18">
        <f>'GİRDİ RAPORU'!B674</f>
        <v>2</v>
      </c>
      <c r="C92" s="18">
        <f>'GİRDİ RAPORU'!C674</f>
        <v>277</v>
      </c>
      <c r="D92" s="18">
        <f>'GİRDİ RAPORU'!D674</f>
        <v>0</v>
      </c>
      <c r="E92" s="18" t="str">
        <f>'GİRDİ RAPORU'!E674</f>
        <v>Normal Mesai</v>
      </c>
      <c r="F92" s="18">
        <f>'GİRDİ RAPORU'!F674</f>
        <v>90</v>
      </c>
      <c r="G92" s="18" t="str">
        <f>'GİRDİ RAPORU'!G674</f>
        <v>Temizlik</v>
      </c>
      <c r="H92" s="18">
        <f>'GİRDİ RAPORU'!H674</f>
        <v>15</v>
      </c>
      <c r="I92" s="18" t="str">
        <f>'GİRDİ RAPORU'!I674</f>
        <v>Hazırlık/İlk Isınma</v>
      </c>
      <c r="J92" s="18">
        <f>'GİRDİ RAPORU'!J1586</f>
        <v>0</v>
      </c>
      <c r="K92" s="18">
        <f>'GİRDİ RAPORU'!K1586</f>
        <v>0</v>
      </c>
      <c r="L92" s="18">
        <f>'GİRDİ RAPORU'!L1586</f>
        <v>0</v>
      </c>
      <c r="M92" s="26">
        <f t="shared" si="3"/>
        <v>0.36933333333333335</v>
      </c>
      <c r="N92" s="26">
        <f t="shared" si="4"/>
        <v>0.19444444444444445</v>
      </c>
      <c r="O92" s="26">
        <f t="shared" si="5"/>
        <v>0.80555555555555558</v>
      </c>
    </row>
    <row r="93" spans="1:15" ht="21.75" hidden="1" customHeight="1">
      <c r="A93" s="17">
        <f>'GİRDİ RAPORU'!A673</f>
        <v>45960</v>
      </c>
      <c r="B93" s="18">
        <f>'GİRDİ RAPORU'!B673</f>
        <v>2</v>
      </c>
      <c r="C93" s="18">
        <f>'GİRDİ RAPORU'!C673</f>
        <v>370</v>
      </c>
      <c r="D93" s="18">
        <f>'GİRDİ RAPORU'!D673</f>
        <v>0</v>
      </c>
      <c r="E93" s="18" t="str">
        <f>'GİRDİ RAPORU'!E673</f>
        <v>Normal Mesai</v>
      </c>
      <c r="F93" s="18">
        <f>'GİRDİ RAPORU'!F673</f>
        <v>30</v>
      </c>
      <c r="G93" s="18" t="str">
        <f>'GİRDİ RAPORU'!G673</f>
        <v>Temizlik</v>
      </c>
      <c r="H93" s="18">
        <f>'GİRDİ RAPORU'!H673</f>
        <v>15</v>
      </c>
      <c r="I93" s="18" t="str">
        <f>'GİRDİ RAPORU'!I673</f>
        <v>Hazırlık/İlk Isınma</v>
      </c>
      <c r="J93" s="18">
        <f>'GİRDİ RAPORU'!J1585</f>
        <v>0</v>
      </c>
      <c r="K93" s="18">
        <f>'GİRDİ RAPORU'!K1585</f>
        <v>0</v>
      </c>
      <c r="L93" s="18">
        <f>'GİRDİ RAPORU'!L1585</f>
        <v>0</v>
      </c>
      <c r="M93" s="26">
        <f t="shared" si="3"/>
        <v>0.49333333333333335</v>
      </c>
      <c r="N93" s="26">
        <f t="shared" si="4"/>
        <v>8.3333333333333329E-2</v>
      </c>
      <c r="O93" s="26">
        <f t="shared" si="5"/>
        <v>0.91666666666666663</v>
      </c>
    </row>
    <row r="94" spans="1:15" ht="21.75" hidden="1" customHeight="1">
      <c r="A94" s="17">
        <f>'GİRDİ RAPORU'!A671</f>
        <v>45958</v>
      </c>
      <c r="B94" s="18">
        <f>'GİRDİ RAPORU'!B671</f>
        <v>2</v>
      </c>
      <c r="C94" s="18">
        <f>'GİRDİ RAPORU'!C671</f>
        <v>715</v>
      </c>
      <c r="D94" s="18">
        <f>'GİRDİ RAPORU'!D671</f>
        <v>0</v>
      </c>
      <c r="E94" s="18" t="str">
        <f>'GİRDİ RAPORU'!E671</f>
        <v>Normal Mesai</v>
      </c>
      <c r="F94" s="18">
        <f>'GİRDİ RAPORU'!F671</f>
        <v>30</v>
      </c>
      <c r="G94" s="18" t="str">
        <f>'GİRDİ RAPORU'!G671</f>
        <v>Temizlik</v>
      </c>
      <c r="H94" s="18">
        <f>'GİRDİ RAPORU'!H671</f>
        <v>15</v>
      </c>
      <c r="I94" s="18" t="str">
        <f>'GİRDİ RAPORU'!I671</f>
        <v>Hazırlık/İlk Isınma</v>
      </c>
      <c r="J94" s="18">
        <f>'GİRDİ RAPORU'!J1584</f>
        <v>0</v>
      </c>
      <c r="K94" s="18">
        <f>'GİRDİ RAPORU'!K1584</f>
        <v>0</v>
      </c>
      <c r="L94" s="18">
        <f>'GİRDİ RAPORU'!L1584</f>
        <v>0</v>
      </c>
      <c r="M94" s="26">
        <f t="shared" si="3"/>
        <v>0.95333333333333337</v>
      </c>
      <c r="N94" s="26">
        <f t="shared" si="4"/>
        <v>8.3333333333333329E-2</v>
      </c>
      <c r="O94" s="26">
        <f t="shared" si="5"/>
        <v>0.91666666666666663</v>
      </c>
    </row>
    <row r="95" spans="1:15" ht="21.75" hidden="1" customHeight="1">
      <c r="A95" s="17">
        <v>45957</v>
      </c>
      <c r="B95" s="18">
        <f>'GİRDİ RAPORU'!B672</f>
        <v>2</v>
      </c>
      <c r="C95" s="18">
        <f>'GİRDİ RAPORU'!C672</f>
        <v>715</v>
      </c>
      <c r="D95" s="18">
        <f>'GİRDİ RAPORU'!D672</f>
        <v>0</v>
      </c>
      <c r="E95" s="18" t="str">
        <f>'GİRDİ RAPORU'!E672</f>
        <v>Normal Mesai</v>
      </c>
      <c r="F95" s="18">
        <f>'GİRDİ RAPORU'!F672</f>
        <v>30</v>
      </c>
      <c r="G95" s="18" t="str">
        <f>'GİRDİ RAPORU'!G672</f>
        <v>Temizlik</v>
      </c>
      <c r="H95" s="18">
        <f>'GİRDİ RAPORU'!H672</f>
        <v>15</v>
      </c>
      <c r="I95" s="18" t="str">
        <f>'GİRDİ RAPORU'!I672</f>
        <v>Hazırlık/İlk Isınma</v>
      </c>
      <c r="J95" s="18">
        <f>'GİRDİ RAPORU'!J1583</f>
        <v>0</v>
      </c>
      <c r="K95" s="18">
        <f>'GİRDİ RAPORU'!K1583</f>
        <v>0</v>
      </c>
      <c r="L95" s="18">
        <f>'GİRDİ RAPORU'!L1583</f>
        <v>0</v>
      </c>
      <c r="M95" s="26">
        <f t="shared" si="3"/>
        <v>0.95333333333333337</v>
      </c>
      <c r="N95" s="26">
        <f t="shared" si="4"/>
        <v>8.3333333333333329E-2</v>
      </c>
      <c r="O95" s="26">
        <f t="shared" si="5"/>
        <v>0.91666666666666663</v>
      </c>
    </row>
    <row r="96" spans="1:15" ht="21.75" hidden="1" customHeight="1">
      <c r="A96" s="17">
        <f>'GİRDİ RAPORU'!A653</f>
        <v>45954</v>
      </c>
      <c r="B96" s="18">
        <f>'GİRDİ RAPORU'!B653</f>
        <v>2</v>
      </c>
      <c r="C96" s="18">
        <f>'GİRDİ RAPORU'!C653</f>
        <v>275</v>
      </c>
      <c r="D96" s="18">
        <f>'GİRDİ RAPORU'!D653</f>
        <v>0</v>
      </c>
      <c r="E96" s="18" t="str">
        <f>'GİRDİ RAPORU'!E653</f>
        <v>Normal Mesai</v>
      </c>
      <c r="F96" s="18">
        <f>'GİRDİ RAPORU'!F653</f>
        <v>30</v>
      </c>
      <c r="G96" s="18" t="str">
        <f>'GİRDİ RAPORU'!G653</f>
        <v>Temizlik</v>
      </c>
      <c r="H96" s="18">
        <f>'GİRDİ RAPORU'!H653</f>
        <v>15</v>
      </c>
      <c r="I96" s="18" t="str">
        <f>'GİRDİ RAPORU'!I653</f>
        <v>Hazırlık/İlk Isınma</v>
      </c>
      <c r="J96" s="18">
        <f>'GİRDİ RAPORU'!J1582</f>
        <v>0</v>
      </c>
      <c r="K96" s="18">
        <f>'GİRDİ RAPORU'!K1582</f>
        <v>0</v>
      </c>
      <c r="L96" s="18">
        <f>'GİRDİ RAPORU'!L1582</f>
        <v>0</v>
      </c>
      <c r="M96" s="26">
        <f t="shared" si="3"/>
        <v>0.36666666666666664</v>
      </c>
      <c r="N96" s="26">
        <f t="shared" si="4"/>
        <v>8.3333333333333329E-2</v>
      </c>
      <c r="O96" s="26">
        <f t="shared" si="5"/>
        <v>0.91666666666666663</v>
      </c>
    </row>
    <row r="97" spans="1:15" ht="21.75" hidden="1" customHeight="1">
      <c r="A97" s="17">
        <f>'GİRDİ RAPORU'!A650</f>
        <v>45953</v>
      </c>
      <c r="B97" s="18">
        <f>'GİRDİ RAPORU'!B650</f>
        <v>2</v>
      </c>
      <c r="C97" s="18">
        <f>'GİRDİ RAPORU'!C650</f>
        <v>296</v>
      </c>
      <c r="D97" s="18">
        <f>'GİRDİ RAPORU'!D650</f>
        <v>0</v>
      </c>
      <c r="E97" s="18" t="str">
        <f>'GİRDİ RAPORU'!E650</f>
        <v>Normal Mesai</v>
      </c>
      <c r="F97" s="18">
        <f>'GİRDİ RAPORU'!F650</f>
        <v>15</v>
      </c>
      <c r="G97" s="18" t="str">
        <f>'GİRDİ RAPORU'!G650</f>
        <v>Temizlik</v>
      </c>
      <c r="H97" s="18">
        <f>'GİRDİ RAPORU'!H650</f>
        <v>15</v>
      </c>
      <c r="I97" s="18" t="str">
        <f>'GİRDİ RAPORU'!I650</f>
        <v>Hazırlık/İlk Isınma</v>
      </c>
      <c r="J97" s="18">
        <f>'GİRDİ RAPORU'!J1581</f>
        <v>0</v>
      </c>
      <c r="K97" s="18">
        <f>'GİRDİ RAPORU'!K1581</f>
        <v>0</v>
      </c>
      <c r="L97" s="18">
        <f>'GİRDİ RAPORU'!L1581</f>
        <v>0</v>
      </c>
      <c r="M97" s="26">
        <f t="shared" si="3"/>
        <v>0.39466666666666667</v>
      </c>
      <c r="N97" s="26">
        <f t="shared" si="4"/>
        <v>5.5555555555555552E-2</v>
      </c>
      <c r="O97" s="26">
        <f t="shared" si="5"/>
        <v>0.94444444444444442</v>
      </c>
    </row>
    <row r="98" spans="1:15" ht="21.75" hidden="1" customHeight="1">
      <c r="A98" s="17">
        <v>45952</v>
      </c>
      <c r="B98" s="18">
        <f>'GİRDİ RAPORU'!B648</f>
        <v>2</v>
      </c>
      <c r="C98" s="18">
        <f>'GİRDİ RAPORU'!C648</f>
        <v>225</v>
      </c>
      <c r="D98" s="18">
        <f>'GİRDİ RAPORU'!D648</f>
        <v>0</v>
      </c>
      <c r="E98" s="18" t="str">
        <f>'GİRDİ RAPORU'!E648</f>
        <v>Normal Mesai</v>
      </c>
      <c r="F98" s="18">
        <f>'GİRDİ RAPORU'!F648</f>
        <v>15</v>
      </c>
      <c r="G98" s="18" t="str">
        <f>'GİRDİ RAPORU'!G648</f>
        <v>Temizlik</v>
      </c>
      <c r="H98" s="18">
        <f>'GİRDİ RAPORU'!H648</f>
        <v>15</v>
      </c>
      <c r="I98" s="18" t="str">
        <f>'GİRDİ RAPORU'!I648</f>
        <v>Hazırlık/İlk Isınma</v>
      </c>
      <c r="J98" s="18">
        <f>'GİRDİ RAPORU'!J1580</f>
        <v>0</v>
      </c>
      <c r="K98" s="18">
        <f>'GİRDİ RAPORU'!K1580</f>
        <v>0</v>
      </c>
      <c r="L98" s="18">
        <f>'GİRDİ RAPORU'!L1580</f>
        <v>0</v>
      </c>
      <c r="M98" s="26">
        <f t="shared" si="3"/>
        <v>0.3</v>
      </c>
      <c r="N98" s="26">
        <f t="shared" si="4"/>
        <v>5.5555555555555552E-2</v>
      </c>
      <c r="O98" s="26">
        <f t="shared" si="5"/>
        <v>0.94444444444444442</v>
      </c>
    </row>
    <row r="99" spans="1:15" ht="21.75" hidden="1" customHeight="1">
      <c r="A99" s="17">
        <f>'GİRDİ RAPORU'!A649</f>
        <v>45951</v>
      </c>
      <c r="B99" s="18">
        <f>'GİRDİ RAPORU'!B649</f>
        <v>2</v>
      </c>
      <c r="C99" s="18">
        <f>'GİRDİ RAPORU'!C649</f>
        <v>325</v>
      </c>
      <c r="D99" s="18">
        <f>'GİRDİ RAPORU'!D649</f>
        <v>0</v>
      </c>
      <c r="E99" s="18" t="str">
        <f>'GİRDİ RAPORU'!E649</f>
        <v>Normal Mesai</v>
      </c>
      <c r="F99" s="18">
        <f>'GİRDİ RAPORU'!F649</f>
        <v>15</v>
      </c>
      <c r="G99" s="18" t="str">
        <f>'GİRDİ RAPORU'!G649</f>
        <v>Temizlik</v>
      </c>
      <c r="H99" s="18">
        <f>'GİRDİ RAPORU'!H649</f>
        <v>15</v>
      </c>
      <c r="I99" s="18" t="str">
        <f>'GİRDİ RAPORU'!I649</f>
        <v>Hazırlık/İlk Isınma</v>
      </c>
      <c r="J99" s="18">
        <f>'GİRDİ RAPORU'!J1579</f>
        <v>0</v>
      </c>
      <c r="K99" s="18">
        <f>'GİRDİ RAPORU'!K1579</f>
        <v>0</v>
      </c>
      <c r="L99" s="18">
        <f>'GİRDİ RAPORU'!L1579</f>
        <v>0</v>
      </c>
      <c r="M99" s="26">
        <f t="shared" si="3"/>
        <v>0.43333333333333335</v>
      </c>
      <c r="N99" s="26">
        <f t="shared" si="4"/>
        <v>5.5555555555555552E-2</v>
      </c>
      <c r="O99" s="26">
        <f t="shared" si="5"/>
        <v>0.94444444444444442</v>
      </c>
    </row>
    <row r="100" spans="1:15" ht="21.75" hidden="1" customHeight="1">
      <c r="A100" s="17">
        <f>'GİRDİ RAPORU'!A647</f>
        <v>45950</v>
      </c>
      <c r="B100" s="18">
        <f>'GİRDİ RAPORU'!B647</f>
        <v>2</v>
      </c>
      <c r="C100" s="18">
        <f>'GİRDİ RAPORU'!C647</f>
        <v>628</v>
      </c>
      <c r="D100" s="18">
        <f>'GİRDİ RAPORU'!D647</f>
        <v>0</v>
      </c>
      <c r="E100" s="18" t="str">
        <f>'GİRDİ RAPORU'!E647</f>
        <v>Normal Mesai</v>
      </c>
      <c r="F100" s="18">
        <f>'GİRDİ RAPORU'!F647</f>
        <v>15</v>
      </c>
      <c r="G100" s="18" t="str">
        <f>'GİRDİ RAPORU'!G647</f>
        <v>Temizlik</v>
      </c>
      <c r="H100" s="18">
        <f>'GİRDİ RAPORU'!H647</f>
        <v>15</v>
      </c>
      <c r="I100" s="18" t="str">
        <f>'GİRDİ RAPORU'!I647</f>
        <v>Hazırlık/İlk Isınma</v>
      </c>
      <c r="J100" s="18">
        <f>'GİRDİ RAPORU'!J1578</f>
        <v>0</v>
      </c>
      <c r="K100" s="18">
        <f>'GİRDİ RAPORU'!K1578</f>
        <v>0</v>
      </c>
      <c r="L100" s="18">
        <f>'GİRDİ RAPORU'!L1578</f>
        <v>0</v>
      </c>
      <c r="M100" s="26">
        <f t="shared" si="3"/>
        <v>0.83733333333333337</v>
      </c>
      <c r="N100" s="26">
        <f t="shared" si="4"/>
        <v>5.5555555555555552E-2</v>
      </c>
      <c r="O100" s="26">
        <f t="shared" si="5"/>
        <v>0.94444444444444442</v>
      </c>
    </row>
    <row r="101" spans="1:15" ht="21.75" hidden="1" customHeight="1">
      <c r="A101" s="17">
        <f>'GİRDİ RAPORU'!A646</f>
        <v>45947</v>
      </c>
      <c r="B101" s="18">
        <f>'GİRDİ RAPORU'!B646</f>
        <v>2</v>
      </c>
      <c r="C101" s="18">
        <f>'GİRDİ RAPORU'!C646</f>
        <v>390</v>
      </c>
      <c r="D101" s="18">
        <f>'GİRDİ RAPORU'!D646</f>
        <v>0</v>
      </c>
      <c r="E101" s="18" t="str">
        <f>'GİRDİ RAPORU'!E646</f>
        <v>Normal Mesai</v>
      </c>
      <c r="F101" s="18">
        <f>'GİRDİ RAPORU'!F646</f>
        <v>15</v>
      </c>
      <c r="G101" s="18" t="str">
        <f>'GİRDİ RAPORU'!G646</f>
        <v>Temizlik</v>
      </c>
      <c r="H101" s="18">
        <f>'GİRDİ RAPORU'!H646</f>
        <v>15</v>
      </c>
      <c r="I101" s="18" t="str">
        <f>'GİRDİ RAPORU'!I646</f>
        <v>Hazırlık/İlk Isınma</v>
      </c>
      <c r="J101" s="18">
        <f>'GİRDİ RAPORU'!J1577</f>
        <v>0</v>
      </c>
      <c r="K101" s="18">
        <f>'GİRDİ RAPORU'!K1577</f>
        <v>0</v>
      </c>
      <c r="L101" s="18">
        <f>'GİRDİ RAPORU'!L1577</f>
        <v>0</v>
      </c>
      <c r="M101" s="26">
        <f t="shared" si="3"/>
        <v>0.52</v>
      </c>
      <c r="N101" s="26">
        <f t="shared" si="4"/>
        <v>5.5555555555555552E-2</v>
      </c>
      <c r="O101" s="26">
        <f t="shared" si="5"/>
        <v>0.94444444444444442</v>
      </c>
    </row>
    <row r="102" spans="1:15" ht="21.75" hidden="1" customHeight="1">
      <c r="A102" s="17">
        <f>'GİRDİ RAPORU'!A642</f>
        <v>45944</v>
      </c>
      <c r="B102" s="18">
        <f>'GİRDİ RAPORU'!B642</f>
        <v>2</v>
      </c>
      <c r="C102" s="18">
        <f>'GİRDİ RAPORU'!C642</f>
        <v>340</v>
      </c>
      <c r="D102" s="18">
        <f>'GİRDİ RAPORU'!D642</f>
        <v>0</v>
      </c>
      <c r="E102" s="18" t="str">
        <f>'GİRDİ RAPORU'!E642</f>
        <v>Normal Mesai</v>
      </c>
      <c r="F102" s="18">
        <f>'GİRDİ RAPORU'!F642</f>
        <v>15</v>
      </c>
      <c r="G102" s="18" t="str">
        <f>'GİRDİ RAPORU'!G642</f>
        <v>Temizlik</v>
      </c>
      <c r="H102" s="18">
        <f>'GİRDİ RAPORU'!H642</f>
        <v>15</v>
      </c>
      <c r="I102" s="18" t="str">
        <f>'GİRDİ RAPORU'!I642</f>
        <v>Hazırlık/İlk Isınma</v>
      </c>
      <c r="J102" s="18">
        <f>'GİRDİ RAPORU'!J1573</f>
        <v>0</v>
      </c>
      <c r="K102" s="18">
        <f>'GİRDİ RAPORU'!K1573</f>
        <v>0</v>
      </c>
      <c r="L102" s="18">
        <f>'GİRDİ RAPORU'!L1573</f>
        <v>0</v>
      </c>
      <c r="M102" s="26">
        <f t="shared" si="3"/>
        <v>0.45333333333333331</v>
      </c>
      <c r="N102" s="26">
        <f t="shared" si="4"/>
        <v>5.5555555555555552E-2</v>
      </c>
      <c r="O102" s="26">
        <f t="shared" si="5"/>
        <v>0.94444444444444442</v>
      </c>
    </row>
    <row r="103" spans="1:15" ht="21.75" hidden="1" customHeight="1">
      <c r="A103" s="17">
        <f>'GİRDİ RAPORU'!A643</f>
        <v>45944</v>
      </c>
      <c r="B103" s="18">
        <f>'GİRDİ RAPORU'!B643</f>
        <v>2</v>
      </c>
      <c r="C103" s="18">
        <f>'GİRDİ RAPORU'!C643</f>
        <v>350</v>
      </c>
      <c r="D103" s="18">
        <f>'GİRDİ RAPORU'!D643</f>
        <v>0</v>
      </c>
      <c r="E103" s="18" t="str">
        <f>'GİRDİ RAPORU'!E643</f>
        <v>Normal Mesai</v>
      </c>
      <c r="F103" s="18">
        <f>'GİRDİ RAPORU'!F643</f>
        <v>15</v>
      </c>
      <c r="G103" s="18" t="str">
        <f>'GİRDİ RAPORU'!G643</f>
        <v>Temizlik</v>
      </c>
      <c r="H103" s="18">
        <f>'GİRDİ RAPORU'!H643</f>
        <v>15</v>
      </c>
      <c r="I103" s="18" t="str">
        <f>'GİRDİ RAPORU'!I643</f>
        <v>Hazırlık/İlk Isınma</v>
      </c>
      <c r="J103" s="18">
        <f>'GİRDİ RAPORU'!J1574</f>
        <v>0</v>
      </c>
      <c r="K103" s="18">
        <f>'GİRDİ RAPORU'!K1574</f>
        <v>0</v>
      </c>
      <c r="L103" s="18">
        <f>'GİRDİ RAPORU'!L1574</f>
        <v>0</v>
      </c>
      <c r="M103" s="26">
        <f t="shared" si="3"/>
        <v>0.46666666666666667</v>
      </c>
      <c r="N103" s="26">
        <f t="shared" si="4"/>
        <v>5.5555555555555552E-2</v>
      </c>
      <c r="O103" s="26">
        <f t="shared" si="5"/>
        <v>0.94444444444444442</v>
      </c>
    </row>
    <row r="104" spans="1:15" ht="21.75" hidden="1" customHeight="1">
      <c r="A104" s="17">
        <f>'GİRDİ RAPORU'!A644</f>
        <v>45944</v>
      </c>
      <c r="B104" s="18">
        <f>'GİRDİ RAPORU'!B644</f>
        <v>2</v>
      </c>
      <c r="C104" s="18">
        <f>'GİRDİ RAPORU'!C644</f>
        <v>280</v>
      </c>
      <c r="D104" s="18">
        <f>'GİRDİ RAPORU'!D644</f>
        <v>0</v>
      </c>
      <c r="E104" s="18" t="str">
        <f>'GİRDİ RAPORU'!E644</f>
        <v>Normal Mesai</v>
      </c>
      <c r="F104" s="18">
        <f>'GİRDİ RAPORU'!F644</f>
        <v>15</v>
      </c>
      <c r="G104" s="18" t="str">
        <f>'GİRDİ RAPORU'!G644</f>
        <v>Temizlik</v>
      </c>
      <c r="H104" s="18">
        <f>'GİRDİ RAPORU'!H644</f>
        <v>15</v>
      </c>
      <c r="I104" s="18" t="str">
        <f>'GİRDİ RAPORU'!I644</f>
        <v>Hazırlık/İlk Isınma</v>
      </c>
      <c r="J104" s="18">
        <f>'GİRDİ RAPORU'!J1575</f>
        <v>0</v>
      </c>
      <c r="K104" s="18">
        <f>'GİRDİ RAPORU'!K1575</f>
        <v>0</v>
      </c>
      <c r="L104" s="18">
        <f>'GİRDİ RAPORU'!L1575</f>
        <v>0</v>
      </c>
      <c r="M104" s="26">
        <f t="shared" si="3"/>
        <v>0.37333333333333335</v>
      </c>
      <c r="N104" s="26">
        <f t="shared" si="4"/>
        <v>5.5555555555555552E-2</v>
      </c>
      <c r="O104" s="26">
        <f t="shared" si="5"/>
        <v>0.94444444444444442</v>
      </c>
    </row>
    <row r="105" spans="1:15" ht="21.75" hidden="1" customHeight="1">
      <c r="A105" s="17">
        <f>'GİRDİ RAPORU'!A645</f>
        <v>45944</v>
      </c>
      <c r="B105" s="18">
        <f>'GİRDİ RAPORU'!B645</f>
        <v>2</v>
      </c>
      <c r="C105" s="18">
        <f>'GİRDİ RAPORU'!C645</f>
        <v>280</v>
      </c>
      <c r="D105" s="18">
        <f>'GİRDİ RAPORU'!D645</f>
        <v>0</v>
      </c>
      <c r="E105" s="18" t="str">
        <f>'GİRDİ RAPORU'!E645</f>
        <v>Normal Mesai</v>
      </c>
      <c r="F105" s="18">
        <f>'GİRDİ RAPORU'!F645</f>
        <v>15</v>
      </c>
      <c r="G105" s="18" t="str">
        <f>'GİRDİ RAPORU'!G645</f>
        <v>Temizlik</v>
      </c>
      <c r="H105" s="18">
        <f>'GİRDİ RAPORU'!H645</f>
        <v>15</v>
      </c>
      <c r="I105" s="18" t="str">
        <f>'GİRDİ RAPORU'!I645</f>
        <v>Hazırlık/İlk Isınma</v>
      </c>
      <c r="J105" s="18">
        <f>'GİRDİ RAPORU'!J1576</f>
        <v>0</v>
      </c>
      <c r="K105" s="18">
        <f>'GİRDİ RAPORU'!K1576</f>
        <v>0</v>
      </c>
      <c r="L105" s="18">
        <f>'GİRDİ RAPORU'!L1576</f>
        <v>0</v>
      </c>
      <c r="M105" s="26">
        <f t="shared" si="3"/>
        <v>0.37333333333333335</v>
      </c>
      <c r="N105" s="26">
        <f t="shared" si="4"/>
        <v>5.5555555555555552E-2</v>
      </c>
      <c r="O105" s="26">
        <f t="shared" si="5"/>
        <v>0.94444444444444442</v>
      </c>
    </row>
    <row r="106" spans="1:15" ht="21.75" hidden="1" customHeight="1">
      <c r="A106" s="17">
        <f>'GİRDİ RAPORU'!A640</f>
        <v>45943</v>
      </c>
      <c r="B106" s="18">
        <f>'GİRDİ RAPORU'!B640</f>
        <v>2</v>
      </c>
      <c r="C106" s="18">
        <f>'GİRDİ RAPORU'!C640</f>
        <v>378</v>
      </c>
      <c r="D106" s="18">
        <f>'GİRDİ RAPORU'!D640</f>
        <v>0</v>
      </c>
      <c r="E106" s="18" t="str">
        <f>'GİRDİ RAPORU'!E640</f>
        <v>Normal Mesai</v>
      </c>
      <c r="F106" s="18">
        <f>'GİRDİ RAPORU'!F640</f>
        <v>15</v>
      </c>
      <c r="G106" s="18" t="str">
        <f>'GİRDİ RAPORU'!G640</f>
        <v>Temizlik</v>
      </c>
      <c r="H106" s="18">
        <f>'GİRDİ RAPORU'!H640</f>
        <v>15</v>
      </c>
      <c r="I106" s="18" t="str">
        <f>'GİRDİ RAPORU'!I640</f>
        <v>Hazırlık/İlk Isınma</v>
      </c>
      <c r="J106" s="18">
        <f>'GİRDİ RAPORU'!J1572</f>
        <v>0</v>
      </c>
      <c r="K106" s="18">
        <f>'GİRDİ RAPORU'!K1572</f>
        <v>0</v>
      </c>
      <c r="L106" s="18">
        <f>'GİRDİ RAPORU'!L1572</f>
        <v>0</v>
      </c>
      <c r="M106" s="26">
        <f t="shared" si="3"/>
        <v>0.504</v>
      </c>
      <c r="N106" s="26">
        <f t="shared" si="4"/>
        <v>5.5555555555555552E-2</v>
      </c>
      <c r="O106" s="26">
        <f t="shared" si="5"/>
        <v>0.94444444444444442</v>
      </c>
    </row>
    <row r="107" spans="1:15" ht="21.75" hidden="1" customHeight="1">
      <c r="A107" s="17">
        <v>45940</v>
      </c>
      <c r="B107" s="18">
        <f>'GİRDİ RAPORU'!B641</f>
        <v>2</v>
      </c>
      <c r="C107" s="18">
        <f>'GİRDİ RAPORU'!C641</f>
        <v>330</v>
      </c>
      <c r="D107" s="18">
        <f>'GİRDİ RAPORU'!D641</f>
        <v>0</v>
      </c>
      <c r="E107" s="18" t="str">
        <f>'GİRDİ RAPORU'!E641</f>
        <v>Normal Mesai</v>
      </c>
      <c r="F107" s="18">
        <f>'GİRDİ RAPORU'!F641</f>
        <v>15</v>
      </c>
      <c r="G107" s="18" t="str">
        <f>'GİRDİ RAPORU'!G641</f>
        <v>Temizlik</v>
      </c>
      <c r="H107" s="18">
        <f>'GİRDİ RAPORU'!H641</f>
        <v>15</v>
      </c>
      <c r="I107" s="18" t="str">
        <f>'GİRDİ RAPORU'!I641</f>
        <v>Hazırlık/İlk Isınma</v>
      </c>
      <c r="J107" s="18">
        <f>'GİRDİ RAPORU'!J1571</f>
        <v>0</v>
      </c>
      <c r="K107" s="18">
        <f>'GİRDİ RAPORU'!K1571</f>
        <v>0</v>
      </c>
      <c r="L107" s="18">
        <f>'GİRDİ RAPORU'!L1571</f>
        <v>0</v>
      </c>
      <c r="M107" s="26">
        <f t="shared" si="3"/>
        <v>0.44</v>
      </c>
      <c r="N107" s="26">
        <f t="shared" si="4"/>
        <v>5.5555555555555552E-2</v>
      </c>
      <c r="O107" s="26">
        <f t="shared" si="5"/>
        <v>0.94444444444444442</v>
      </c>
    </row>
    <row r="108" spans="1:15" ht="21.75" hidden="1" customHeight="1">
      <c r="A108" s="17">
        <f>'GİRDİ RAPORU'!A639</f>
        <v>45939</v>
      </c>
      <c r="B108" s="18">
        <f>'GİRDİ RAPORU'!B639</f>
        <v>2</v>
      </c>
      <c r="C108" s="18">
        <f>'GİRDİ RAPORU'!C639</f>
        <v>180</v>
      </c>
      <c r="D108" s="18">
        <f>'GİRDİ RAPORU'!D639</f>
        <v>0</v>
      </c>
      <c r="E108" s="18" t="str">
        <f>'GİRDİ RAPORU'!E639</f>
        <v>Normal Mesai</v>
      </c>
      <c r="F108" s="18">
        <f>'GİRDİ RAPORU'!F639</f>
        <v>15</v>
      </c>
      <c r="G108" s="18" t="str">
        <f>'GİRDİ RAPORU'!G639</f>
        <v>Temizlik</v>
      </c>
      <c r="H108" s="18">
        <f>'GİRDİ RAPORU'!H639</f>
        <v>15</v>
      </c>
      <c r="I108" s="18" t="str">
        <f>'GİRDİ RAPORU'!I639</f>
        <v>Hazırlık/İlk Isınma</v>
      </c>
      <c r="J108" s="18">
        <f>'GİRDİ RAPORU'!J1570</f>
        <v>0</v>
      </c>
      <c r="K108" s="18">
        <f>'GİRDİ RAPORU'!K1570</f>
        <v>0</v>
      </c>
      <c r="L108" s="18">
        <f>'GİRDİ RAPORU'!L1570</f>
        <v>0</v>
      </c>
      <c r="M108" s="26">
        <f t="shared" si="3"/>
        <v>0.24</v>
      </c>
      <c r="N108" s="26">
        <f t="shared" si="4"/>
        <v>5.5555555555555552E-2</v>
      </c>
      <c r="O108" s="26">
        <f t="shared" si="5"/>
        <v>0.94444444444444442</v>
      </c>
    </row>
    <row r="109" spans="1:15" ht="21.75" hidden="1" customHeight="1">
      <c r="A109" s="17">
        <f>'GİRDİ RAPORU'!A634</f>
        <v>45936</v>
      </c>
      <c r="B109" s="18">
        <f>'GİRDİ RAPORU'!B634</f>
        <v>2</v>
      </c>
      <c r="C109" s="18">
        <f>'GİRDİ RAPORU'!C634</f>
        <v>0</v>
      </c>
      <c r="D109" s="18">
        <f>'GİRDİ RAPORU'!D634</f>
        <v>141</v>
      </c>
      <c r="E109" s="18" t="str">
        <f>'GİRDİ RAPORU'!E634</f>
        <v>Normal Mesai</v>
      </c>
      <c r="F109" s="18">
        <f>'GİRDİ RAPORU'!F634</f>
        <v>15</v>
      </c>
      <c r="G109" s="18" t="str">
        <f>'GİRDİ RAPORU'!G634</f>
        <v>Temizlik</v>
      </c>
      <c r="H109" s="18">
        <f>'GİRDİ RAPORU'!H634</f>
        <v>15</v>
      </c>
      <c r="I109" s="18" t="str">
        <f>'GİRDİ RAPORU'!I634</f>
        <v>Hazırlık/İlk Isınma</v>
      </c>
      <c r="J109" s="18">
        <f>'GİRDİ RAPORU'!J1565</f>
        <v>0</v>
      </c>
      <c r="K109" s="18">
        <f>'GİRDİ RAPORU'!K1565</f>
        <v>0</v>
      </c>
      <c r="L109" s="18">
        <f>'GİRDİ RAPORU'!L1565</f>
        <v>0</v>
      </c>
      <c r="M109" s="26">
        <f t="shared" si="3"/>
        <v>0.188</v>
      </c>
      <c r="N109" s="26">
        <f t="shared" si="4"/>
        <v>5.5555555555555552E-2</v>
      </c>
      <c r="O109" s="26">
        <f t="shared" si="5"/>
        <v>0.94444444444444442</v>
      </c>
    </row>
    <row r="110" spans="1:15" ht="21.75" hidden="1" customHeight="1">
      <c r="A110" s="17">
        <f>'GİRDİ RAPORU'!A635</f>
        <v>45936</v>
      </c>
      <c r="B110" s="18">
        <f>'GİRDİ RAPORU'!B635</f>
        <v>2</v>
      </c>
      <c r="C110" s="18">
        <f>'GİRDİ RAPORU'!C635</f>
        <v>0</v>
      </c>
      <c r="D110" s="18">
        <f>'GİRDİ RAPORU'!D635</f>
        <v>230</v>
      </c>
      <c r="E110" s="18" t="str">
        <f>'GİRDİ RAPORU'!E635</f>
        <v>Normal Mesai</v>
      </c>
      <c r="F110" s="18">
        <f>'GİRDİ RAPORU'!F635</f>
        <v>15</v>
      </c>
      <c r="G110" s="18" t="str">
        <f>'GİRDİ RAPORU'!G635</f>
        <v>Temizlik</v>
      </c>
      <c r="H110" s="18">
        <f>'GİRDİ RAPORU'!H635</f>
        <v>15</v>
      </c>
      <c r="I110" s="18" t="str">
        <f>'GİRDİ RAPORU'!I635</f>
        <v>Hazırlık/İlk Isınma</v>
      </c>
      <c r="J110" s="18">
        <f>'GİRDİ RAPORU'!J1566</f>
        <v>0</v>
      </c>
      <c r="K110" s="18">
        <f>'GİRDİ RAPORU'!K1566</f>
        <v>0</v>
      </c>
      <c r="L110" s="18">
        <f>'GİRDİ RAPORU'!L1566</f>
        <v>0</v>
      </c>
      <c r="M110" s="26">
        <f t="shared" si="3"/>
        <v>0.30666666666666664</v>
      </c>
      <c r="N110" s="26">
        <f t="shared" si="4"/>
        <v>5.5555555555555552E-2</v>
      </c>
      <c r="O110" s="26">
        <f t="shared" si="5"/>
        <v>0.94444444444444442</v>
      </c>
    </row>
    <row r="111" spans="1:15" ht="21.75" hidden="1" customHeight="1">
      <c r="A111" s="17">
        <f>'GİRDİ RAPORU'!A636</f>
        <v>45936</v>
      </c>
      <c r="B111" s="18">
        <f>'GİRDİ RAPORU'!B636</f>
        <v>2</v>
      </c>
      <c r="C111" s="18">
        <f>'GİRDİ RAPORU'!C636</f>
        <v>220</v>
      </c>
      <c r="D111" s="18">
        <f>'GİRDİ RAPORU'!D636</f>
        <v>0</v>
      </c>
      <c r="E111" s="18" t="str">
        <f>'GİRDİ RAPORU'!E636</f>
        <v>Normal Mesai</v>
      </c>
      <c r="F111" s="18">
        <f>'GİRDİ RAPORU'!F636</f>
        <v>15</v>
      </c>
      <c r="G111" s="18" t="str">
        <f>'GİRDİ RAPORU'!G636</f>
        <v>Temizlik</v>
      </c>
      <c r="H111" s="18">
        <f>'GİRDİ RAPORU'!H636</f>
        <v>15</v>
      </c>
      <c r="I111" s="18" t="str">
        <f>'GİRDİ RAPORU'!I636</f>
        <v>Hazırlık/İlk Isınma</v>
      </c>
      <c r="J111" s="18">
        <f>'GİRDİ RAPORU'!J1567</f>
        <v>0</v>
      </c>
      <c r="K111" s="18">
        <f>'GİRDİ RAPORU'!K1567</f>
        <v>0</v>
      </c>
      <c r="L111" s="18">
        <f>'GİRDİ RAPORU'!L1567</f>
        <v>0</v>
      </c>
      <c r="M111" s="26">
        <f t="shared" si="3"/>
        <v>0.29333333333333333</v>
      </c>
      <c r="N111" s="26">
        <f t="shared" si="4"/>
        <v>5.5555555555555552E-2</v>
      </c>
      <c r="O111" s="26">
        <f t="shared" si="5"/>
        <v>0.94444444444444442</v>
      </c>
    </row>
    <row r="112" spans="1:15" ht="21.75" hidden="1" customHeight="1">
      <c r="A112" s="17">
        <f>'GİRDİ RAPORU'!A637</f>
        <v>45936</v>
      </c>
      <c r="B112" s="18">
        <f>'GİRDİ RAPORU'!B637</f>
        <v>2</v>
      </c>
      <c r="C112" s="18">
        <f>'GİRDİ RAPORU'!C637</f>
        <v>220</v>
      </c>
      <c r="D112" s="18">
        <f>'GİRDİ RAPORU'!D637</f>
        <v>0</v>
      </c>
      <c r="E112" s="18" t="str">
        <f>'GİRDİ RAPORU'!E637</f>
        <v>Normal Mesai</v>
      </c>
      <c r="F112" s="18">
        <f>'GİRDİ RAPORU'!F637</f>
        <v>15</v>
      </c>
      <c r="G112" s="18" t="str">
        <f>'GİRDİ RAPORU'!G637</f>
        <v>Temizlik</v>
      </c>
      <c r="H112" s="18">
        <f>'GİRDİ RAPORU'!H637</f>
        <v>15</v>
      </c>
      <c r="I112" s="18" t="str">
        <f>'GİRDİ RAPORU'!I637</f>
        <v>Hazırlık/İlk Isınma</v>
      </c>
      <c r="J112" s="18">
        <f>'GİRDİ RAPORU'!J1568</f>
        <v>0</v>
      </c>
      <c r="K112" s="18">
        <f>'GİRDİ RAPORU'!K1568</f>
        <v>0</v>
      </c>
      <c r="L112" s="18">
        <f>'GİRDİ RAPORU'!L1568</f>
        <v>0</v>
      </c>
      <c r="M112" s="26">
        <f t="shared" si="3"/>
        <v>0.29333333333333333</v>
      </c>
      <c r="N112" s="26">
        <f t="shared" si="4"/>
        <v>5.5555555555555552E-2</v>
      </c>
      <c r="O112" s="26">
        <f t="shared" si="5"/>
        <v>0.94444444444444442</v>
      </c>
    </row>
    <row r="113" spans="1:15" ht="21.75" hidden="1" customHeight="1">
      <c r="A113" s="17">
        <f>'GİRDİ RAPORU'!A638</f>
        <v>45936</v>
      </c>
      <c r="B113" s="18">
        <f>'GİRDİ RAPORU'!B638</f>
        <v>2</v>
      </c>
      <c r="C113" s="18">
        <f>'GİRDİ RAPORU'!C638</f>
        <v>220</v>
      </c>
      <c r="D113" s="18">
        <f>'GİRDİ RAPORU'!D638</f>
        <v>0</v>
      </c>
      <c r="E113" s="18" t="str">
        <f>'GİRDİ RAPORU'!E638</f>
        <v>Normal Mesai</v>
      </c>
      <c r="F113" s="18">
        <f>'GİRDİ RAPORU'!F638</f>
        <v>15</v>
      </c>
      <c r="G113" s="18" t="str">
        <f>'GİRDİ RAPORU'!G638</f>
        <v>Temizlik</v>
      </c>
      <c r="H113" s="18">
        <f>'GİRDİ RAPORU'!H638</f>
        <v>15</v>
      </c>
      <c r="I113" s="18" t="str">
        <f>'GİRDİ RAPORU'!I638</f>
        <v>Hazırlık/İlk Isınma</v>
      </c>
      <c r="J113" s="18">
        <f>'GİRDİ RAPORU'!J1569</f>
        <v>0</v>
      </c>
      <c r="K113" s="18">
        <f>'GİRDİ RAPORU'!K1569</f>
        <v>0</v>
      </c>
      <c r="L113" s="18">
        <f>'GİRDİ RAPORU'!L1569</f>
        <v>0</v>
      </c>
      <c r="M113" s="26">
        <f t="shared" si="3"/>
        <v>0.29333333333333333</v>
      </c>
      <c r="N113" s="26">
        <f t="shared" si="4"/>
        <v>5.5555555555555552E-2</v>
      </c>
      <c r="O113" s="26">
        <f t="shared" si="5"/>
        <v>0.94444444444444442</v>
      </c>
    </row>
    <row r="114" spans="1:15" ht="21.75" hidden="1" customHeight="1">
      <c r="A114" s="17">
        <f>'GİRDİ RAPORU'!A633</f>
        <v>45933</v>
      </c>
      <c r="B114" s="18">
        <f>'GİRDİ RAPORU'!B633</f>
        <v>2</v>
      </c>
      <c r="C114" s="18">
        <f>'GİRDİ RAPORU'!C633</f>
        <v>0</v>
      </c>
      <c r="D114" s="18">
        <f>'GİRDİ RAPORU'!D633</f>
        <v>245</v>
      </c>
      <c r="E114" s="18" t="str">
        <f>'GİRDİ RAPORU'!E633</f>
        <v>Normal Mesai</v>
      </c>
      <c r="F114" s="18">
        <f>'GİRDİ RAPORU'!F633</f>
        <v>15</v>
      </c>
      <c r="G114" s="18" t="str">
        <f>'GİRDİ RAPORU'!G633</f>
        <v>Temizlik</v>
      </c>
      <c r="H114" s="18">
        <f>'GİRDİ RAPORU'!H633</f>
        <v>60</v>
      </c>
      <c r="I114" s="18" t="str">
        <f>'GİRDİ RAPORU'!I633</f>
        <v>Hazırlık/İlk Isınma</v>
      </c>
      <c r="J114" s="18">
        <f>'GİRDİ RAPORU'!J1564</f>
        <v>0</v>
      </c>
      <c r="K114" s="18">
        <f>'GİRDİ RAPORU'!K1564</f>
        <v>0</v>
      </c>
      <c r="L114" s="18">
        <f>'GİRDİ RAPORU'!L1564</f>
        <v>0</v>
      </c>
      <c r="M114" s="26">
        <f t="shared" si="3"/>
        <v>0.32666666666666666</v>
      </c>
      <c r="N114" s="26">
        <f t="shared" si="4"/>
        <v>0.1388888888888889</v>
      </c>
      <c r="O114" s="26">
        <f t="shared" si="5"/>
        <v>0.86111111111111116</v>
      </c>
    </row>
    <row r="115" spans="1:15" ht="21.75" hidden="1" customHeight="1">
      <c r="A115" s="17">
        <f>'GİRDİ RAPORU'!A632</f>
        <v>45932</v>
      </c>
      <c r="B115" s="18">
        <f>'GİRDİ RAPORU'!B632</f>
        <v>2</v>
      </c>
      <c r="C115" s="18">
        <f>'GİRDİ RAPORU'!C632</f>
        <v>0</v>
      </c>
      <c r="D115" s="18">
        <f>'GİRDİ RAPORU'!D632</f>
        <v>130</v>
      </c>
      <c r="E115" s="18" t="str">
        <f>'GİRDİ RAPORU'!E632</f>
        <v>Normal Mesai</v>
      </c>
      <c r="F115" s="18">
        <f>'GİRDİ RAPORU'!F632</f>
        <v>15</v>
      </c>
      <c r="G115" s="18" t="str">
        <f>'GİRDİ RAPORU'!G632</f>
        <v>Temizlik</v>
      </c>
      <c r="H115" s="18">
        <f>'GİRDİ RAPORU'!H632</f>
        <v>15</v>
      </c>
      <c r="I115" s="18" t="str">
        <f>'GİRDİ RAPORU'!I632</f>
        <v>Hazırlık/İlk Isınma</v>
      </c>
      <c r="J115" s="18">
        <f>'GİRDİ RAPORU'!J1563</f>
        <v>0</v>
      </c>
      <c r="K115" s="18">
        <f>'GİRDİ RAPORU'!K1563</f>
        <v>0</v>
      </c>
      <c r="L115" s="18">
        <f>'GİRDİ RAPORU'!L1563</f>
        <v>0</v>
      </c>
      <c r="M115" s="26">
        <f t="shared" si="3"/>
        <v>0.17333333333333334</v>
      </c>
      <c r="N115" s="26">
        <f t="shared" si="4"/>
        <v>5.5555555555555552E-2</v>
      </c>
      <c r="O115" s="26">
        <f t="shared" si="5"/>
        <v>0.94444444444444442</v>
      </c>
    </row>
    <row r="116" spans="1:15" ht="21.75" hidden="1" customHeight="1">
      <c r="A116" s="17">
        <f>'GİRDİ RAPORU'!A631</f>
        <v>45930</v>
      </c>
      <c r="B116" s="18">
        <f>'GİRDİ RAPORU'!B631</f>
        <v>2</v>
      </c>
      <c r="C116" s="18">
        <f>'GİRDİ RAPORU'!C631</f>
        <v>0</v>
      </c>
      <c r="D116" s="18">
        <f>'GİRDİ RAPORU'!D631</f>
        <v>308</v>
      </c>
      <c r="E116" s="18" t="str">
        <f>'GİRDİ RAPORU'!E631</f>
        <v>Normal Mesai</v>
      </c>
      <c r="F116" s="18">
        <f>'GİRDİ RAPORU'!F631</f>
        <v>15</v>
      </c>
      <c r="G116" s="18" t="str">
        <f>'GİRDİ RAPORU'!G631</f>
        <v>Temizlik</v>
      </c>
      <c r="H116" s="18">
        <f>'GİRDİ RAPORU'!H631</f>
        <v>15</v>
      </c>
      <c r="I116" s="18" t="str">
        <f>'GİRDİ RAPORU'!I631</f>
        <v>Hazırlık/İlk Isınma</v>
      </c>
      <c r="J116" s="18">
        <f>'GİRDİ RAPORU'!J1562</f>
        <v>0</v>
      </c>
      <c r="K116" s="18">
        <f>'GİRDİ RAPORU'!K1562</f>
        <v>0</v>
      </c>
      <c r="L116" s="18">
        <f>'GİRDİ RAPORU'!L1562</f>
        <v>0</v>
      </c>
      <c r="M116" s="26">
        <f t="shared" si="3"/>
        <v>0.41066666666666668</v>
      </c>
      <c r="N116" s="26">
        <f t="shared" si="4"/>
        <v>5.5555555555555552E-2</v>
      </c>
      <c r="O116" s="26">
        <f t="shared" si="5"/>
        <v>0.94444444444444442</v>
      </c>
    </row>
    <row r="117" spans="1:15" ht="21.75" hidden="1" customHeight="1">
      <c r="A117" s="17">
        <f>'GİRDİ RAPORU'!A630</f>
        <v>45924</v>
      </c>
      <c r="B117" s="18">
        <f>'GİRDİ RAPORU'!B630</f>
        <v>2</v>
      </c>
      <c r="C117" s="18">
        <f>'GİRDİ RAPORU'!C630</f>
        <v>0</v>
      </c>
      <c r="D117" s="18">
        <f>'GİRDİ RAPORU'!D630</f>
        <v>356</v>
      </c>
      <c r="E117" s="18" t="str">
        <f>'GİRDİ RAPORU'!E630</f>
        <v>Normal Mesai</v>
      </c>
      <c r="F117" s="18">
        <f>'GİRDİ RAPORU'!F630</f>
        <v>15</v>
      </c>
      <c r="G117" s="18" t="str">
        <f>'GİRDİ RAPORU'!G630</f>
        <v>Temizlik</v>
      </c>
      <c r="H117" s="18">
        <f>'GİRDİ RAPORU'!H630</f>
        <v>15</v>
      </c>
      <c r="I117" s="18" t="str">
        <f>'GİRDİ RAPORU'!I630</f>
        <v>Hazırlık/İlk Isınma</v>
      </c>
      <c r="J117" s="18">
        <f>'GİRDİ RAPORU'!J1561</f>
        <v>0</v>
      </c>
      <c r="K117" s="18">
        <f>'GİRDİ RAPORU'!K1561</f>
        <v>0</v>
      </c>
      <c r="L117" s="18">
        <f>'GİRDİ RAPORU'!L1561</f>
        <v>0</v>
      </c>
      <c r="M117" s="26">
        <f t="shared" si="3"/>
        <v>0.47466666666666668</v>
      </c>
      <c r="N117" s="26">
        <f t="shared" si="4"/>
        <v>5.5555555555555552E-2</v>
      </c>
      <c r="O117" s="26">
        <f t="shared" si="5"/>
        <v>0.94444444444444442</v>
      </c>
    </row>
    <row r="118" spans="1:15" ht="21.75" hidden="1" customHeight="1">
      <c r="A118" s="17">
        <f>'GİRDİ RAPORU'!A629</f>
        <v>45923</v>
      </c>
      <c r="B118" s="18">
        <f>'GİRDİ RAPORU'!B629</f>
        <v>2</v>
      </c>
      <c r="C118" s="18">
        <f>'GİRDİ RAPORU'!C629</f>
        <v>0</v>
      </c>
      <c r="D118" s="18">
        <f>'GİRDİ RAPORU'!D629</f>
        <v>328</v>
      </c>
      <c r="E118" s="18" t="str">
        <f>'GİRDİ RAPORU'!E629</f>
        <v>Normal Mesai</v>
      </c>
      <c r="F118" s="18">
        <f>'GİRDİ RAPORU'!F629</f>
        <v>15</v>
      </c>
      <c r="G118" s="18" t="str">
        <f>'GİRDİ RAPORU'!G629</f>
        <v>Temizlik</v>
      </c>
      <c r="H118" s="18">
        <f>'GİRDİ RAPORU'!H629</f>
        <v>15</v>
      </c>
      <c r="I118" s="18" t="str">
        <f>'GİRDİ RAPORU'!I629</f>
        <v>Hazırlık/İlk Isınma</v>
      </c>
      <c r="J118" s="18">
        <f>'GİRDİ RAPORU'!J1560</f>
        <v>0</v>
      </c>
      <c r="K118" s="18">
        <f>'GİRDİ RAPORU'!K1560</f>
        <v>0</v>
      </c>
      <c r="L118" s="18">
        <f>'GİRDİ RAPORU'!L1560</f>
        <v>0</v>
      </c>
      <c r="M118" s="26">
        <f t="shared" si="3"/>
        <v>0.43733333333333335</v>
      </c>
      <c r="N118" s="26">
        <f t="shared" si="4"/>
        <v>5.5555555555555552E-2</v>
      </c>
      <c r="O118" s="26">
        <f t="shared" si="5"/>
        <v>0.94444444444444442</v>
      </c>
    </row>
    <row r="119" spans="1:15" ht="21.75" hidden="1" customHeight="1">
      <c r="A119" s="17">
        <f>'GİRDİ RAPORU'!A628</f>
        <v>45922</v>
      </c>
      <c r="B119" s="18">
        <f>'GİRDİ RAPORU'!B628</f>
        <v>2</v>
      </c>
      <c r="C119" s="18">
        <f>'GİRDİ RAPORU'!C628</f>
        <v>0</v>
      </c>
      <c r="D119" s="18">
        <f>'GİRDİ RAPORU'!D628</f>
        <v>582</v>
      </c>
      <c r="E119" s="18" t="str">
        <f>'GİRDİ RAPORU'!E628</f>
        <v>Normal Mesai</v>
      </c>
      <c r="F119" s="18">
        <f>'GİRDİ RAPORU'!F628</f>
        <v>15</v>
      </c>
      <c r="G119" s="18" t="str">
        <f>'GİRDİ RAPORU'!G628</f>
        <v>Temizlik</v>
      </c>
      <c r="H119" s="18">
        <f>'GİRDİ RAPORU'!H628</f>
        <v>15</v>
      </c>
      <c r="I119" s="18" t="str">
        <f>'GİRDİ RAPORU'!I628</f>
        <v>Hazırlık/İlk Isınma</v>
      </c>
      <c r="J119" s="18">
        <f>'GİRDİ RAPORU'!J1559</f>
        <v>0</v>
      </c>
      <c r="K119" s="18">
        <f>'GİRDİ RAPORU'!K1559</f>
        <v>0</v>
      </c>
      <c r="L119" s="18">
        <f>'GİRDİ RAPORU'!L1559</f>
        <v>0</v>
      </c>
      <c r="M119" s="26">
        <f t="shared" si="3"/>
        <v>0.77600000000000002</v>
      </c>
      <c r="N119" s="26">
        <f t="shared" si="4"/>
        <v>5.5555555555555552E-2</v>
      </c>
      <c r="O119" s="26">
        <f t="shared" si="5"/>
        <v>0.94444444444444442</v>
      </c>
    </row>
    <row r="120" spans="1:15" ht="21.75" hidden="1" customHeight="1">
      <c r="A120" s="17">
        <f>'GİRDİ RAPORU'!A627</f>
        <v>45919</v>
      </c>
      <c r="B120" s="18">
        <f>'GİRDİ RAPORU'!B627</f>
        <v>2</v>
      </c>
      <c r="C120" s="18">
        <f>'GİRDİ RAPORU'!C627</f>
        <v>0</v>
      </c>
      <c r="D120" s="18">
        <f>'GİRDİ RAPORU'!D627</f>
        <v>176</v>
      </c>
      <c r="E120" s="18" t="str">
        <f>'GİRDİ RAPORU'!E627</f>
        <v>Normal Mesai</v>
      </c>
      <c r="F120" s="18">
        <f>'GİRDİ RAPORU'!F627</f>
        <v>120</v>
      </c>
      <c r="G120" s="18" t="str">
        <f>'GİRDİ RAPORU'!G627</f>
        <v>Temizlik</v>
      </c>
      <c r="H120" s="18">
        <f>'GİRDİ RAPORU'!H627</f>
        <v>15</v>
      </c>
      <c r="I120" s="18" t="str">
        <f>'GİRDİ RAPORU'!I627</f>
        <v>Hazırlık/İlk Isınma</v>
      </c>
      <c r="J120" s="18">
        <f>'GİRDİ RAPORU'!J1558</f>
        <v>0</v>
      </c>
      <c r="K120" s="18">
        <f>'GİRDİ RAPORU'!K1558</f>
        <v>0</v>
      </c>
      <c r="L120" s="18">
        <f>'GİRDİ RAPORU'!L1558</f>
        <v>0</v>
      </c>
      <c r="M120" s="26">
        <f t="shared" si="3"/>
        <v>0.23466666666666666</v>
      </c>
      <c r="N120" s="26">
        <f t="shared" si="4"/>
        <v>0.25</v>
      </c>
      <c r="O120" s="26">
        <f t="shared" si="5"/>
        <v>0.75</v>
      </c>
    </row>
    <row r="121" spans="1:15" ht="21.75" hidden="1" customHeight="1">
      <c r="A121" s="17">
        <f>'GİRDİ RAPORU'!A626</f>
        <v>45918</v>
      </c>
      <c r="B121" s="18">
        <f>'GİRDİ RAPORU'!B626</f>
        <v>2</v>
      </c>
      <c r="C121" s="18">
        <f>'GİRDİ RAPORU'!C626</f>
        <v>0</v>
      </c>
      <c r="D121" s="18">
        <f>'GİRDİ RAPORU'!D626</f>
        <v>276</v>
      </c>
      <c r="E121" s="18" t="str">
        <f>'GİRDİ RAPORU'!E626</f>
        <v>Normal Mesai</v>
      </c>
      <c r="F121" s="18">
        <f>'GİRDİ RAPORU'!F626</f>
        <v>15</v>
      </c>
      <c r="G121" s="18" t="str">
        <f>'GİRDİ RAPORU'!G626</f>
        <v>Ar-ge Çalışması</v>
      </c>
      <c r="H121" s="18">
        <f>'GİRDİ RAPORU'!H626</f>
        <v>15</v>
      </c>
      <c r="I121" s="18" t="str">
        <f>'GİRDİ RAPORU'!I626</f>
        <v>Hazırlık/İlk Isınma</v>
      </c>
      <c r="J121" s="18">
        <f>'GİRDİ RAPORU'!J1557</f>
        <v>0</v>
      </c>
      <c r="K121" s="18">
        <f>'GİRDİ RAPORU'!K1557</f>
        <v>0</v>
      </c>
      <c r="L121" s="18">
        <f>'GİRDİ RAPORU'!L1557</f>
        <v>0</v>
      </c>
      <c r="M121" s="26">
        <f t="shared" si="3"/>
        <v>0.36799999999999999</v>
      </c>
      <c r="N121" s="26">
        <f t="shared" si="4"/>
        <v>5.5555555555555552E-2</v>
      </c>
      <c r="O121" s="26">
        <f t="shared" si="5"/>
        <v>0.94444444444444442</v>
      </c>
    </row>
    <row r="122" spans="1:15" ht="21.75" hidden="1" customHeight="1">
      <c r="A122" s="17">
        <f>'GİRDİ RAPORU'!A625</f>
        <v>45917</v>
      </c>
      <c r="B122" s="18">
        <f>'GİRDİ RAPORU'!B625</f>
        <v>2</v>
      </c>
      <c r="C122" s="18">
        <f>'GİRDİ RAPORU'!C625</f>
        <v>0</v>
      </c>
      <c r="D122" s="18">
        <f>'GİRDİ RAPORU'!D625</f>
        <v>182</v>
      </c>
      <c r="E122" s="18" t="str">
        <f>'GİRDİ RAPORU'!E625</f>
        <v>Normal Mesai</v>
      </c>
      <c r="F122" s="18">
        <f>'GİRDİ RAPORU'!F625</f>
        <v>15</v>
      </c>
      <c r="G122" s="18" t="str">
        <f>'GİRDİ RAPORU'!G625</f>
        <v>Temizlik</v>
      </c>
      <c r="H122" s="18">
        <f>'GİRDİ RAPORU'!H625</f>
        <v>15</v>
      </c>
      <c r="I122" s="18" t="str">
        <f>'GİRDİ RAPORU'!I625</f>
        <v>Hazırlık/İlk Isınma</v>
      </c>
      <c r="J122" s="18">
        <f>'GİRDİ RAPORU'!J1556</f>
        <v>0</v>
      </c>
      <c r="K122" s="18">
        <f>'GİRDİ RAPORU'!K1556</f>
        <v>0</v>
      </c>
      <c r="L122" s="18">
        <f>'GİRDİ RAPORU'!L1556</f>
        <v>0</v>
      </c>
      <c r="M122" s="26">
        <f t="shared" si="3"/>
        <v>0.24266666666666667</v>
      </c>
      <c r="N122" s="26">
        <f t="shared" si="4"/>
        <v>5.5555555555555552E-2</v>
      </c>
      <c r="O122" s="26">
        <f t="shared" si="5"/>
        <v>0.94444444444444442</v>
      </c>
    </row>
    <row r="123" spans="1:15" ht="21.75" hidden="1" customHeight="1">
      <c r="A123" s="17">
        <f>'GİRDİ RAPORU'!A624</f>
        <v>45916</v>
      </c>
      <c r="B123" s="18">
        <f>'GİRDİ RAPORU'!B624</f>
        <v>2</v>
      </c>
      <c r="C123" s="18">
        <f>'GİRDİ RAPORU'!C624</f>
        <v>0</v>
      </c>
      <c r="D123" s="18">
        <f>'GİRDİ RAPORU'!D624</f>
        <v>222</v>
      </c>
      <c r="E123" s="18" t="str">
        <f>'GİRDİ RAPORU'!E624</f>
        <v>Normal Mesai</v>
      </c>
      <c r="F123" s="18">
        <f>'GİRDİ RAPORU'!F624</f>
        <v>15</v>
      </c>
      <c r="G123" s="18" t="str">
        <f>'GİRDİ RAPORU'!G624</f>
        <v>Temizlik</v>
      </c>
      <c r="H123" s="18">
        <f>'GİRDİ RAPORU'!H624</f>
        <v>15</v>
      </c>
      <c r="I123" s="18" t="str">
        <f>'GİRDİ RAPORU'!I624</f>
        <v>Hazırlık/İlk Isınma</v>
      </c>
      <c r="J123" s="18">
        <f>'GİRDİ RAPORU'!J1555</f>
        <v>0</v>
      </c>
      <c r="K123" s="18">
        <f>'GİRDİ RAPORU'!K1555</f>
        <v>0</v>
      </c>
      <c r="L123" s="18">
        <f>'GİRDİ RAPORU'!L1555</f>
        <v>0</v>
      </c>
      <c r="M123" s="26">
        <f t="shared" si="3"/>
        <v>0.29599999999999999</v>
      </c>
      <c r="N123" s="26">
        <f t="shared" si="4"/>
        <v>5.5555555555555552E-2</v>
      </c>
      <c r="O123" s="26">
        <f t="shared" si="5"/>
        <v>0.94444444444444442</v>
      </c>
    </row>
    <row r="124" spans="1:15" ht="21.75" hidden="1" customHeight="1">
      <c r="A124" s="17">
        <f>'GİRDİ RAPORU'!A623</f>
        <v>45915</v>
      </c>
      <c r="B124" s="18">
        <f>'GİRDİ RAPORU'!B623</f>
        <v>2</v>
      </c>
      <c r="C124" s="18">
        <f>'GİRDİ RAPORU'!C623</f>
        <v>0</v>
      </c>
      <c r="D124" s="18">
        <f>'GİRDİ RAPORU'!D623</f>
        <v>130</v>
      </c>
      <c r="E124" s="18" t="str">
        <f>'GİRDİ RAPORU'!E623</f>
        <v>Normal Mesai</v>
      </c>
      <c r="F124" s="18">
        <f>'GİRDİ RAPORU'!F623</f>
        <v>60</v>
      </c>
      <c r="G124" s="18" t="str">
        <f>'GİRDİ RAPORU'!G623</f>
        <v>Temizlik</v>
      </c>
      <c r="H124" s="18">
        <f>'GİRDİ RAPORU'!H623</f>
        <v>15</v>
      </c>
      <c r="I124" s="18" t="str">
        <f>'GİRDİ RAPORU'!I623</f>
        <v>Hazırlık/İlk Isınma</v>
      </c>
      <c r="J124" s="18">
        <f>'GİRDİ RAPORU'!J1554</f>
        <v>0</v>
      </c>
      <c r="K124" s="18">
        <f>'GİRDİ RAPORU'!K1554</f>
        <v>0</v>
      </c>
      <c r="L124" s="18">
        <f>'GİRDİ RAPORU'!L1554</f>
        <v>0</v>
      </c>
      <c r="M124" s="26">
        <f t="shared" si="3"/>
        <v>0.17333333333333334</v>
      </c>
      <c r="N124" s="26">
        <f t="shared" si="4"/>
        <v>0.1388888888888889</v>
      </c>
      <c r="O124" s="26">
        <f t="shared" si="5"/>
        <v>0.86111111111111116</v>
      </c>
    </row>
    <row r="125" spans="1:15" ht="21.75" hidden="1" customHeight="1">
      <c r="A125" s="17">
        <f>'GİRDİ RAPORU'!A621</f>
        <v>45912</v>
      </c>
      <c r="B125" s="18">
        <f>'GİRDİ RAPORU'!B621</f>
        <v>2</v>
      </c>
      <c r="C125" s="18">
        <f>'GİRDİ RAPORU'!C621</f>
        <v>0</v>
      </c>
      <c r="D125" s="18">
        <f>'GİRDİ RAPORU'!D621</f>
        <v>265</v>
      </c>
      <c r="E125" s="18" t="str">
        <f>'GİRDİ RAPORU'!E621</f>
        <v>Normal Mesai</v>
      </c>
      <c r="F125" s="18">
        <f>'GİRDİ RAPORU'!F621</f>
        <v>90</v>
      </c>
      <c r="G125" s="18" t="str">
        <f>'GİRDİ RAPORU'!G621</f>
        <v>Temizlik</v>
      </c>
      <c r="H125" s="18">
        <f>'GİRDİ RAPORU'!H621</f>
        <v>15</v>
      </c>
      <c r="I125" s="18" t="str">
        <f>'GİRDİ RAPORU'!I621</f>
        <v>Hazırlık/İlk Isınma</v>
      </c>
      <c r="J125" s="18">
        <f>'GİRDİ RAPORU'!J1553</f>
        <v>0</v>
      </c>
      <c r="K125" s="18">
        <f>'GİRDİ RAPORU'!K1553</f>
        <v>0</v>
      </c>
      <c r="L125" s="18">
        <f>'GİRDİ RAPORU'!L1553</f>
        <v>0</v>
      </c>
      <c r="M125" s="26">
        <f t="shared" si="3"/>
        <v>0.35333333333333333</v>
      </c>
      <c r="N125" s="26">
        <f t="shared" si="4"/>
        <v>0.19444444444444445</v>
      </c>
      <c r="O125" s="26">
        <f t="shared" si="5"/>
        <v>0.80555555555555558</v>
      </c>
    </row>
    <row r="126" spans="1:15" ht="21.75" hidden="1" customHeight="1">
      <c r="A126" s="17">
        <f>'GİRDİ RAPORU'!A620</f>
        <v>45911</v>
      </c>
      <c r="B126" s="18">
        <f>'GİRDİ RAPORU'!B620</f>
        <v>2</v>
      </c>
      <c r="C126" s="18">
        <f>'GİRDİ RAPORU'!C620</f>
        <v>0</v>
      </c>
      <c r="D126" s="18">
        <f>'GİRDİ RAPORU'!D620</f>
        <v>248</v>
      </c>
      <c r="E126" s="18" t="str">
        <f>'GİRDİ RAPORU'!E620</f>
        <v>Normal Mesai</v>
      </c>
      <c r="F126" s="18">
        <f>'GİRDİ RAPORU'!F620</f>
        <v>15</v>
      </c>
      <c r="G126" s="18" t="str">
        <f>'GİRDİ RAPORU'!G620</f>
        <v>Temizlik</v>
      </c>
      <c r="H126" s="18">
        <f>'GİRDİ RAPORU'!H620</f>
        <v>15</v>
      </c>
      <c r="I126" s="18" t="str">
        <f>'GİRDİ RAPORU'!I620</f>
        <v>Hazırlık/İlk Isınma</v>
      </c>
      <c r="J126" s="18">
        <f>'GİRDİ RAPORU'!J1552</f>
        <v>0</v>
      </c>
      <c r="K126" s="18">
        <f>'GİRDİ RAPORU'!K1552</f>
        <v>0</v>
      </c>
      <c r="L126" s="18">
        <f>'GİRDİ RAPORU'!L1552</f>
        <v>0</v>
      </c>
      <c r="M126" s="26">
        <f t="shared" si="3"/>
        <v>0.33066666666666666</v>
      </c>
      <c r="N126" s="26">
        <f t="shared" si="4"/>
        <v>5.5555555555555552E-2</v>
      </c>
      <c r="O126" s="26">
        <f t="shared" si="5"/>
        <v>0.94444444444444442</v>
      </c>
    </row>
    <row r="127" spans="1:15" ht="21.75" hidden="1" customHeight="1">
      <c r="A127" s="17">
        <f>'GİRDİ RAPORU'!A618</f>
        <v>45910</v>
      </c>
      <c r="B127" s="18">
        <f>'GİRDİ RAPORU'!B618</f>
        <v>2</v>
      </c>
      <c r="C127" s="18">
        <f>'GİRDİ RAPORU'!C618</f>
        <v>0</v>
      </c>
      <c r="D127" s="18">
        <f>'GİRDİ RAPORU'!D618</f>
        <v>355</v>
      </c>
      <c r="E127" s="18" t="str">
        <f>'GİRDİ RAPORU'!E618</f>
        <v>Normal Mesai</v>
      </c>
      <c r="F127" s="18">
        <f>'GİRDİ RAPORU'!F618</f>
        <v>15</v>
      </c>
      <c r="G127" s="18" t="str">
        <f>'GİRDİ RAPORU'!G618</f>
        <v>Temizlik</v>
      </c>
      <c r="H127" s="18">
        <f>'GİRDİ RAPORU'!H618</f>
        <v>15</v>
      </c>
      <c r="I127" s="18" t="str">
        <f>'GİRDİ RAPORU'!I618</f>
        <v>Hazırlık/İlk Isınma</v>
      </c>
      <c r="J127" s="18">
        <f>'GİRDİ RAPORU'!J1551</f>
        <v>0</v>
      </c>
      <c r="K127" s="18">
        <f>'GİRDİ RAPORU'!K1551</f>
        <v>0</v>
      </c>
      <c r="L127" s="18">
        <f>'GİRDİ RAPORU'!L1551</f>
        <v>0</v>
      </c>
      <c r="M127" s="26">
        <f t="shared" si="3"/>
        <v>0.47333333333333333</v>
      </c>
      <c r="N127" s="26">
        <f t="shared" si="4"/>
        <v>5.5555555555555552E-2</v>
      </c>
      <c r="O127" s="26">
        <f t="shared" si="5"/>
        <v>0.94444444444444442</v>
      </c>
    </row>
    <row r="128" spans="1:15" ht="21.75" hidden="1" customHeight="1">
      <c r="A128" s="17">
        <f>'GİRDİ RAPORU'!A617</f>
        <v>45909</v>
      </c>
      <c r="B128" s="18">
        <f>'GİRDİ RAPORU'!B617</f>
        <v>2</v>
      </c>
      <c r="C128" s="18">
        <f>'GİRDİ RAPORU'!C617</f>
        <v>0</v>
      </c>
      <c r="D128" s="18">
        <f>'GİRDİ RAPORU'!D617</f>
        <v>322</v>
      </c>
      <c r="E128" s="18" t="str">
        <f>'GİRDİ RAPORU'!E617</f>
        <v>Normal Mesai</v>
      </c>
      <c r="F128" s="18">
        <f>'GİRDİ RAPORU'!F617</f>
        <v>15</v>
      </c>
      <c r="G128" s="18" t="str">
        <f>'GİRDİ RAPORU'!G617</f>
        <v>Temizlik</v>
      </c>
      <c r="H128" s="18">
        <f>'GİRDİ RAPORU'!H617</f>
        <v>15</v>
      </c>
      <c r="I128" s="18" t="str">
        <f>'GİRDİ RAPORU'!I617</f>
        <v>Hazırlık/İlk Isınma</v>
      </c>
      <c r="J128" s="18">
        <f>'GİRDİ RAPORU'!J1550</f>
        <v>0</v>
      </c>
      <c r="K128" s="18">
        <f>'GİRDİ RAPORU'!K1550</f>
        <v>0</v>
      </c>
      <c r="L128" s="18">
        <f>'GİRDİ RAPORU'!L1550</f>
        <v>0</v>
      </c>
      <c r="M128" s="26">
        <f t="shared" si="3"/>
        <v>0.42933333333333334</v>
      </c>
      <c r="N128" s="26">
        <f t="shared" si="4"/>
        <v>5.5555555555555552E-2</v>
      </c>
      <c r="O128" s="26">
        <f t="shared" si="5"/>
        <v>0.94444444444444442</v>
      </c>
    </row>
    <row r="129" spans="1:15" ht="21.75" hidden="1" customHeight="1">
      <c r="A129" s="17">
        <f>'GİRDİ RAPORU'!A616</f>
        <v>45905</v>
      </c>
      <c r="B129" s="18">
        <f>'GİRDİ RAPORU'!B616</f>
        <v>2</v>
      </c>
      <c r="C129" s="18">
        <f>'GİRDİ RAPORU'!C616</f>
        <v>0</v>
      </c>
      <c r="D129" s="18">
        <f>'GİRDİ RAPORU'!D616</f>
        <v>122</v>
      </c>
      <c r="E129" s="18" t="str">
        <f>'GİRDİ RAPORU'!E616</f>
        <v>Normal Mesai</v>
      </c>
      <c r="F129" s="18">
        <f>'GİRDİ RAPORU'!F616</f>
        <v>60</v>
      </c>
      <c r="G129" s="18" t="str">
        <f>'GİRDİ RAPORU'!G616</f>
        <v>Temizlik</v>
      </c>
      <c r="H129" s="18">
        <f>'GİRDİ RAPORU'!H616</f>
        <v>15</v>
      </c>
      <c r="I129" s="18" t="str">
        <f>'GİRDİ RAPORU'!I616</f>
        <v>Hazırlık/İlk Isınma</v>
      </c>
      <c r="J129" s="18">
        <f>'GİRDİ RAPORU'!J1549</f>
        <v>0</v>
      </c>
      <c r="K129" s="18">
        <f>'GİRDİ RAPORU'!K1549</f>
        <v>0</v>
      </c>
      <c r="L129" s="18">
        <f>'GİRDİ RAPORU'!L1549</f>
        <v>0</v>
      </c>
      <c r="M129" s="26">
        <f t="shared" si="3"/>
        <v>0.16266666666666665</v>
      </c>
      <c r="N129" s="26">
        <f t="shared" si="4"/>
        <v>0.1388888888888889</v>
      </c>
      <c r="O129" s="26">
        <f t="shared" si="5"/>
        <v>0.86111111111111116</v>
      </c>
    </row>
    <row r="130" spans="1:15" ht="21.75" hidden="1" customHeight="1">
      <c r="A130" s="17">
        <f>'GİRDİ RAPORU'!A615</f>
        <v>45904</v>
      </c>
      <c r="B130" s="18">
        <f>'GİRDİ RAPORU'!B615</f>
        <v>2</v>
      </c>
      <c r="C130" s="18">
        <f>'GİRDİ RAPORU'!C615</f>
        <v>0</v>
      </c>
      <c r="D130" s="18">
        <f>'GİRDİ RAPORU'!D615</f>
        <v>180</v>
      </c>
      <c r="E130" s="18" t="str">
        <f>'GİRDİ RAPORU'!E615</f>
        <v>Normal Mesai</v>
      </c>
      <c r="F130" s="18">
        <f>'GİRDİ RAPORU'!F615</f>
        <v>15</v>
      </c>
      <c r="G130" s="18" t="str">
        <f>'GİRDİ RAPORU'!G615</f>
        <v>Temizlik</v>
      </c>
      <c r="H130" s="18">
        <f>'GİRDİ RAPORU'!H615</f>
        <v>15</v>
      </c>
      <c r="I130" s="18" t="str">
        <f>'GİRDİ RAPORU'!I615</f>
        <v>Hazırlık/İlk Isınma</v>
      </c>
      <c r="J130" s="18">
        <f>'GİRDİ RAPORU'!J1548</f>
        <v>0</v>
      </c>
      <c r="K130" s="18">
        <f>'GİRDİ RAPORU'!K1548</f>
        <v>0</v>
      </c>
      <c r="L130" s="18">
        <f>'GİRDİ RAPORU'!L1548</f>
        <v>0</v>
      </c>
      <c r="M130" s="26">
        <f t="shared" ref="M130:M193" si="6">(C130+D130)/750</f>
        <v>0.24</v>
      </c>
      <c r="N130" s="26">
        <f t="shared" ref="N130:N193" si="7">(F130+H130+J130)/540</f>
        <v>5.5555555555555552E-2</v>
      </c>
      <c r="O130" s="26">
        <f t="shared" ref="O130:O193" si="8">(540-F130-H130-J130)/540</f>
        <v>0.94444444444444442</v>
      </c>
    </row>
    <row r="131" spans="1:15" ht="21.75" hidden="1" customHeight="1">
      <c r="A131" s="17">
        <f>'GİRDİ RAPORU'!A614</f>
        <v>45903</v>
      </c>
      <c r="B131" s="18">
        <f>'GİRDİ RAPORU'!B614</f>
        <v>2</v>
      </c>
      <c r="C131" s="18">
        <f>'GİRDİ RAPORU'!C614</f>
        <v>0</v>
      </c>
      <c r="D131" s="18">
        <f>'GİRDİ RAPORU'!D614</f>
        <v>316</v>
      </c>
      <c r="E131" s="18" t="str">
        <f>'GİRDİ RAPORU'!E614</f>
        <v>Normal Mesai</v>
      </c>
      <c r="F131" s="18">
        <f>'GİRDİ RAPORU'!F614</f>
        <v>15</v>
      </c>
      <c r="G131" s="18" t="str">
        <f>'GİRDİ RAPORU'!G614</f>
        <v>Temizlik</v>
      </c>
      <c r="H131" s="18">
        <f>'GİRDİ RAPORU'!H614</f>
        <v>15</v>
      </c>
      <c r="I131" s="18" t="str">
        <f>'GİRDİ RAPORU'!I614</f>
        <v>Hazırlık/İlk Isınma</v>
      </c>
      <c r="J131" s="18">
        <f>'GİRDİ RAPORU'!J1547</f>
        <v>0</v>
      </c>
      <c r="K131" s="18">
        <f>'GİRDİ RAPORU'!K1547</f>
        <v>0</v>
      </c>
      <c r="L131" s="18">
        <f>'GİRDİ RAPORU'!L1547</f>
        <v>0</v>
      </c>
      <c r="M131" s="26">
        <f t="shared" si="6"/>
        <v>0.42133333333333334</v>
      </c>
      <c r="N131" s="26">
        <f t="shared" si="7"/>
        <v>5.5555555555555552E-2</v>
      </c>
      <c r="O131" s="26">
        <f t="shared" si="8"/>
        <v>0.94444444444444442</v>
      </c>
    </row>
    <row r="132" spans="1:15" ht="21.75" hidden="1" customHeight="1">
      <c r="A132" s="17">
        <f>'GİRDİ RAPORU'!A613</f>
        <v>45902</v>
      </c>
      <c r="B132" s="18">
        <f>'GİRDİ RAPORU'!B613</f>
        <v>2</v>
      </c>
      <c r="C132" s="18">
        <f>'GİRDİ RAPORU'!C613</f>
        <v>0</v>
      </c>
      <c r="D132" s="18">
        <f>'GİRDİ RAPORU'!D613</f>
        <v>290</v>
      </c>
      <c r="E132" s="18" t="str">
        <f>'GİRDİ RAPORU'!E613</f>
        <v>Normal Mesai</v>
      </c>
      <c r="F132" s="18">
        <f>'GİRDİ RAPORU'!F613</f>
        <v>15</v>
      </c>
      <c r="G132" s="18" t="str">
        <f>'GİRDİ RAPORU'!G613</f>
        <v>Temizlik</v>
      </c>
      <c r="H132" s="18">
        <f>'GİRDİ RAPORU'!H613</f>
        <v>15</v>
      </c>
      <c r="I132" s="18" t="str">
        <f>'GİRDİ RAPORU'!I613</f>
        <v>Hazırlık/İlk Isınma</v>
      </c>
      <c r="J132" s="18">
        <f>'GİRDİ RAPORU'!J1546</f>
        <v>0</v>
      </c>
      <c r="K132" s="18">
        <f>'GİRDİ RAPORU'!K1546</f>
        <v>0</v>
      </c>
      <c r="L132" s="18">
        <f>'GİRDİ RAPORU'!L1546</f>
        <v>0</v>
      </c>
      <c r="M132" s="26">
        <f t="shared" si="6"/>
        <v>0.38666666666666666</v>
      </c>
      <c r="N132" s="26">
        <f t="shared" si="7"/>
        <v>5.5555555555555552E-2</v>
      </c>
      <c r="O132" s="26">
        <f t="shared" si="8"/>
        <v>0.94444444444444442</v>
      </c>
    </row>
    <row r="133" spans="1:15" ht="21.75" hidden="1" customHeight="1">
      <c r="A133" s="17">
        <f>'GİRDİ RAPORU'!A612</f>
        <v>45901</v>
      </c>
      <c r="B133" s="18">
        <f>'GİRDİ RAPORU'!B612</f>
        <v>2</v>
      </c>
      <c r="C133" s="18">
        <f>'GİRDİ RAPORU'!C612</f>
        <v>0</v>
      </c>
      <c r="D133" s="18">
        <f>'GİRDİ RAPORU'!D612</f>
        <v>278</v>
      </c>
      <c r="E133" s="18" t="str">
        <f>'GİRDİ RAPORU'!E612</f>
        <v>Normal Mesai</v>
      </c>
      <c r="F133" s="18">
        <f>'GİRDİ RAPORU'!F612</f>
        <v>15</v>
      </c>
      <c r="G133" s="18" t="str">
        <f>'GİRDİ RAPORU'!G612</f>
        <v>Temizlik</v>
      </c>
      <c r="H133" s="18">
        <f>'GİRDİ RAPORU'!H612</f>
        <v>15</v>
      </c>
      <c r="I133" s="18" t="str">
        <f>'GİRDİ RAPORU'!I612</f>
        <v>Hazırlık/İlk Isınma</v>
      </c>
      <c r="J133" s="18">
        <f>'GİRDİ RAPORU'!J1545</f>
        <v>0</v>
      </c>
      <c r="K133" s="18">
        <f>'GİRDİ RAPORU'!K1545</f>
        <v>0</v>
      </c>
      <c r="L133" s="18">
        <f>'GİRDİ RAPORU'!L1545</f>
        <v>0</v>
      </c>
      <c r="M133" s="26">
        <f t="shared" si="6"/>
        <v>0.37066666666666664</v>
      </c>
      <c r="N133" s="26">
        <f t="shared" si="7"/>
        <v>5.5555555555555552E-2</v>
      </c>
      <c r="O133" s="26">
        <f t="shared" si="8"/>
        <v>0.94444444444444442</v>
      </c>
    </row>
    <row r="134" spans="1:15" ht="21.75" hidden="1" customHeight="1">
      <c r="A134" s="17">
        <f>'GİRDİ RAPORU'!A611</f>
        <v>45898</v>
      </c>
      <c r="B134" s="18">
        <f>'GİRDİ RAPORU'!B611</f>
        <v>2</v>
      </c>
      <c r="C134" s="18">
        <f>'GİRDİ RAPORU'!C611</f>
        <v>0</v>
      </c>
      <c r="D134" s="18">
        <f>'GİRDİ RAPORU'!D611</f>
        <v>182</v>
      </c>
      <c r="E134" s="18" t="str">
        <f>'GİRDİ RAPORU'!E611</f>
        <v>Normal Mesai</v>
      </c>
      <c r="F134" s="18">
        <f>'GİRDİ RAPORU'!F611</f>
        <v>90</v>
      </c>
      <c r="G134" s="18" t="str">
        <f>'GİRDİ RAPORU'!G611</f>
        <v>Temizlik</v>
      </c>
      <c r="H134" s="18">
        <f>'GİRDİ RAPORU'!H611</f>
        <v>15</v>
      </c>
      <c r="I134" s="18" t="str">
        <f>'GİRDİ RAPORU'!I611</f>
        <v>Hazırlık/İlk Isınma</v>
      </c>
      <c r="J134" s="18">
        <f>'GİRDİ RAPORU'!J1544</f>
        <v>0</v>
      </c>
      <c r="K134" s="18">
        <f>'GİRDİ RAPORU'!K1544</f>
        <v>0</v>
      </c>
      <c r="L134" s="18">
        <f>'GİRDİ RAPORU'!L1544</f>
        <v>0</v>
      </c>
      <c r="M134" s="26">
        <f t="shared" si="6"/>
        <v>0.24266666666666667</v>
      </c>
      <c r="N134" s="26">
        <f t="shared" si="7"/>
        <v>0.19444444444444445</v>
      </c>
      <c r="O134" s="26">
        <f t="shared" si="8"/>
        <v>0.80555555555555558</v>
      </c>
    </row>
    <row r="135" spans="1:15" ht="21.75" hidden="1" customHeight="1">
      <c r="A135" s="17">
        <f>'GİRDİ RAPORU'!A610</f>
        <v>45897</v>
      </c>
      <c r="B135" s="18">
        <f>'GİRDİ RAPORU'!B610</f>
        <v>2</v>
      </c>
      <c r="C135" s="18">
        <f>'GİRDİ RAPORU'!C610</f>
        <v>0</v>
      </c>
      <c r="D135" s="18">
        <f>'GİRDİ RAPORU'!D610</f>
        <v>362</v>
      </c>
      <c r="E135" s="18" t="str">
        <f>'GİRDİ RAPORU'!E610</f>
        <v>Normal Mesai</v>
      </c>
      <c r="F135" s="18">
        <f>'GİRDİ RAPORU'!F610</f>
        <v>15</v>
      </c>
      <c r="G135" s="18" t="str">
        <f>'GİRDİ RAPORU'!G610</f>
        <v>Temizlik</v>
      </c>
      <c r="H135" s="18">
        <f>'GİRDİ RAPORU'!H610</f>
        <v>15</v>
      </c>
      <c r="I135" s="18" t="str">
        <f>'GİRDİ RAPORU'!I610</f>
        <v>Hazırlık/İlk Isınma</v>
      </c>
      <c r="J135" s="18">
        <f>'GİRDİ RAPORU'!J1543</f>
        <v>0</v>
      </c>
      <c r="K135" s="18">
        <f>'GİRDİ RAPORU'!K1543</f>
        <v>0</v>
      </c>
      <c r="L135" s="18">
        <f>'GİRDİ RAPORU'!L1543</f>
        <v>0</v>
      </c>
      <c r="M135" s="26">
        <f t="shared" si="6"/>
        <v>0.48266666666666669</v>
      </c>
      <c r="N135" s="26">
        <f t="shared" si="7"/>
        <v>5.5555555555555552E-2</v>
      </c>
      <c r="O135" s="26">
        <f t="shared" si="8"/>
        <v>0.94444444444444442</v>
      </c>
    </row>
    <row r="136" spans="1:15" ht="21.75" hidden="1" customHeight="1">
      <c r="A136" s="17">
        <f>'GİRDİ RAPORU'!A609</f>
        <v>45896</v>
      </c>
      <c r="B136" s="18">
        <f>'GİRDİ RAPORU'!B609</f>
        <v>2</v>
      </c>
      <c r="C136" s="18">
        <f>'GİRDİ RAPORU'!C609</f>
        <v>0</v>
      </c>
      <c r="D136" s="18">
        <f>'GİRDİ RAPORU'!D609</f>
        <v>264</v>
      </c>
      <c r="E136" s="18" t="str">
        <f>'GİRDİ RAPORU'!E609</f>
        <v>Normal Mesai</v>
      </c>
      <c r="F136" s="18">
        <f>'GİRDİ RAPORU'!F609</f>
        <v>15</v>
      </c>
      <c r="G136" s="18" t="str">
        <f>'GİRDİ RAPORU'!G609</f>
        <v>Temizlik</v>
      </c>
      <c r="H136" s="18">
        <f>'GİRDİ RAPORU'!H609</f>
        <v>15</v>
      </c>
      <c r="I136" s="18" t="str">
        <f>'GİRDİ RAPORU'!I609</f>
        <v>Hazırlık/İlk Isınma</v>
      </c>
      <c r="J136" s="18">
        <f>'GİRDİ RAPORU'!J1542</f>
        <v>0</v>
      </c>
      <c r="K136" s="18">
        <f>'GİRDİ RAPORU'!K1542</f>
        <v>0</v>
      </c>
      <c r="L136" s="18">
        <f>'GİRDİ RAPORU'!L1542</f>
        <v>0</v>
      </c>
      <c r="M136" s="26">
        <f t="shared" si="6"/>
        <v>0.35199999999999998</v>
      </c>
      <c r="N136" s="26">
        <f t="shared" si="7"/>
        <v>5.5555555555555552E-2</v>
      </c>
      <c r="O136" s="26">
        <f t="shared" si="8"/>
        <v>0.94444444444444442</v>
      </c>
    </row>
    <row r="137" spans="1:15" ht="21.75" hidden="1" customHeight="1">
      <c r="A137" s="17">
        <v>45895</v>
      </c>
      <c r="B137" s="18">
        <f>'GİRDİ RAPORU'!B608</f>
        <v>2</v>
      </c>
      <c r="C137" s="18">
        <f>'GİRDİ RAPORU'!C608</f>
        <v>0</v>
      </c>
      <c r="D137" s="18">
        <f>'GİRDİ RAPORU'!D608</f>
        <v>348</v>
      </c>
      <c r="E137" s="18" t="str">
        <f>'GİRDİ RAPORU'!E608</f>
        <v>Normal Mesai</v>
      </c>
      <c r="F137" s="18">
        <f>'GİRDİ RAPORU'!F608</f>
        <v>15</v>
      </c>
      <c r="G137" s="18" t="str">
        <f>'GİRDİ RAPORU'!G608</f>
        <v>Temizlik</v>
      </c>
      <c r="H137" s="18">
        <f>'GİRDİ RAPORU'!H608</f>
        <v>15</v>
      </c>
      <c r="I137" s="18" t="str">
        <f>'GİRDİ RAPORU'!I608</f>
        <v>Hazırlık/İlk Isınma</v>
      </c>
      <c r="J137" s="18">
        <f>'GİRDİ RAPORU'!J1541</f>
        <v>0</v>
      </c>
      <c r="K137" s="18">
        <f>'GİRDİ RAPORU'!K1541</f>
        <v>0</v>
      </c>
      <c r="L137" s="18">
        <f>'GİRDİ RAPORU'!L1541</f>
        <v>0</v>
      </c>
      <c r="M137" s="26">
        <f t="shared" si="6"/>
        <v>0.46400000000000002</v>
      </c>
      <c r="N137" s="26">
        <f t="shared" si="7"/>
        <v>5.5555555555555552E-2</v>
      </c>
      <c r="O137" s="26">
        <f t="shared" si="8"/>
        <v>0.94444444444444442</v>
      </c>
    </row>
    <row r="138" spans="1:15" ht="21.75" hidden="1" customHeight="1">
      <c r="A138" s="17">
        <v>45894</v>
      </c>
      <c r="B138" s="18">
        <f>'GİRDİ RAPORU'!B607</f>
        <v>2</v>
      </c>
      <c r="C138" s="18">
        <f>'GİRDİ RAPORU'!C607</f>
        <v>0</v>
      </c>
      <c r="D138" s="18">
        <f>'GİRDİ RAPORU'!D607</f>
        <v>350</v>
      </c>
      <c r="E138" s="18" t="str">
        <f>'GİRDİ RAPORU'!E607</f>
        <v>Normal Mesai</v>
      </c>
      <c r="F138" s="18">
        <f>'GİRDİ RAPORU'!F607</f>
        <v>15</v>
      </c>
      <c r="G138" s="18" t="str">
        <f>'GİRDİ RAPORU'!G607</f>
        <v>Temizlik</v>
      </c>
      <c r="H138" s="18">
        <f>'GİRDİ RAPORU'!H607</f>
        <v>15</v>
      </c>
      <c r="I138" s="18" t="str">
        <f>'GİRDİ RAPORU'!I607</f>
        <v>Hazırlık/İlk Isınma</v>
      </c>
      <c r="J138" s="18">
        <f>'GİRDİ RAPORU'!J1540</f>
        <v>0</v>
      </c>
      <c r="K138" s="18">
        <f>'GİRDİ RAPORU'!K1540</f>
        <v>0</v>
      </c>
      <c r="L138" s="18">
        <f>'GİRDİ RAPORU'!L1540</f>
        <v>0</v>
      </c>
      <c r="M138" s="26">
        <f t="shared" si="6"/>
        <v>0.46666666666666667</v>
      </c>
      <c r="N138" s="26">
        <f t="shared" si="7"/>
        <v>5.5555555555555552E-2</v>
      </c>
      <c r="O138" s="26">
        <f t="shared" si="8"/>
        <v>0.94444444444444442</v>
      </c>
    </row>
    <row r="139" spans="1:15" ht="21.75" hidden="1" customHeight="1">
      <c r="A139" s="17">
        <f>'GİRDİ RAPORU'!A606</f>
        <v>45891</v>
      </c>
      <c r="B139" s="18">
        <f>'GİRDİ RAPORU'!B606</f>
        <v>2</v>
      </c>
      <c r="C139" s="18">
        <f>'GİRDİ RAPORU'!C606</f>
        <v>0</v>
      </c>
      <c r="D139" s="18">
        <f>'GİRDİ RAPORU'!D606</f>
        <v>324</v>
      </c>
      <c r="E139" s="18" t="str">
        <f>'GİRDİ RAPORU'!E606</f>
        <v>Normal Mesai</v>
      </c>
      <c r="F139" s="18">
        <f>'GİRDİ RAPORU'!F606</f>
        <v>30</v>
      </c>
      <c r="G139" s="18" t="str">
        <f>'GİRDİ RAPORU'!G606</f>
        <v>Temizlik</v>
      </c>
      <c r="H139" s="18">
        <f>'GİRDİ RAPORU'!H606</f>
        <v>15</v>
      </c>
      <c r="I139" s="18" t="str">
        <f>'GİRDİ RAPORU'!I606</f>
        <v>Hazırlık/İlk Isınma</v>
      </c>
      <c r="J139" s="18">
        <f>'GİRDİ RAPORU'!J1539</f>
        <v>0</v>
      </c>
      <c r="K139" s="18">
        <f>'GİRDİ RAPORU'!K1539</f>
        <v>0</v>
      </c>
      <c r="L139" s="18">
        <f>'GİRDİ RAPORU'!L1539</f>
        <v>0</v>
      </c>
      <c r="M139" s="26">
        <f t="shared" si="6"/>
        <v>0.432</v>
      </c>
      <c r="N139" s="26">
        <f t="shared" si="7"/>
        <v>8.3333333333333329E-2</v>
      </c>
      <c r="O139" s="26">
        <f t="shared" si="8"/>
        <v>0.91666666666666663</v>
      </c>
    </row>
    <row r="140" spans="1:15" ht="21.75" hidden="1" customHeight="1">
      <c r="A140" s="17">
        <f>'GİRDİ RAPORU'!A605</f>
        <v>45890</v>
      </c>
      <c r="B140" s="18">
        <f>'GİRDİ RAPORU'!B605</f>
        <v>2</v>
      </c>
      <c r="C140" s="18">
        <f>'GİRDİ RAPORU'!C605</f>
        <v>0</v>
      </c>
      <c r="D140" s="18">
        <f>'GİRDİ RAPORU'!D605</f>
        <v>432</v>
      </c>
      <c r="E140" s="18" t="str">
        <f>'GİRDİ RAPORU'!E605</f>
        <v>Normal Mesai</v>
      </c>
      <c r="F140" s="18">
        <f>'GİRDİ RAPORU'!F605</f>
        <v>15</v>
      </c>
      <c r="G140" s="18" t="str">
        <f>'GİRDİ RAPORU'!G605</f>
        <v>Temizlik</v>
      </c>
      <c r="H140" s="18">
        <f>'GİRDİ RAPORU'!H605</f>
        <v>15</v>
      </c>
      <c r="I140" s="18" t="str">
        <f>'GİRDİ RAPORU'!I605</f>
        <v>Hazırlık/İlk Isınma</v>
      </c>
      <c r="J140" s="18">
        <f>'GİRDİ RAPORU'!J1538</f>
        <v>0</v>
      </c>
      <c r="K140" s="18">
        <f>'GİRDİ RAPORU'!K1538</f>
        <v>0</v>
      </c>
      <c r="L140" s="18">
        <f>'GİRDİ RAPORU'!L1538</f>
        <v>0</v>
      </c>
      <c r="M140" s="26">
        <f t="shared" si="6"/>
        <v>0.57599999999999996</v>
      </c>
      <c r="N140" s="26">
        <f t="shared" si="7"/>
        <v>5.5555555555555552E-2</v>
      </c>
      <c r="O140" s="26">
        <f t="shared" si="8"/>
        <v>0.94444444444444442</v>
      </c>
    </row>
    <row r="141" spans="1:15" ht="21.75" hidden="1" customHeight="1">
      <c r="A141" s="17">
        <f>'GİRDİ RAPORU'!A604</f>
        <v>45889</v>
      </c>
      <c r="B141" s="18">
        <f>'GİRDİ RAPORU'!B604</f>
        <v>2</v>
      </c>
      <c r="C141" s="18">
        <f>'GİRDİ RAPORU'!C604</f>
        <v>0</v>
      </c>
      <c r="D141" s="18">
        <f>'GİRDİ RAPORU'!D604</f>
        <v>344</v>
      </c>
      <c r="E141" s="18" t="str">
        <f>'GİRDİ RAPORU'!E604</f>
        <v>Normal Mesai</v>
      </c>
      <c r="F141" s="18">
        <f>'GİRDİ RAPORU'!F604</f>
        <v>15</v>
      </c>
      <c r="G141" s="18" t="str">
        <f>'GİRDİ RAPORU'!G604</f>
        <v>Temizlik</v>
      </c>
      <c r="H141" s="18">
        <f>'GİRDİ RAPORU'!H604</f>
        <v>15</v>
      </c>
      <c r="I141" s="18" t="str">
        <f>'GİRDİ RAPORU'!I604</f>
        <v>Hazırlık/İlk Isınma</v>
      </c>
      <c r="J141" s="18">
        <f>'GİRDİ RAPORU'!J1537</f>
        <v>0</v>
      </c>
      <c r="K141" s="18">
        <f>'GİRDİ RAPORU'!K1537</f>
        <v>0</v>
      </c>
      <c r="L141" s="18">
        <f>'GİRDİ RAPORU'!L1537</f>
        <v>0</v>
      </c>
      <c r="M141" s="26">
        <f t="shared" si="6"/>
        <v>0.45866666666666667</v>
      </c>
      <c r="N141" s="26">
        <f t="shared" si="7"/>
        <v>5.5555555555555552E-2</v>
      </c>
      <c r="O141" s="26">
        <f t="shared" si="8"/>
        <v>0.94444444444444442</v>
      </c>
    </row>
    <row r="142" spans="1:15" ht="21.75" hidden="1" customHeight="1">
      <c r="A142" s="17">
        <f>'GİRDİ RAPORU'!A603</f>
        <v>45888</v>
      </c>
      <c r="B142" s="18">
        <f>'GİRDİ RAPORU'!B603</f>
        <v>2</v>
      </c>
      <c r="C142" s="18">
        <f>'GİRDİ RAPORU'!C603</f>
        <v>0</v>
      </c>
      <c r="D142" s="18">
        <f>'GİRDİ RAPORU'!D603</f>
        <v>267</v>
      </c>
      <c r="E142" s="18" t="str">
        <f>'GİRDİ RAPORU'!E603</f>
        <v>Normal Mesai</v>
      </c>
      <c r="F142" s="18">
        <f>'GİRDİ RAPORU'!F603</f>
        <v>15</v>
      </c>
      <c r="G142" s="18" t="str">
        <f>'GİRDİ RAPORU'!G603</f>
        <v>Temizlik</v>
      </c>
      <c r="H142" s="18">
        <f>'GİRDİ RAPORU'!H603</f>
        <v>15</v>
      </c>
      <c r="I142" s="18" t="str">
        <f>'GİRDİ RAPORU'!I603</f>
        <v>Hazırlık/İlk Isınma</v>
      </c>
      <c r="J142" s="18">
        <f>'GİRDİ RAPORU'!J1536</f>
        <v>0</v>
      </c>
      <c r="K142" s="18">
        <f>'GİRDİ RAPORU'!K1536</f>
        <v>0</v>
      </c>
      <c r="L142" s="18">
        <f>'GİRDİ RAPORU'!L1536</f>
        <v>0</v>
      </c>
      <c r="M142" s="26">
        <f t="shared" si="6"/>
        <v>0.35599999999999998</v>
      </c>
      <c r="N142" s="26">
        <f t="shared" si="7"/>
        <v>5.5555555555555552E-2</v>
      </c>
      <c r="O142" s="26">
        <f t="shared" si="8"/>
        <v>0.94444444444444442</v>
      </c>
    </row>
    <row r="143" spans="1:15" ht="21.75" hidden="1" customHeight="1">
      <c r="A143" s="17">
        <f>'GİRDİ RAPORU'!A596</f>
        <v>45884</v>
      </c>
      <c r="B143" s="18">
        <f>'GİRDİ RAPORU'!B596</f>
        <v>2</v>
      </c>
      <c r="C143" s="18">
        <f>'GİRDİ RAPORU'!C596</f>
        <v>0</v>
      </c>
      <c r="D143" s="18">
        <f>'GİRDİ RAPORU'!D596</f>
        <v>320</v>
      </c>
      <c r="E143" s="18" t="str">
        <f>'GİRDİ RAPORU'!E596</f>
        <v>Normal Mesai</v>
      </c>
      <c r="F143" s="18">
        <f>'GİRDİ RAPORU'!F596</f>
        <v>15</v>
      </c>
      <c r="G143" s="18" t="str">
        <f>'GİRDİ RAPORU'!G596</f>
        <v>Temizlik</v>
      </c>
      <c r="H143" s="18">
        <f>'GİRDİ RAPORU'!H596</f>
        <v>15</v>
      </c>
      <c r="I143" s="18" t="str">
        <f>'GİRDİ RAPORU'!I596</f>
        <v>Elektrik Kesilmesi</v>
      </c>
      <c r="J143" s="18">
        <f>'GİRDİ RAPORU'!J1529</f>
        <v>0</v>
      </c>
      <c r="K143" s="18">
        <f>'GİRDİ RAPORU'!K1529</f>
        <v>0</v>
      </c>
      <c r="L143" s="18">
        <f>'GİRDİ RAPORU'!L1529</f>
        <v>0</v>
      </c>
      <c r="M143" s="26">
        <f t="shared" si="6"/>
        <v>0.42666666666666669</v>
      </c>
      <c r="N143" s="26">
        <f t="shared" si="7"/>
        <v>5.5555555555555552E-2</v>
      </c>
      <c r="O143" s="26">
        <f t="shared" si="8"/>
        <v>0.94444444444444442</v>
      </c>
    </row>
    <row r="144" spans="1:15" ht="21.75" hidden="1" customHeight="1">
      <c r="A144" s="17">
        <f>'GİRDİ RAPORU'!A597</f>
        <v>45884</v>
      </c>
      <c r="B144" s="18">
        <f>'GİRDİ RAPORU'!B597</f>
        <v>2</v>
      </c>
      <c r="C144" s="18">
        <f>'GİRDİ RAPORU'!C597</f>
        <v>0</v>
      </c>
      <c r="D144" s="18">
        <f>'GİRDİ RAPORU'!D597</f>
        <v>320</v>
      </c>
      <c r="E144" s="18" t="str">
        <f>'GİRDİ RAPORU'!E597</f>
        <v>Normal Mesai</v>
      </c>
      <c r="F144" s="18">
        <f>'GİRDİ RAPORU'!F597</f>
        <v>15</v>
      </c>
      <c r="G144" s="18" t="str">
        <f>'GİRDİ RAPORU'!G597</f>
        <v>Temizlik</v>
      </c>
      <c r="H144" s="18">
        <f>'GİRDİ RAPORU'!H597</f>
        <v>15</v>
      </c>
      <c r="I144" s="18" t="str">
        <f>'GİRDİ RAPORU'!I597</f>
        <v>Elektrik Kesilmesi</v>
      </c>
      <c r="J144" s="18">
        <f>'GİRDİ RAPORU'!J1530</f>
        <v>0</v>
      </c>
      <c r="K144" s="18">
        <f>'GİRDİ RAPORU'!K1530</f>
        <v>0</v>
      </c>
      <c r="L144" s="18">
        <f>'GİRDİ RAPORU'!L1530</f>
        <v>0</v>
      </c>
      <c r="M144" s="26">
        <f t="shared" si="6"/>
        <v>0.42666666666666669</v>
      </c>
      <c r="N144" s="26">
        <f t="shared" si="7"/>
        <v>5.5555555555555552E-2</v>
      </c>
      <c r="O144" s="26">
        <f t="shared" si="8"/>
        <v>0.94444444444444442</v>
      </c>
    </row>
    <row r="145" spans="1:15" ht="21.75" hidden="1" customHeight="1">
      <c r="A145" s="17">
        <f>'GİRDİ RAPORU'!A598</f>
        <v>45884</v>
      </c>
      <c r="B145" s="18">
        <f>'GİRDİ RAPORU'!B598</f>
        <v>2</v>
      </c>
      <c r="C145" s="18">
        <f>'GİRDİ RAPORU'!C598</f>
        <v>0</v>
      </c>
      <c r="D145" s="18">
        <f>'GİRDİ RAPORU'!D598</f>
        <v>320</v>
      </c>
      <c r="E145" s="18" t="str">
        <f>'GİRDİ RAPORU'!E598</f>
        <v>Normal Mesai</v>
      </c>
      <c r="F145" s="18">
        <f>'GİRDİ RAPORU'!F598</f>
        <v>15</v>
      </c>
      <c r="G145" s="18" t="str">
        <f>'GİRDİ RAPORU'!G598</f>
        <v>Temizlik</v>
      </c>
      <c r="H145" s="18">
        <f>'GİRDİ RAPORU'!H598</f>
        <v>15</v>
      </c>
      <c r="I145" s="18" t="str">
        <f>'GİRDİ RAPORU'!I598</f>
        <v>Elektrik Kesilmesi</v>
      </c>
      <c r="J145" s="18">
        <f>'GİRDİ RAPORU'!J1531</f>
        <v>0</v>
      </c>
      <c r="K145" s="18">
        <f>'GİRDİ RAPORU'!K1531</f>
        <v>0</v>
      </c>
      <c r="L145" s="18">
        <f>'GİRDİ RAPORU'!L1531</f>
        <v>0</v>
      </c>
      <c r="M145" s="26">
        <f t="shared" si="6"/>
        <v>0.42666666666666669</v>
      </c>
      <c r="N145" s="26">
        <f t="shared" si="7"/>
        <v>5.5555555555555552E-2</v>
      </c>
      <c r="O145" s="26">
        <f t="shared" si="8"/>
        <v>0.94444444444444442</v>
      </c>
    </row>
    <row r="146" spans="1:15" ht="21.75" hidden="1" customHeight="1">
      <c r="A146" s="17">
        <f>'GİRDİ RAPORU'!A599</f>
        <v>45884</v>
      </c>
      <c r="B146" s="18">
        <f>'GİRDİ RAPORU'!B599</f>
        <v>2</v>
      </c>
      <c r="C146" s="18">
        <f>'GİRDİ RAPORU'!C599</f>
        <v>0</v>
      </c>
      <c r="D146" s="18">
        <f>'GİRDİ RAPORU'!D599</f>
        <v>320</v>
      </c>
      <c r="E146" s="18" t="str">
        <f>'GİRDİ RAPORU'!E599</f>
        <v>Normal Mesai</v>
      </c>
      <c r="F146" s="18">
        <f>'GİRDİ RAPORU'!F599</f>
        <v>15</v>
      </c>
      <c r="G146" s="18" t="str">
        <f>'GİRDİ RAPORU'!G599</f>
        <v>Temizlik</v>
      </c>
      <c r="H146" s="18">
        <f>'GİRDİ RAPORU'!H599</f>
        <v>15</v>
      </c>
      <c r="I146" s="18" t="str">
        <f>'GİRDİ RAPORU'!I599</f>
        <v>Elektrik Kesilmesi</v>
      </c>
      <c r="J146" s="18">
        <f>'GİRDİ RAPORU'!J1532</f>
        <v>0</v>
      </c>
      <c r="K146" s="18">
        <f>'GİRDİ RAPORU'!K1532</f>
        <v>0</v>
      </c>
      <c r="L146" s="18">
        <f>'GİRDİ RAPORU'!L1532</f>
        <v>0</v>
      </c>
      <c r="M146" s="26">
        <f t="shared" si="6"/>
        <v>0.42666666666666669</v>
      </c>
      <c r="N146" s="26">
        <f t="shared" si="7"/>
        <v>5.5555555555555552E-2</v>
      </c>
      <c r="O146" s="26">
        <f t="shared" si="8"/>
        <v>0.94444444444444442</v>
      </c>
    </row>
    <row r="147" spans="1:15" ht="21.75" hidden="1" customHeight="1">
      <c r="A147" s="17">
        <f>'GİRDİ RAPORU'!A600</f>
        <v>45884</v>
      </c>
      <c r="B147" s="18">
        <f>'GİRDİ RAPORU'!B600</f>
        <v>2</v>
      </c>
      <c r="C147" s="18">
        <f>'GİRDİ RAPORU'!C600</f>
        <v>0</v>
      </c>
      <c r="D147" s="18">
        <f>'GİRDİ RAPORU'!D600</f>
        <v>320</v>
      </c>
      <c r="E147" s="18" t="str">
        <f>'GİRDİ RAPORU'!E600</f>
        <v>Normal Mesai</v>
      </c>
      <c r="F147" s="18">
        <f>'GİRDİ RAPORU'!F600</f>
        <v>15</v>
      </c>
      <c r="G147" s="18" t="str">
        <f>'GİRDİ RAPORU'!G600</f>
        <v>Temizlik</v>
      </c>
      <c r="H147" s="18">
        <f>'GİRDİ RAPORU'!H600</f>
        <v>15</v>
      </c>
      <c r="I147" s="18" t="str">
        <f>'GİRDİ RAPORU'!I600</f>
        <v>Elektrik Kesilmesi</v>
      </c>
      <c r="J147" s="18">
        <f>'GİRDİ RAPORU'!J1533</f>
        <v>0</v>
      </c>
      <c r="K147" s="18">
        <f>'GİRDİ RAPORU'!K1533</f>
        <v>0</v>
      </c>
      <c r="L147" s="18">
        <f>'GİRDİ RAPORU'!L1533</f>
        <v>0</v>
      </c>
      <c r="M147" s="26">
        <f t="shared" si="6"/>
        <v>0.42666666666666669</v>
      </c>
      <c r="N147" s="26">
        <f t="shared" si="7"/>
        <v>5.5555555555555552E-2</v>
      </c>
      <c r="O147" s="26">
        <f t="shared" si="8"/>
        <v>0.94444444444444442</v>
      </c>
    </row>
    <row r="148" spans="1:15" ht="21.75" hidden="1" customHeight="1">
      <c r="A148" s="17">
        <f>'GİRDİ RAPORU'!A601</f>
        <v>45884</v>
      </c>
      <c r="B148" s="18">
        <f>'GİRDİ RAPORU'!B601</f>
        <v>2</v>
      </c>
      <c r="C148" s="18">
        <f>'GİRDİ RAPORU'!C601</f>
        <v>0</v>
      </c>
      <c r="D148" s="18">
        <f>'GİRDİ RAPORU'!D601</f>
        <v>340</v>
      </c>
      <c r="E148" s="18" t="str">
        <f>'GİRDİ RAPORU'!E601</f>
        <v>Normal Mesai</v>
      </c>
      <c r="F148" s="18">
        <f>'GİRDİ RAPORU'!F601</f>
        <v>15</v>
      </c>
      <c r="G148" s="18" t="str">
        <f>'GİRDİ RAPORU'!G601</f>
        <v>Temizlik</v>
      </c>
      <c r="H148" s="18">
        <f>'GİRDİ RAPORU'!H601</f>
        <v>15</v>
      </c>
      <c r="I148" s="18" t="str">
        <f>'GİRDİ RAPORU'!I601</f>
        <v>Elektrik Kesilmesi</v>
      </c>
      <c r="J148" s="18">
        <f>'GİRDİ RAPORU'!J1534</f>
        <v>0</v>
      </c>
      <c r="K148" s="18">
        <f>'GİRDİ RAPORU'!K1534</f>
        <v>0</v>
      </c>
      <c r="L148" s="18">
        <f>'GİRDİ RAPORU'!L1534</f>
        <v>0</v>
      </c>
      <c r="M148" s="26">
        <f t="shared" si="6"/>
        <v>0.45333333333333331</v>
      </c>
      <c r="N148" s="26">
        <f t="shared" si="7"/>
        <v>5.5555555555555552E-2</v>
      </c>
      <c r="O148" s="26">
        <f t="shared" si="8"/>
        <v>0.94444444444444442</v>
      </c>
    </row>
    <row r="149" spans="1:15" ht="21.75" hidden="1" customHeight="1">
      <c r="A149" s="17">
        <f>'GİRDİ RAPORU'!A602</f>
        <v>45884</v>
      </c>
      <c r="B149" s="18">
        <f>'GİRDİ RAPORU'!B602</f>
        <v>2</v>
      </c>
      <c r="C149" s="18">
        <f>'GİRDİ RAPORU'!C602</f>
        <v>0</v>
      </c>
      <c r="D149" s="18">
        <f>'GİRDİ RAPORU'!D602</f>
        <v>340</v>
      </c>
      <c r="E149" s="18" t="str">
        <f>'GİRDİ RAPORU'!E602</f>
        <v>Normal Mesai</v>
      </c>
      <c r="F149" s="18">
        <f>'GİRDİ RAPORU'!F602</f>
        <v>15</v>
      </c>
      <c r="G149" s="18" t="str">
        <f>'GİRDİ RAPORU'!G602</f>
        <v>Temizlik</v>
      </c>
      <c r="H149" s="18">
        <f>'GİRDİ RAPORU'!H602</f>
        <v>15</v>
      </c>
      <c r="I149" s="18" t="str">
        <f>'GİRDİ RAPORU'!I602</f>
        <v>Elektrik Kesilmesi</v>
      </c>
      <c r="J149" s="18">
        <f>'GİRDİ RAPORU'!J1535</f>
        <v>0</v>
      </c>
      <c r="K149" s="18">
        <f>'GİRDİ RAPORU'!K1535</f>
        <v>0</v>
      </c>
      <c r="L149" s="18">
        <f>'GİRDİ RAPORU'!L1535</f>
        <v>0</v>
      </c>
      <c r="M149" s="26">
        <f t="shared" si="6"/>
        <v>0.45333333333333331</v>
      </c>
      <c r="N149" s="26">
        <f t="shared" si="7"/>
        <v>5.5555555555555552E-2</v>
      </c>
      <c r="O149" s="26">
        <f t="shared" si="8"/>
        <v>0.94444444444444442</v>
      </c>
    </row>
    <row r="150" spans="1:15" ht="21.75" hidden="1" customHeight="1">
      <c r="A150" s="17">
        <v>45883</v>
      </c>
      <c r="B150" s="18">
        <f>'GİRDİ RAPORU'!B595</f>
        <v>2</v>
      </c>
      <c r="C150" s="18">
        <f>'GİRDİ RAPORU'!C595</f>
        <v>0</v>
      </c>
      <c r="D150" s="18">
        <f>'GİRDİ RAPORU'!D595</f>
        <v>390</v>
      </c>
      <c r="E150" s="18" t="str">
        <f>'GİRDİ RAPORU'!E595</f>
        <v>Normal Mesai</v>
      </c>
      <c r="F150" s="18">
        <f>'GİRDİ RAPORU'!F595</f>
        <v>15</v>
      </c>
      <c r="G150" s="18" t="str">
        <f>'GİRDİ RAPORU'!G595</f>
        <v>Temizlik</v>
      </c>
      <c r="H150" s="18">
        <f>'GİRDİ RAPORU'!H595</f>
        <v>15</v>
      </c>
      <c r="I150" s="18" t="str">
        <f>'GİRDİ RAPORU'!I595</f>
        <v>Elektrik Kesilmesi</v>
      </c>
      <c r="J150" s="18">
        <f>'GİRDİ RAPORU'!J1528</f>
        <v>0</v>
      </c>
      <c r="K150" s="18">
        <f>'GİRDİ RAPORU'!K1528</f>
        <v>0</v>
      </c>
      <c r="L150" s="18">
        <f>'GİRDİ RAPORU'!L1528</f>
        <v>0</v>
      </c>
      <c r="M150" s="26">
        <f t="shared" si="6"/>
        <v>0.52</v>
      </c>
      <c r="N150" s="26">
        <f t="shared" si="7"/>
        <v>5.5555555555555552E-2</v>
      </c>
      <c r="O150" s="26">
        <f t="shared" si="8"/>
        <v>0.94444444444444442</v>
      </c>
    </row>
    <row r="151" spans="1:15" ht="21.75" hidden="1" customHeight="1">
      <c r="A151" s="17">
        <f>'GİRDİ RAPORU'!A594</f>
        <v>45882</v>
      </c>
      <c r="B151" s="18">
        <f>'GİRDİ RAPORU'!B594</f>
        <v>2</v>
      </c>
      <c r="C151" s="18">
        <f>'GİRDİ RAPORU'!C594</f>
        <v>0</v>
      </c>
      <c r="D151" s="18">
        <f>'GİRDİ RAPORU'!D594</f>
        <v>344</v>
      </c>
      <c r="E151" s="18" t="str">
        <f>'GİRDİ RAPORU'!E594</f>
        <v>Normal Mesai</v>
      </c>
      <c r="F151" s="18">
        <f>'GİRDİ RAPORU'!F594</f>
        <v>15</v>
      </c>
      <c r="G151" s="18" t="str">
        <f>'GİRDİ RAPORU'!G594</f>
        <v>Temizlik</v>
      </c>
      <c r="H151" s="18">
        <f>'GİRDİ RAPORU'!H594</f>
        <v>15</v>
      </c>
      <c r="I151" s="18" t="str">
        <f>'GİRDİ RAPORU'!I594</f>
        <v>Elektrik Kesilmesi</v>
      </c>
      <c r="J151" s="18">
        <f>'GİRDİ RAPORU'!J1527</f>
        <v>0</v>
      </c>
      <c r="K151" s="18">
        <f>'GİRDİ RAPORU'!K1527</f>
        <v>0</v>
      </c>
      <c r="L151" s="18">
        <f>'GİRDİ RAPORU'!L1527</f>
        <v>0</v>
      </c>
      <c r="M151" s="26">
        <f t="shared" si="6"/>
        <v>0.45866666666666667</v>
      </c>
      <c r="N151" s="26">
        <f t="shared" si="7"/>
        <v>5.5555555555555552E-2</v>
      </c>
      <c r="O151" s="26">
        <f t="shared" si="8"/>
        <v>0.94444444444444442</v>
      </c>
    </row>
    <row r="152" spans="1:15" ht="21.75" hidden="1" customHeight="1">
      <c r="A152" s="17">
        <f>'GİRDİ RAPORU'!A593</f>
        <v>45881</v>
      </c>
      <c r="B152" s="18">
        <f>'GİRDİ RAPORU'!B593</f>
        <v>2</v>
      </c>
      <c r="C152" s="18">
        <f>'GİRDİ RAPORU'!C593</f>
        <v>0</v>
      </c>
      <c r="D152" s="18">
        <f>'GİRDİ RAPORU'!D593</f>
        <v>332</v>
      </c>
      <c r="E152" s="18" t="str">
        <f>'GİRDİ RAPORU'!E593</f>
        <v>Normal Mesai</v>
      </c>
      <c r="F152" s="18">
        <f>'GİRDİ RAPORU'!F593</f>
        <v>15</v>
      </c>
      <c r="G152" s="18" t="str">
        <f>'GİRDİ RAPORU'!G593</f>
        <v>Temizlik</v>
      </c>
      <c r="H152" s="18">
        <f>'GİRDİ RAPORU'!H593</f>
        <v>30</v>
      </c>
      <c r="I152" s="18" t="str">
        <f>'GİRDİ RAPORU'!I593</f>
        <v>Elektrik Kesilmesi</v>
      </c>
      <c r="J152" s="18">
        <f>'GİRDİ RAPORU'!J1526</f>
        <v>0</v>
      </c>
      <c r="K152" s="18">
        <f>'GİRDİ RAPORU'!K1526</f>
        <v>0</v>
      </c>
      <c r="L152" s="18">
        <f>'GİRDİ RAPORU'!L1526</f>
        <v>0</v>
      </c>
      <c r="M152" s="26">
        <f t="shared" si="6"/>
        <v>0.44266666666666665</v>
      </c>
      <c r="N152" s="26">
        <f t="shared" si="7"/>
        <v>8.3333333333333329E-2</v>
      </c>
      <c r="O152" s="26">
        <f t="shared" si="8"/>
        <v>0.91666666666666663</v>
      </c>
    </row>
    <row r="153" spans="1:15" ht="21.75" hidden="1" customHeight="1">
      <c r="A153" s="17">
        <f>'GİRDİ RAPORU'!A592</f>
        <v>45880</v>
      </c>
      <c r="B153" s="18">
        <f>'GİRDİ RAPORU'!B592</f>
        <v>2</v>
      </c>
      <c r="C153" s="18">
        <f>'GİRDİ RAPORU'!C592</f>
        <v>0</v>
      </c>
      <c r="D153" s="18">
        <f>'GİRDİ RAPORU'!D592</f>
        <v>468</v>
      </c>
      <c r="E153" s="18" t="str">
        <f>'GİRDİ RAPORU'!E592</f>
        <v>Normal Mesai</v>
      </c>
      <c r="F153" s="18">
        <f>'GİRDİ RAPORU'!F592</f>
        <v>15</v>
      </c>
      <c r="G153" s="18" t="str">
        <f>'GİRDİ RAPORU'!G592</f>
        <v>Temizlik</v>
      </c>
      <c r="H153" s="18">
        <f>'GİRDİ RAPORU'!H592</f>
        <v>15</v>
      </c>
      <c r="I153" s="18" t="str">
        <f>'GİRDİ RAPORU'!I592</f>
        <v>Hazırlık/İlk Isınma</v>
      </c>
      <c r="J153" s="18">
        <f>'GİRDİ RAPORU'!J1525</f>
        <v>0</v>
      </c>
      <c r="K153" s="18">
        <f>'GİRDİ RAPORU'!K1525</f>
        <v>0</v>
      </c>
      <c r="L153" s="18">
        <f>'GİRDİ RAPORU'!L1525</f>
        <v>0</v>
      </c>
      <c r="M153" s="26">
        <f t="shared" si="6"/>
        <v>0.624</v>
      </c>
      <c r="N153" s="26">
        <f t="shared" si="7"/>
        <v>5.5555555555555552E-2</v>
      </c>
      <c r="O153" s="26">
        <f t="shared" si="8"/>
        <v>0.94444444444444442</v>
      </c>
    </row>
    <row r="154" spans="1:15" ht="21.75" hidden="1" customHeight="1">
      <c r="A154" s="17">
        <v>45877</v>
      </c>
      <c r="B154" s="18">
        <f>'GİRDİ RAPORU'!B590</f>
        <v>2</v>
      </c>
      <c r="C154" s="18">
        <f>'GİRDİ RAPORU'!C590</f>
        <v>0</v>
      </c>
      <c r="D154" s="18">
        <f>'GİRDİ RAPORU'!D590</f>
        <v>271</v>
      </c>
      <c r="E154" s="18" t="str">
        <f>'GİRDİ RAPORU'!E590</f>
        <v>Normal Mesai</v>
      </c>
      <c r="F154" s="18">
        <f>'GİRDİ RAPORU'!F590</f>
        <v>15</v>
      </c>
      <c r="G154" s="18" t="str">
        <f>'GİRDİ RAPORU'!G590</f>
        <v>Temizlik</v>
      </c>
      <c r="H154" s="18">
        <f>'GİRDİ RAPORU'!H590</f>
        <v>15</v>
      </c>
      <c r="I154" s="18" t="str">
        <f>'GİRDİ RAPORU'!I590</f>
        <v>Hazırlık/İlk Isınma</v>
      </c>
      <c r="J154" s="18">
        <f>'GİRDİ RAPORU'!J1524</f>
        <v>0</v>
      </c>
      <c r="K154" s="18">
        <f>'GİRDİ RAPORU'!K1524</f>
        <v>0</v>
      </c>
      <c r="L154" s="18">
        <f>'GİRDİ RAPORU'!L1524</f>
        <v>0</v>
      </c>
      <c r="M154" s="26">
        <f t="shared" si="6"/>
        <v>0.36133333333333334</v>
      </c>
      <c r="N154" s="26">
        <f t="shared" si="7"/>
        <v>5.5555555555555552E-2</v>
      </c>
      <c r="O154" s="26">
        <f t="shared" si="8"/>
        <v>0.94444444444444442</v>
      </c>
    </row>
    <row r="155" spans="1:15" ht="21.75" hidden="1" customHeight="1">
      <c r="A155" s="17">
        <v>45876</v>
      </c>
      <c r="B155" s="18">
        <f>'GİRDİ RAPORU'!B591</f>
        <v>2</v>
      </c>
      <c r="C155" s="18">
        <f>'GİRDİ RAPORU'!C591</f>
        <v>0</v>
      </c>
      <c r="D155" s="18">
        <f>'GİRDİ RAPORU'!D591</f>
        <v>310</v>
      </c>
      <c r="E155" s="18" t="str">
        <f>'GİRDİ RAPORU'!E591</f>
        <v>Normal Mesai</v>
      </c>
      <c r="F155" s="18">
        <f>'GİRDİ RAPORU'!F591</f>
        <v>15</v>
      </c>
      <c r="G155" s="18" t="str">
        <f>'GİRDİ RAPORU'!G591</f>
        <v>Temizlik</v>
      </c>
      <c r="H155" s="18">
        <f>'GİRDİ RAPORU'!H591</f>
        <v>15</v>
      </c>
      <c r="I155" s="18" t="str">
        <f>'GİRDİ RAPORU'!I591</f>
        <v>Hazırlık/İlk Isınma</v>
      </c>
      <c r="J155" s="18">
        <f>'GİRDİ RAPORU'!J1523</f>
        <v>0</v>
      </c>
      <c r="K155" s="18">
        <f>'GİRDİ RAPORU'!K1523</f>
        <v>0</v>
      </c>
      <c r="L155" s="18">
        <f>'GİRDİ RAPORU'!L1523</f>
        <v>0</v>
      </c>
      <c r="M155" s="26">
        <f t="shared" si="6"/>
        <v>0.41333333333333333</v>
      </c>
      <c r="N155" s="26">
        <f t="shared" si="7"/>
        <v>5.5555555555555552E-2</v>
      </c>
      <c r="O155" s="26">
        <f t="shared" si="8"/>
        <v>0.94444444444444442</v>
      </c>
    </row>
    <row r="156" spans="1:15" ht="21.75" hidden="1" customHeight="1">
      <c r="A156" s="17">
        <v>45875</v>
      </c>
      <c r="B156" s="18">
        <f>'GİRDİ RAPORU'!B588</f>
        <v>2</v>
      </c>
      <c r="C156" s="18">
        <f>'GİRDİ RAPORU'!C588</f>
        <v>0</v>
      </c>
      <c r="D156" s="18">
        <f>'GİRDİ RAPORU'!D588</f>
        <v>378</v>
      </c>
      <c r="E156" s="18" t="str">
        <f>'GİRDİ RAPORU'!E588</f>
        <v>Normal Mesai</v>
      </c>
      <c r="F156" s="18">
        <f>'GİRDİ RAPORU'!F588</f>
        <v>15</v>
      </c>
      <c r="G156" s="18" t="str">
        <f>'GİRDİ RAPORU'!G588</f>
        <v>Temizlik</v>
      </c>
      <c r="H156" s="18">
        <f>'GİRDİ RAPORU'!H588</f>
        <v>15</v>
      </c>
      <c r="I156" s="18" t="str">
        <f>'GİRDİ RAPORU'!I588</f>
        <v>Hazırlık/İlk Isınma</v>
      </c>
      <c r="J156" s="18">
        <f>'GİRDİ RAPORU'!J1522</f>
        <v>0</v>
      </c>
      <c r="K156" s="18">
        <f>'GİRDİ RAPORU'!K1522</f>
        <v>0</v>
      </c>
      <c r="L156" s="18">
        <f>'GİRDİ RAPORU'!L1522</f>
        <v>0</v>
      </c>
      <c r="M156" s="26">
        <f t="shared" si="6"/>
        <v>0.504</v>
      </c>
      <c r="N156" s="26">
        <f t="shared" si="7"/>
        <v>5.5555555555555552E-2</v>
      </c>
      <c r="O156" s="26">
        <f t="shared" si="8"/>
        <v>0.94444444444444442</v>
      </c>
    </row>
    <row r="157" spans="1:15" ht="21.75" hidden="1" customHeight="1">
      <c r="A157" s="17">
        <f>'GİRDİ RAPORU'!A586</f>
        <v>45874</v>
      </c>
      <c r="B157" s="18">
        <f>'GİRDİ RAPORU'!B586</f>
        <v>2</v>
      </c>
      <c r="C157" s="18">
        <f>'GİRDİ RAPORU'!C586</f>
        <v>0</v>
      </c>
      <c r="D157" s="18">
        <f>'GİRDİ RAPORU'!D586</f>
        <v>312</v>
      </c>
      <c r="E157" s="18" t="str">
        <f>'GİRDİ RAPORU'!E586</f>
        <v>Normal Mesai</v>
      </c>
      <c r="F157" s="18">
        <f>'GİRDİ RAPORU'!F586</f>
        <v>15</v>
      </c>
      <c r="G157" s="18" t="str">
        <f>'GİRDİ RAPORU'!G586</f>
        <v>Temizlik</v>
      </c>
      <c r="H157" s="18">
        <f>'GİRDİ RAPORU'!H586</f>
        <v>15</v>
      </c>
      <c r="I157" s="18" t="str">
        <f>'GİRDİ RAPORU'!I586</f>
        <v>Hazırlık/İlk Isınma</v>
      </c>
      <c r="J157" s="18">
        <f>'GİRDİ RAPORU'!J1521</f>
        <v>0</v>
      </c>
      <c r="K157" s="18">
        <f>'GİRDİ RAPORU'!K1521</f>
        <v>0</v>
      </c>
      <c r="L157" s="18">
        <f>'GİRDİ RAPORU'!L1521</f>
        <v>0</v>
      </c>
      <c r="M157" s="26">
        <f t="shared" si="6"/>
        <v>0.41599999999999998</v>
      </c>
      <c r="N157" s="26">
        <f t="shared" si="7"/>
        <v>5.5555555555555552E-2</v>
      </c>
      <c r="O157" s="26">
        <f t="shared" si="8"/>
        <v>0.94444444444444442</v>
      </c>
    </row>
    <row r="158" spans="1:15" ht="21.75" hidden="1" customHeight="1">
      <c r="A158" s="17">
        <v>45873</v>
      </c>
      <c r="B158" s="18">
        <f>'GİRDİ RAPORU'!B587</f>
        <v>2</v>
      </c>
      <c r="C158" s="18">
        <f>'GİRDİ RAPORU'!C587</f>
        <v>0</v>
      </c>
      <c r="D158" s="18">
        <f>'GİRDİ RAPORU'!D587</f>
        <v>300</v>
      </c>
      <c r="E158" s="18" t="str">
        <f>'GİRDİ RAPORU'!E587</f>
        <v>Normal Mesai</v>
      </c>
      <c r="F158" s="18">
        <f>'GİRDİ RAPORU'!F587</f>
        <v>15</v>
      </c>
      <c r="G158" s="18" t="str">
        <f>'GİRDİ RAPORU'!G587</f>
        <v>Temizlik</v>
      </c>
      <c r="H158" s="18">
        <f>'GİRDİ RAPORU'!H587</f>
        <v>15</v>
      </c>
      <c r="I158" s="18" t="str">
        <f>'GİRDİ RAPORU'!I587</f>
        <v>Hazırlık/İlk Isınma</v>
      </c>
      <c r="J158" s="18">
        <f>'GİRDİ RAPORU'!J1520</f>
        <v>0</v>
      </c>
      <c r="K158" s="18">
        <f>'GİRDİ RAPORU'!K1520</f>
        <v>0</v>
      </c>
      <c r="L158" s="18">
        <f>'GİRDİ RAPORU'!L1520</f>
        <v>0</v>
      </c>
      <c r="M158" s="26">
        <f t="shared" si="6"/>
        <v>0.4</v>
      </c>
      <c r="N158" s="26">
        <f t="shared" si="7"/>
        <v>5.5555555555555552E-2</v>
      </c>
      <c r="O158" s="26">
        <f t="shared" si="8"/>
        <v>0.94444444444444442</v>
      </c>
    </row>
    <row r="159" spans="1:15" ht="21.75" hidden="1" customHeight="1">
      <c r="A159" s="17">
        <f>'GİRDİ RAPORU'!A585</f>
        <v>45870</v>
      </c>
      <c r="B159" s="18">
        <f>'GİRDİ RAPORU'!B585</f>
        <v>2</v>
      </c>
      <c r="C159" s="18">
        <f>'GİRDİ RAPORU'!C585</f>
        <v>0</v>
      </c>
      <c r="D159" s="18">
        <f>'GİRDİ RAPORU'!D585</f>
        <v>266</v>
      </c>
      <c r="E159" s="18" t="str">
        <f>'GİRDİ RAPORU'!E585</f>
        <v>Normal Mesai</v>
      </c>
      <c r="F159" s="18">
        <f>'GİRDİ RAPORU'!F585</f>
        <v>90</v>
      </c>
      <c r="G159" s="18" t="str">
        <f>'GİRDİ RAPORU'!G585</f>
        <v>Temizlik</v>
      </c>
      <c r="H159" s="18">
        <f>'GİRDİ RAPORU'!H585</f>
        <v>15</v>
      </c>
      <c r="I159" s="18" t="str">
        <f>'GİRDİ RAPORU'!I585</f>
        <v>Hazırlık/İlk Isınma</v>
      </c>
      <c r="J159" s="18">
        <f>'GİRDİ RAPORU'!J1519</f>
        <v>0</v>
      </c>
      <c r="K159" s="18">
        <f>'GİRDİ RAPORU'!K1519</f>
        <v>0</v>
      </c>
      <c r="L159" s="18">
        <f>'GİRDİ RAPORU'!L1519</f>
        <v>0</v>
      </c>
      <c r="M159" s="26">
        <f t="shared" si="6"/>
        <v>0.35466666666666669</v>
      </c>
      <c r="N159" s="26">
        <f t="shared" si="7"/>
        <v>0.19444444444444445</v>
      </c>
      <c r="O159" s="26">
        <f t="shared" si="8"/>
        <v>0.80555555555555558</v>
      </c>
    </row>
    <row r="160" spans="1:15" ht="21.75" hidden="1" customHeight="1">
      <c r="A160" s="17">
        <f>'GİRDİ RAPORU'!A584</f>
        <v>45869</v>
      </c>
      <c r="B160" s="18">
        <f>'GİRDİ RAPORU'!B584</f>
        <v>2</v>
      </c>
      <c r="C160" s="18">
        <f>'GİRDİ RAPORU'!C584</f>
        <v>0</v>
      </c>
      <c r="D160" s="18">
        <f>'GİRDİ RAPORU'!D584</f>
        <v>442</v>
      </c>
      <c r="E160" s="18" t="str">
        <f>'GİRDİ RAPORU'!E584</f>
        <v>Normal Mesai</v>
      </c>
      <c r="F160" s="18">
        <f>'GİRDİ RAPORU'!F584</f>
        <v>15</v>
      </c>
      <c r="G160" s="18" t="str">
        <f>'GİRDİ RAPORU'!G584</f>
        <v>Temizlik</v>
      </c>
      <c r="H160" s="18">
        <f>'GİRDİ RAPORU'!H584</f>
        <v>15</v>
      </c>
      <c r="I160" s="18" t="str">
        <f>'GİRDİ RAPORU'!I584</f>
        <v>Hazırlık/İlk Isınma</v>
      </c>
      <c r="J160" s="18">
        <f>'GİRDİ RAPORU'!J1518</f>
        <v>0</v>
      </c>
      <c r="K160" s="18">
        <f>'GİRDİ RAPORU'!K1518</f>
        <v>0</v>
      </c>
      <c r="L160" s="18">
        <f>'GİRDİ RAPORU'!L1518</f>
        <v>0</v>
      </c>
      <c r="M160" s="26">
        <f t="shared" si="6"/>
        <v>0.58933333333333338</v>
      </c>
      <c r="N160" s="26">
        <f t="shared" si="7"/>
        <v>5.5555555555555552E-2</v>
      </c>
      <c r="O160" s="26">
        <f t="shared" si="8"/>
        <v>0.94444444444444442</v>
      </c>
    </row>
    <row r="161" spans="1:15" ht="21.75" hidden="1" customHeight="1">
      <c r="A161" s="17">
        <v>45868</v>
      </c>
      <c r="B161" s="18">
        <f>'GİRDİ RAPORU'!B583</f>
        <v>2</v>
      </c>
      <c r="C161" s="18">
        <f>'GİRDİ RAPORU'!C583</f>
        <v>0</v>
      </c>
      <c r="D161" s="18">
        <f>'GİRDİ RAPORU'!D583</f>
        <v>416</v>
      </c>
      <c r="E161" s="18" t="str">
        <f>'GİRDİ RAPORU'!E583</f>
        <v>Normal Mesai</v>
      </c>
      <c r="F161" s="18">
        <v>15</v>
      </c>
      <c r="G161" s="18" t="str">
        <f>'GİRDİ RAPORU'!G583</f>
        <v>Temizlik</v>
      </c>
      <c r="H161" s="18">
        <f>'GİRDİ RAPORU'!H583</f>
        <v>15</v>
      </c>
      <c r="I161" s="18" t="str">
        <f>'GİRDİ RAPORU'!I583</f>
        <v>Hazırlık/İlk Isınma</v>
      </c>
      <c r="J161" s="18">
        <f>'GİRDİ RAPORU'!J1517</f>
        <v>0</v>
      </c>
      <c r="K161" s="18">
        <f>'GİRDİ RAPORU'!K1517</f>
        <v>0</v>
      </c>
      <c r="L161" s="18">
        <f>'GİRDİ RAPORU'!L1517</f>
        <v>0</v>
      </c>
      <c r="M161" s="26">
        <f t="shared" si="6"/>
        <v>0.55466666666666664</v>
      </c>
      <c r="N161" s="26">
        <f t="shared" si="7"/>
        <v>5.5555555555555552E-2</v>
      </c>
      <c r="O161" s="26">
        <f t="shared" si="8"/>
        <v>0.94444444444444442</v>
      </c>
    </row>
    <row r="162" spans="1:15" ht="21.75" hidden="1" customHeight="1">
      <c r="A162" s="17">
        <v>45867</v>
      </c>
      <c r="B162" s="18">
        <f>'GİRDİ RAPORU'!B582</f>
        <v>2</v>
      </c>
      <c r="C162" s="18">
        <f>'GİRDİ RAPORU'!C582</f>
        <v>0</v>
      </c>
      <c r="D162" s="18">
        <f>'GİRDİ RAPORU'!D582</f>
        <v>235</v>
      </c>
      <c r="E162" s="18" t="str">
        <f>'GİRDİ RAPORU'!E582</f>
        <v>Normal Mesai</v>
      </c>
      <c r="F162" s="18">
        <f>'GİRDİ RAPORU'!F582</f>
        <v>60</v>
      </c>
      <c r="G162" s="18" t="str">
        <f>'GİRDİ RAPORU'!G582</f>
        <v>Temizlik</v>
      </c>
      <c r="H162" s="18">
        <f>'GİRDİ RAPORU'!H582</f>
        <v>15</v>
      </c>
      <c r="I162" s="18" t="str">
        <f>'GİRDİ RAPORU'!I582</f>
        <v>Hazırlık/İlk Isınma</v>
      </c>
      <c r="J162" s="18">
        <f>'GİRDİ RAPORU'!J1516</f>
        <v>0</v>
      </c>
      <c r="K162" s="18">
        <f>'GİRDİ RAPORU'!K1516</f>
        <v>0</v>
      </c>
      <c r="L162" s="18">
        <f>'GİRDİ RAPORU'!L1516</f>
        <v>0</v>
      </c>
      <c r="M162" s="26">
        <f t="shared" si="6"/>
        <v>0.31333333333333335</v>
      </c>
      <c r="N162" s="26">
        <f t="shared" si="7"/>
        <v>0.1388888888888889</v>
      </c>
      <c r="O162" s="26">
        <f t="shared" si="8"/>
        <v>0.86111111111111116</v>
      </c>
    </row>
    <row r="163" spans="1:15" ht="21.75" hidden="1" customHeight="1">
      <c r="A163" s="17">
        <v>45866</v>
      </c>
      <c r="B163" s="18">
        <f>'GİRDİ RAPORU'!B580</f>
        <v>2</v>
      </c>
      <c r="C163" s="18">
        <f>'GİRDİ RAPORU'!C580</f>
        <v>0</v>
      </c>
      <c r="D163" s="18">
        <f>'GİRDİ RAPORU'!D580</f>
        <v>365</v>
      </c>
      <c r="E163" s="18" t="str">
        <f>'GİRDİ RAPORU'!E580</f>
        <v>Normal Mesai</v>
      </c>
      <c r="F163" s="18">
        <f>'GİRDİ RAPORU'!F580</f>
        <v>60</v>
      </c>
      <c r="G163" s="18" t="str">
        <f>'GİRDİ RAPORU'!G580</f>
        <v>Temizlik</v>
      </c>
      <c r="H163" s="18">
        <f>'GİRDİ RAPORU'!H580</f>
        <v>15</v>
      </c>
      <c r="I163" s="18" t="str">
        <f>'GİRDİ RAPORU'!I580</f>
        <v>Hazırlık/İlk Isınma</v>
      </c>
      <c r="J163" s="18">
        <f>'GİRDİ RAPORU'!J1515</f>
        <v>0</v>
      </c>
      <c r="K163" s="18">
        <f>'GİRDİ RAPORU'!K1515</f>
        <v>0</v>
      </c>
      <c r="L163" s="18">
        <f>'GİRDİ RAPORU'!L1515</f>
        <v>0</v>
      </c>
      <c r="M163" s="26">
        <f t="shared" si="6"/>
        <v>0.48666666666666669</v>
      </c>
      <c r="N163" s="26">
        <f t="shared" si="7"/>
        <v>0.1388888888888889</v>
      </c>
      <c r="O163" s="26">
        <f t="shared" si="8"/>
        <v>0.86111111111111116</v>
      </c>
    </row>
    <row r="164" spans="1:15" ht="21.75" hidden="1" customHeight="1">
      <c r="A164" s="17">
        <f>'GİRDİ RAPORU'!A579</f>
        <v>45863</v>
      </c>
      <c r="B164" s="18">
        <f>'GİRDİ RAPORU'!B579</f>
        <v>2</v>
      </c>
      <c r="C164" s="18">
        <f>'GİRDİ RAPORU'!C579</f>
        <v>0</v>
      </c>
      <c r="D164" s="18">
        <f>'GİRDİ RAPORU'!D579</f>
        <v>132</v>
      </c>
      <c r="E164" s="18" t="str">
        <f>'GİRDİ RAPORU'!E579</f>
        <v>Normal Mesai</v>
      </c>
      <c r="F164" s="18">
        <f>'GİRDİ RAPORU'!F579</f>
        <v>60</v>
      </c>
      <c r="G164" s="18" t="str">
        <f>'GİRDİ RAPORU'!G579</f>
        <v>Temizlik</v>
      </c>
      <c r="H164" s="18">
        <f>'GİRDİ RAPORU'!H579</f>
        <v>15</v>
      </c>
      <c r="I164" s="18" t="str">
        <f>'GİRDİ RAPORU'!I579</f>
        <v>Hazırlık/İlk Isınma</v>
      </c>
      <c r="J164" s="18">
        <f>'GİRDİ RAPORU'!J1514</f>
        <v>0</v>
      </c>
      <c r="K164" s="18">
        <f>'GİRDİ RAPORU'!K1514</f>
        <v>0</v>
      </c>
      <c r="L164" s="18">
        <f>'GİRDİ RAPORU'!L1514</f>
        <v>0</v>
      </c>
      <c r="M164" s="26">
        <f t="shared" si="6"/>
        <v>0.17599999999999999</v>
      </c>
      <c r="N164" s="26">
        <f t="shared" si="7"/>
        <v>0.1388888888888889</v>
      </c>
      <c r="O164" s="26">
        <f t="shared" si="8"/>
        <v>0.86111111111111116</v>
      </c>
    </row>
    <row r="165" spans="1:15" ht="21.75" hidden="1" customHeight="1">
      <c r="A165" s="17">
        <f>'GİRDİ RAPORU'!A578</f>
        <v>45862</v>
      </c>
      <c r="B165" s="18">
        <f>'GİRDİ RAPORU'!B578</f>
        <v>2</v>
      </c>
      <c r="C165" s="18">
        <f>'GİRDİ RAPORU'!C578</f>
        <v>0</v>
      </c>
      <c r="D165" s="18">
        <f>'GİRDİ RAPORU'!D578</f>
        <v>148</v>
      </c>
      <c r="E165" s="18" t="str">
        <f>'GİRDİ RAPORU'!E578</f>
        <v>Normal Mesai</v>
      </c>
      <c r="F165" s="18">
        <f>'GİRDİ RAPORU'!F578</f>
        <v>30</v>
      </c>
      <c r="G165" s="18" t="str">
        <f>'GİRDİ RAPORU'!G578</f>
        <v>Bakım/Onarım</v>
      </c>
      <c r="H165" s="18">
        <f>'GİRDİ RAPORU'!H578</f>
        <v>15</v>
      </c>
      <c r="I165" s="18" t="str">
        <f>'GİRDİ RAPORU'!I578</f>
        <v>Hazırlık/İlk Isınma</v>
      </c>
      <c r="J165" s="18">
        <f>'GİRDİ RAPORU'!J1513</f>
        <v>0</v>
      </c>
      <c r="K165" s="18">
        <f>'GİRDİ RAPORU'!K1513</f>
        <v>0</v>
      </c>
      <c r="L165" s="18">
        <f>'GİRDİ RAPORU'!L1513</f>
        <v>0</v>
      </c>
      <c r="M165" s="26">
        <f t="shared" si="6"/>
        <v>0.19733333333333333</v>
      </c>
      <c r="N165" s="26">
        <f t="shared" si="7"/>
        <v>8.3333333333333329E-2</v>
      </c>
      <c r="O165" s="26">
        <f t="shared" si="8"/>
        <v>0.91666666666666663</v>
      </c>
    </row>
    <row r="166" spans="1:15" ht="21.75" hidden="1" customHeight="1">
      <c r="A166" s="17">
        <f>'GİRDİ RAPORU'!A577</f>
        <v>45861</v>
      </c>
      <c r="B166" s="18">
        <f>'GİRDİ RAPORU'!B577</f>
        <v>2</v>
      </c>
      <c r="C166" s="18">
        <f>'GİRDİ RAPORU'!C577</f>
        <v>0</v>
      </c>
      <c r="D166" s="18">
        <f>'GİRDİ RAPORU'!D577</f>
        <v>156</v>
      </c>
      <c r="E166" s="18" t="str">
        <f>'GİRDİ RAPORU'!E577</f>
        <v>Normal Mesai</v>
      </c>
      <c r="F166" s="18">
        <f>'GİRDİ RAPORU'!F577</f>
        <v>120</v>
      </c>
      <c r="G166" s="18" t="str">
        <f>'GİRDİ RAPORU'!G577</f>
        <v>Temizlik</v>
      </c>
      <c r="H166" s="18">
        <f>'GİRDİ RAPORU'!H577</f>
        <v>15</v>
      </c>
      <c r="I166" s="18" t="str">
        <f>'GİRDİ RAPORU'!I577</f>
        <v>Hazırlık/İlk Isınma</v>
      </c>
      <c r="J166" s="18">
        <f>'GİRDİ RAPORU'!J1512</f>
        <v>0</v>
      </c>
      <c r="K166" s="18">
        <f>'GİRDİ RAPORU'!K1512</f>
        <v>0</v>
      </c>
      <c r="L166" s="18">
        <f>'GİRDİ RAPORU'!L1512</f>
        <v>0</v>
      </c>
      <c r="M166" s="26">
        <f t="shared" si="6"/>
        <v>0.20799999999999999</v>
      </c>
      <c r="N166" s="26">
        <f t="shared" si="7"/>
        <v>0.25</v>
      </c>
      <c r="O166" s="26">
        <f t="shared" si="8"/>
        <v>0.75</v>
      </c>
    </row>
    <row r="167" spans="1:15" ht="21.75" hidden="1" customHeight="1">
      <c r="A167" s="17">
        <f>'GİRDİ RAPORU'!A576</f>
        <v>45860</v>
      </c>
      <c r="B167" s="18">
        <f>'GİRDİ RAPORU'!B576</f>
        <v>2</v>
      </c>
      <c r="C167" s="18">
        <f>'GİRDİ RAPORU'!C576</f>
        <v>0</v>
      </c>
      <c r="D167" s="18">
        <f>'GİRDİ RAPORU'!D576</f>
        <v>282</v>
      </c>
      <c r="E167" s="18" t="str">
        <f>'GİRDİ RAPORU'!E576</f>
        <v>Normal Mesai</v>
      </c>
      <c r="F167" s="18">
        <f>'GİRDİ RAPORU'!F576</f>
        <v>15</v>
      </c>
      <c r="G167" s="18" t="str">
        <f>'GİRDİ RAPORU'!G576</f>
        <v>Temizlik</v>
      </c>
      <c r="H167" s="18">
        <f>'GİRDİ RAPORU'!H576</f>
        <v>15</v>
      </c>
      <c r="I167" s="18" t="str">
        <f>'GİRDİ RAPORU'!I576</f>
        <v>Hazırlık/İlk Isınma</v>
      </c>
      <c r="J167" s="18">
        <f>'GİRDİ RAPORU'!J1511</f>
        <v>0</v>
      </c>
      <c r="K167" s="18">
        <f>'GİRDİ RAPORU'!K1511</f>
        <v>0</v>
      </c>
      <c r="L167" s="18">
        <f>'GİRDİ RAPORU'!L1511</f>
        <v>0</v>
      </c>
      <c r="M167" s="26">
        <f t="shared" si="6"/>
        <v>0.376</v>
      </c>
      <c r="N167" s="26">
        <f t="shared" si="7"/>
        <v>5.5555555555555552E-2</v>
      </c>
      <c r="O167" s="26">
        <f t="shared" si="8"/>
        <v>0.94444444444444442</v>
      </c>
    </row>
    <row r="168" spans="1:15" ht="21.75" hidden="1" customHeight="1">
      <c r="A168" s="17">
        <f>'GİRDİ RAPORU'!A574</f>
        <v>45859</v>
      </c>
      <c r="B168" s="18">
        <f>'GİRDİ RAPORU'!B574</f>
        <v>2</v>
      </c>
      <c r="C168" s="18">
        <f>'GİRDİ RAPORU'!C574</f>
        <v>0</v>
      </c>
      <c r="D168" s="18">
        <f>'GİRDİ RAPORU'!D574</f>
        <v>147</v>
      </c>
      <c r="E168" s="18" t="str">
        <f>'GİRDİ RAPORU'!E574</f>
        <v>Normal Mesai</v>
      </c>
      <c r="F168" s="18">
        <f>'GİRDİ RAPORU'!F574</f>
        <v>150</v>
      </c>
      <c r="G168" s="18" t="str">
        <f>'GİRDİ RAPORU'!G574</f>
        <v>Temizlik</v>
      </c>
      <c r="H168" s="18">
        <f>'GİRDİ RAPORU'!H574</f>
        <v>15</v>
      </c>
      <c r="I168" s="18" t="str">
        <f>'GİRDİ RAPORU'!I574</f>
        <v>Hazırlık/İlk Isınma</v>
      </c>
      <c r="J168" s="18">
        <f>'GİRDİ RAPORU'!J1510</f>
        <v>0</v>
      </c>
      <c r="K168" s="18">
        <f>'GİRDİ RAPORU'!K1510</f>
        <v>0</v>
      </c>
      <c r="L168" s="18">
        <f>'GİRDİ RAPORU'!L1510</f>
        <v>0</v>
      </c>
      <c r="M168" s="26">
        <f t="shared" si="6"/>
        <v>0.19600000000000001</v>
      </c>
      <c r="N168" s="26">
        <f t="shared" si="7"/>
        <v>0.30555555555555558</v>
      </c>
      <c r="O168" s="26">
        <f t="shared" si="8"/>
        <v>0.69444444444444442</v>
      </c>
    </row>
    <row r="169" spans="1:15" ht="21.75" hidden="1" customHeight="1">
      <c r="A169" s="17">
        <f>'GİRDİ RAPORU'!A573</f>
        <v>45856</v>
      </c>
      <c r="B169" s="18">
        <f>'GİRDİ RAPORU'!B573</f>
        <v>2</v>
      </c>
      <c r="C169" s="18">
        <f>'GİRDİ RAPORU'!C573</f>
        <v>0</v>
      </c>
      <c r="D169" s="18">
        <f>'GİRDİ RAPORU'!D573</f>
        <v>196</v>
      </c>
      <c r="E169" s="18" t="str">
        <f>'GİRDİ RAPORU'!E573</f>
        <v>Normal Mesai</v>
      </c>
      <c r="F169" s="18">
        <f>'GİRDİ RAPORU'!F573</f>
        <v>90</v>
      </c>
      <c r="G169" s="18" t="str">
        <f>'GİRDİ RAPORU'!G573</f>
        <v>Temizlik</v>
      </c>
      <c r="H169" s="18">
        <f>'GİRDİ RAPORU'!H573</f>
        <v>15</v>
      </c>
      <c r="I169" s="18" t="str">
        <f>'GİRDİ RAPORU'!I573</f>
        <v>Hazırlık/İlk Isınma</v>
      </c>
      <c r="J169" s="18">
        <f>'GİRDİ RAPORU'!J1509</f>
        <v>0</v>
      </c>
      <c r="K169" s="18">
        <f>'GİRDİ RAPORU'!K1509</f>
        <v>0</v>
      </c>
      <c r="L169" s="18">
        <f>'GİRDİ RAPORU'!L1509</f>
        <v>0</v>
      </c>
      <c r="M169" s="26">
        <f t="shared" si="6"/>
        <v>0.26133333333333331</v>
      </c>
      <c r="N169" s="26">
        <f t="shared" si="7"/>
        <v>0.19444444444444445</v>
      </c>
      <c r="O169" s="26">
        <f t="shared" si="8"/>
        <v>0.80555555555555558</v>
      </c>
    </row>
    <row r="170" spans="1:15" ht="21.75" hidden="1" customHeight="1">
      <c r="A170" s="17">
        <f>'GİRDİ RAPORU'!A572</f>
        <v>45855</v>
      </c>
      <c r="B170" s="18">
        <f>'GİRDİ RAPORU'!B572</f>
        <v>2</v>
      </c>
      <c r="C170" s="18">
        <f>'GİRDİ RAPORU'!C572</f>
        <v>0</v>
      </c>
      <c r="D170" s="18">
        <f>'GİRDİ RAPORU'!D572</f>
        <v>133</v>
      </c>
      <c r="E170" s="18" t="str">
        <f>'GİRDİ RAPORU'!E572</f>
        <v>Normal Mesai</v>
      </c>
      <c r="F170" s="18">
        <f>'GİRDİ RAPORU'!F572</f>
        <v>15</v>
      </c>
      <c r="G170" s="18" t="str">
        <f>'GİRDİ RAPORU'!G572</f>
        <v>Temizlik</v>
      </c>
      <c r="H170" s="18">
        <f>'GİRDİ RAPORU'!H572</f>
        <v>15</v>
      </c>
      <c r="I170" s="18" t="str">
        <f>'GİRDİ RAPORU'!I572</f>
        <v>Hazırlık/İlk Isınma</v>
      </c>
      <c r="J170" s="18">
        <f>'GİRDİ RAPORU'!J1508</f>
        <v>0</v>
      </c>
      <c r="K170" s="18">
        <f>'GİRDİ RAPORU'!K1508</f>
        <v>0</v>
      </c>
      <c r="L170" s="18">
        <f>'GİRDİ RAPORU'!L1508</f>
        <v>0</v>
      </c>
      <c r="M170" s="26">
        <f t="shared" si="6"/>
        <v>0.17733333333333334</v>
      </c>
      <c r="N170" s="26">
        <f t="shared" si="7"/>
        <v>5.5555555555555552E-2</v>
      </c>
      <c r="O170" s="26">
        <f t="shared" si="8"/>
        <v>0.94444444444444442</v>
      </c>
    </row>
    <row r="171" spans="1:15" ht="21.75" hidden="1" customHeight="1">
      <c r="A171" s="17">
        <v>45854</v>
      </c>
      <c r="B171" s="18">
        <f>'GİRDİ RAPORU'!B570</f>
        <v>2</v>
      </c>
      <c r="C171" s="18">
        <f>'GİRDİ RAPORU'!C570</f>
        <v>0</v>
      </c>
      <c r="D171" s="18">
        <f>'GİRDİ RAPORU'!D570</f>
        <v>278</v>
      </c>
      <c r="E171" s="18" t="str">
        <f>'GİRDİ RAPORU'!E570</f>
        <v>Normal Mesai</v>
      </c>
      <c r="F171" s="18">
        <f>'GİRDİ RAPORU'!F570</f>
        <v>15</v>
      </c>
      <c r="G171" s="18" t="str">
        <f>'GİRDİ RAPORU'!G570</f>
        <v>Temizlik</v>
      </c>
      <c r="H171" s="18">
        <f>'GİRDİ RAPORU'!H570</f>
        <v>15</v>
      </c>
      <c r="I171" s="18" t="str">
        <f>'GİRDİ RAPORU'!I570</f>
        <v>Hazırlık/İlk Isınma</v>
      </c>
      <c r="J171" s="18">
        <f>'GİRDİ RAPORU'!J1507</f>
        <v>0</v>
      </c>
      <c r="K171" s="18">
        <f>'GİRDİ RAPORU'!K1507</f>
        <v>0</v>
      </c>
      <c r="L171" s="18">
        <f>'GİRDİ RAPORU'!L1507</f>
        <v>0</v>
      </c>
      <c r="M171" s="26">
        <f t="shared" si="6"/>
        <v>0.37066666666666664</v>
      </c>
      <c r="N171" s="26">
        <f t="shared" si="7"/>
        <v>5.5555555555555552E-2</v>
      </c>
      <c r="O171" s="26">
        <f t="shared" si="8"/>
        <v>0.94444444444444442</v>
      </c>
    </row>
    <row r="172" spans="1:15" ht="21.75" hidden="1" customHeight="1">
      <c r="A172" s="17">
        <v>45852</v>
      </c>
      <c r="B172" s="18">
        <f>'GİRDİ RAPORU'!B564</f>
        <v>2</v>
      </c>
      <c r="C172" s="18">
        <f>'GİRDİ RAPORU'!C564</f>
        <v>0</v>
      </c>
      <c r="D172" s="18">
        <f>'GİRDİ RAPORU'!D564</f>
        <v>166</v>
      </c>
      <c r="E172" s="18" t="str">
        <f>'GİRDİ RAPORU'!E564</f>
        <v>Normal Mesai</v>
      </c>
      <c r="F172" s="18">
        <f>'GİRDİ RAPORU'!F564</f>
        <v>60</v>
      </c>
      <c r="G172" s="18" t="str">
        <f>'GİRDİ RAPORU'!G564</f>
        <v>Temizlik</v>
      </c>
      <c r="H172" s="18">
        <f>'GİRDİ RAPORU'!H564</f>
        <v>15</v>
      </c>
      <c r="I172" s="18" t="str">
        <f>'GİRDİ RAPORU'!I564</f>
        <v>Hazırlık/İlk Isınma</v>
      </c>
      <c r="J172" s="18">
        <f>'GİRDİ RAPORU'!J1506</f>
        <v>0</v>
      </c>
      <c r="K172" s="18">
        <f>'GİRDİ RAPORU'!K1506</f>
        <v>0</v>
      </c>
      <c r="L172" s="18">
        <f>'GİRDİ RAPORU'!L1506</f>
        <v>0</v>
      </c>
      <c r="M172" s="26">
        <f t="shared" si="6"/>
        <v>0.22133333333333333</v>
      </c>
      <c r="N172" s="26">
        <f t="shared" si="7"/>
        <v>0.1388888888888889</v>
      </c>
      <c r="O172" s="26">
        <f t="shared" si="8"/>
        <v>0.86111111111111116</v>
      </c>
    </row>
    <row r="173" spans="1:15" ht="21.75" hidden="1" customHeight="1">
      <c r="A173" s="17">
        <v>45849</v>
      </c>
      <c r="B173" s="18">
        <f>'GİRDİ RAPORU'!B565</f>
        <v>2</v>
      </c>
      <c r="C173" s="18">
        <f>'GİRDİ RAPORU'!C565</f>
        <v>0</v>
      </c>
      <c r="D173" s="18">
        <f>'GİRDİ RAPORU'!D565</f>
        <v>355</v>
      </c>
      <c r="E173" s="18" t="str">
        <f>'GİRDİ RAPORU'!E565</f>
        <v>Normal Mesai</v>
      </c>
      <c r="F173" s="18">
        <f>'GİRDİ RAPORU'!F565</f>
        <v>15</v>
      </c>
      <c r="G173" s="18" t="str">
        <f>'GİRDİ RAPORU'!G565</f>
        <v>Temizlik</v>
      </c>
      <c r="H173" s="18">
        <f>'GİRDİ RAPORU'!H565</f>
        <v>15</v>
      </c>
      <c r="I173" s="18" t="str">
        <f>'GİRDİ RAPORU'!I565</f>
        <v>Hazırlık/İlk Isınma</v>
      </c>
      <c r="J173" s="18">
        <f>'GİRDİ RAPORU'!J1505</f>
        <v>0</v>
      </c>
      <c r="K173" s="18">
        <f>'GİRDİ RAPORU'!K1505</f>
        <v>0</v>
      </c>
      <c r="L173" s="18">
        <f>'GİRDİ RAPORU'!L1505</f>
        <v>0</v>
      </c>
      <c r="M173" s="26">
        <f t="shared" si="6"/>
        <v>0.47333333333333333</v>
      </c>
      <c r="N173" s="26">
        <f t="shared" si="7"/>
        <v>5.5555555555555552E-2</v>
      </c>
      <c r="O173" s="26">
        <f t="shared" si="8"/>
        <v>0.94444444444444442</v>
      </c>
    </row>
    <row r="174" spans="1:15" ht="21.75" hidden="1" customHeight="1">
      <c r="A174" s="17">
        <v>45848</v>
      </c>
      <c r="B174" s="18">
        <f>'GİRDİ RAPORU'!B566</f>
        <v>2</v>
      </c>
      <c r="C174" s="18">
        <f>'GİRDİ RAPORU'!C566</f>
        <v>0</v>
      </c>
      <c r="D174" s="18">
        <f>'GİRDİ RAPORU'!D566</f>
        <v>338</v>
      </c>
      <c r="E174" s="18" t="str">
        <f>'GİRDİ RAPORU'!E566</f>
        <v>Normal Mesai</v>
      </c>
      <c r="F174" s="18">
        <f>'GİRDİ RAPORU'!F566</f>
        <v>15</v>
      </c>
      <c r="G174" s="18" t="str">
        <f>'GİRDİ RAPORU'!G566</f>
        <v>Temizlik</v>
      </c>
      <c r="H174" s="18">
        <f>'GİRDİ RAPORU'!H566</f>
        <v>15</v>
      </c>
      <c r="I174" s="18" t="str">
        <f>'GİRDİ RAPORU'!I566</f>
        <v>Hazırlık/İlk Isınma</v>
      </c>
      <c r="J174" s="18">
        <f>'GİRDİ RAPORU'!J1504</f>
        <v>0</v>
      </c>
      <c r="K174" s="18">
        <f>'GİRDİ RAPORU'!K1504</f>
        <v>0</v>
      </c>
      <c r="L174" s="18">
        <f>'GİRDİ RAPORU'!L1504</f>
        <v>0</v>
      </c>
      <c r="M174" s="26">
        <f t="shared" si="6"/>
        <v>0.45066666666666666</v>
      </c>
      <c r="N174" s="26">
        <f t="shared" si="7"/>
        <v>5.5555555555555552E-2</v>
      </c>
      <c r="O174" s="26">
        <f t="shared" si="8"/>
        <v>0.94444444444444442</v>
      </c>
    </row>
    <row r="175" spans="1:15" ht="21.75" hidden="1" customHeight="1">
      <c r="A175" s="17">
        <v>45847</v>
      </c>
      <c r="B175" s="18">
        <f>'GİRDİ RAPORU'!B567</f>
        <v>2</v>
      </c>
      <c r="C175" s="18">
        <f>'GİRDİ RAPORU'!C567</f>
        <v>0</v>
      </c>
      <c r="D175" s="18">
        <f>'GİRDİ RAPORU'!D567</f>
        <v>350</v>
      </c>
      <c r="E175" s="18" t="str">
        <f>'GİRDİ RAPORU'!E567</f>
        <v>Normal Mesai</v>
      </c>
      <c r="F175" s="18">
        <f>'GİRDİ RAPORU'!F567</f>
        <v>15</v>
      </c>
      <c r="G175" s="18" t="str">
        <f>'GİRDİ RAPORU'!G567</f>
        <v>Temizlik</v>
      </c>
      <c r="H175" s="18">
        <f>'GİRDİ RAPORU'!H567</f>
        <v>15</v>
      </c>
      <c r="I175" s="18" t="str">
        <f>'GİRDİ RAPORU'!I567</f>
        <v>Hazırlık/İlk Isınma</v>
      </c>
      <c r="J175" s="18">
        <f>'GİRDİ RAPORU'!J1503</f>
        <v>0</v>
      </c>
      <c r="K175" s="18">
        <f>'GİRDİ RAPORU'!K1503</f>
        <v>0</v>
      </c>
      <c r="L175" s="18">
        <f>'GİRDİ RAPORU'!L1503</f>
        <v>0</v>
      </c>
      <c r="M175" s="26">
        <f t="shared" si="6"/>
        <v>0.46666666666666667</v>
      </c>
      <c r="N175" s="26">
        <f t="shared" si="7"/>
        <v>5.5555555555555552E-2</v>
      </c>
      <c r="O175" s="26">
        <f t="shared" si="8"/>
        <v>0.94444444444444442</v>
      </c>
    </row>
    <row r="176" spans="1:15" ht="21.75" hidden="1" customHeight="1">
      <c r="A176" s="17">
        <v>45846</v>
      </c>
      <c r="B176" s="18">
        <f>'GİRDİ RAPORU'!B568</f>
        <v>2</v>
      </c>
      <c r="C176" s="18">
        <f>'GİRDİ RAPORU'!C568</f>
        <v>0</v>
      </c>
      <c r="D176" s="18">
        <f>'GİRDİ RAPORU'!D568</f>
        <v>393</v>
      </c>
      <c r="E176" s="18" t="str">
        <f>'GİRDİ RAPORU'!E568</f>
        <v>Normal Mesai</v>
      </c>
      <c r="F176" s="18">
        <f>'GİRDİ RAPORU'!F568</f>
        <v>15</v>
      </c>
      <c r="G176" s="18" t="str">
        <f>'GİRDİ RAPORU'!G568</f>
        <v>Temizlik</v>
      </c>
      <c r="H176" s="18">
        <f>'GİRDİ RAPORU'!H568</f>
        <v>15</v>
      </c>
      <c r="I176" s="18" t="str">
        <f>'GİRDİ RAPORU'!I568</f>
        <v>Hazırlık/İlk Isınma</v>
      </c>
      <c r="J176" s="18">
        <f>'GİRDİ RAPORU'!J1502</f>
        <v>0</v>
      </c>
      <c r="K176" s="18">
        <f>'GİRDİ RAPORU'!K1502</f>
        <v>0</v>
      </c>
      <c r="L176" s="18">
        <f>'GİRDİ RAPORU'!L1502</f>
        <v>0</v>
      </c>
      <c r="M176" s="26">
        <f t="shared" si="6"/>
        <v>0.52400000000000002</v>
      </c>
      <c r="N176" s="26">
        <f t="shared" si="7"/>
        <v>5.5555555555555552E-2</v>
      </c>
      <c r="O176" s="26">
        <f t="shared" si="8"/>
        <v>0.94444444444444442</v>
      </c>
    </row>
    <row r="177" spans="1:15" ht="21.75" hidden="1" customHeight="1">
      <c r="A177" s="17">
        <v>45845</v>
      </c>
      <c r="B177" s="18">
        <f>'GİRDİ RAPORU'!B569</f>
        <v>2</v>
      </c>
      <c r="C177" s="18">
        <f>'GİRDİ RAPORU'!C569</f>
        <v>0</v>
      </c>
      <c r="D177" s="18">
        <f>'GİRDİ RAPORU'!D569</f>
        <v>308</v>
      </c>
      <c r="E177" s="18" t="str">
        <f>'GİRDİ RAPORU'!E569</f>
        <v>Normal Mesai</v>
      </c>
      <c r="F177" s="18">
        <f>'GİRDİ RAPORU'!F569</f>
        <v>15</v>
      </c>
      <c r="G177" s="18" t="str">
        <f>'GİRDİ RAPORU'!G569</f>
        <v>Temizlik</v>
      </c>
      <c r="H177" s="18">
        <f>'GİRDİ RAPORU'!H569</f>
        <v>15</v>
      </c>
      <c r="I177" s="18" t="str">
        <f>'GİRDİ RAPORU'!I569</f>
        <v>Hazırlık/İlk Isınma</v>
      </c>
      <c r="J177" s="18">
        <f>'GİRDİ RAPORU'!J1501</f>
        <v>0</v>
      </c>
      <c r="K177" s="18">
        <f>'GİRDİ RAPORU'!K1501</f>
        <v>0</v>
      </c>
      <c r="L177" s="18">
        <f>'GİRDİ RAPORU'!L1501</f>
        <v>0</v>
      </c>
      <c r="M177" s="26">
        <f t="shared" si="6"/>
        <v>0.41066666666666668</v>
      </c>
      <c r="N177" s="26">
        <f t="shared" si="7"/>
        <v>5.5555555555555552E-2</v>
      </c>
      <c r="O177" s="26">
        <f t="shared" si="8"/>
        <v>0.94444444444444442</v>
      </c>
    </row>
    <row r="178" spans="1:15" ht="21.75" hidden="1" customHeight="1">
      <c r="A178" s="17">
        <f>'GİRDİ RAPORU'!A571</f>
        <v>45842</v>
      </c>
      <c r="B178" s="18">
        <f>'GİRDİ RAPORU'!B571</f>
        <v>2</v>
      </c>
      <c r="C178" s="18">
        <f>'GİRDİ RAPORU'!C571</f>
        <v>0</v>
      </c>
      <c r="D178" s="18">
        <f>'GİRDİ RAPORU'!D571</f>
        <v>161</v>
      </c>
      <c r="E178" s="18" t="str">
        <f>'GİRDİ RAPORU'!E571</f>
        <v>Normal Mesai</v>
      </c>
      <c r="F178" s="18">
        <f>'GİRDİ RAPORU'!F571</f>
        <v>15</v>
      </c>
      <c r="G178" s="18" t="str">
        <f>'GİRDİ RAPORU'!G571</f>
        <v>Temizlik</v>
      </c>
      <c r="H178" s="18">
        <f>'GİRDİ RAPORU'!H571</f>
        <v>15</v>
      </c>
      <c r="I178" s="18" t="str">
        <f>'GİRDİ RAPORU'!I571</f>
        <v>Hazırlık/İlk Isınma</v>
      </c>
      <c r="J178" s="18">
        <f>'GİRDİ RAPORU'!J1500</f>
        <v>0</v>
      </c>
      <c r="K178" s="18">
        <f>'GİRDİ RAPORU'!K1500</f>
        <v>0</v>
      </c>
      <c r="L178" s="18">
        <f>'GİRDİ RAPORU'!L1500</f>
        <v>0</v>
      </c>
      <c r="M178" s="26">
        <f t="shared" si="6"/>
        <v>0.21466666666666667</v>
      </c>
      <c r="N178" s="26">
        <f t="shared" si="7"/>
        <v>5.5555555555555552E-2</v>
      </c>
      <c r="O178" s="26">
        <f t="shared" si="8"/>
        <v>0.94444444444444442</v>
      </c>
    </row>
    <row r="179" spans="1:15" ht="21.75" hidden="1" customHeight="1">
      <c r="A179" s="17">
        <f>'GİRDİ RAPORU'!A563</f>
        <v>45841</v>
      </c>
      <c r="B179" s="18">
        <f>'GİRDİ RAPORU'!B563</f>
        <v>2</v>
      </c>
      <c r="C179" s="18">
        <f>'GİRDİ RAPORU'!C563</f>
        <v>0</v>
      </c>
      <c r="D179" s="18">
        <f>'GİRDİ RAPORU'!D563</f>
        <v>622</v>
      </c>
      <c r="E179" s="18" t="str">
        <f>'GİRDİ RAPORU'!E563</f>
        <v>Normal Mesai</v>
      </c>
      <c r="F179" s="18">
        <f>'GİRDİ RAPORU'!F563</f>
        <v>15</v>
      </c>
      <c r="G179" s="18" t="str">
        <f>'GİRDİ RAPORU'!G563</f>
        <v>Temizlik</v>
      </c>
      <c r="H179" s="18">
        <f>'GİRDİ RAPORU'!H563</f>
        <v>15</v>
      </c>
      <c r="I179" s="18" t="str">
        <f>'GİRDİ RAPORU'!I563</f>
        <v>Hazırlık/İlk Isınma</v>
      </c>
      <c r="J179" s="18">
        <f>'GİRDİ RAPORU'!J1499</f>
        <v>0</v>
      </c>
      <c r="K179" s="18">
        <f>'GİRDİ RAPORU'!K1499</f>
        <v>0</v>
      </c>
      <c r="L179" s="18">
        <f>'GİRDİ RAPORU'!L1499</f>
        <v>0</v>
      </c>
      <c r="M179" s="26">
        <f t="shared" si="6"/>
        <v>0.82933333333333337</v>
      </c>
      <c r="N179" s="26">
        <f t="shared" si="7"/>
        <v>5.5555555555555552E-2</v>
      </c>
      <c r="O179" s="26">
        <f t="shared" si="8"/>
        <v>0.94444444444444442</v>
      </c>
    </row>
    <row r="180" spans="1:15" ht="21.75" hidden="1" customHeight="1">
      <c r="A180" s="17">
        <f>'GİRDİ RAPORU'!A561</f>
        <v>45840</v>
      </c>
      <c r="B180" s="18">
        <f>'GİRDİ RAPORU'!B561</f>
        <v>2</v>
      </c>
      <c r="C180" s="18">
        <f>'GİRDİ RAPORU'!C561</f>
        <v>0</v>
      </c>
      <c r="D180" s="18">
        <f>'GİRDİ RAPORU'!D561</f>
        <v>458</v>
      </c>
      <c r="E180" s="18" t="str">
        <f>'GİRDİ RAPORU'!E561</f>
        <v>Normal Mesai</v>
      </c>
      <c r="F180" s="18">
        <f>'GİRDİ RAPORU'!F561</f>
        <v>15</v>
      </c>
      <c r="G180" s="18" t="str">
        <f>'GİRDİ RAPORU'!G561</f>
        <v>Temizlik</v>
      </c>
      <c r="H180" s="18">
        <f>'GİRDİ RAPORU'!H561</f>
        <v>15</v>
      </c>
      <c r="I180" s="18" t="str">
        <f>'GİRDİ RAPORU'!I561</f>
        <v>Hazırlık/İlk Isınma</v>
      </c>
      <c r="J180" s="18">
        <f>'GİRDİ RAPORU'!J1497</f>
        <v>0</v>
      </c>
      <c r="K180" s="18">
        <f>'GİRDİ RAPORU'!K1497</f>
        <v>0</v>
      </c>
      <c r="L180" s="18">
        <f>'GİRDİ RAPORU'!L1497</f>
        <v>0</v>
      </c>
      <c r="M180" s="26">
        <f t="shared" si="6"/>
        <v>0.61066666666666669</v>
      </c>
      <c r="N180" s="26">
        <f t="shared" si="7"/>
        <v>5.5555555555555552E-2</v>
      </c>
      <c r="O180" s="26">
        <f t="shared" si="8"/>
        <v>0.94444444444444442</v>
      </c>
    </row>
    <row r="181" spans="1:15" ht="21.75" hidden="1" customHeight="1">
      <c r="A181" s="17">
        <f>'GİRDİ RAPORU'!A562</f>
        <v>45840</v>
      </c>
      <c r="B181" s="18">
        <f>'GİRDİ RAPORU'!B562</f>
        <v>2</v>
      </c>
      <c r="C181" s="18">
        <f>'GİRDİ RAPORU'!C562</f>
        <v>0</v>
      </c>
      <c r="D181" s="18">
        <f>'GİRDİ RAPORU'!D562</f>
        <v>458</v>
      </c>
      <c r="E181" s="18" t="str">
        <f>'GİRDİ RAPORU'!E562</f>
        <v>Normal Mesai</v>
      </c>
      <c r="F181" s="18">
        <f>'GİRDİ RAPORU'!F562</f>
        <v>15</v>
      </c>
      <c r="G181" s="18" t="str">
        <f>'GİRDİ RAPORU'!G562</f>
        <v>Temizlik</v>
      </c>
      <c r="H181" s="18">
        <f>'GİRDİ RAPORU'!H562</f>
        <v>15</v>
      </c>
      <c r="I181" s="18" t="str">
        <f>'GİRDİ RAPORU'!I562</f>
        <v>Hazırlık/İlk Isınma</v>
      </c>
      <c r="J181" s="18">
        <f>'GİRDİ RAPORU'!J1498</f>
        <v>0</v>
      </c>
      <c r="K181" s="18">
        <f>'GİRDİ RAPORU'!K1498</f>
        <v>0</v>
      </c>
      <c r="L181" s="18">
        <f>'GİRDİ RAPORU'!L1498</f>
        <v>0</v>
      </c>
      <c r="M181" s="26">
        <f t="shared" si="6"/>
        <v>0.61066666666666669</v>
      </c>
      <c r="N181" s="26">
        <f t="shared" si="7"/>
        <v>5.5555555555555552E-2</v>
      </c>
      <c r="O181" s="26">
        <f t="shared" si="8"/>
        <v>0.94444444444444442</v>
      </c>
    </row>
    <row r="182" spans="1:15" ht="21.75" hidden="1" customHeight="1">
      <c r="A182" s="17">
        <f>'GİRDİ RAPORU'!A560</f>
        <v>45839</v>
      </c>
      <c r="B182" s="18">
        <f>'GİRDİ RAPORU'!B560</f>
        <v>2</v>
      </c>
      <c r="C182" s="18">
        <f>'GİRDİ RAPORU'!C560</f>
        <v>0</v>
      </c>
      <c r="D182" s="18">
        <f>'GİRDİ RAPORU'!D560</f>
        <v>267</v>
      </c>
      <c r="E182" s="18" t="str">
        <f>'GİRDİ RAPORU'!E560</f>
        <v>Normal Mesai</v>
      </c>
      <c r="F182" s="18">
        <f>'GİRDİ RAPORU'!F560</f>
        <v>15</v>
      </c>
      <c r="G182" s="18" t="str">
        <f>'GİRDİ RAPORU'!G560</f>
        <v>Temizlik</v>
      </c>
      <c r="H182" s="18">
        <f>'GİRDİ RAPORU'!H560</f>
        <v>15</v>
      </c>
      <c r="I182" s="18" t="str">
        <f>'GİRDİ RAPORU'!I560</f>
        <v>Hazırlık/İlk Isınma</v>
      </c>
      <c r="J182" s="18">
        <f>'GİRDİ RAPORU'!J1496</f>
        <v>0</v>
      </c>
      <c r="K182" s="18">
        <f>'GİRDİ RAPORU'!K1496</f>
        <v>0</v>
      </c>
      <c r="L182" s="18">
        <f>'GİRDİ RAPORU'!L1496</f>
        <v>0</v>
      </c>
      <c r="M182" s="26">
        <f t="shared" si="6"/>
        <v>0.35599999999999998</v>
      </c>
      <c r="N182" s="26">
        <f t="shared" si="7"/>
        <v>5.5555555555555552E-2</v>
      </c>
      <c r="O182" s="26">
        <f t="shared" si="8"/>
        <v>0.94444444444444442</v>
      </c>
    </row>
    <row r="183" spans="1:15" ht="21.75" hidden="1" customHeight="1">
      <c r="A183" s="17">
        <f>'GİRDİ RAPORU'!A559</f>
        <v>45838</v>
      </c>
      <c r="B183" s="18">
        <f>'GİRDİ RAPORU'!B559</f>
        <v>2</v>
      </c>
      <c r="C183" s="18">
        <f>'GİRDİ RAPORU'!C559</f>
        <v>0</v>
      </c>
      <c r="D183" s="18">
        <f>'GİRDİ RAPORU'!D559</f>
        <v>44</v>
      </c>
      <c r="E183" s="18" t="str">
        <f>'GİRDİ RAPORU'!E559</f>
        <v>Normal Mesai</v>
      </c>
      <c r="F183" s="18">
        <f>'GİRDİ RAPORU'!F559</f>
        <v>75</v>
      </c>
      <c r="G183" s="18" t="str">
        <f>'GİRDİ RAPORU'!G559</f>
        <v>Temizlik</v>
      </c>
      <c r="H183" s="18">
        <f>'GİRDİ RAPORU'!H559</f>
        <v>15</v>
      </c>
      <c r="I183" s="18" t="str">
        <f>'GİRDİ RAPORU'!I559</f>
        <v>Hazırlık/İlk Isınma</v>
      </c>
      <c r="J183" s="18">
        <f>'GİRDİ RAPORU'!J1495</f>
        <v>0</v>
      </c>
      <c r="K183" s="18">
        <f>'GİRDİ RAPORU'!K1495</f>
        <v>0</v>
      </c>
      <c r="L183" s="18">
        <f>'GİRDİ RAPORU'!L1495</f>
        <v>0</v>
      </c>
      <c r="M183" s="26">
        <f t="shared" si="6"/>
        <v>5.8666666666666666E-2</v>
      </c>
      <c r="N183" s="26">
        <f t="shared" si="7"/>
        <v>0.16666666666666666</v>
      </c>
      <c r="O183" s="26">
        <f t="shared" si="8"/>
        <v>0.83333333333333337</v>
      </c>
    </row>
    <row r="184" spans="1:15" ht="21.75" hidden="1" customHeight="1">
      <c r="A184" s="17">
        <f>'GİRDİ RAPORU'!A558</f>
        <v>45834</v>
      </c>
      <c r="B184" s="18">
        <f>'GİRDİ RAPORU'!B558</f>
        <v>2</v>
      </c>
      <c r="C184" s="18">
        <f>'GİRDİ RAPORU'!C558</f>
        <v>0</v>
      </c>
      <c r="D184" s="18">
        <f>'GİRDİ RAPORU'!D558</f>
        <v>277</v>
      </c>
      <c r="E184" s="18" t="str">
        <f>'GİRDİ RAPORU'!E558</f>
        <v>Normal Mesai</v>
      </c>
      <c r="F184" s="18">
        <f>'GİRDİ RAPORU'!F558</f>
        <v>15</v>
      </c>
      <c r="G184" s="18" t="str">
        <f>'GİRDİ RAPORU'!G558</f>
        <v>Temizlik</v>
      </c>
      <c r="H184" s="18">
        <f>'GİRDİ RAPORU'!H558</f>
        <v>15</v>
      </c>
      <c r="I184" s="18" t="str">
        <f>'GİRDİ RAPORU'!I558</f>
        <v>Hazırlık/İlk Isınma</v>
      </c>
      <c r="J184" s="18">
        <f>'GİRDİ RAPORU'!J1494</f>
        <v>0</v>
      </c>
      <c r="K184" s="18">
        <f>'GİRDİ RAPORU'!K1494</f>
        <v>0</v>
      </c>
      <c r="L184" s="18">
        <f>'GİRDİ RAPORU'!L1494</f>
        <v>0</v>
      </c>
      <c r="M184" s="26">
        <f t="shared" si="6"/>
        <v>0.36933333333333335</v>
      </c>
      <c r="N184" s="26">
        <f t="shared" si="7"/>
        <v>5.5555555555555552E-2</v>
      </c>
      <c r="O184" s="26">
        <f t="shared" si="8"/>
        <v>0.94444444444444442</v>
      </c>
    </row>
    <row r="185" spans="1:15" ht="21.75" hidden="1" customHeight="1">
      <c r="A185" s="17">
        <f>'GİRDİ RAPORU'!A557</f>
        <v>45833</v>
      </c>
      <c r="B185" s="18">
        <f>'GİRDİ RAPORU'!B557</f>
        <v>2</v>
      </c>
      <c r="C185" s="18">
        <f>'GİRDİ RAPORU'!C557</f>
        <v>0</v>
      </c>
      <c r="D185" s="18">
        <f>'GİRDİ RAPORU'!D557</f>
        <v>187</v>
      </c>
      <c r="E185" s="18" t="str">
        <f>'GİRDİ RAPORU'!E557</f>
        <v>Normal Mesai</v>
      </c>
      <c r="F185" s="18">
        <f>'GİRDİ RAPORU'!F557</f>
        <v>15</v>
      </c>
      <c r="G185" s="18" t="str">
        <f>'GİRDİ RAPORU'!G557</f>
        <v>Temizlik</v>
      </c>
      <c r="H185" s="18">
        <f>'GİRDİ RAPORU'!H557</f>
        <v>15</v>
      </c>
      <c r="I185" s="18" t="str">
        <f>'GİRDİ RAPORU'!I557</f>
        <v>Hazırlık/İlk Isınma</v>
      </c>
      <c r="J185" s="18">
        <f>'GİRDİ RAPORU'!J1493</f>
        <v>0</v>
      </c>
      <c r="K185" s="18">
        <f>'GİRDİ RAPORU'!K1493</f>
        <v>0</v>
      </c>
      <c r="L185" s="18">
        <f>'GİRDİ RAPORU'!L1493</f>
        <v>0</v>
      </c>
      <c r="M185" s="26">
        <f t="shared" si="6"/>
        <v>0.24933333333333332</v>
      </c>
      <c r="N185" s="26">
        <f t="shared" si="7"/>
        <v>5.5555555555555552E-2</v>
      </c>
      <c r="O185" s="26">
        <f t="shared" si="8"/>
        <v>0.94444444444444442</v>
      </c>
    </row>
    <row r="186" spans="1:15" ht="21.75" hidden="1" customHeight="1">
      <c r="A186" s="17">
        <f>'GİRDİ RAPORU'!A555</f>
        <v>45832</v>
      </c>
      <c r="B186" s="18">
        <f>'GİRDİ RAPORU'!B555</f>
        <v>2</v>
      </c>
      <c r="C186" s="18">
        <f>'GİRDİ RAPORU'!C555</f>
        <v>0</v>
      </c>
      <c r="D186" s="18">
        <f>'GİRDİ RAPORU'!D555</f>
        <v>162</v>
      </c>
      <c r="E186" s="18" t="str">
        <f>'GİRDİ RAPORU'!E555</f>
        <v>Normal Mesai</v>
      </c>
      <c r="F186" s="18">
        <f>'GİRDİ RAPORU'!F555</f>
        <v>15</v>
      </c>
      <c r="G186" s="18" t="str">
        <f>'GİRDİ RAPORU'!G555</f>
        <v>Temizlik</v>
      </c>
      <c r="H186" s="18">
        <f>'GİRDİ RAPORU'!H555</f>
        <v>15</v>
      </c>
      <c r="I186" s="18" t="str">
        <f>'GİRDİ RAPORU'!I555</f>
        <v>Hazırlık/İlk Isınma</v>
      </c>
      <c r="J186" s="18">
        <f>'GİRDİ RAPORU'!J1491</f>
        <v>0</v>
      </c>
      <c r="K186" s="18">
        <f>'GİRDİ RAPORU'!K1491</f>
        <v>0</v>
      </c>
      <c r="L186" s="18">
        <f>'GİRDİ RAPORU'!L1491</f>
        <v>0</v>
      </c>
      <c r="M186" s="26">
        <f t="shared" si="6"/>
        <v>0.216</v>
      </c>
      <c r="N186" s="26">
        <f t="shared" si="7"/>
        <v>5.5555555555555552E-2</v>
      </c>
      <c r="O186" s="26">
        <f t="shared" si="8"/>
        <v>0.94444444444444442</v>
      </c>
    </row>
    <row r="187" spans="1:15" ht="21.75" hidden="1" customHeight="1">
      <c r="A187" s="17">
        <f>'GİRDİ RAPORU'!A556</f>
        <v>45832</v>
      </c>
      <c r="B187" s="18">
        <f>'GİRDİ RAPORU'!B556</f>
        <v>2</v>
      </c>
      <c r="C187" s="18">
        <f>'GİRDİ RAPORU'!C556</f>
        <v>0</v>
      </c>
      <c r="D187" s="18">
        <f>'GİRDİ RAPORU'!D556</f>
        <v>162</v>
      </c>
      <c r="E187" s="18" t="str">
        <f>'GİRDİ RAPORU'!E556</f>
        <v>Normal Mesai</v>
      </c>
      <c r="F187" s="18">
        <f>'GİRDİ RAPORU'!F556</f>
        <v>15</v>
      </c>
      <c r="G187" s="18" t="str">
        <f>'GİRDİ RAPORU'!G556</f>
        <v>Temizlik</v>
      </c>
      <c r="H187" s="18">
        <f>'GİRDİ RAPORU'!H556</f>
        <v>15</v>
      </c>
      <c r="I187" s="18" t="str">
        <f>'GİRDİ RAPORU'!I556</f>
        <v>Hazırlık/İlk Isınma</v>
      </c>
      <c r="J187" s="18">
        <f>'GİRDİ RAPORU'!J1492</f>
        <v>0</v>
      </c>
      <c r="K187" s="18">
        <f>'GİRDİ RAPORU'!K1492</f>
        <v>0</v>
      </c>
      <c r="L187" s="18">
        <f>'GİRDİ RAPORU'!L1492</f>
        <v>0</v>
      </c>
      <c r="M187" s="26">
        <f t="shared" si="6"/>
        <v>0.216</v>
      </c>
      <c r="N187" s="26">
        <f t="shared" si="7"/>
        <v>5.5555555555555552E-2</v>
      </c>
      <c r="O187" s="26">
        <f t="shared" si="8"/>
        <v>0.94444444444444442</v>
      </c>
    </row>
    <row r="188" spans="1:15" ht="21.75" hidden="1" customHeight="1">
      <c r="A188" s="17">
        <f>'GİRDİ RAPORU'!A554</f>
        <v>45831</v>
      </c>
      <c r="B188" s="18">
        <f>'GİRDİ RAPORU'!B554</f>
        <v>2</v>
      </c>
      <c r="C188" s="18">
        <f>'GİRDİ RAPORU'!C554</f>
        <v>0</v>
      </c>
      <c r="D188" s="18">
        <f>'GİRDİ RAPORU'!D554</f>
        <v>211</v>
      </c>
      <c r="E188" s="18" t="str">
        <f>'GİRDİ RAPORU'!E554</f>
        <v>Normal Mesai</v>
      </c>
      <c r="F188" s="18">
        <f>'GİRDİ RAPORU'!F554</f>
        <v>15</v>
      </c>
      <c r="G188" s="18" t="str">
        <f>'GİRDİ RAPORU'!G554</f>
        <v>Temizlik</v>
      </c>
      <c r="H188" s="18">
        <f>'GİRDİ RAPORU'!H554</f>
        <v>15</v>
      </c>
      <c r="I188" s="18" t="str">
        <f>'GİRDİ RAPORU'!I554</f>
        <v>Hazırlık/İlk Isınma</v>
      </c>
      <c r="J188" s="18">
        <f>'GİRDİ RAPORU'!J1490</f>
        <v>0</v>
      </c>
      <c r="K188" s="18">
        <f>'GİRDİ RAPORU'!K1490</f>
        <v>0</v>
      </c>
      <c r="L188" s="18">
        <f>'GİRDİ RAPORU'!L1490</f>
        <v>0</v>
      </c>
      <c r="M188" s="26">
        <f t="shared" si="6"/>
        <v>0.28133333333333332</v>
      </c>
      <c r="N188" s="26">
        <f t="shared" si="7"/>
        <v>5.5555555555555552E-2</v>
      </c>
      <c r="O188" s="26">
        <f t="shared" si="8"/>
        <v>0.94444444444444442</v>
      </c>
    </row>
    <row r="189" spans="1:15" ht="21.75" hidden="1" customHeight="1">
      <c r="A189" s="17">
        <f>'GİRDİ RAPORU'!A553</f>
        <v>45828</v>
      </c>
      <c r="B189" s="18">
        <f>'GİRDİ RAPORU'!B553</f>
        <v>2</v>
      </c>
      <c r="C189" s="18">
        <f>'GİRDİ RAPORU'!C553</f>
        <v>0</v>
      </c>
      <c r="D189" s="18">
        <f>'GİRDİ RAPORU'!D553</f>
        <v>286</v>
      </c>
      <c r="E189" s="18" t="str">
        <f>'GİRDİ RAPORU'!E553</f>
        <v>Normal Mesai</v>
      </c>
      <c r="F189" s="18">
        <f>'GİRDİ RAPORU'!F553</f>
        <v>90</v>
      </c>
      <c r="G189" s="18" t="str">
        <f>'GİRDİ RAPORU'!G553</f>
        <v>Temizlik</v>
      </c>
      <c r="H189" s="18">
        <f>'GİRDİ RAPORU'!H553</f>
        <v>15</v>
      </c>
      <c r="I189" s="18" t="str">
        <f>'GİRDİ RAPORU'!I553</f>
        <v>Hazırlık/İlk Isınma</v>
      </c>
      <c r="J189" s="18">
        <f>'GİRDİ RAPORU'!J1489</f>
        <v>0</v>
      </c>
      <c r="K189" s="18">
        <f>'GİRDİ RAPORU'!K1489</f>
        <v>0</v>
      </c>
      <c r="L189" s="18">
        <f>'GİRDİ RAPORU'!L1489</f>
        <v>0</v>
      </c>
      <c r="M189" s="26">
        <f t="shared" si="6"/>
        <v>0.38133333333333336</v>
      </c>
      <c r="N189" s="26">
        <f t="shared" si="7"/>
        <v>0.19444444444444445</v>
      </c>
      <c r="O189" s="26">
        <f t="shared" si="8"/>
        <v>0.80555555555555558</v>
      </c>
    </row>
    <row r="190" spans="1:15" ht="21.75" hidden="1" customHeight="1">
      <c r="A190" s="17">
        <f>'GİRDİ RAPORU'!A552</f>
        <v>45827</v>
      </c>
      <c r="B190" s="18">
        <f>'GİRDİ RAPORU'!B552</f>
        <v>2</v>
      </c>
      <c r="C190" s="18">
        <f>'GİRDİ RAPORU'!C552</f>
        <v>0</v>
      </c>
      <c r="D190" s="18">
        <f>'GİRDİ RAPORU'!D552</f>
        <v>390</v>
      </c>
      <c r="E190" s="18" t="str">
        <f>'GİRDİ RAPORU'!E552</f>
        <v>Normal Mesai</v>
      </c>
      <c r="F190" s="18">
        <f>'GİRDİ RAPORU'!F552</f>
        <v>15</v>
      </c>
      <c r="G190" s="18" t="str">
        <f>'GİRDİ RAPORU'!G552</f>
        <v>Temizlik</v>
      </c>
      <c r="H190" s="18">
        <f>'GİRDİ RAPORU'!H552</f>
        <v>15</v>
      </c>
      <c r="I190" s="18" t="str">
        <f>'GİRDİ RAPORU'!I552</f>
        <v>Hazırlık/İlk Isınma</v>
      </c>
      <c r="J190" s="18">
        <f>'GİRDİ RAPORU'!J1488</f>
        <v>0</v>
      </c>
      <c r="K190" s="18">
        <f>'GİRDİ RAPORU'!K1488</f>
        <v>0</v>
      </c>
      <c r="L190" s="18">
        <f>'GİRDİ RAPORU'!L1488</f>
        <v>0</v>
      </c>
      <c r="M190" s="26">
        <f t="shared" si="6"/>
        <v>0.52</v>
      </c>
      <c r="N190" s="26">
        <f t="shared" si="7"/>
        <v>5.5555555555555552E-2</v>
      </c>
      <c r="O190" s="26">
        <f t="shared" si="8"/>
        <v>0.94444444444444442</v>
      </c>
    </row>
    <row r="191" spans="1:15" ht="21.75" hidden="1" customHeight="1">
      <c r="A191" s="17">
        <f>'GİRDİ RAPORU'!A551</f>
        <v>45826</v>
      </c>
      <c r="B191" s="18">
        <f>'GİRDİ RAPORU'!B551</f>
        <v>2</v>
      </c>
      <c r="C191" s="18">
        <f>'GİRDİ RAPORU'!C551</f>
        <v>0</v>
      </c>
      <c r="D191" s="18">
        <f>'GİRDİ RAPORU'!D551</f>
        <v>258</v>
      </c>
      <c r="E191" s="18" t="str">
        <f>'GİRDİ RAPORU'!E551</f>
        <v>Normal Mesai</v>
      </c>
      <c r="F191" s="18">
        <f>'GİRDİ RAPORU'!F551</f>
        <v>15</v>
      </c>
      <c r="G191" s="18" t="str">
        <f>'GİRDİ RAPORU'!G551</f>
        <v>Temizlik</v>
      </c>
      <c r="H191" s="18">
        <f>'GİRDİ RAPORU'!H551</f>
        <v>15</v>
      </c>
      <c r="I191" s="18" t="str">
        <f>'GİRDİ RAPORU'!I551</f>
        <v>Hazırlık/İlk Isınma</v>
      </c>
      <c r="J191" s="18">
        <f>'GİRDİ RAPORU'!J1487</f>
        <v>0</v>
      </c>
      <c r="K191" s="18">
        <f>'GİRDİ RAPORU'!K1487</f>
        <v>0</v>
      </c>
      <c r="L191" s="18">
        <f>'GİRDİ RAPORU'!L1487</f>
        <v>0</v>
      </c>
      <c r="M191" s="26">
        <f t="shared" si="6"/>
        <v>0.34399999999999997</v>
      </c>
      <c r="N191" s="26">
        <f t="shared" si="7"/>
        <v>5.5555555555555552E-2</v>
      </c>
      <c r="O191" s="26">
        <f t="shared" si="8"/>
        <v>0.94444444444444442</v>
      </c>
    </row>
    <row r="192" spans="1:15" ht="21.75" hidden="1" customHeight="1">
      <c r="A192" s="17">
        <f>'GİRDİ RAPORU'!A550</f>
        <v>45825</v>
      </c>
      <c r="B192" s="18">
        <f>'GİRDİ RAPORU'!B550</f>
        <v>2</v>
      </c>
      <c r="C192" s="18">
        <f>'GİRDİ RAPORU'!C550</f>
        <v>0</v>
      </c>
      <c r="D192" s="18">
        <f>'GİRDİ RAPORU'!D550</f>
        <v>208</v>
      </c>
      <c r="E192" s="18" t="str">
        <f>'GİRDİ RAPORU'!E550</f>
        <v>Normal Mesai</v>
      </c>
      <c r="F192" s="18">
        <f>'GİRDİ RAPORU'!F550</f>
        <v>15</v>
      </c>
      <c r="G192" s="18" t="str">
        <f>'GİRDİ RAPORU'!G550</f>
        <v>Temizlik</v>
      </c>
      <c r="H192" s="18">
        <f>'GİRDİ RAPORU'!H550</f>
        <v>15</v>
      </c>
      <c r="I192" s="18" t="str">
        <f>'GİRDİ RAPORU'!I550</f>
        <v>Hazırlık/İlk Isınma</v>
      </c>
      <c r="J192" s="18">
        <f>'GİRDİ RAPORU'!J1486</f>
        <v>0</v>
      </c>
      <c r="K192" s="18">
        <f>'GİRDİ RAPORU'!K1486</f>
        <v>0</v>
      </c>
      <c r="L192" s="18">
        <f>'GİRDİ RAPORU'!L1486</f>
        <v>0</v>
      </c>
      <c r="M192" s="26">
        <f t="shared" si="6"/>
        <v>0.27733333333333332</v>
      </c>
      <c r="N192" s="26">
        <f t="shared" si="7"/>
        <v>5.5555555555555552E-2</v>
      </c>
      <c r="O192" s="26">
        <f t="shared" si="8"/>
        <v>0.94444444444444442</v>
      </c>
    </row>
    <row r="193" spans="1:15" ht="21.75" hidden="1" customHeight="1">
      <c r="A193" s="17">
        <f>'GİRDİ RAPORU'!A549</f>
        <v>45824</v>
      </c>
      <c r="B193" s="18">
        <f>'GİRDİ RAPORU'!B549</f>
        <v>2</v>
      </c>
      <c r="C193" s="18">
        <f>'GİRDİ RAPORU'!C549</f>
        <v>0</v>
      </c>
      <c r="D193" s="18">
        <f>'GİRDİ RAPORU'!D549</f>
        <v>348</v>
      </c>
      <c r="E193" s="18" t="str">
        <f>'GİRDİ RAPORU'!E549</f>
        <v>Normal Mesai</v>
      </c>
      <c r="F193" s="18">
        <f>'GİRDİ RAPORU'!F549</f>
        <v>15</v>
      </c>
      <c r="G193" s="18" t="str">
        <f>'GİRDİ RAPORU'!G549</f>
        <v>Temizlik</v>
      </c>
      <c r="H193" s="18">
        <f>'GİRDİ RAPORU'!H549</f>
        <v>15</v>
      </c>
      <c r="I193" s="18" t="str">
        <f>'GİRDİ RAPORU'!I549</f>
        <v>Hazırlık/İlk Isınma</v>
      </c>
      <c r="J193" s="18">
        <f>'GİRDİ RAPORU'!J1485</f>
        <v>0</v>
      </c>
      <c r="K193" s="18">
        <f>'GİRDİ RAPORU'!K1485</f>
        <v>0</v>
      </c>
      <c r="L193" s="18">
        <f>'GİRDİ RAPORU'!L1485</f>
        <v>0</v>
      </c>
      <c r="M193" s="26">
        <f t="shared" si="6"/>
        <v>0.46400000000000002</v>
      </c>
      <c r="N193" s="26">
        <f t="shared" si="7"/>
        <v>5.5555555555555552E-2</v>
      </c>
      <c r="O193" s="26">
        <f t="shared" si="8"/>
        <v>0.94444444444444442</v>
      </c>
    </row>
    <row r="194" spans="1:15" ht="21.75" hidden="1" customHeight="1">
      <c r="A194" s="17">
        <f>'GİRDİ RAPORU'!A548</f>
        <v>45820</v>
      </c>
      <c r="B194" s="18">
        <f>'GİRDİ RAPORU'!B548</f>
        <v>2</v>
      </c>
      <c r="C194" s="18">
        <f>'GİRDİ RAPORU'!C548</f>
        <v>0</v>
      </c>
      <c r="D194" s="18">
        <f>'GİRDİ RAPORU'!D548</f>
        <v>380</v>
      </c>
      <c r="E194" s="18" t="str">
        <f>'GİRDİ RAPORU'!E548</f>
        <v>Normal Mesai</v>
      </c>
      <c r="F194" s="18">
        <f>'GİRDİ RAPORU'!F548</f>
        <v>15</v>
      </c>
      <c r="G194" s="18" t="str">
        <f>'GİRDİ RAPORU'!G548</f>
        <v>Temizlik</v>
      </c>
      <c r="H194" s="18">
        <f>'GİRDİ RAPORU'!H548</f>
        <v>15</v>
      </c>
      <c r="I194" s="18" t="str">
        <f>'GİRDİ RAPORU'!I548</f>
        <v>Hazırlık/İlk Isınma</v>
      </c>
      <c r="J194" s="18">
        <f>'GİRDİ RAPORU'!J1484</f>
        <v>0</v>
      </c>
      <c r="K194" s="18">
        <f>'GİRDİ RAPORU'!K1484</f>
        <v>0</v>
      </c>
      <c r="L194" s="18">
        <f>'GİRDİ RAPORU'!L1484</f>
        <v>0</v>
      </c>
      <c r="M194" s="26">
        <f t="shared" ref="M194:M257" si="9">(C194+D194)/750</f>
        <v>0.50666666666666671</v>
      </c>
      <c r="N194" s="26">
        <f t="shared" ref="N194:N257" si="10">(F194+H194+J194)/540</f>
        <v>5.5555555555555552E-2</v>
      </c>
      <c r="O194" s="26">
        <f t="shared" ref="O194:O257" si="11">(540-F194-H194-J194)/540</f>
        <v>0.94444444444444442</v>
      </c>
    </row>
    <row r="195" spans="1:15" ht="21.75" hidden="1" customHeight="1">
      <c r="A195" s="17">
        <f>'GİRDİ RAPORU'!A547</f>
        <v>45819</v>
      </c>
      <c r="B195" s="18">
        <f>'GİRDİ RAPORU'!B547</f>
        <v>2</v>
      </c>
      <c r="C195" s="18">
        <f>'GİRDİ RAPORU'!C547</f>
        <v>0</v>
      </c>
      <c r="D195" s="18">
        <f>'GİRDİ RAPORU'!D547</f>
        <v>118</v>
      </c>
      <c r="E195" s="18" t="str">
        <f>'GİRDİ RAPORU'!E547</f>
        <v>Normal Mesai</v>
      </c>
      <c r="F195" s="18">
        <f>'GİRDİ RAPORU'!F547</f>
        <v>295</v>
      </c>
      <c r="G195" s="18" t="str">
        <f>'GİRDİ RAPORU'!G547</f>
        <v>Temizlik</v>
      </c>
      <c r="H195" s="18">
        <f>'GİRDİ RAPORU'!H547</f>
        <v>15</v>
      </c>
      <c r="I195" s="18" t="str">
        <f>'GİRDİ RAPORU'!I547</f>
        <v>Hazırlık/İlk Isınma</v>
      </c>
      <c r="J195" s="18">
        <f>'GİRDİ RAPORU'!J1483</f>
        <v>0</v>
      </c>
      <c r="K195" s="18">
        <f>'GİRDİ RAPORU'!K1483</f>
        <v>0</v>
      </c>
      <c r="L195" s="18">
        <f>'GİRDİ RAPORU'!L1483</f>
        <v>0</v>
      </c>
      <c r="M195" s="26">
        <f t="shared" si="9"/>
        <v>0.15733333333333333</v>
      </c>
      <c r="N195" s="26">
        <f t="shared" si="10"/>
        <v>0.57407407407407407</v>
      </c>
      <c r="O195" s="26">
        <f t="shared" si="11"/>
        <v>0.42592592592592593</v>
      </c>
    </row>
    <row r="196" spans="1:15" ht="21.75" hidden="1" customHeight="1">
      <c r="A196" s="17">
        <f>'GİRDİ RAPORU'!A546</f>
        <v>45818</v>
      </c>
      <c r="B196" s="18">
        <f>'GİRDİ RAPORU'!B546</f>
        <v>2</v>
      </c>
      <c r="C196" s="18">
        <f>'GİRDİ RAPORU'!C546</f>
        <v>0</v>
      </c>
      <c r="D196" s="18">
        <f>'GİRDİ RAPORU'!D546</f>
        <v>205</v>
      </c>
      <c r="E196" s="18" t="str">
        <f>'GİRDİ RAPORU'!E546</f>
        <v>Normal Mesai</v>
      </c>
      <c r="F196" s="18">
        <f>'GİRDİ RAPORU'!F546</f>
        <v>15</v>
      </c>
      <c r="G196" s="18" t="str">
        <f>'GİRDİ RAPORU'!G546</f>
        <v>Temizlik</v>
      </c>
      <c r="H196" s="18">
        <f>'GİRDİ RAPORU'!H546</f>
        <v>15</v>
      </c>
      <c r="I196" s="18" t="str">
        <f>'GİRDİ RAPORU'!I546</f>
        <v>Hazırlık/İlk Isınma</v>
      </c>
      <c r="J196" s="18">
        <f>'GİRDİ RAPORU'!J1482</f>
        <v>0</v>
      </c>
      <c r="K196" s="18">
        <f>'GİRDİ RAPORU'!K1482</f>
        <v>0</v>
      </c>
      <c r="L196" s="18">
        <f>'GİRDİ RAPORU'!L1482</f>
        <v>0</v>
      </c>
      <c r="M196" s="26">
        <f t="shared" si="9"/>
        <v>0.27333333333333332</v>
      </c>
      <c r="N196" s="26">
        <f t="shared" si="10"/>
        <v>5.5555555555555552E-2</v>
      </c>
      <c r="O196" s="26">
        <f t="shared" si="11"/>
        <v>0.94444444444444442</v>
      </c>
    </row>
    <row r="197" spans="1:15" ht="21.75" hidden="1" customHeight="1">
      <c r="A197" s="17">
        <f>'GİRDİ RAPORU'!A545</f>
        <v>45807</v>
      </c>
      <c r="B197" s="18">
        <f>'GİRDİ RAPORU'!B545</f>
        <v>2</v>
      </c>
      <c r="C197" s="18">
        <f>'GİRDİ RAPORU'!C545</f>
        <v>0</v>
      </c>
      <c r="D197" s="18">
        <f>'GİRDİ RAPORU'!D545</f>
        <v>218</v>
      </c>
      <c r="E197" s="18" t="str">
        <f>'GİRDİ RAPORU'!E545</f>
        <v>Normal Mesai</v>
      </c>
      <c r="F197" s="18">
        <f>'GİRDİ RAPORU'!F545</f>
        <v>120</v>
      </c>
      <c r="G197" s="18" t="str">
        <f>'GİRDİ RAPORU'!G545</f>
        <v>Temizlik</v>
      </c>
      <c r="H197" s="18">
        <f>'GİRDİ RAPORU'!H545</f>
        <v>15</v>
      </c>
      <c r="I197" s="18" t="str">
        <f>'GİRDİ RAPORU'!I545</f>
        <v>Hazırlık/İlk Isınma</v>
      </c>
      <c r="J197" s="18">
        <f>'GİRDİ RAPORU'!J1481</f>
        <v>0</v>
      </c>
      <c r="K197" s="18">
        <f>'GİRDİ RAPORU'!K1481</f>
        <v>0</v>
      </c>
      <c r="L197" s="18">
        <f>'GİRDİ RAPORU'!L1481</f>
        <v>0</v>
      </c>
      <c r="M197" s="26">
        <f t="shared" si="9"/>
        <v>0.29066666666666668</v>
      </c>
      <c r="N197" s="26">
        <f t="shared" si="10"/>
        <v>0.25</v>
      </c>
      <c r="O197" s="26">
        <f t="shared" si="11"/>
        <v>0.75</v>
      </c>
    </row>
    <row r="198" spans="1:15" ht="21.75" hidden="1" customHeight="1">
      <c r="A198" s="17">
        <f>'GİRDİ RAPORU'!A544</f>
        <v>45806</v>
      </c>
      <c r="B198" s="18">
        <f>'GİRDİ RAPORU'!B544</f>
        <v>2</v>
      </c>
      <c r="C198" s="18">
        <f>'GİRDİ RAPORU'!C544</f>
        <v>0</v>
      </c>
      <c r="D198" s="18">
        <f>'GİRDİ RAPORU'!D544</f>
        <v>92</v>
      </c>
      <c r="E198" s="18" t="str">
        <f>'GİRDİ RAPORU'!E544</f>
        <v>Normal Mesai</v>
      </c>
      <c r="F198" s="18">
        <f>'GİRDİ RAPORU'!F544</f>
        <v>413</v>
      </c>
      <c r="G198" s="18" t="str">
        <f>'GİRDİ RAPORU'!G544</f>
        <v>Temizlik</v>
      </c>
      <c r="H198" s="18">
        <f>'GİRDİ RAPORU'!H544</f>
        <v>15</v>
      </c>
      <c r="I198" s="18" t="str">
        <f>'GİRDİ RAPORU'!I544</f>
        <v>Hazırlık/İlk Isınma</v>
      </c>
      <c r="J198" s="18">
        <f>'GİRDİ RAPORU'!J1480</f>
        <v>0</v>
      </c>
      <c r="K198" s="18">
        <f>'GİRDİ RAPORU'!K1480</f>
        <v>0</v>
      </c>
      <c r="L198" s="18">
        <f>'GİRDİ RAPORU'!L1480</f>
        <v>0</v>
      </c>
      <c r="M198" s="26">
        <f t="shared" si="9"/>
        <v>0.12266666666666666</v>
      </c>
      <c r="N198" s="26">
        <f t="shared" si="10"/>
        <v>0.79259259259259263</v>
      </c>
      <c r="O198" s="26">
        <f t="shared" si="11"/>
        <v>0.2074074074074074</v>
      </c>
    </row>
    <row r="199" spans="1:15" ht="21.75" hidden="1" customHeight="1">
      <c r="A199" s="17">
        <f>'GİRDİ RAPORU'!A543</f>
        <v>45805</v>
      </c>
      <c r="B199" s="18">
        <f>'GİRDİ RAPORU'!B543</f>
        <v>2</v>
      </c>
      <c r="C199" s="18">
        <f>'GİRDİ RAPORU'!C543</f>
        <v>0</v>
      </c>
      <c r="D199" s="18">
        <f>'GİRDİ RAPORU'!D543</f>
        <v>70</v>
      </c>
      <c r="E199" s="18" t="str">
        <f>'GİRDİ RAPORU'!E543</f>
        <v>Normal Mesai</v>
      </c>
      <c r="F199" s="18">
        <f>'GİRDİ RAPORU'!F543</f>
        <v>200</v>
      </c>
      <c r="G199" s="18" t="str">
        <f>'GİRDİ RAPORU'!G543</f>
        <v>Temizlik</v>
      </c>
      <c r="H199" s="18">
        <f>'GİRDİ RAPORU'!H543</f>
        <v>15</v>
      </c>
      <c r="I199" s="18" t="str">
        <f>'GİRDİ RAPORU'!I543</f>
        <v>Hazırlık/İlk Isınma</v>
      </c>
      <c r="J199" s="18">
        <f>'GİRDİ RAPORU'!J1479</f>
        <v>0</v>
      </c>
      <c r="K199" s="18">
        <f>'GİRDİ RAPORU'!K1479</f>
        <v>0</v>
      </c>
      <c r="L199" s="18">
        <f>'GİRDİ RAPORU'!L1479</f>
        <v>0</v>
      </c>
      <c r="M199" s="26">
        <f t="shared" si="9"/>
        <v>9.3333333333333338E-2</v>
      </c>
      <c r="N199" s="26">
        <f t="shared" si="10"/>
        <v>0.39814814814814814</v>
      </c>
      <c r="O199" s="26">
        <f t="shared" si="11"/>
        <v>0.60185185185185186</v>
      </c>
    </row>
    <row r="200" spans="1:15" ht="21.75" hidden="1" customHeight="1">
      <c r="A200" s="17">
        <f>'GİRDİ RAPORU'!A542</f>
        <v>45804</v>
      </c>
      <c r="B200" s="18">
        <f>'GİRDİ RAPORU'!B542</f>
        <v>2</v>
      </c>
      <c r="C200" s="18">
        <f>'GİRDİ RAPORU'!C542</f>
        <v>0</v>
      </c>
      <c r="D200" s="18">
        <f>'GİRDİ RAPORU'!D542</f>
        <v>115</v>
      </c>
      <c r="E200" s="18" t="str">
        <f>'GİRDİ RAPORU'!E542</f>
        <v>Normal Mesai</v>
      </c>
      <c r="F200" s="18">
        <f>'GİRDİ RAPORU'!F542</f>
        <v>200</v>
      </c>
      <c r="G200" s="18" t="str">
        <f>'GİRDİ RAPORU'!G542</f>
        <v>Temizlik</v>
      </c>
      <c r="H200" s="18">
        <f>'GİRDİ RAPORU'!H542</f>
        <v>15</v>
      </c>
      <c r="I200" s="18" t="str">
        <f>'GİRDİ RAPORU'!I542</f>
        <v>Hazırlık/İlk Isınma</v>
      </c>
      <c r="J200" s="18">
        <f>'GİRDİ RAPORU'!J1478</f>
        <v>0</v>
      </c>
      <c r="K200" s="18">
        <f>'GİRDİ RAPORU'!K1478</f>
        <v>0</v>
      </c>
      <c r="L200" s="18">
        <f>'GİRDİ RAPORU'!L1478</f>
        <v>0</v>
      </c>
      <c r="M200" s="26">
        <f t="shared" si="9"/>
        <v>0.15333333333333332</v>
      </c>
      <c r="N200" s="26">
        <f t="shared" si="10"/>
        <v>0.39814814814814814</v>
      </c>
      <c r="O200" s="26">
        <f t="shared" si="11"/>
        <v>0.60185185185185186</v>
      </c>
    </row>
    <row r="201" spans="1:15" ht="21.75" hidden="1" customHeight="1">
      <c r="A201" s="17">
        <f>'GİRDİ RAPORU'!A541</f>
        <v>45803</v>
      </c>
      <c r="B201" s="18">
        <f>'GİRDİ RAPORU'!B541</f>
        <v>2</v>
      </c>
      <c r="C201" s="18">
        <f>'GİRDİ RAPORU'!C541</f>
        <v>0</v>
      </c>
      <c r="D201" s="18">
        <f>'GİRDİ RAPORU'!D541</f>
        <v>178</v>
      </c>
      <c r="E201" s="18" t="str">
        <f>'GİRDİ RAPORU'!E541</f>
        <v>Normal Mesai</v>
      </c>
      <c r="F201" s="18">
        <f>'GİRDİ RAPORU'!F541</f>
        <v>15</v>
      </c>
      <c r="G201" s="18" t="str">
        <f>'GİRDİ RAPORU'!G541</f>
        <v>Temizlik</v>
      </c>
      <c r="H201" s="18">
        <f>'GİRDİ RAPORU'!H541</f>
        <v>15</v>
      </c>
      <c r="I201" s="18" t="str">
        <f>'GİRDİ RAPORU'!I541</f>
        <v>Hazırlık/İlk Isınma</v>
      </c>
      <c r="J201" s="18">
        <f>'GİRDİ RAPORU'!J1477</f>
        <v>0</v>
      </c>
      <c r="K201" s="18">
        <f>'GİRDİ RAPORU'!K1477</f>
        <v>0</v>
      </c>
      <c r="L201" s="18">
        <f>'GİRDİ RAPORU'!L1477</f>
        <v>0</v>
      </c>
      <c r="M201" s="26">
        <f t="shared" si="9"/>
        <v>0.23733333333333334</v>
      </c>
      <c r="N201" s="26">
        <f t="shared" si="10"/>
        <v>5.5555555555555552E-2</v>
      </c>
      <c r="O201" s="26">
        <f t="shared" si="11"/>
        <v>0.94444444444444442</v>
      </c>
    </row>
    <row r="202" spans="1:15" ht="21.75" hidden="1" customHeight="1">
      <c r="A202" s="17">
        <f>'GİRDİ RAPORU'!A540</f>
        <v>45800</v>
      </c>
      <c r="B202" s="18">
        <f>'GİRDİ RAPORU'!B540</f>
        <v>2</v>
      </c>
      <c r="C202" s="18">
        <f>'GİRDİ RAPORU'!C540</f>
        <v>0</v>
      </c>
      <c r="D202" s="18">
        <f>'GİRDİ RAPORU'!D540</f>
        <v>145</v>
      </c>
      <c r="E202" s="18" t="str">
        <f>'GİRDİ RAPORU'!E540</f>
        <v>Normal Mesai</v>
      </c>
      <c r="F202" s="18">
        <f>'GİRDİ RAPORU'!F540</f>
        <v>120</v>
      </c>
      <c r="G202" s="18" t="str">
        <f>'GİRDİ RAPORU'!G540</f>
        <v>Temizlik</v>
      </c>
      <c r="H202" s="18">
        <f>'GİRDİ RAPORU'!H540</f>
        <v>15</v>
      </c>
      <c r="I202" s="18" t="str">
        <f>'GİRDİ RAPORU'!I540</f>
        <v>Hazırlık/İlk Isınma</v>
      </c>
      <c r="J202" s="18">
        <f>'GİRDİ RAPORU'!J1476</f>
        <v>0</v>
      </c>
      <c r="K202" s="18">
        <f>'GİRDİ RAPORU'!K1476</f>
        <v>0</v>
      </c>
      <c r="L202" s="18">
        <f>'GİRDİ RAPORU'!L1476</f>
        <v>0</v>
      </c>
      <c r="M202" s="26">
        <f t="shared" si="9"/>
        <v>0.19333333333333333</v>
      </c>
      <c r="N202" s="26">
        <f t="shared" si="10"/>
        <v>0.25</v>
      </c>
      <c r="O202" s="26">
        <f t="shared" si="11"/>
        <v>0.75</v>
      </c>
    </row>
    <row r="203" spans="1:15" ht="21.75" hidden="1" customHeight="1">
      <c r="A203" s="17">
        <f>'GİRDİ RAPORU'!A539</f>
        <v>45798</v>
      </c>
      <c r="B203" s="18">
        <f>'GİRDİ RAPORU'!B539</f>
        <v>2</v>
      </c>
      <c r="C203" s="18">
        <f>'GİRDİ RAPORU'!C539</f>
        <v>0</v>
      </c>
      <c r="D203" s="18">
        <f>'GİRDİ RAPORU'!D539</f>
        <v>246</v>
      </c>
      <c r="E203" s="18" t="str">
        <f>'GİRDİ RAPORU'!E539</f>
        <v>Normal Mesai</v>
      </c>
      <c r="F203" s="18">
        <f>'GİRDİ RAPORU'!F539</f>
        <v>0</v>
      </c>
      <c r="G203" s="18" t="str">
        <f>'GİRDİ RAPORU'!G539</f>
        <v>Temizlik</v>
      </c>
      <c r="H203" s="18">
        <f>'GİRDİ RAPORU'!H539</f>
        <v>15</v>
      </c>
      <c r="I203" s="18" t="str">
        <f>'GİRDİ RAPORU'!I539</f>
        <v>Hazırlık/İlk Isınma</v>
      </c>
      <c r="J203" s="18">
        <f>'GİRDİ RAPORU'!J1475</f>
        <v>0</v>
      </c>
      <c r="K203" s="18">
        <f>'GİRDİ RAPORU'!K1475</f>
        <v>0</v>
      </c>
      <c r="L203" s="18">
        <f>'GİRDİ RAPORU'!L1475</f>
        <v>0</v>
      </c>
      <c r="M203" s="26">
        <f t="shared" si="9"/>
        <v>0.32800000000000001</v>
      </c>
      <c r="N203" s="26">
        <f t="shared" si="10"/>
        <v>2.7777777777777776E-2</v>
      </c>
      <c r="O203" s="26">
        <f t="shared" si="11"/>
        <v>0.97222222222222221</v>
      </c>
    </row>
    <row r="204" spans="1:15" ht="21.75" hidden="1" customHeight="1">
      <c r="A204" s="17">
        <f>'GİRDİ RAPORU'!A536</f>
        <v>45797</v>
      </c>
      <c r="B204" s="18">
        <f>'GİRDİ RAPORU'!B536</f>
        <v>2</v>
      </c>
      <c r="C204" s="18">
        <f>'GİRDİ RAPORU'!C536</f>
        <v>0</v>
      </c>
      <c r="D204" s="18">
        <f>'GİRDİ RAPORU'!D536</f>
        <v>160</v>
      </c>
      <c r="E204" s="18" t="str">
        <f>'GİRDİ RAPORU'!E536</f>
        <v>Normal Mesai</v>
      </c>
      <c r="F204" s="18">
        <f>'GİRDİ RAPORU'!F536</f>
        <v>0</v>
      </c>
      <c r="G204" s="18" t="str">
        <f>'GİRDİ RAPORU'!G536</f>
        <v>Temizlik</v>
      </c>
      <c r="H204" s="18">
        <f>'GİRDİ RAPORU'!H536</f>
        <v>15</v>
      </c>
      <c r="I204" s="18" t="str">
        <f>'GİRDİ RAPORU'!I536</f>
        <v>Hazırlık/İlk Isınma</v>
      </c>
      <c r="J204" s="18">
        <f>'GİRDİ RAPORU'!J1474</f>
        <v>0</v>
      </c>
      <c r="K204" s="18">
        <f>'GİRDİ RAPORU'!K1474</f>
        <v>0</v>
      </c>
      <c r="L204" s="18">
        <f>'GİRDİ RAPORU'!L1474</f>
        <v>0</v>
      </c>
      <c r="M204" s="26">
        <f t="shared" si="9"/>
        <v>0.21333333333333335</v>
      </c>
      <c r="N204" s="26">
        <f t="shared" si="10"/>
        <v>2.7777777777777776E-2</v>
      </c>
      <c r="O204" s="26">
        <f t="shared" si="11"/>
        <v>0.97222222222222221</v>
      </c>
    </row>
    <row r="205" spans="1:15" ht="21.75" hidden="1" customHeight="1">
      <c r="A205" s="17">
        <f>'GİRDİ RAPORU'!A535</f>
        <v>45793</v>
      </c>
      <c r="B205" s="18">
        <f>'GİRDİ RAPORU'!B535</f>
        <v>2</v>
      </c>
      <c r="C205" s="18">
        <f>'GİRDİ RAPORU'!C535</f>
        <v>0</v>
      </c>
      <c r="D205" s="18">
        <f>'GİRDİ RAPORU'!D535</f>
        <v>144</v>
      </c>
      <c r="E205" s="18" t="str">
        <f>'GİRDİ RAPORU'!E535</f>
        <v>Normal Mesai</v>
      </c>
      <c r="F205" s="18">
        <f>'GİRDİ RAPORU'!F535</f>
        <v>150</v>
      </c>
      <c r="G205" s="18" t="str">
        <f>'GİRDİ RAPORU'!G535</f>
        <v>Temizlik</v>
      </c>
      <c r="H205" s="18">
        <f>'GİRDİ RAPORU'!H535</f>
        <v>15</v>
      </c>
      <c r="I205" s="18" t="str">
        <f>'GİRDİ RAPORU'!I535</f>
        <v>Hazırlık/İlk Isınma</v>
      </c>
      <c r="J205" s="18">
        <f>'GİRDİ RAPORU'!J1473</f>
        <v>0</v>
      </c>
      <c r="K205" s="18">
        <f>'GİRDİ RAPORU'!K1473</f>
        <v>0</v>
      </c>
      <c r="L205" s="18">
        <f>'GİRDİ RAPORU'!L1473</f>
        <v>0</v>
      </c>
      <c r="M205" s="26">
        <f t="shared" si="9"/>
        <v>0.192</v>
      </c>
      <c r="N205" s="26">
        <f t="shared" si="10"/>
        <v>0.30555555555555558</v>
      </c>
      <c r="O205" s="26">
        <f t="shared" si="11"/>
        <v>0.69444444444444442</v>
      </c>
    </row>
    <row r="206" spans="1:15" ht="21.75" hidden="1" customHeight="1">
      <c r="A206" s="17">
        <f>'GİRDİ RAPORU'!A534</f>
        <v>45792</v>
      </c>
      <c r="B206" s="18">
        <f>'GİRDİ RAPORU'!B534</f>
        <v>2</v>
      </c>
      <c r="C206" s="18">
        <f>'GİRDİ RAPORU'!C534</f>
        <v>0</v>
      </c>
      <c r="D206" s="18">
        <f>'GİRDİ RAPORU'!D534</f>
        <v>266</v>
      </c>
      <c r="E206" s="18" t="str">
        <f>'GİRDİ RAPORU'!E534</f>
        <v>Normal Mesai</v>
      </c>
      <c r="F206" s="18">
        <f>'GİRDİ RAPORU'!F534</f>
        <v>15</v>
      </c>
      <c r="G206" s="18" t="str">
        <f>'GİRDİ RAPORU'!G534</f>
        <v>Temizlik</v>
      </c>
      <c r="H206" s="18">
        <f>'GİRDİ RAPORU'!H534</f>
        <v>15</v>
      </c>
      <c r="I206" s="18" t="str">
        <f>'GİRDİ RAPORU'!I534</f>
        <v>Hazırlık/İlk Isınma</v>
      </c>
      <c r="J206" s="18">
        <f>'GİRDİ RAPORU'!J1472</f>
        <v>0</v>
      </c>
      <c r="K206" s="18">
        <f>'GİRDİ RAPORU'!K1472</f>
        <v>0</v>
      </c>
      <c r="L206" s="18">
        <f>'GİRDİ RAPORU'!L1472</f>
        <v>0</v>
      </c>
      <c r="M206" s="26">
        <f t="shared" si="9"/>
        <v>0.35466666666666669</v>
      </c>
      <c r="N206" s="26">
        <f t="shared" si="10"/>
        <v>5.5555555555555552E-2</v>
      </c>
      <c r="O206" s="26">
        <f t="shared" si="11"/>
        <v>0.94444444444444442</v>
      </c>
    </row>
    <row r="207" spans="1:15" ht="21.75" hidden="1" customHeight="1">
      <c r="A207" s="17">
        <f>'GİRDİ RAPORU'!A532</f>
        <v>45791</v>
      </c>
      <c r="B207" s="18">
        <f>'GİRDİ RAPORU'!B532</f>
        <v>2</v>
      </c>
      <c r="C207" s="18">
        <f>'GİRDİ RAPORU'!C532</f>
        <v>0</v>
      </c>
      <c r="D207" s="18">
        <f>'GİRDİ RAPORU'!D532</f>
        <v>173</v>
      </c>
      <c r="E207" s="18" t="str">
        <f>'GİRDİ RAPORU'!E532</f>
        <v>Normal Mesai</v>
      </c>
      <c r="F207" s="18">
        <f>'GİRDİ RAPORU'!F532</f>
        <v>15</v>
      </c>
      <c r="G207" s="18" t="str">
        <f>'GİRDİ RAPORU'!G532</f>
        <v>Temizlik</v>
      </c>
      <c r="H207" s="18">
        <f>'GİRDİ RAPORU'!H532</f>
        <v>15</v>
      </c>
      <c r="I207" s="18" t="str">
        <f>'GİRDİ RAPORU'!I532</f>
        <v>Hazırlık/İlk Isınma</v>
      </c>
      <c r="J207" s="18">
        <f>'GİRDİ RAPORU'!J1471</f>
        <v>0</v>
      </c>
      <c r="K207" s="18">
        <f>'GİRDİ RAPORU'!K1471</f>
        <v>0</v>
      </c>
      <c r="L207" s="18">
        <f>'GİRDİ RAPORU'!L1471</f>
        <v>0</v>
      </c>
      <c r="M207" s="26">
        <f t="shared" si="9"/>
        <v>0.23066666666666666</v>
      </c>
      <c r="N207" s="26">
        <f t="shared" si="10"/>
        <v>5.5555555555555552E-2</v>
      </c>
      <c r="O207" s="26">
        <f t="shared" si="11"/>
        <v>0.94444444444444442</v>
      </c>
    </row>
    <row r="208" spans="1:15" ht="21.75" hidden="1" customHeight="1">
      <c r="A208" s="17">
        <f>'GİRDİ RAPORU'!A531</f>
        <v>45790</v>
      </c>
      <c r="B208" s="18">
        <f>'GİRDİ RAPORU'!B531</f>
        <v>2</v>
      </c>
      <c r="C208" s="18">
        <f>'GİRDİ RAPORU'!C531</f>
        <v>0</v>
      </c>
      <c r="D208" s="18">
        <f>'GİRDİ RAPORU'!D531</f>
        <v>283</v>
      </c>
      <c r="E208" s="18" t="str">
        <f>'GİRDİ RAPORU'!E531</f>
        <v>Normal Mesai</v>
      </c>
      <c r="F208" s="18">
        <f>'GİRDİ RAPORU'!F531</f>
        <v>15</v>
      </c>
      <c r="G208" s="18" t="str">
        <f>'GİRDİ RAPORU'!G531</f>
        <v>Temizlik</v>
      </c>
      <c r="H208" s="18">
        <f>'GİRDİ RAPORU'!H531</f>
        <v>15</v>
      </c>
      <c r="I208" s="18" t="str">
        <f>'GİRDİ RAPORU'!I531</f>
        <v>Hazırlık/İlk Isınma</v>
      </c>
      <c r="J208" s="18">
        <f>'GİRDİ RAPORU'!J1470</f>
        <v>0</v>
      </c>
      <c r="K208" s="18">
        <f>'GİRDİ RAPORU'!K1470</f>
        <v>0</v>
      </c>
      <c r="L208" s="18">
        <f>'GİRDİ RAPORU'!L1470</f>
        <v>0</v>
      </c>
      <c r="M208" s="26">
        <f t="shared" si="9"/>
        <v>0.37733333333333335</v>
      </c>
      <c r="N208" s="26">
        <f t="shared" si="10"/>
        <v>5.5555555555555552E-2</v>
      </c>
      <c r="O208" s="26">
        <f t="shared" si="11"/>
        <v>0.94444444444444442</v>
      </c>
    </row>
    <row r="209" spans="1:15" ht="21.75" hidden="1" customHeight="1">
      <c r="A209" s="17">
        <f>'GİRDİ RAPORU'!A530</f>
        <v>45789</v>
      </c>
      <c r="B209" s="18">
        <f>'GİRDİ RAPORU'!B530</f>
        <v>2</v>
      </c>
      <c r="C209" s="18">
        <f>'GİRDİ RAPORU'!C530</f>
        <v>0</v>
      </c>
      <c r="D209" s="18">
        <f>'GİRDİ RAPORU'!D530</f>
        <v>210</v>
      </c>
      <c r="E209" s="18" t="str">
        <f>'GİRDİ RAPORU'!E530</f>
        <v>Normal Mesai</v>
      </c>
      <c r="F209" s="18">
        <f>'GİRDİ RAPORU'!F530</f>
        <v>15</v>
      </c>
      <c r="G209" s="18" t="str">
        <f>'GİRDİ RAPORU'!G530</f>
        <v>Temizlik</v>
      </c>
      <c r="H209" s="18">
        <f>'GİRDİ RAPORU'!H530</f>
        <v>15</v>
      </c>
      <c r="I209" s="18" t="str">
        <f>'GİRDİ RAPORU'!I530</f>
        <v>Hazırlık/İlk Isınma</v>
      </c>
      <c r="J209" s="18">
        <f>'GİRDİ RAPORU'!J1469</f>
        <v>0</v>
      </c>
      <c r="K209" s="18">
        <f>'GİRDİ RAPORU'!K1469</f>
        <v>0</v>
      </c>
      <c r="L209" s="18">
        <f>'GİRDİ RAPORU'!L1469</f>
        <v>0</v>
      </c>
      <c r="M209" s="26">
        <f t="shared" si="9"/>
        <v>0.28000000000000003</v>
      </c>
      <c r="N209" s="26">
        <f t="shared" si="10"/>
        <v>5.5555555555555552E-2</v>
      </c>
      <c r="O209" s="26">
        <f t="shared" si="11"/>
        <v>0.94444444444444442</v>
      </c>
    </row>
    <row r="210" spans="1:15" ht="21.75" hidden="1" customHeight="1">
      <c r="A210" s="17">
        <f>'GİRDİ RAPORU'!A529</f>
        <v>45786</v>
      </c>
      <c r="B210" s="18">
        <f>'GİRDİ RAPORU'!B529</f>
        <v>2</v>
      </c>
      <c r="C210" s="18">
        <f>'GİRDİ RAPORU'!C529</f>
        <v>0</v>
      </c>
      <c r="D210" s="18">
        <f>'GİRDİ RAPORU'!D529</f>
        <v>336</v>
      </c>
      <c r="E210" s="18" t="str">
        <f>'GİRDİ RAPORU'!E529</f>
        <v>Normal Mesai</v>
      </c>
      <c r="F210" s="18">
        <f>'GİRDİ RAPORU'!F529</f>
        <v>15</v>
      </c>
      <c r="G210" s="18" t="str">
        <f>'GİRDİ RAPORU'!G529</f>
        <v>Temizlik</v>
      </c>
      <c r="H210" s="18">
        <f>'GİRDİ RAPORU'!H529</f>
        <v>15</v>
      </c>
      <c r="I210" s="18" t="str">
        <f>'GİRDİ RAPORU'!I529</f>
        <v>Hazırlık/İlk Isınma</v>
      </c>
      <c r="J210" s="18">
        <f>'GİRDİ RAPORU'!J1468</f>
        <v>0</v>
      </c>
      <c r="K210" s="18">
        <f>'GİRDİ RAPORU'!K1468</f>
        <v>0</v>
      </c>
      <c r="L210" s="18">
        <f>'GİRDİ RAPORU'!L1468</f>
        <v>0</v>
      </c>
      <c r="M210" s="26">
        <f t="shared" si="9"/>
        <v>0.44800000000000001</v>
      </c>
      <c r="N210" s="26">
        <f t="shared" si="10"/>
        <v>5.5555555555555552E-2</v>
      </c>
      <c r="O210" s="26">
        <f t="shared" si="11"/>
        <v>0.94444444444444442</v>
      </c>
    </row>
    <row r="211" spans="1:15" ht="21.75" hidden="1" customHeight="1">
      <c r="A211" s="17">
        <f>'GİRDİ RAPORU'!A528</f>
        <v>45785</v>
      </c>
      <c r="B211" s="18">
        <f>'GİRDİ RAPORU'!B528</f>
        <v>2</v>
      </c>
      <c r="C211" s="18">
        <f>'GİRDİ RAPORU'!C528</f>
        <v>0</v>
      </c>
      <c r="D211" s="18">
        <f>'GİRDİ RAPORU'!D528</f>
        <v>262</v>
      </c>
      <c r="E211" s="18" t="str">
        <f>'GİRDİ RAPORU'!E528</f>
        <v>Normal Mesai</v>
      </c>
      <c r="F211" s="18">
        <f>'GİRDİ RAPORU'!F528</f>
        <v>15</v>
      </c>
      <c r="G211" s="18" t="str">
        <f>'GİRDİ RAPORU'!G528</f>
        <v>Temizlik</v>
      </c>
      <c r="H211" s="18">
        <f>'GİRDİ RAPORU'!H528</f>
        <v>15</v>
      </c>
      <c r="I211" s="18" t="str">
        <f>'GİRDİ RAPORU'!I528</f>
        <v>Hazırlık/İlk Isınma</v>
      </c>
      <c r="J211" s="18">
        <f>'GİRDİ RAPORU'!J1467</f>
        <v>0</v>
      </c>
      <c r="K211" s="18">
        <f>'GİRDİ RAPORU'!K1467</f>
        <v>0</v>
      </c>
      <c r="L211" s="18">
        <f>'GİRDİ RAPORU'!L1467</f>
        <v>0</v>
      </c>
      <c r="M211" s="26">
        <f t="shared" si="9"/>
        <v>0.34933333333333333</v>
      </c>
      <c r="N211" s="26">
        <f t="shared" si="10"/>
        <v>5.5555555555555552E-2</v>
      </c>
      <c r="O211" s="26">
        <f t="shared" si="11"/>
        <v>0.94444444444444442</v>
      </c>
    </row>
    <row r="212" spans="1:15" ht="21.75" hidden="1" customHeight="1">
      <c r="A212" s="17">
        <f>'GİRDİ RAPORU'!A527</f>
        <v>45784</v>
      </c>
      <c r="B212" s="18">
        <f>'GİRDİ RAPORU'!B527</f>
        <v>2</v>
      </c>
      <c r="C212" s="18">
        <f>'GİRDİ RAPORU'!C527</f>
        <v>0</v>
      </c>
      <c r="D212" s="18">
        <f>'GİRDİ RAPORU'!D527</f>
        <v>271</v>
      </c>
      <c r="E212" s="18" t="str">
        <f>'GİRDİ RAPORU'!E527</f>
        <v>Normal Mesai</v>
      </c>
      <c r="F212" s="18">
        <f>'GİRDİ RAPORU'!F527</f>
        <v>15</v>
      </c>
      <c r="G212" s="18" t="str">
        <f>'GİRDİ RAPORU'!G527</f>
        <v>Temizlik</v>
      </c>
      <c r="H212" s="18">
        <f>'GİRDİ RAPORU'!H527</f>
        <v>15</v>
      </c>
      <c r="I212" s="18" t="str">
        <f>'GİRDİ RAPORU'!I527</f>
        <v>Hazırlık/İlk Isınma</v>
      </c>
      <c r="J212" s="18">
        <f>'GİRDİ RAPORU'!J1466</f>
        <v>0</v>
      </c>
      <c r="K212" s="18">
        <f>'GİRDİ RAPORU'!K1466</f>
        <v>0</v>
      </c>
      <c r="L212" s="18">
        <f>'GİRDİ RAPORU'!L1466</f>
        <v>0</v>
      </c>
      <c r="M212" s="26">
        <f t="shared" si="9"/>
        <v>0.36133333333333334</v>
      </c>
      <c r="N212" s="26">
        <f t="shared" si="10"/>
        <v>5.5555555555555552E-2</v>
      </c>
      <c r="O212" s="26">
        <f t="shared" si="11"/>
        <v>0.94444444444444442</v>
      </c>
    </row>
    <row r="213" spans="1:15" ht="21.75" hidden="1" customHeight="1">
      <c r="A213" s="17">
        <f>'GİRDİ RAPORU'!A526</f>
        <v>45783</v>
      </c>
      <c r="B213" s="18">
        <f>'GİRDİ RAPORU'!B526</f>
        <v>2</v>
      </c>
      <c r="C213" s="18">
        <f>'GİRDİ RAPORU'!C526</f>
        <v>0</v>
      </c>
      <c r="D213" s="18">
        <f>'GİRDİ RAPORU'!D526</f>
        <v>280</v>
      </c>
      <c r="E213" s="18" t="str">
        <f>'GİRDİ RAPORU'!E526</f>
        <v>Normal Mesai</v>
      </c>
      <c r="F213" s="18">
        <f>'GİRDİ RAPORU'!F526</f>
        <v>15</v>
      </c>
      <c r="G213" s="18" t="str">
        <f>'GİRDİ RAPORU'!G526</f>
        <v>Temizlik</v>
      </c>
      <c r="H213" s="18">
        <f>'GİRDİ RAPORU'!H526</f>
        <v>15</v>
      </c>
      <c r="I213" s="18" t="str">
        <f>'GİRDİ RAPORU'!I526</f>
        <v>Hazırlık/İlk Isınma</v>
      </c>
      <c r="J213" s="18">
        <f>'GİRDİ RAPORU'!J1465</f>
        <v>0</v>
      </c>
      <c r="K213" s="18">
        <f>'GİRDİ RAPORU'!K1465</f>
        <v>0</v>
      </c>
      <c r="L213" s="18">
        <f>'GİRDİ RAPORU'!L1465</f>
        <v>0</v>
      </c>
      <c r="M213" s="26">
        <f t="shared" si="9"/>
        <v>0.37333333333333335</v>
      </c>
      <c r="N213" s="26">
        <f t="shared" si="10"/>
        <v>5.5555555555555552E-2</v>
      </c>
      <c r="O213" s="26">
        <f t="shared" si="11"/>
        <v>0.94444444444444442</v>
      </c>
    </row>
    <row r="214" spans="1:15" ht="21.75" hidden="1" customHeight="1">
      <c r="A214" s="17">
        <f>'GİRDİ RAPORU'!A525</f>
        <v>45782</v>
      </c>
      <c r="B214" s="18">
        <f>'GİRDİ RAPORU'!B525</f>
        <v>2</v>
      </c>
      <c r="C214" s="18">
        <f>'GİRDİ RAPORU'!C525</f>
        <v>0</v>
      </c>
      <c r="D214" s="18">
        <f>'GİRDİ RAPORU'!D525</f>
        <v>389</v>
      </c>
      <c r="E214" s="18" t="str">
        <f>'GİRDİ RAPORU'!E525</f>
        <v>Normal Mesai</v>
      </c>
      <c r="F214" s="18">
        <f>'GİRDİ RAPORU'!F525</f>
        <v>15</v>
      </c>
      <c r="G214" s="18" t="str">
        <f>'GİRDİ RAPORU'!G525</f>
        <v>Temizlik</v>
      </c>
      <c r="H214" s="18">
        <f>'GİRDİ RAPORU'!H525</f>
        <v>15</v>
      </c>
      <c r="I214" s="18" t="str">
        <f>'GİRDİ RAPORU'!I525</f>
        <v>Hazırlık/İlk Isınma</v>
      </c>
      <c r="J214" s="18">
        <f>'GİRDİ RAPORU'!J1464</f>
        <v>0</v>
      </c>
      <c r="K214" s="18">
        <f>'GİRDİ RAPORU'!K1464</f>
        <v>0</v>
      </c>
      <c r="L214" s="18">
        <f>'GİRDİ RAPORU'!L1464</f>
        <v>0</v>
      </c>
      <c r="M214" s="26">
        <f t="shared" si="9"/>
        <v>0.51866666666666672</v>
      </c>
      <c r="N214" s="26">
        <f t="shared" si="10"/>
        <v>5.5555555555555552E-2</v>
      </c>
      <c r="O214" s="26">
        <f t="shared" si="11"/>
        <v>0.94444444444444442</v>
      </c>
    </row>
    <row r="215" spans="1:15" ht="21.75" hidden="1" customHeight="1">
      <c r="A215" s="17">
        <f>'GİRDİ RAPORU'!A521</f>
        <v>45775</v>
      </c>
      <c r="B215" s="18">
        <f>'GİRDİ RAPORU'!B521</f>
        <v>2</v>
      </c>
      <c r="C215" s="18">
        <f>'GİRDİ RAPORU'!C521</f>
        <v>0</v>
      </c>
      <c r="D215" s="18">
        <f>'GİRDİ RAPORU'!D521</f>
        <v>388</v>
      </c>
      <c r="E215" s="18" t="str">
        <f>'GİRDİ RAPORU'!E521</f>
        <v>Normal Mesai</v>
      </c>
      <c r="F215" s="18">
        <f>'GİRDİ RAPORU'!F521</f>
        <v>15</v>
      </c>
      <c r="G215" s="18" t="str">
        <f>'GİRDİ RAPORU'!G521</f>
        <v>Temizlik</v>
      </c>
      <c r="H215" s="18">
        <f>'GİRDİ RAPORU'!H521</f>
        <v>0</v>
      </c>
      <c r="I215" s="18">
        <f>'GİRDİ RAPORU'!I521</f>
        <v>0</v>
      </c>
      <c r="J215" s="18">
        <f>'GİRDİ RAPORU'!J1463</f>
        <v>0</v>
      </c>
      <c r="K215" s="18">
        <f>'GİRDİ RAPORU'!K1463</f>
        <v>0</v>
      </c>
      <c r="L215" s="18">
        <f>'GİRDİ RAPORU'!L1463</f>
        <v>0</v>
      </c>
      <c r="M215" s="26">
        <f t="shared" si="9"/>
        <v>0.51733333333333331</v>
      </c>
      <c r="N215" s="26">
        <f t="shared" si="10"/>
        <v>2.7777777777777776E-2</v>
      </c>
      <c r="O215" s="26">
        <f t="shared" si="11"/>
        <v>0.97222222222222221</v>
      </c>
    </row>
    <row r="216" spans="1:15" ht="21.75" hidden="1" customHeight="1">
      <c r="A216" s="17">
        <v>45772</v>
      </c>
      <c r="B216" s="18">
        <v>1</v>
      </c>
      <c r="C216" s="18">
        <v>260</v>
      </c>
      <c r="D216" s="18">
        <f>'GİRDİ RAPORU'!D524</f>
        <v>280</v>
      </c>
      <c r="E216" s="18" t="s">
        <v>31</v>
      </c>
      <c r="F216" s="18">
        <v>15</v>
      </c>
      <c r="G216" s="18" t="s">
        <v>4</v>
      </c>
      <c r="H216" s="18">
        <v>15</v>
      </c>
      <c r="I216" s="18" t="s">
        <v>10</v>
      </c>
      <c r="J216" s="18">
        <f>'GİRDİ RAPORU'!J1462</f>
        <v>0</v>
      </c>
      <c r="K216" s="18">
        <f>'GİRDİ RAPORU'!K1462</f>
        <v>0</v>
      </c>
      <c r="L216" s="18">
        <f>'GİRDİ RAPORU'!L1462</f>
        <v>0</v>
      </c>
      <c r="M216" s="26">
        <f t="shared" si="9"/>
        <v>0.72</v>
      </c>
      <c r="N216" s="26">
        <f t="shared" si="10"/>
        <v>5.5555555555555552E-2</v>
      </c>
      <c r="O216" s="26">
        <f t="shared" si="11"/>
        <v>0.94444444444444442</v>
      </c>
    </row>
    <row r="217" spans="1:15" ht="21.75" hidden="1" customHeight="1">
      <c r="A217" s="17">
        <v>45771</v>
      </c>
      <c r="B217" s="18">
        <v>1</v>
      </c>
      <c r="C217" s="18">
        <v>200</v>
      </c>
      <c r="D217" s="18">
        <v>0</v>
      </c>
      <c r="E217" s="18" t="s">
        <v>31</v>
      </c>
      <c r="F217" s="18">
        <v>15</v>
      </c>
      <c r="G217" s="18" t="s">
        <v>4</v>
      </c>
      <c r="H217" s="18">
        <v>15</v>
      </c>
      <c r="I217" s="18" t="s">
        <v>10</v>
      </c>
      <c r="J217" s="18">
        <f>'GİRDİ RAPORU'!J1461</f>
        <v>0</v>
      </c>
      <c r="K217" s="18">
        <f>'GİRDİ RAPORU'!K1461</f>
        <v>0</v>
      </c>
      <c r="L217" s="18">
        <f>'GİRDİ RAPORU'!L1461</f>
        <v>0</v>
      </c>
      <c r="M217" s="26">
        <f t="shared" si="9"/>
        <v>0.26666666666666666</v>
      </c>
      <c r="N217" s="26">
        <f t="shared" si="10"/>
        <v>5.5555555555555552E-2</v>
      </c>
      <c r="O217" s="26">
        <f t="shared" si="11"/>
        <v>0.94444444444444442</v>
      </c>
    </row>
    <row r="218" spans="1:15" ht="21.75" hidden="1" customHeight="1">
      <c r="A218" s="17">
        <f>'GİRDİ RAPORU'!A520</f>
        <v>45769</v>
      </c>
      <c r="B218" s="18">
        <f>'GİRDİ RAPORU'!B520</f>
        <v>1</v>
      </c>
      <c r="C218" s="18">
        <f>'GİRDİ RAPORU'!C520</f>
        <v>0</v>
      </c>
      <c r="D218" s="18">
        <f>'GİRDİ RAPORU'!D520</f>
        <v>84</v>
      </c>
      <c r="E218" s="18" t="str">
        <f>'GİRDİ RAPORU'!E520</f>
        <v>Normal Mesai</v>
      </c>
      <c r="F218" s="18">
        <f>'GİRDİ RAPORU'!F520</f>
        <v>15</v>
      </c>
      <c r="G218" s="18" t="str">
        <f>'GİRDİ RAPORU'!G520</f>
        <v>Temizlik</v>
      </c>
      <c r="H218" s="18">
        <f>'GİRDİ RAPORU'!H520</f>
        <v>0</v>
      </c>
      <c r="I218" s="18">
        <f>'GİRDİ RAPORU'!I520</f>
        <v>0</v>
      </c>
      <c r="J218" s="18">
        <f>'GİRDİ RAPORU'!J1460</f>
        <v>0</v>
      </c>
      <c r="K218" s="18">
        <f>'GİRDİ RAPORU'!K1460</f>
        <v>0</v>
      </c>
      <c r="L218" s="18">
        <f>'GİRDİ RAPORU'!L1460</f>
        <v>0</v>
      </c>
      <c r="M218" s="26">
        <f t="shared" si="9"/>
        <v>0.112</v>
      </c>
      <c r="N218" s="26">
        <f t="shared" si="10"/>
        <v>2.7777777777777776E-2</v>
      </c>
      <c r="O218" s="26">
        <f t="shared" si="11"/>
        <v>0.97222222222222221</v>
      </c>
    </row>
    <row r="219" spans="1:15" ht="21.75" hidden="1" customHeight="1">
      <c r="A219" s="17">
        <f>'GİRDİ RAPORU'!A519</f>
        <v>45768</v>
      </c>
      <c r="B219" s="18">
        <f>'GİRDİ RAPORU'!B519</f>
        <v>1</v>
      </c>
      <c r="C219" s="18">
        <f>'GİRDİ RAPORU'!C519</f>
        <v>0</v>
      </c>
      <c r="D219" s="18">
        <f>'GİRDİ RAPORU'!D519</f>
        <v>222</v>
      </c>
      <c r="E219" s="18" t="str">
        <f>'GİRDİ RAPORU'!E519</f>
        <v>Normal Mesai</v>
      </c>
      <c r="F219" s="18">
        <f>'GİRDİ RAPORU'!F519</f>
        <v>15</v>
      </c>
      <c r="G219" s="18" t="str">
        <f>'GİRDİ RAPORU'!G519</f>
        <v>Temizlik</v>
      </c>
      <c r="H219" s="18">
        <f>'GİRDİ RAPORU'!H519</f>
        <v>0</v>
      </c>
      <c r="I219" s="18">
        <f>'GİRDİ RAPORU'!I519</f>
        <v>0</v>
      </c>
      <c r="J219" s="18">
        <f>'GİRDİ RAPORU'!J1459</f>
        <v>0</v>
      </c>
      <c r="K219" s="18">
        <f>'GİRDİ RAPORU'!K1459</f>
        <v>0</v>
      </c>
      <c r="L219" s="18">
        <f>'GİRDİ RAPORU'!L1459</f>
        <v>0</v>
      </c>
      <c r="M219" s="26">
        <f t="shared" si="9"/>
        <v>0.29599999999999999</v>
      </c>
      <c r="N219" s="26">
        <f t="shared" si="10"/>
        <v>2.7777777777777776E-2</v>
      </c>
      <c r="O219" s="26">
        <f t="shared" si="11"/>
        <v>0.97222222222222221</v>
      </c>
    </row>
    <row r="220" spans="1:15" ht="21.75" hidden="1" customHeight="1">
      <c r="A220" s="17">
        <v>45765</v>
      </c>
      <c r="B220" s="18">
        <v>1</v>
      </c>
      <c r="C220" s="18">
        <v>112</v>
      </c>
      <c r="D220" s="18">
        <v>0</v>
      </c>
      <c r="E220" s="18" t="s">
        <v>31</v>
      </c>
      <c r="F220" s="18">
        <v>15</v>
      </c>
      <c r="G220" s="18" t="s">
        <v>4</v>
      </c>
      <c r="H220" s="18">
        <v>15</v>
      </c>
      <c r="I220" s="18" t="s">
        <v>10</v>
      </c>
      <c r="J220" s="18">
        <f>'GİRDİ RAPORU'!J1458</f>
        <v>0</v>
      </c>
      <c r="K220" s="18">
        <f>'GİRDİ RAPORU'!K1458</f>
        <v>0</v>
      </c>
      <c r="L220" s="18">
        <f>'GİRDİ RAPORU'!L1458</f>
        <v>0</v>
      </c>
      <c r="M220" s="26">
        <f t="shared" si="9"/>
        <v>0.14933333333333335</v>
      </c>
      <c r="N220" s="26">
        <f t="shared" si="10"/>
        <v>5.5555555555555552E-2</v>
      </c>
      <c r="O220" s="26">
        <f t="shared" si="11"/>
        <v>0.94444444444444442</v>
      </c>
    </row>
    <row r="221" spans="1:15" ht="21.75" hidden="1" customHeight="1">
      <c r="A221" s="17">
        <f>'GİRDİ RAPORU'!A518</f>
        <v>45764</v>
      </c>
      <c r="B221" s="18">
        <f>'GİRDİ RAPORU'!B518</f>
        <v>1</v>
      </c>
      <c r="C221" s="18">
        <f>'GİRDİ RAPORU'!C518</f>
        <v>0</v>
      </c>
      <c r="D221" s="18">
        <f>'GİRDİ RAPORU'!D518</f>
        <v>167</v>
      </c>
      <c r="E221" s="18" t="str">
        <f>'GİRDİ RAPORU'!E518</f>
        <v>Normal Mesai</v>
      </c>
      <c r="F221" s="18">
        <f>'GİRDİ RAPORU'!F518</f>
        <v>15</v>
      </c>
      <c r="G221" s="18" t="str">
        <f>'GİRDİ RAPORU'!G518</f>
        <v>Temizlik</v>
      </c>
      <c r="H221" s="18">
        <f>'GİRDİ RAPORU'!H518</f>
        <v>0</v>
      </c>
      <c r="I221" s="18">
        <f>'GİRDİ RAPORU'!I518</f>
        <v>0</v>
      </c>
      <c r="J221" s="18">
        <f>'GİRDİ RAPORU'!J1457</f>
        <v>0</v>
      </c>
      <c r="K221" s="18">
        <f>'GİRDİ RAPORU'!K1457</f>
        <v>0</v>
      </c>
      <c r="L221" s="18">
        <f>'GİRDİ RAPORU'!L1457</f>
        <v>0</v>
      </c>
      <c r="M221" s="26">
        <f t="shared" si="9"/>
        <v>0.22266666666666668</v>
      </c>
      <c r="N221" s="26">
        <f t="shared" si="10"/>
        <v>2.7777777777777776E-2</v>
      </c>
      <c r="O221" s="26">
        <f t="shared" si="11"/>
        <v>0.97222222222222221</v>
      </c>
    </row>
    <row r="222" spans="1:15" ht="21.75" hidden="1" customHeight="1">
      <c r="A222" s="17">
        <f>'GİRDİ RAPORU'!A517</f>
        <v>45763</v>
      </c>
      <c r="B222" s="18">
        <f>'GİRDİ RAPORU'!B517</f>
        <v>1</v>
      </c>
      <c r="C222" s="18">
        <f>'GİRDİ RAPORU'!C517</f>
        <v>0</v>
      </c>
      <c r="D222" s="18">
        <f>'GİRDİ RAPORU'!D517</f>
        <v>270</v>
      </c>
      <c r="E222" s="18" t="str">
        <f>'GİRDİ RAPORU'!E517</f>
        <v>Normal Mesai</v>
      </c>
      <c r="F222" s="18">
        <f>'GİRDİ RAPORU'!F517</f>
        <v>15</v>
      </c>
      <c r="G222" s="18" t="str">
        <f>'GİRDİ RAPORU'!G517</f>
        <v>Temizlik</v>
      </c>
      <c r="H222" s="18">
        <f>'GİRDİ RAPORU'!H517</f>
        <v>0</v>
      </c>
      <c r="I222" s="18">
        <f>'GİRDİ RAPORU'!I517</f>
        <v>0</v>
      </c>
      <c r="J222" s="18">
        <f>'GİRDİ RAPORU'!J1456</f>
        <v>0</v>
      </c>
      <c r="K222" s="18">
        <f>'GİRDİ RAPORU'!K1456</f>
        <v>0</v>
      </c>
      <c r="L222" s="18">
        <f>'GİRDİ RAPORU'!L1456</f>
        <v>0</v>
      </c>
      <c r="M222" s="26">
        <f t="shared" si="9"/>
        <v>0.36</v>
      </c>
      <c r="N222" s="26">
        <f t="shared" si="10"/>
        <v>2.7777777777777776E-2</v>
      </c>
      <c r="O222" s="26">
        <f t="shared" si="11"/>
        <v>0.97222222222222221</v>
      </c>
    </row>
    <row r="223" spans="1:15" ht="21.75" hidden="1" customHeight="1">
      <c r="A223" s="17">
        <f>'GİRDİ RAPORU'!A516</f>
        <v>45762</v>
      </c>
      <c r="B223" s="18">
        <f>'GİRDİ RAPORU'!B516</f>
        <v>1</v>
      </c>
      <c r="C223" s="18">
        <f>'GİRDİ RAPORU'!C516</f>
        <v>0</v>
      </c>
      <c r="D223" s="18">
        <f>'GİRDİ RAPORU'!D516</f>
        <v>410</v>
      </c>
      <c r="E223" s="18" t="str">
        <f>'GİRDİ RAPORU'!E516</f>
        <v>Normal Mesai</v>
      </c>
      <c r="F223" s="18">
        <f>'GİRDİ RAPORU'!F516</f>
        <v>15</v>
      </c>
      <c r="G223" s="18" t="str">
        <f>'GİRDİ RAPORU'!G516</f>
        <v>Temizlik</v>
      </c>
      <c r="H223" s="18">
        <f>'GİRDİ RAPORU'!H516</f>
        <v>0</v>
      </c>
      <c r="I223" s="18">
        <f>'GİRDİ RAPORU'!I516</f>
        <v>0</v>
      </c>
      <c r="J223" s="18">
        <f>'GİRDİ RAPORU'!J1455</f>
        <v>0</v>
      </c>
      <c r="K223" s="18">
        <f>'GİRDİ RAPORU'!K1455</f>
        <v>0</v>
      </c>
      <c r="L223" s="18">
        <f>'GİRDİ RAPORU'!L1455</f>
        <v>0</v>
      </c>
      <c r="M223" s="26">
        <f t="shared" si="9"/>
        <v>0.54666666666666663</v>
      </c>
      <c r="N223" s="26">
        <f t="shared" si="10"/>
        <v>2.7777777777777776E-2</v>
      </c>
      <c r="O223" s="26">
        <f t="shared" si="11"/>
        <v>0.97222222222222221</v>
      </c>
    </row>
    <row r="224" spans="1:15" ht="21.75" hidden="1" customHeight="1">
      <c r="A224" s="17">
        <f>'GİRDİ RAPORU'!A515</f>
        <v>45761</v>
      </c>
      <c r="B224" s="18">
        <f>'GİRDİ RAPORU'!B515</f>
        <v>1</v>
      </c>
      <c r="C224" s="18">
        <f>'GİRDİ RAPORU'!C515</f>
        <v>0</v>
      </c>
      <c r="D224" s="18">
        <f>'GİRDİ RAPORU'!D515</f>
        <v>364</v>
      </c>
      <c r="E224" s="18" t="str">
        <f>'GİRDİ RAPORU'!E515</f>
        <v>Normal Mesai</v>
      </c>
      <c r="F224" s="18">
        <f>'GİRDİ RAPORU'!F515</f>
        <v>15</v>
      </c>
      <c r="G224" s="18" t="str">
        <f>'GİRDİ RAPORU'!G515</f>
        <v>Temizlik</v>
      </c>
      <c r="H224" s="18">
        <f>'GİRDİ RAPORU'!H515</f>
        <v>0</v>
      </c>
      <c r="I224" s="18">
        <f>'GİRDİ RAPORU'!I515</f>
        <v>0</v>
      </c>
      <c r="J224" s="18">
        <f>'GİRDİ RAPORU'!J1454</f>
        <v>0</v>
      </c>
      <c r="K224" s="18">
        <f>'GİRDİ RAPORU'!K1454</f>
        <v>0</v>
      </c>
      <c r="L224" s="18">
        <f>'GİRDİ RAPORU'!L1454</f>
        <v>0</v>
      </c>
      <c r="M224" s="26">
        <f t="shared" si="9"/>
        <v>0.48533333333333334</v>
      </c>
      <c r="N224" s="26">
        <f t="shared" si="10"/>
        <v>2.7777777777777776E-2</v>
      </c>
      <c r="O224" s="26">
        <f t="shared" si="11"/>
        <v>0.97222222222222221</v>
      </c>
    </row>
    <row r="225" spans="1:15" ht="21.75" hidden="1" customHeight="1">
      <c r="A225" s="17">
        <f>'GİRDİ RAPORU'!A514</f>
        <v>45758</v>
      </c>
      <c r="B225" s="18">
        <f>'GİRDİ RAPORU'!B514</f>
        <v>1</v>
      </c>
      <c r="C225" s="18">
        <f>'GİRDİ RAPORU'!C514</f>
        <v>0</v>
      </c>
      <c r="D225" s="18">
        <f>'GİRDİ RAPORU'!D514</f>
        <v>114</v>
      </c>
      <c r="E225" s="18" t="str">
        <f>'GİRDİ RAPORU'!E514</f>
        <v>Normal Mesai</v>
      </c>
      <c r="F225" s="18">
        <f>'GİRDİ RAPORU'!F514</f>
        <v>15</v>
      </c>
      <c r="G225" s="18" t="str">
        <f>'GİRDİ RAPORU'!G514</f>
        <v>Temizlik</v>
      </c>
      <c r="H225" s="18">
        <f>'GİRDİ RAPORU'!H514</f>
        <v>0</v>
      </c>
      <c r="I225" s="18">
        <f>'GİRDİ RAPORU'!I514</f>
        <v>0</v>
      </c>
      <c r="J225" s="18">
        <f>'GİRDİ RAPORU'!J1453</f>
        <v>0</v>
      </c>
      <c r="K225" s="18">
        <f>'GİRDİ RAPORU'!K1453</f>
        <v>0</v>
      </c>
      <c r="L225" s="18">
        <f>'GİRDİ RAPORU'!L1453</f>
        <v>0</v>
      </c>
      <c r="M225" s="26">
        <f t="shared" si="9"/>
        <v>0.152</v>
      </c>
      <c r="N225" s="26">
        <f t="shared" si="10"/>
        <v>2.7777777777777776E-2</v>
      </c>
      <c r="O225" s="26">
        <f t="shared" si="11"/>
        <v>0.97222222222222221</v>
      </c>
    </row>
    <row r="226" spans="1:15" ht="21.75" hidden="1" customHeight="1">
      <c r="A226" s="17">
        <f>'GİRDİ RAPORU'!A513</f>
        <v>45757</v>
      </c>
      <c r="B226" s="18">
        <f>'GİRDİ RAPORU'!B513</f>
        <v>1</v>
      </c>
      <c r="C226" s="18">
        <f>'GİRDİ RAPORU'!C513</f>
        <v>0</v>
      </c>
      <c r="D226" s="18">
        <f>'GİRDİ RAPORU'!D513</f>
        <v>96</v>
      </c>
      <c r="E226" s="18" t="str">
        <f>'GİRDİ RAPORU'!E513</f>
        <v>Normal Mesai</v>
      </c>
      <c r="F226" s="18">
        <f>'GİRDİ RAPORU'!F513</f>
        <v>15</v>
      </c>
      <c r="G226" s="18" t="str">
        <f>'GİRDİ RAPORU'!G513</f>
        <v>Temizlik</v>
      </c>
      <c r="H226" s="18">
        <f>'GİRDİ RAPORU'!H513</f>
        <v>0</v>
      </c>
      <c r="I226" s="18" t="str">
        <f>'GİRDİ RAPORU'!I513</f>
        <v>İş bekleme</v>
      </c>
      <c r="J226" s="18">
        <f>'GİRDİ RAPORU'!J1452</f>
        <v>0</v>
      </c>
      <c r="K226" s="18">
        <f>'GİRDİ RAPORU'!K1452</f>
        <v>0</v>
      </c>
      <c r="L226" s="18">
        <f>'GİRDİ RAPORU'!L1452</f>
        <v>0</v>
      </c>
      <c r="M226" s="26">
        <f t="shared" si="9"/>
        <v>0.128</v>
      </c>
      <c r="N226" s="26">
        <f t="shared" si="10"/>
        <v>2.7777777777777776E-2</v>
      </c>
      <c r="O226" s="26">
        <f t="shared" si="11"/>
        <v>0.97222222222222221</v>
      </c>
    </row>
    <row r="227" spans="1:15" ht="21.75" hidden="1" customHeight="1">
      <c r="A227" s="17">
        <f>'GİRDİ RAPORU'!A512</f>
        <v>45756</v>
      </c>
      <c r="B227" s="18">
        <f>'GİRDİ RAPORU'!B512</f>
        <v>1</v>
      </c>
      <c r="C227" s="18">
        <f>'GİRDİ RAPORU'!C512</f>
        <v>0</v>
      </c>
      <c r="D227" s="18">
        <f>'GİRDİ RAPORU'!D512</f>
        <v>154</v>
      </c>
      <c r="E227" s="18" t="str">
        <f>'GİRDİ RAPORU'!E512</f>
        <v>Normal Mesai</v>
      </c>
      <c r="F227" s="18">
        <f>'GİRDİ RAPORU'!F512</f>
        <v>15</v>
      </c>
      <c r="G227" s="18" t="str">
        <f>'GİRDİ RAPORU'!G512</f>
        <v>Temizlik</v>
      </c>
      <c r="H227" s="18">
        <f>'GİRDİ RAPORU'!H512</f>
        <v>60</v>
      </c>
      <c r="I227" s="18" t="str">
        <f>'GİRDİ RAPORU'!I512</f>
        <v>İş bekleme</v>
      </c>
      <c r="J227" s="18">
        <f>'GİRDİ RAPORU'!J1451</f>
        <v>0</v>
      </c>
      <c r="K227" s="18">
        <f>'GİRDİ RAPORU'!K1451</f>
        <v>0</v>
      </c>
      <c r="L227" s="18">
        <f>'GİRDİ RAPORU'!L1451</f>
        <v>0</v>
      </c>
      <c r="M227" s="26">
        <f t="shared" si="9"/>
        <v>0.20533333333333334</v>
      </c>
      <c r="N227" s="26">
        <f t="shared" si="10"/>
        <v>0.1388888888888889</v>
      </c>
      <c r="O227" s="26">
        <f t="shared" si="11"/>
        <v>0.86111111111111116</v>
      </c>
    </row>
    <row r="228" spans="1:15" ht="21.75" hidden="1" customHeight="1">
      <c r="A228" s="17">
        <f>'GİRDİ RAPORU'!A511</f>
        <v>45755</v>
      </c>
      <c r="B228" s="18">
        <f>'GİRDİ RAPORU'!B511</f>
        <v>1</v>
      </c>
      <c r="C228" s="18">
        <f>'GİRDİ RAPORU'!C511</f>
        <v>0</v>
      </c>
      <c r="D228" s="18">
        <f>'GİRDİ RAPORU'!D511</f>
        <v>186</v>
      </c>
      <c r="E228" s="18" t="str">
        <f>'GİRDİ RAPORU'!E511</f>
        <v>Normal Mesai</v>
      </c>
      <c r="F228" s="18">
        <f>'GİRDİ RAPORU'!F511</f>
        <v>15</v>
      </c>
      <c r="G228" s="18" t="str">
        <f>'GİRDİ RAPORU'!G511</f>
        <v>Temizlik</v>
      </c>
      <c r="H228" s="18">
        <f>'GİRDİ RAPORU'!H511</f>
        <v>120</v>
      </c>
      <c r="I228" s="18" t="str">
        <f>'GİRDİ RAPORU'!I511</f>
        <v>İş bekleme</v>
      </c>
      <c r="J228" s="18">
        <f>'GİRDİ RAPORU'!J1450</f>
        <v>0</v>
      </c>
      <c r="K228" s="18">
        <f>'GİRDİ RAPORU'!K1450</f>
        <v>0</v>
      </c>
      <c r="L228" s="18">
        <f>'GİRDİ RAPORU'!L1450</f>
        <v>0</v>
      </c>
      <c r="M228" s="26">
        <f t="shared" si="9"/>
        <v>0.248</v>
      </c>
      <c r="N228" s="26">
        <f t="shared" si="10"/>
        <v>0.25</v>
      </c>
      <c r="O228" s="26">
        <f t="shared" si="11"/>
        <v>0.75</v>
      </c>
    </row>
    <row r="229" spans="1:15" ht="21.75" hidden="1" customHeight="1">
      <c r="A229" s="17">
        <f>'GİRDİ RAPORU'!A510</f>
        <v>45754</v>
      </c>
      <c r="B229" s="18">
        <f>'GİRDİ RAPORU'!B510</f>
        <v>2</v>
      </c>
      <c r="C229" s="18">
        <f>'GİRDİ RAPORU'!C510</f>
        <v>0</v>
      </c>
      <c r="D229" s="18">
        <f>'GİRDİ RAPORU'!D510</f>
        <v>64</v>
      </c>
      <c r="E229" s="18" t="str">
        <f>'GİRDİ RAPORU'!E510</f>
        <v>Normal Mesai</v>
      </c>
      <c r="F229" s="18">
        <f>'GİRDİ RAPORU'!F510</f>
        <v>15</v>
      </c>
      <c r="G229" s="18" t="str">
        <f>'GİRDİ RAPORU'!G510</f>
        <v>Temizlik</v>
      </c>
      <c r="H229" s="18">
        <f>'GİRDİ RAPORU'!H510</f>
        <v>180</v>
      </c>
      <c r="I229" s="18" t="str">
        <f>'GİRDİ RAPORU'!I510</f>
        <v>Makine Arızası</v>
      </c>
      <c r="J229" s="18">
        <f>'GİRDİ RAPORU'!J1449</f>
        <v>0</v>
      </c>
      <c r="K229" s="18">
        <f>'GİRDİ RAPORU'!K1449</f>
        <v>0</v>
      </c>
      <c r="L229" s="18">
        <f>'GİRDİ RAPORU'!L1449</f>
        <v>0</v>
      </c>
      <c r="M229" s="26">
        <f t="shared" si="9"/>
        <v>8.533333333333333E-2</v>
      </c>
      <c r="N229" s="26">
        <f t="shared" si="10"/>
        <v>0.3611111111111111</v>
      </c>
      <c r="O229" s="26">
        <f t="shared" si="11"/>
        <v>0.63888888888888884</v>
      </c>
    </row>
    <row r="230" spans="1:15" ht="21.75" hidden="1" customHeight="1">
      <c r="A230" s="17">
        <f>'GİRDİ RAPORU'!A509</f>
        <v>45742</v>
      </c>
      <c r="B230" s="18">
        <f>'GİRDİ RAPORU'!B509</f>
        <v>2</v>
      </c>
      <c r="C230" s="18">
        <f>'GİRDİ RAPORU'!C509</f>
        <v>0</v>
      </c>
      <c r="D230" s="18">
        <f>'GİRDİ RAPORU'!D509</f>
        <v>99</v>
      </c>
      <c r="E230" s="18" t="str">
        <f>'GİRDİ RAPORU'!E509</f>
        <v>Normal Mesai</v>
      </c>
      <c r="F230" s="18">
        <f>'GİRDİ RAPORU'!F509</f>
        <v>210</v>
      </c>
      <c r="G230" s="18" t="str">
        <f>'GİRDİ RAPORU'!G509</f>
        <v>Temizlik</v>
      </c>
      <c r="H230" s="18">
        <f>'GİRDİ RAPORU'!H509</f>
        <v>0</v>
      </c>
      <c r="I230" s="18">
        <f>'GİRDİ RAPORU'!I509</f>
        <v>0</v>
      </c>
      <c r="J230" s="18">
        <f>'GİRDİ RAPORU'!J1448</f>
        <v>0</v>
      </c>
      <c r="K230" s="18">
        <f>'GİRDİ RAPORU'!K1448</f>
        <v>0</v>
      </c>
      <c r="L230" s="18">
        <f>'GİRDİ RAPORU'!L1448</f>
        <v>0</v>
      </c>
      <c r="M230" s="26">
        <f t="shared" si="9"/>
        <v>0.13200000000000001</v>
      </c>
      <c r="N230" s="26">
        <f t="shared" si="10"/>
        <v>0.3888888888888889</v>
      </c>
      <c r="O230" s="26">
        <f t="shared" si="11"/>
        <v>0.61111111111111116</v>
      </c>
    </row>
    <row r="231" spans="1:15" ht="21.75" hidden="1" customHeight="1">
      <c r="A231" s="17">
        <f>'GİRDİ RAPORU'!A508</f>
        <v>45741</v>
      </c>
      <c r="B231" s="18">
        <f>'GİRDİ RAPORU'!B508</f>
        <v>2</v>
      </c>
      <c r="C231" s="18">
        <f>'GİRDİ RAPORU'!C508</f>
        <v>0</v>
      </c>
      <c r="D231" s="18">
        <f>'GİRDİ RAPORU'!D508</f>
        <v>170</v>
      </c>
      <c r="E231" s="18" t="str">
        <f>'GİRDİ RAPORU'!E508</f>
        <v>Normal Mesai</v>
      </c>
      <c r="F231" s="18">
        <f>'GİRDİ RAPORU'!F508</f>
        <v>15</v>
      </c>
      <c r="G231" s="18" t="str">
        <f>'GİRDİ RAPORU'!G508</f>
        <v>Temizlik</v>
      </c>
      <c r="H231" s="18">
        <f>'GİRDİ RAPORU'!H508</f>
        <v>0</v>
      </c>
      <c r="I231" s="18">
        <f>'GİRDİ RAPORU'!I508</f>
        <v>0</v>
      </c>
      <c r="J231" s="18">
        <f>'GİRDİ RAPORU'!J1447</f>
        <v>0</v>
      </c>
      <c r="K231" s="18">
        <f>'GİRDİ RAPORU'!K1447</f>
        <v>0</v>
      </c>
      <c r="L231" s="18">
        <f>'GİRDİ RAPORU'!L1447</f>
        <v>0</v>
      </c>
      <c r="M231" s="26">
        <f t="shared" si="9"/>
        <v>0.22666666666666666</v>
      </c>
      <c r="N231" s="26">
        <f t="shared" si="10"/>
        <v>2.7777777777777776E-2</v>
      </c>
      <c r="O231" s="26">
        <f t="shared" si="11"/>
        <v>0.97222222222222221</v>
      </c>
    </row>
    <row r="232" spans="1:15" ht="21.75" hidden="1" customHeight="1">
      <c r="A232" s="17">
        <f>'GİRDİ RAPORU'!A506</f>
        <v>45740</v>
      </c>
      <c r="B232" s="18">
        <f>'GİRDİ RAPORU'!B506</f>
        <v>2</v>
      </c>
      <c r="C232" s="18">
        <f>'GİRDİ RAPORU'!C506</f>
        <v>0</v>
      </c>
      <c r="D232" s="18">
        <f>'GİRDİ RAPORU'!D506</f>
        <v>152</v>
      </c>
      <c r="E232" s="18" t="str">
        <f>'GİRDİ RAPORU'!E506</f>
        <v>Normal Mesai</v>
      </c>
      <c r="F232" s="18">
        <f>'GİRDİ RAPORU'!F506</f>
        <v>15</v>
      </c>
      <c r="G232" s="18" t="str">
        <f>'GİRDİ RAPORU'!G506</f>
        <v>Temizlik</v>
      </c>
      <c r="H232" s="18">
        <f>'GİRDİ RAPORU'!H506</f>
        <v>0</v>
      </c>
      <c r="I232" s="18">
        <f>'GİRDİ RAPORU'!I506</f>
        <v>0</v>
      </c>
      <c r="J232" s="18">
        <f>'GİRDİ RAPORU'!J1446</f>
        <v>0</v>
      </c>
      <c r="K232" s="18">
        <f>'GİRDİ RAPORU'!K1446</f>
        <v>0</v>
      </c>
      <c r="L232" s="18">
        <f>'GİRDİ RAPORU'!L1446</f>
        <v>0</v>
      </c>
      <c r="M232" s="26">
        <f t="shared" si="9"/>
        <v>0.20266666666666666</v>
      </c>
      <c r="N232" s="26">
        <f t="shared" si="10"/>
        <v>2.7777777777777776E-2</v>
      </c>
      <c r="O232" s="26">
        <f t="shared" si="11"/>
        <v>0.97222222222222221</v>
      </c>
    </row>
    <row r="233" spans="1:15" ht="21.75" hidden="1" customHeight="1">
      <c r="A233" s="17">
        <f>'GİRDİ RAPORU'!A505</f>
        <v>45737</v>
      </c>
      <c r="B233" s="18">
        <f>'GİRDİ RAPORU'!B505</f>
        <v>2</v>
      </c>
      <c r="C233" s="18">
        <f>'GİRDİ RAPORU'!C505</f>
        <v>0</v>
      </c>
      <c r="D233" s="18">
        <f>'GİRDİ RAPORU'!D505</f>
        <v>405</v>
      </c>
      <c r="E233" s="18" t="str">
        <f>'GİRDİ RAPORU'!E505</f>
        <v>Normal Mesai</v>
      </c>
      <c r="F233" s="18">
        <f>'GİRDİ RAPORU'!F505</f>
        <v>80</v>
      </c>
      <c r="G233" s="18" t="str">
        <f>'GİRDİ RAPORU'!G505</f>
        <v>Temizlik</v>
      </c>
      <c r="H233" s="18">
        <f>'GİRDİ RAPORU'!H505</f>
        <v>0</v>
      </c>
      <c r="I233" s="18">
        <f>'GİRDİ RAPORU'!I505</f>
        <v>0</v>
      </c>
      <c r="J233" s="18">
        <f>'GİRDİ RAPORU'!J1445</f>
        <v>0</v>
      </c>
      <c r="K233" s="18">
        <f>'GİRDİ RAPORU'!K1445</f>
        <v>0</v>
      </c>
      <c r="L233" s="18">
        <f>'GİRDİ RAPORU'!L1445</f>
        <v>0</v>
      </c>
      <c r="M233" s="26">
        <f t="shared" si="9"/>
        <v>0.54</v>
      </c>
      <c r="N233" s="26">
        <f t="shared" si="10"/>
        <v>0.14814814814814814</v>
      </c>
      <c r="O233" s="26">
        <f t="shared" si="11"/>
        <v>0.85185185185185186</v>
      </c>
    </row>
    <row r="234" spans="1:15" ht="21.75" hidden="1" customHeight="1">
      <c r="A234" s="17">
        <f>'GİRDİ RAPORU'!A504</f>
        <v>45736</v>
      </c>
      <c r="B234" s="18">
        <f>'GİRDİ RAPORU'!B504</f>
        <v>2</v>
      </c>
      <c r="C234" s="18">
        <f>'GİRDİ RAPORU'!C504</f>
        <v>0</v>
      </c>
      <c r="D234" s="18">
        <f>'GİRDİ RAPORU'!D504</f>
        <v>438</v>
      </c>
      <c r="E234" s="18" t="str">
        <f>'GİRDİ RAPORU'!E504</f>
        <v>Normal Mesai</v>
      </c>
      <c r="F234" s="18">
        <f>'GİRDİ RAPORU'!F504</f>
        <v>15</v>
      </c>
      <c r="G234" s="18" t="str">
        <f>'GİRDİ RAPORU'!G504</f>
        <v>Temizlik</v>
      </c>
      <c r="H234" s="18">
        <f>'GİRDİ RAPORU'!H504</f>
        <v>0</v>
      </c>
      <c r="I234" s="18">
        <f>'GİRDİ RAPORU'!I504</f>
        <v>0</v>
      </c>
      <c r="J234" s="18">
        <f>'GİRDİ RAPORU'!J1444</f>
        <v>0</v>
      </c>
      <c r="K234" s="18">
        <f>'GİRDİ RAPORU'!K1444</f>
        <v>0</v>
      </c>
      <c r="L234" s="18">
        <f>'GİRDİ RAPORU'!L1444</f>
        <v>0</v>
      </c>
      <c r="M234" s="26">
        <f t="shared" si="9"/>
        <v>0.58399999999999996</v>
      </c>
      <c r="N234" s="26">
        <f t="shared" si="10"/>
        <v>2.7777777777777776E-2</v>
      </c>
      <c r="O234" s="26">
        <f t="shared" si="11"/>
        <v>0.97222222222222221</v>
      </c>
    </row>
    <row r="235" spans="1:15" ht="21.75" hidden="1" customHeight="1">
      <c r="A235" s="17">
        <f>'GİRDİ RAPORU'!A503</f>
        <v>45735</v>
      </c>
      <c r="B235" s="18">
        <f>'GİRDİ RAPORU'!B503</f>
        <v>2</v>
      </c>
      <c r="C235" s="18">
        <f>'GİRDİ RAPORU'!C503</f>
        <v>0</v>
      </c>
      <c r="D235" s="18">
        <f>'GİRDİ RAPORU'!D503</f>
        <v>272</v>
      </c>
      <c r="E235" s="18" t="str">
        <f>'GİRDİ RAPORU'!E503</f>
        <v>Normal Mesai</v>
      </c>
      <c r="F235" s="18">
        <f>'GİRDİ RAPORU'!F503</f>
        <v>15</v>
      </c>
      <c r="G235" s="18" t="str">
        <f>'GİRDİ RAPORU'!G503</f>
        <v>Temizlik</v>
      </c>
      <c r="H235" s="18">
        <f>'GİRDİ RAPORU'!H503</f>
        <v>0</v>
      </c>
      <c r="I235" s="18">
        <f>'GİRDİ RAPORU'!I503</f>
        <v>0</v>
      </c>
      <c r="J235" s="18">
        <f>'GİRDİ RAPORU'!J1443</f>
        <v>0</v>
      </c>
      <c r="K235" s="18">
        <f>'GİRDİ RAPORU'!K1443</f>
        <v>0</v>
      </c>
      <c r="L235" s="18">
        <f>'GİRDİ RAPORU'!L1443</f>
        <v>0</v>
      </c>
      <c r="M235" s="26">
        <f t="shared" si="9"/>
        <v>0.36266666666666669</v>
      </c>
      <c r="N235" s="26">
        <f t="shared" si="10"/>
        <v>2.7777777777777776E-2</v>
      </c>
      <c r="O235" s="26">
        <f t="shared" si="11"/>
        <v>0.97222222222222221</v>
      </c>
    </row>
    <row r="236" spans="1:15" ht="21.75" hidden="1" customHeight="1">
      <c r="A236" s="17">
        <f>'GİRDİ RAPORU'!A502</f>
        <v>45734</v>
      </c>
      <c r="B236" s="18">
        <f>'GİRDİ RAPORU'!B502</f>
        <v>2</v>
      </c>
      <c r="C236" s="18">
        <f>'GİRDİ RAPORU'!C502</f>
        <v>0</v>
      </c>
      <c r="D236" s="18">
        <f>'GİRDİ RAPORU'!D502</f>
        <v>414</v>
      </c>
      <c r="E236" s="18" t="str">
        <f>'GİRDİ RAPORU'!E502</f>
        <v>Normal Mesai</v>
      </c>
      <c r="F236" s="18">
        <f>'GİRDİ RAPORU'!F502</f>
        <v>15</v>
      </c>
      <c r="G236" s="18" t="str">
        <f>'GİRDİ RAPORU'!G502</f>
        <v>Temizlik</v>
      </c>
      <c r="H236" s="18">
        <f>'GİRDİ RAPORU'!H502</f>
        <v>15</v>
      </c>
      <c r="I236" s="18" t="str">
        <f>'GİRDİ RAPORU'!I502</f>
        <v>Hazırlık/İlk Isınma</v>
      </c>
      <c r="J236" s="18">
        <f>'GİRDİ RAPORU'!J1442</f>
        <v>0</v>
      </c>
      <c r="K236" s="18">
        <f>'GİRDİ RAPORU'!K1442</f>
        <v>0</v>
      </c>
      <c r="L236" s="18">
        <f>'GİRDİ RAPORU'!L1442</f>
        <v>0</v>
      </c>
      <c r="M236" s="26">
        <f t="shared" si="9"/>
        <v>0.55200000000000005</v>
      </c>
      <c r="N236" s="26">
        <f t="shared" si="10"/>
        <v>5.5555555555555552E-2</v>
      </c>
      <c r="O236" s="26">
        <f t="shared" si="11"/>
        <v>0.94444444444444442</v>
      </c>
    </row>
    <row r="237" spans="1:15" ht="21.75" hidden="1" customHeight="1">
      <c r="A237" s="17">
        <f>'GİRDİ RAPORU'!A501</f>
        <v>45733</v>
      </c>
      <c r="B237" s="18">
        <f>'GİRDİ RAPORU'!B501</f>
        <v>2</v>
      </c>
      <c r="C237" s="18">
        <f>'GİRDİ RAPORU'!C501</f>
        <v>0</v>
      </c>
      <c r="D237" s="18">
        <f>'GİRDİ RAPORU'!D501</f>
        <v>419</v>
      </c>
      <c r="E237" s="18" t="str">
        <f>'GİRDİ RAPORU'!E501</f>
        <v>Normal Mesai</v>
      </c>
      <c r="F237" s="18">
        <f>'GİRDİ RAPORU'!F501</f>
        <v>15</v>
      </c>
      <c r="G237" s="18" t="str">
        <f>'GİRDİ RAPORU'!G501</f>
        <v>Temizlik</v>
      </c>
      <c r="H237" s="18">
        <f>'GİRDİ RAPORU'!H501</f>
        <v>15</v>
      </c>
      <c r="I237" s="18" t="str">
        <f>'GİRDİ RAPORU'!I501</f>
        <v>Hazırlık/İlk Isınma</v>
      </c>
      <c r="J237" s="18">
        <f>'GİRDİ RAPORU'!J1441</f>
        <v>0</v>
      </c>
      <c r="K237" s="18">
        <f>'GİRDİ RAPORU'!K1441</f>
        <v>0</v>
      </c>
      <c r="L237" s="18">
        <f>'GİRDİ RAPORU'!L1441</f>
        <v>0</v>
      </c>
      <c r="M237" s="26">
        <f t="shared" si="9"/>
        <v>0.55866666666666664</v>
      </c>
      <c r="N237" s="26">
        <f t="shared" si="10"/>
        <v>5.5555555555555552E-2</v>
      </c>
      <c r="O237" s="26">
        <f t="shared" si="11"/>
        <v>0.94444444444444442</v>
      </c>
    </row>
    <row r="238" spans="1:15" ht="21.75" hidden="1" customHeight="1">
      <c r="A238" s="17">
        <f>'GİRDİ RAPORU'!A500</f>
        <v>45730</v>
      </c>
      <c r="B238" s="18">
        <f>'GİRDİ RAPORU'!B500</f>
        <v>2</v>
      </c>
      <c r="C238" s="18">
        <f>'GİRDİ RAPORU'!C500</f>
        <v>0</v>
      </c>
      <c r="D238" s="18">
        <f>'GİRDİ RAPORU'!D500</f>
        <v>276</v>
      </c>
      <c r="E238" s="18" t="str">
        <f>'GİRDİ RAPORU'!E500</f>
        <v>Normal Mesai</v>
      </c>
      <c r="F238" s="18">
        <f>'GİRDİ RAPORU'!F500</f>
        <v>60</v>
      </c>
      <c r="G238" s="18" t="str">
        <f>'GİRDİ RAPORU'!G500</f>
        <v>Temizlik</v>
      </c>
      <c r="H238" s="18">
        <f>'GİRDİ RAPORU'!H500</f>
        <v>15</v>
      </c>
      <c r="I238" s="18" t="str">
        <f>'GİRDİ RAPORU'!I500</f>
        <v>Hazırlık/İlk Isınma</v>
      </c>
      <c r="J238" s="18">
        <f>'GİRDİ RAPORU'!J1440</f>
        <v>0</v>
      </c>
      <c r="K238" s="18">
        <f>'GİRDİ RAPORU'!K1440</f>
        <v>0</v>
      </c>
      <c r="L238" s="18">
        <f>'GİRDİ RAPORU'!L1440</f>
        <v>0</v>
      </c>
      <c r="M238" s="26">
        <f t="shared" si="9"/>
        <v>0.36799999999999999</v>
      </c>
      <c r="N238" s="26">
        <f t="shared" si="10"/>
        <v>0.1388888888888889</v>
      </c>
      <c r="O238" s="26">
        <f t="shared" si="11"/>
        <v>0.86111111111111116</v>
      </c>
    </row>
    <row r="239" spans="1:15" ht="21.75" hidden="1" customHeight="1">
      <c r="A239" s="17">
        <f>'GİRDİ RAPORU'!A499</f>
        <v>45729</v>
      </c>
      <c r="B239" s="18">
        <f>'GİRDİ RAPORU'!B495</f>
        <v>2</v>
      </c>
      <c r="C239" s="18">
        <f>'GİRDİ RAPORU'!C495</f>
        <v>0</v>
      </c>
      <c r="D239" s="18">
        <f>'GİRDİ RAPORU'!D495</f>
        <v>474</v>
      </c>
      <c r="E239" s="18" t="str">
        <f>'GİRDİ RAPORU'!E495</f>
        <v>Normal Mesai</v>
      </c>
      <c r="F239" s="18">
        <f>'GİRDİ RAPORU'!F495</f>
        <v>15</v>
      </c>
      <c r="G239" s="18" t="str">
        <f>'GİRDİ RAPORU'!G495</f>
        <v>Temizlik</v>
      </c>
      <c r="H239" s="18">
        <f>'GİRDİ RAPORU'!H495</f>
        <v>15</v>
      </c>
      <c r="I239" s="18" t="str">
        <f>'GİRDİ RAPORU'!I495</f>
        <v>Hazırlık/İlk Isınma</v>
      </c>
      <c r="J239" s="18">
        <f>'GİRDİ RAPORU'!J1439</f>
        <v>0</v>
      </c>
      <c r="K239" s="18">
        <f>'GİRDİ RAPORU'!K1439</f>
        <v>0</v>
      </c>
      <c r="L239" s="18">
        <f>'GİRDİ RAPORU'!L1439</f>
        <v>0</v>
      </c>
      <c r="M239" s="26">
        <f t="shared" si="9"/>
        <v>0.63200000000000001</v>
      </c>
      <c r="N239" s="26">
        <f t="shared" si="10"/>
        <v>5.5555555555555552E-2</v>
      </c>
      <c r="O239" s="26">
        <f t="shared" si="11"/>
        <v>0.94444444444444442</v>
      </c>
    </row>
    <row r="240" spans="1:15" ht="21.75" hidden="1" customHeight="1">
      <c r="A240" s="17">
        <f>'GİRDİ RAPORU'!A498</f>
        <v>45728</v>
      </c>
      <c r="B240" s="18">
        <f>'GİRDİ RAPORU'!B494</f>
        <v>2</v>
      </c>
      <c r="C240" s="18">
        <f>'GİRDİ RAPORU'!C494</f>
        <v>0</v>
      </c>
      <c r="D240" s="18">
        <f>'GİRDİ RAPORU'!D494</f>
        <v>232</v>
      </c>
      <c r="E240" s="18" t="str">
        <f>'GİRDİ RAPORU'!E494</f>
        <v>Normal Mesai</v>
      </c>
      <c r="F240" s="18">
        <f>'GİRDİ RAPORU'!F494</f>
        <v>15</v>
      </c>
      <c r="G240" s="18" t="str">
        <f>'GİRDİ RAPORU'!G494</f>
        <v>Temizlik</v>
      </c>
      <c r="H240" s="18">
        <f>'GİRDİ RAPORU'!H494</f>
        <v>15</v>
      </c>
      <c r="I240" s="18" t="str">
        <f>'GİRDİ RAPORU'!I494</f>
        <v>Hazırlık/İlk Isınma</v>
      </c>
      <c r="J240" s="18">
        <f>'GİRDİ RAPORU'!J1438</f>
        <v>0</v>
      </c>
      <c r="K240" s="18">
        <f>'GİRDİ RAPORU'!K1438</f>
        <v>0</v>
      </c>
      <c r="L240" s="18">
        <f>'GİRDİ RAPORU'!L1438</f>
        <v>0</v>
      </c>
      <c r="M240" s="26">
        <f t="shared" si="9"/>
        <v>0.30933333333333335</v>
      </c>
      <c r="N240" s="26">
        <f t="shared" si="10"/>
        <v>5.5555555555555552E-2</v>
      </c>
      <c r="O240" s="26">
        <f t="shared" si="11"/>
        <v>0.94444444444444442</v>
      </c>
    </row>
    <row r="241" spans="1:15" ht="21.75" hidden="1" customHeight="1">
      <c r="A241" s="17">
        <f>'GİRDİ RAPORU'!A497</f>
        <v>45727</v>
      </c>
      <c r="B241" s="18">
        <f>'GİRDİ RAPORU'!B493</f>
        <v>2</v>
      </c>
      <c r="C241" s="18">
        <f>'GİRDİ RAPORU'!C493</f>
        <v>0</v>
      </c>
      <c r="D241" s="18">
        <f>'GİRDİ RAPORU'!D493</f>
        <v>324</v>
      </c>
      <c r="E241" s="18" t="str">
        <f>'GİRDİ RAPORU'!E493</f>
        <v>Normal Mesai</v>
      </c>
      <c r="F241" s="18">
        <f>'GİRDİ RAPORU'!F493</f>
        <v>15</v>
      </c>
      <c r="G241" s="18" t="str">
        <f>'GİRDİ RAPORU'!G493</f>
        <v>Temizlik</v>
      </c>
      <c r="H241" s="18">
        <f>'GİRDİ RAPORU'!H493</f>
        <v>15</v>
      </c>
      <c r="I241" s="18" t="str">
        <f>'GİRDİ RAPORU'!I493</f>
        <v>Hazırlık/İlk Isınma</v>
      </c>
      <c r="J241" s="18">
        <f>'GİRDİ RAPORU'!J1437</f>
        <v>0</v>
      </c>
      <c r="K241" s="18">
        <f>'GİRDİ RAPORU'!K1437</f>
        <v>0</v>
      </c>
      <c r="L241" s="18">
        <f>'GİRDİ RAPORU'!L1437</f>
        <v>0</v>
      </c>
      <c r="M241" s="26">
        <f t="shared" si="9"/>
        <v>0.432</v>
      </c>
      <c r="N241" s="26">
        <f t="shared" si="10"/>
        <v>5.5555555555555552E-2</v>
      </c>
      <c r="O241" s="26">
        <f t="shared" si="11"/>
        <v>0.94444444444444442</v>
      </c>
    </row>
    <row r="242" spans="1:15" ht="21.75" hidden="1" customHeight="1">
      <c r="A242" s="17">
        <f>'GİRDİ RAPORU'!A495</f>
        <v>45726</v>
      </c>
      <c r="B242" s="18">
        <f>'GİRDİ RAPORU'!B492</f>
        <v>2</v>
      </c>
      <c r="C242" s="18">
        <f>'GİRDİ RAPORU'!C492</f>
        <v>0</v>
      </c>
      <c r="D242" s="18">
        <f>'GİRDİ RAPORU'!D492</f>
        <v>222</v>
      </c>
      <c r="E242" s="18" t="str">
        <f>'GİRDİ RAPORU'!E492</f>
        <v>Normal Mesai</v>
      </c>
      <c r="F242" s="18">
        <f>'GİRDİ RAPORU'!F492</f>
        <v>15</v>
      </c>
      <c r="G242" s="18" t="str">
        <f>'GİRDİ RAPORU'!G492</f>
        <v>Temizlik</v>
      </c>
      <c r="H242" s="18">
        <f>'GİRDİ RAPORU'!H492</f>
        <v>15</v>
      </c>
      <c r="I242" s="18" t="str">
        <f>'GİRDİ RAPORU'!I492</f>
        <v>Hazırlık/İlk Isınma</v>
      </c>
      <c r="J242" s="18">
        <f>'GİRDİ RAPORU'!J1436</f>
        <v>0</v>
      </c>
      <c r="K242" s="18">
        <f>'GİRDİ RAPORU'!K1436</f>
        <v>0</v>
      </c>
      <c r="L242" s="18">
        <f>'GİRDİ RAPORU'!L1436</f>
        <v>0</v>
      </c>
      <c r="M242" s="26">
        <f t="shared" si="9"/>
        <v>0.29599999999999999</v>
      </c>
      <c r="N242" s="26">
        <f t="shared" si="10"/>
        <v>5.5555555555555552E-2</v>
      </c>
      <c r="O242" s="26">
        <f t="shared" si="11"/>
        <v>0.94444444444444442</v>
      </c>
    </row>
    <row r="243" spans="1:15" ht="21.75" hidden="1" customHeight="1">
      <c r="A243" s="17">
        <v>45723</v>
      </c>
      <c r="B243" s="18">
        <f>'GİRDİ RAPORU'!B491</f>
        <v>2</v>
      </c>
      <c r="C243" s="18">
        <f>'GİRDİ RAPORU'!C491</f>
        <v>0</v>
      </c>
      <c r="D243" s="18">
        <f>'GİRDİ RAPORU'!D491</f>
        <v>412</v>
      </c>
      <c r="E243" s="18" t="str">
        <f>'GİRDİ RAPORU'!E491</f>
        <v>Normal Mesai</v>
      </c>
      <c r="F243" s="18">
        <f>'GİRDİ RAPORU'!F491</f>
        <v>0</v>
      </c>
      <c r="G243" s="18" t="str">
        <f>'GİRDİ RAPORU'!G491</f>
        <v>Temizlik</v>
      </c>
      <c r="H243" s="18">
        <f>'GİRDİ RAPORU'!H491</f>
        <v>15</v>
      </c>
      <c r="I243" s="18" t="str">
        <f>'GİRDİ RAPORU'!I491</f>
        <v>Hazırlık/İlk Isınma</v>
      </c>
      <c r="J243" s="18">
        <f>'GİRDİ RAPORU'!J1435</f>
        <v>0</v>
      </c>
      <c r="K243" s="18">
        <f>'GİRDİ RAPORU'!K1435</f>
        <v>0</v>
      </c>
      <c r="L243" s="18">
        <f>'GİRDİ RAPORU'!L1435</f>
        <v>0</v>
      </c>
      <c r="M243" s="26">
        <f t="shared" si="9"/>
        <v>0.54933333333333334</v>
      </c>
      <c r="N243" s="26">
        <f t="shared" si="10"/>
        <v>2.7777777777777776E-2</v>
      </c>
      <c r="O243" s="26">
        <f t="shared" si="11"/>
        <v>0.97222222222222221</v>
      </c>
    </row>
    <row r="244" spans="1:15" ht="21.75" hidden="1" customHeight="1">
      <c r="A244" s="17">
        <f>'GİRDİ RAPORU'!A494</f>
        <v>45722</v>
      </c>
      <c r="B244" s="18">
        <f>'GİRDİ RAPORU'!B490</f>
        <v>2</v>
      </c>
      <c r="C244" s="18">
        <f>'GİRDİ RAPORU'!C490</f>
        <v>0</v>
      </c>
      <c r="D244" s="18">
        <f>'GİRDİ RAPORU'!D490</f>
        <v>482</v>
      </c>
      <c r="E244" s="18" t="str">
        <f>'GİRDİ RAPORU'!E490</f>
        <v>Normal Mesai</v>
      </c>
      <c r="F244" s="18">
        <f>'GİRDİ RAPORU'!F490</f>
        <v>59</v>
      </c>
      <c r="G244" s="18" t="str">
        <f>'GİRDİ RAPORU'!G490</f>
        <v>Temizlik</v>
      </c>
      <c r="H244" s="18">
        <f>'GİRDİ RAPORU'!H490</f>
        <v>15</v>
      </c>
      <c r="I244" s="18" t="str">
        <f>'GİRDİ RAPORU'!I490</f>
        <v>Hazırlık/İlk Isınma</v>
      </c>
      <c r="J244" s="18">
        <f>'GİRDİ RAPORU'!J1434</f>
        <v>0</v>
      </c>
      <c r="K244" s="18">
        <f>'GİRDİ RAPORU'!K1434</f>
        <v>0</v>
      </c>
      <c r="L244" s="18">
        <f>'GİRDİ RAPORU'!L1434</f>
        <v>0</v>
      </c>
      <c r="M244" s="26">
        <f t="shared" si="9"/>
        <v>0.64266666666666672</v>
      </c>
      <c r="N244" s="26">
        <f t="shared" si="10"/>
        <v>0.13703703703703704</v>
      </c>
      <c r="O244" s="26">
        <f t="shared" si="11"/>
        <v>0.86296296296296293</v>
      </c>
    </row>
    <row r="245" spans="1:15" ht="21.75" hidden="1" customHeight="1">
      <c r="A245" s="17">
        <f>'GİRDİ RAPORU'!A493</f>
        <v>45721</v>
      </c>
      <c r="B245" s="18">
        <f>'GİRDİ RAPORU'!B489</f>
        <v>2</v>
      </c>
      <c r="C245" s="18">
        <f>'GİRDİ RAPORU'!C489</f>
        <v>0</v>
      </c>
      <c r="D245" s="18">
        <f>'GİRDİ RAPORU'!D489</f>
        <v>418</v>
      </c>
      <c r="E245" s="18" t="str">
        <f>'GİRDİ RAPORU'!E489</f>
        <v>Normal Mesai</v>
      </c>
      <c r="F245" s="18">
        <f>'GİRDİ RAPORU'!F489</f>
        <v>15</v>
      </c>
      <c r="G245" s="18" t="str">
        <f>'GİRDİ RAPORU'!G489</f>
        <v>Temizlik</v>
      </c>
      <c r="H245" s="18">
        <f>'GİRDİ RAPORU'!H489</f>
        <v>15</v>
      </c>
      <c r="I245" s="18" t="str">
        <f>'GİRDİ RAPORU'!I489</f>
        <v>Hazırlık/İlk Isınma</v>
      </c>
      <c r="J245" s="18">
        <f>'GİRDİ RAPORU'!J1433</f>
        <v>0</v>
      </c>
      <c r="K245" s="18">
        <f>'GİRDİ RAPORU'!K1433</f>
        <v>0</v>
      </c>
      <c r="L245" s="18">
        <f>'GİRDİ RAPORU'!L1433</f>
        <v>0</v>
      </c>
      <c r="M245" s="26">
        <f t="shared" si="9"/>
        <v>0.55733333333333335</v>
      </c>
      <c r="N245" s="26">
        <f t="shared" si="10"/>
        <v>5.5555555555555552E-2</v>
      </c>
      <c r="O245" s="26">
        <f t="shared" si="11"/>
        <v>0.94444444444444442</v>
      </c>
    </row>
    <row r="246" spans="1:15" ht="21.75" hidden="1" customHeight="1">
      <c r="A246" s="17">
        <f>'GİRDİ RAPORU'!A492</f>
        <v>45720</v>
      </c>
      <c r="B246" s="18">
        <f>'GİRDİ RAPORU'!B488</f>
        <v>2</v>
      </c>
      <c r="C246" s="18">
        <f>'GİRDİ RAPORU'!C488</f>
        <v>0</v>
      </c>
      <c r="D246" s="18">
        <f>'GİRDİ RAPORU'!D488</f>
        <v>416</v>
      </c>
      <c r="E246" s="18" t="str">
        <f>'GİRDİ RAPORU'!E488</f>
        <v>Normal Mesai</v>
      </c>
      <c r="F246" s="18">
        <f>'GİRDİ RAPORU'!F488</f>
        <v>15</v>
      </c>
      <c r="G246" s="18" t="str">
        <f>'GİRDİ RAPORU'!G488</f>
        <v>Temizlik</v>
      </c>
      <c r="H246" s="18">
        <f>'GİRDİ RAPORU'!H488</f>
        <v>15</v>
      </c>
      <c r="I246" s="18" t="str">
        <f>'GİRDİ RAPORU'!I488</f>
        <v>Hazırlık/İlk Isınma</v>
      </c>
      <c r="J246" s="18">
        <f>'GİRDİ RAPORU'!J1432</f>
        <v>0</v>
      </c>
      <c r="K246" s="18">
        <f>'GİRDİ RAPORU'!K1432</f>
        <v>0</v>
      </c>
      <c r="L246" s="18">
        <f>'GİRDİ RAPORU'!L1432</f>
        <v>0</v>
      </c>
      <c r="M246" s="26">
        <f t="shared" si="9"/>
        <v>0.55466666666666664</v>
      </c>
      <c r="N246" s="26">
        <f t="shared" si="10"/>
        <v>5.5555555555555552E-2</v>
      </c>
      <c r="O246" s="26">
        <f t="shared" si="11"/>
        <v>0.94444444444444442</v>
      </c>
    </row>
    <row r="247" spans="1:15" ht="21.75" hidden="1" customHeight="1">
      <c r="A247" s="17">
        <f>'GİRDİ RAPORU'!A491</f>
        <v>45719</v>
      </c>
      <c r="B247" s="18">
        <f>'GİRDİ RAPORU'!B486</f>
        <v>2</v>
      </c>
      <c r="C247" s="18">
        <f>'GİRDİ RAPORU'!C486</f>
        <v>0</v>
      </c>
      <c r="D247" s="18">
        <f>'GİRDİ RAPORU'!D486</f>
        <v>320</v>
      </c>
      <c r="E247" s="18" t="str">
        <f>'GİRDİ RAPORU'!E486</f>
        <v>Normal Mesai</v>
      </c>
      <c r="F247" s="18">
        <f>'GİRDİ RAPORU'!F486</f>
        <v>15</v>
      </c>
      <c r="G247" s="18" t="str">
        <f>'GİRDİ RAPORU'!G486</f>
        <v>Temizlik</v>
      </c>
      <c r="H247" s="18">
        <f>'GİRDİ RAPORU'!H486</f>
        <v>0</v>
      </c>
      <c r="I247" s="18">
        <f>'GİRDİ RAPORU'!I486</f>
        <v>0</v>
      </c>
      <c r="J247" s="18">
        <f>'GİRDİ RAPORU'!J1431</f>
        <v>0</v>
      </c>
      <c r="K247" s="18">
        <f>'GİRDİ RAPORU'!K1431</f>
        <v>0</v>
      </c>
      <c r="L247" s="18">
        <f>'GİRDİ RAPORU'!L1431</f>
        <v>0</v>
      </c>
      <c r="M247" s="26">
        <f t="shared" si="9"/>
        <v>0.42666666666666669</v>
      </c>
      <c r="N247" s="26">
        <f t="shared" si="10"/>
        <v>2.7777777777777776E-2</v>
      </c>
      <c r="O247" s="26">
        <f t="shared" si="11"/>
        <v>0.97222222222222221</v>
      </c>
    </row>
    <row r="248" spans="1:15" ht="21.75" hidden="1" customHeight="1">
      <c r="A248" s="17">
        <f>'GİRDİ RAPORU'!A490</f>
        <v>45716</v>
      </c>
      <c r="B248" s="18">
        <f>'GİRDİ RAPORU'!B487</f>
        <v>2</v>
      </c>
      <c r="C248" s="18">
        <f>'GİRDİ RAPORU'!C487</f>
        <v>0</v>
      </c>
      <c r="D248" s="18">
        <v>442</v>
      </c>
      <c r="E248" s="18" t="str">
        <f>'GİRDİ RAPORU'!E487</f>
        <v>Normal Mesai</v>
      </c>
      <c r="F248" s="18">
        <f>'GİRDİ RAPORU'!F487</f>
        <v>15</v>
      </c>
      <c r="G248" s="18" t="str">
        <f>'GİRDİ RAPORU'!G487</f>
        <v>Temizlik</v>
      </c>
      <c r="H248" s="18">
        <f>'GİRDİ RAPORU'!H487</f>
        <v>15</v>
      </c>
      <c r="I248" s="18" t="str">
        <f>'GİRDİ RAPORU'!I487</f>
        <v>Hazırlık/İlk Isınma</v>
      </c>
      <c r="J248" s="18">
        <f>'GİRDİ RAPORU'!J1430</f>
        <v>0</v>
      </c>
      <c r="K248" s="18">
        <f>'GİRDİ RAPORU'!K1430</f>
        <v>0</v>
      </c>
      <c r="L248" s="18">
        <f>'GİRDİ RAPORU'!L1430</f>
        <v>0</v>
      </c>
      <c r="M248" s="26">
        <f t="shared" si="9"/>
        <v>0.58933333333333338</v>
      </c>
      <c r="N248" s="26">
        <f t="shared" si="10"/>
        <v>5.5555555555555552E-2</v>
      </c>
      <c r="O248" s="26">
        <f t="shared" si="11"/>
        <v>0.94444444444444442</v>
      </c>
    </row>
    <row r="249" spans="1:15" ht="21.75" hidden="1" customHeight="1">
      <c r="A249" s="17">
        <f>'GİRDİ RAPORU'!A489</f>
        <v>45715</v>
      </c>
      <c r="B249" s="18">
        <f>'GİRDİ RAPORU'!B483</f>
        <v>2</v>
      </c>
      <c r="C249" s="18">
        <f>'GİRDİ RAPORU'!C483</f>
        <v>0</v>
      </c>
      <c r="D249" s="18">
        <f>'GİRDİ RAPORU'!D483</f>
        <v>444</v>
      </c>
      <c r="E249" s="18" t="str">
        <f>'GİRDİ RAPORU'!E483</f>
        <v>Normal Mesai</v>
      </c>
      <c r="F249" s="18">
        <v>45</v>
      </c>
      <c r="G249" s="18" t="str">
        <f>'GİRDİ RAPORU'!G483</f>
        <v>Temizlik</v>
      </c>
      <c r="H249" s="18">
        <v>15</v>
      </c>
      <c r="I249" s="18" t="s">
        <v>10</v>
      </c>
      <c r="J249" s="18">
        <f>'GİRDİ RAPORU'!J1429</f>
        <v>0</v>
      </c>
      <c r="K249" s="18">
        <f>'GİRDİ RAPORU'!K1429</f>
        <v>0</v>
      </c>
      <c r="L249" s="18">
        <f>'GİRDİ RAPORU'!L1429</f>
        <v>0</v>
      </c>
      <c r="M249" s="26">
        <f t="shared" si="9"/>
        <v>0.59199999999999997</v>
      </c>
      <c r="N249" s="26">
        <f t="shared" si="10"/>
        <v>0.1111111111111111</v>
      </c>
      <c r="O249" s="26">
        <f t="shared" si="11"/>
        <v>0.88888888888888884</v>
      </c>
    </row>
    <row r="250" spans="1:15" ht="21.75" hidden="1" customHeight="1">
      <c r="A250" s="17">
        <f>'GİRDİ RAPORU'!A488</f>
        <v>45714</v>
      </c>
      <c r="B250" s="18">
        <f>'GİRDİ RAPORU'!B484</f>
        <v>2</v>
      </c>
      <c r="C250" s="18">
        <f>'GİRDİ RAPORU'!C484</f>
        <v>0</v>
      </c>
      <c r="D250" s="18">
        <f>'GİRDİ RAPORU'!D484</f>
        <v>485</v>
      </c>
      <c r="E250" s="18" t="str">
        <f>'GİRDİ RAPORU'!E484</f>
        <v>Normal Mesai</v>
      </c>
      <c r="F250" s="18">
        <f>'GİRDİ RAPORU'!F484</f>
        <v>15</v>
      </c>
      <c r="G250" s="18" t="str">
        <f>'GİRDİ RAPORU'!G484</f>
        <v>Temizlik</v>
      </c>
      <c r="H250" s="18">
        <v>15</v>
      </c>
      <c r="I250" s="18" t="s">
        <v>10</v>
      </c>
      <c r="J250" s="18">
        <f>'GİRDİ RAPORU'!J1428</f>
        <v>0</v>
      </c>
      <c r="K250" s="18">
        <f>'GİRDİ RAPORU'!K1428</f>
        <v>0</v>
      </c>
      <c r="L250" s="18">
        <f>'GİRDİ RAPORU'!L1428</f>
        <v>0</v>
      </c>
      <c r="M250" s="26">
        <f t="shared" si="9"/>
        <v>0.64666666666666661</v>
      </c>
      <c r="N250" s="26">
        <f t="shared" si="10"/>
        <v>5.5555555555555552E-2</v>
      </c>
      <c r="O250" s="26">
        <f t="shared" si="11"/>
        <v>0.94444444444444442</v>
      </c>
    </row>
    <row r="251" spans="1:15" ht="21.75" hidden="1" customHeight="1">
      <c r="A251" s="17">
        <f>'GİRDİ RAPORU'!A486</f>
        <v>45713</v>
      </c>
      <c r="B251" s="18">
        <f>'GİRDİ RAPORU'!B485</f>
        <v>2</v>
      </c>
      <c r="C251" s="18">
        <f>'GİRDİ RAPORU'!C485</f>
        <v>0</v>
      </c>
      <c r="D251" s="18">
        <f>'GİRDİ RAPORU'!D485</f>
        <v>320</v>
      </c>
      <c r="E251" s="18" t="str">
        <f>'GİRDİ RAPORU'!E485</f>
        <v>Normal Mesai</v>
      </c>
      <c r="F251" s="18">
        <f>'GİRDİ RAPORU'!F485</f>
        <v>15</v>
      </c>
      <c r="G251" s="18" t="str">
        <f>'GİRDİ RAPORU'!G485</f>
        <v>Temizlik</v>
      </c>
      <c r="H251" s="18">
        <v>15</v>
      </c>
      <c r="I251" s="18" t="s">
        <v>10</v>
      </c>
      <c r="J251" s="18">
        <f>'GİRDİ RAPORU'!J1427</f>
        <v>0</v>
      </c>
      <c r="K251" s="18">
        <f>'GİRDİ RAPORU'!K1427</f>
        <v>0</v>
      </c>
      <c r="L251" s="18">
        <f>'GİRDİ RAPORU'!L1427</f>
        <v>0</v>
      </c>
      <c r="M251" s="26">
        <f t="shared" si="9"/>
        <v>0.42666666666666669</v>
      </c>
      <c r="N251" s="26">
        <f t="shared" si="10"/>
        <v>5.5555555555555552E-2</v>
      </c>
      <c r="O251" s="26">
        <f t="shared" si="11"/>
        <v>0.94444444444444442</v>
      </c>
    </row>
    <row r="252" spans="1:15" ht="21.75" hidden="1" customHeight="1">
      <c r="A252" s="17">
        <f>'GİRDİ RAPORU'!A487</f>
        <v>45712</v>
      </c>
      <c r="B252" s="18">
        <f>'GİRDİ RAPORU'!B481</f>
        <v>2</v>
      </c>
      <c r="C252" s="18">
        <f>'GİRDİ RAPORU'!C481</f>
        <v>0</v>
      </c>
      <c r="D252" s="18">
        <f>'GİRDİ RAPORU'!D481</f>
        <v>274</v>
      </c>
      <c r="E252" s="18" t="str">
        <f>'GİRDİ RAPORU'!E481</f>
        <v>Normal Mesai</v>
      </c>
      <c r="F252" s="18">
        <f>'GİRDİ RAPORU'!F481</f>
        <v>15</v>
      </c>
      <c r="G252" s="18" t="str">
        <f>'GİRDİ RAPORU'!G481</f>
        <v>Temizlik</v>
      </c>
      <c r="H252" s="18">
        <v>15</v>
      </c>
      <c r="I252" s="18" t="s">
        <v>10</v>
      </c>
      <c r="J252" s="18">
        <f>'GİRDİ RAPORU'!J1426</f>
        <v>0</v>
      </c>
      <c r="K252" s="18">
        <f>'GİRDİ RAPORU'!K1426</f>
        <v>0</v>
      </c>
      <c r="L252" s="18">
        <f>'GİRDİ RAPORU'!L1426</f>
        <v>0</v>
      </c>
      <c r="M252" s="26">
        <f t="shared" si="9"/>
        <v>0.36533333333333334</v>
      </c>
      <c r="N252" s="26">
        <f t="shared" si="10"/>
        <v>5.5555555555555552E-2</v>
      </c>
      <c r="O252" s="26">
        <f t="shared" si="11"/>
        <v>0.94444444444444442</v>
      </c>
    </row>
    <row r="253" spans="1:15" ht="21.75" hidden="1" customHeight="1">
      <c r="A253" s="17">
        <v>45709</v>
      </c>
      <c r="B253" s="18">
        <f>'GİRDİ RAPORU'!B480</f>
        <v>2</v>
      </c>
      <c r="C253" s="18">
        <f>'GİRDİ RAPORU'!C480</f>
        <v>0</v>
      </c>
      <c r="D253" s="18">
        <f>'GİRDİ RAPORU'!D480</f>
        <v>334</v>
      </c>
      <c r="E253" s="18" t="str">
        <f>'GİRDİ RAPORU'!E480</f>
        <v>Normal Mesai</v>
      </c>
      <c r="F253" s="18">
        <f>'GİRDİ RAPORU'!F480</f>
        <v>30</v>
      </c>
      <c r="G253" s="18" t="str">
        <f>'GİRDİ RAPORU'!G480</f>
        <v>Temizlik</v>
      </c>
      <c r="H253" s="18">
        <v>15</v>
      </c>
      <c r="I253" s="18" t="s">
        <v>10</v>
      </c>
      <c r="J253" s="18">
        <f>'GİRDİ RAPORU'!J1425</f>
        <v>0</v>
      </c>
      <c r="K253" s="18">
        <f>'GİRDİ RAPORU'!K1425</f>
        <v>0</v>
      </c>
      <c r="L253" s="18">
        <f>'GİRDİ RAPORU'!L1425</f>
        <v>0</v>
      </c>
      <c r="M253" s="26">
        <f t="shared" si="9"/>
        <v>0.44533333333333336</v>
      </c>
      <c r="N253" s="26">
        <f t="shared" si="10"/>
        <v>8.3333333333333329E-2</v>
      </c>
      <c r="O253" s="26">
        <f t="shared" si="11"/>
        <v>0.91666666666666663</v>
      </c>
    </row>
    <row r="254" spans="1:15" ht="21.75" hidden="1" customHeight="1">
      <c r="A254" s="17">
        <f>'GİRDİ RAPORU'!A484</f>
        <v>45708</v>
      </c>
      <c r="B254" s="18">
        <f>'GİRDİ RAPORU'!B479</f>
        <v>2</v>
      </c>
      <c r="C254" s="18">
        <f>'GİRDİ RAPORU'!C479</f>
        <v>0</v>
      </c>
      <c r="D254" s="18">
        <f>'GİRDİ RAPORU'!D479</f>
        <v>458</v>
      </c>
      <c r="E254" s="18" t="str">
        <f>'GİRDİ RAPORU'!E479</f>
        <v>Normal Mesai</v>
      </c>
      <c r="F254" s="18">
        <f>'GİRDİ RAPORU'!F479</f>
        <v>55</v>
      </c>
      <c r="G254" s="18" t="str">
        <f>'GİRDİ RAPORU'!G479</f>
        <v>Temizlik</v>
      </c>
      <c r="H254" s="18">
        <v>15</v>
      </c>
      <c r="I254" s="18" t="s">
        <v>10</v>
      </c>
      <c r="J254" s="18">
        <f>'GİRDİ RAPORU'!J1424</f>
        <v>0</v>
      </c>
      <c r="K254" s="18">
        <f>'GİRDİ RAPORU'!K1424</f>
        <v>0</v>
      </c>
      <c r="L254" s="18">
        <f>'GİRDİ RAPORU'!L1424</f>
        <v>0</v>
      </c>
      <c r="M254" s="26">
        <f t="shared" si="9"/>
        <v>0.61066666666666669</v>
      </c>
      <c r="N254" s="26">
        <f t="shared" si="10"/>
        <v>0.12962962962962962</v>
      </c>
      <c r="O254" s="26">
        <f t="shared" si="11"/>
        <v>0.87037037037037035</v>
      </c>
    </row>
    <row r="255" spans="1:15" ht="21.75" hidden="1" customHeight="1">
      <c r="A255" s="17">
        <v>45707</v>
      </c>
      <c r="B255" s="18">
        <f>'GİRDİ RAPORU'!B476</f>
        <v>2</v>
      </c>
      <c r="C255" s="18">
        <f>'GİRDİ RAPORU'!C476</f>
        <v>0</v>
      </c>
      <c r="D255" s="18">
        <f>'GİRDİ RAPORU'!D476</f>
        <v>398</v>
      </c>
      <c r="E255" s="18" t="str">
        <f>'GİRDİ RAPORU'!E476</f>
        <v>Normal Mesai</v>
      </c>
      <c r="F255" s="18">
        <f>'GİRDİ RAPORU'!F476</f>
        <v>15</v>
      </c>
      <c r="G255" s="18" t="str">
        <f>'GİRDİ RAPORU'!G476</f>
        <v>Temizlik</v>
      </c>
      <c r="H255" s="18">
        <v>15</v>
      </c>
      <c r="I255" s="18" t="s">
        <v>10</v>
      </c>
      <c r="J255" s="18">
        <f>'GİRDİ RAPORU'!J1423</f>
        <v>0</v>
      </c>
      <c r="K255" s="18">
        <f>'GİRDİ RAPORU'!K1423</f>
        <v>0</v>
      </c>
      <c r="L255" s="18">
        <f>'GİRDİ RAPORU'!L1423</f>
        <v>0</v>
      </c>
      <c r="M255" s="26">
        <f t="shared" si="9"/>
        <v>0.53066666666666662</v>
      </c>
      <c r="N255" s="26">
        <f t="shared" si="10"/>
        <v>5.5555555555555552E-2</v>
      </c>
      <c r="O255" s="26">
        <f t="shared" si="11"/>
        <v>0.94444444444444442</v>
      </c>
    </row>
    <row r="256" spans="1:15" ht="21.75" hidden="1" customHeight="1">
      <c r="A256" s="17">
        <f>'GİRDİ RAPORU'!A481</f>
        <v>45706</v>
      </c>
      <c r="B256" s="18">
        <f>'GİRDİ RAPORU'!B475</f>
        <v>2</v>
      </c>
      <c r="C256" s="18">
        <f>'GİRDİ RAPORU'!C475</f>
        <v>0</v>
      </c>
      <c r="D256" s="18">
        <f>'GİRDİ RAPORU'!D475</f>
        <v>424</v>
      </c>
      <c r="E256" s="18" t="str">
        <f>'GİRDİ RAPORU'!E475</f>
        <v>Normal Mesai</v>
      </c>
      <c r="F256" s="18">
        <f>'GİRDİ RAPORU'!F475</f>
        <v>15</v>
      </c>
      <c r="G256" s="18" t="str">
        <f>'GİRDİ RAPORU'!G475</f>
        <v>Temizlik</v>
      </c>
      <c r="H256" s="18">
        <v>15</v>
      </c>
      <c r="I256" s="18" t="s">
        <v>10</v>
      </c>
      <c r="J256" s="18">
        <f>'GİRDİ RAPORU'!J1422</f>
        <v>0</v>
      </c>
      <c r="K256" s="18">
        <f>'GİRDİ RAPORU'!K1422</f>
        <v>0</v>
      </c>
      <c r="L256" s="18">
        <f>'GİRDİ RAPORU'!L1422</f>
        <v>0</v>
      </c>
      <c r="M256" s="26">
        <f t="shared" si="9"/>
        <v>0.56533333333333335</v>
      </c>
      <c r="N256" s="26">
        <f t="shared" si="10"/>
        <v>5.5555555555555552E-2</v>
      </c>
      <c r="O256" s="26">
        <f t="shared" si="11"/>
        <v>0.94444444444444442</v>
      </c>
    </row>
    <row r="257" spans="1:15" ht="21.75" hidden="1" customHeight="1">
      <c r="A257" s="17">
        <f>'GİRDİ RAPORU'!A480</f>
        <v>45705</v>
      </c>
      <c r="B257" s="18">
        <f>'GİRDİ RAPORU'!B470</f>
        <v>2</v>
      </c>
      <c r="C257" s="18">
        <f>'GİRDİ RAPORU'!C470</f>
        <v>0</v>
      </c>
      <c r="D257" s="18">
        <f>'GİRDİ RAPORU'!D470</f>
        <v>520</v>
      </c>
      <c r="E257" s="18" t="str">
        <f>'GİRDİ RAPORU'!E470</f>
        <v>Normal Mesai</v>
      </c>
      <c r="F257" s="18">
        <f>'GİRDİ RAPORU'!F470</f>
        <v>10</v>
      </c>
      <c r="G257" s="18" t="str">
        <f>'GİRDİ RAPORU'!G470</f>
        <v>Temizlik</v>
      </c>
      <c r="H257" s="18">
        <v>15</v>
      </c>
      <c r="I257" s="18" t="s">
        <v>10</v>
      </c>
      <c r="J257" s="18">
        <f>'GİRDİ RAPORU'!J1421</f>
        <v>0</v>
      </c>
      <c r="K257" s="18">
        <f>'GİRDİ RAPORU'!K1421</f>
        <v>0</v>
      </c>
      <c r="L257" s="18">
        <f>'GİRDİ RAPORU'!L1421</f>
        <v>0</v>
      </c>
      <c r="M257" s="26">
        <f t="shared" si="9"/>
        <v>0.69333333333333336</v>
      </c>
      <c r="N257" s="26">
        <f t="shared" si="10"/>
        <v>4.6296296296296294E-2</v>
      </c>
      <c r="O257" s="26">
        <f t="shared" si="11"/>
        <v>0.95370370370370372</v>
      </c>
    </row>
    <row r="258" spans="1:15" ht="21.75" hidden="1" customHeight="1">
      <c r="A258" s="17">
        <f>'GİRDİ RAPORU'!A479</f>
        <v>45702</v>
      </c>
      <c r="B258" s="18">
        <f>'GİRDİ RAPORU'!B474</f>
        <v>2</v>
      </c>
      <c r="C258" s="18">
        <f>'GİRDİ RAPORU'!C474</f>
        <v>0</v>
      </c>
      <c r="D258" s="18">
        <f>'GİRDİ RAPORU'!D474</f>
        <v>345</v>
      </c>
      <c r="E258" s="18" t="str">
        <f>'GİRDİ RAPORU'!E474</f>
        <v>Normal Mesai</v>
      </c>
      <c r="F258" s="18">
        <f>'GİRDİ RAPORU'!F474</f>
        <v>15</v>
      </c>
      <c r="G258" s="18" t="str">
        <f>'GİRDİ RAPORU'!G474</f>
        <v>Temizlik</v>
      </c>
      <c r="H258" s="18">
        <v>15</v>
      </c>
      <c r="I258" s="18" t="s">
        <v>10</v>
      </c>
      <c r="J258" s="18">
        <f>'GİRDİ RAPORU'!J1420</f>
        <v>0</v>
      </c>
      <c r="K258" s="18">
        <f>'GİRDİ RAPORU'!K1420</f>
        <v>0</v>
      </c>
      <c r="L258" s="18">
        <f>'GİRDİ RAPORU'!L1420</f>
        <v>0</v>
      </c>
      <c r="M258" s="26">
        <f t="shared" ref="M258:M321" si="12">(C258+D258)/750</f>
        <v>0.46</v>
      </c>
      <c r="N258" s="26">
        <f t="shared" ref="N258:N321" si="13">(F258+H258+J258)/540</f>
        <v>5.5555555555555552E-2</v>
      </c>
      <c r="O258" s="26">
        <f t="shared" ref="O258:O321" si="14">(540-F258-H258-J258)/540</f>
        <v>0.94444444444444442</v>
      </c>
    </row>
    <row r="259" spans="1:15" ht="21.75" hidden="1" customHeight="1">
      <c r="A259" s="17">
        <f>'GİRDİ RAPORU'!A476</f>
        <v>45701</v>
      </c>
      <c r="B259" s="18">
        <f>'GİRDİ RAPORU'!B473</f>
        <v>2</v>
      </c>
      <c r="C259" s="18">
        <f>'GİRDİ RAPORU'!C473</f>
        <v>0</v>
      </c>
      <c r="D259" s="18">
        <f>'GİRDİ RAPORU'!D473</f>
        <v>436</v>
      </c>
      <c r="E259" s="18" t="str">
        <f>'GİRDİ RAPORU'!E473</f>
        <v>Normal Mesai</v>
      </c>
      <c r="F259" s="18">
        <v>45</v>
      </c>
      <c r="G259" s="18" t="str">
        <f>'GİRDİ RAPORU'!G473</f>
        <v>Temizlik</v>
      </c>
      <c r="H259" s="18">
        <v>15</v>
      </c>
      <c r="I259" s="18" t="s">
        <v>10</v>
      </c>
      <c r="J259" s="18">
        <f>'GİRDİ RAPORU'!J1419</f>
        <v>0</v>
      </c>
      <c r="K259" s="18">
        <f>'GİRDİ RAPORU'!K1419</f>
        <v>0</v>
      </c>
      <c r="L259" s="18">
        <f>'GİRDİ RAPORU'!L1419</f>
        <v>0</v>
      </c>
      <c r="M259" s="26">
        <f t="shared" si="12"/>
        <v>0.58133333333333337</v>
      </c>
      <c r="N259" s="26">
        <f t="shared" si="13"/>
        <v>0.1111111111111111</v>
      </c>
      <c r="O259" s="26">
        <f t="shared" si="14"/>
        <v>0.88888888888888884</v>
      </c>
    </row>
    <row r="260" spans="1:15" ht="21.75" hidden="1" customHeight="1">
      <c r="A260" s="17">
        <f>'GİRDİ RAPORU'!A475</f>
        <v>45700</v>
      </c>
      <c r="B260" s="18">
        <f>'GİRDİ RAPORU'!B478</f>
        <v>2</v>
      </c>
      <c r="C260" s="18">
        <f>'GİRDİ RAPORU'!C478</f>
        <v>0</v>
      </c>
      <c r="D260" s="18">
        <f>'GİRDİ RAPORU'!D478</f>
        <v>396</v>
      </c>
      <c r="E260" s="18" t="str">
        <f>'GİRDİ RAPORU'!E478</f>
        <v>Normal Mesai</v>
      </c>
      <c r="F260" s="18">
        <f>'GİRDİ RAPORU'!F478</f>
        <v>15</v>
      </c>
      <c r="G260" s="18" t="str">
        <f>'GİRDİ RAPORU'!G478</f>
        <v>Temizlik</v>
      </c>
      <c r="H260" s="18">
        <v>15</v>
      </c>
      <c r="I260" s="18" t="s">
        <v>10</v>
      </c>
      <c r="J260" s="18">
        <f>'GİRDİ RAPORU'!J1418</f>
        <v>0</v>
      </c>
      <c r="K260" s="18">
        <f>'GİRDİ RAPORU'!K1418</f>
        <v>0</v>
      </c>
      <c r="L260" s="18">
        <f>'GİRDİ RAPORU'!L1418</f>
        <v>0</v>
      </c>
      <c r="M260" s="26">
        <f t="shared" si="12"/>
        <v>0.52800000000000002</v>
      </c>
      <c r="N260" s="26">
        <f t="shared" si="13"/>
        <v>5.5555555555555552E-2</v>
      </c>
      <c r="O260" s="26">
        <f t="shared" si="14"/>
        <v>0.94444444444444442</v>
      </c>
    </row>
    <row r="261" spans="1:15" ht="21.75" hidden="1" customHeight="1">
      <c r="A261" s="17">
        <v>45699</v>
      </c>
      <c r="B261" s="18">
        <f>'GİRDİ RAPORU'!B477</f>
        <v>2</v>
      </c>
      <c r="C261" s="18">
        <f>'GİRDİ RAPORU'!C477</f>
        <v>0</v>
      </c>
      <c r="D261" s="18">
        <f>'GİRDİ RAPORU'!D477</f>
        <v>388</v>
      </c>
      <c r="E261" s="18" t="str">
        <f>'GİRDİ RAPORU'!E477</f>
        <v>Normal Mesai</v>
      </c>
      <c r="F261" s="18">
        <f>'GİRDİ RAPORU'!F477</f>
        <v>15</v>
      </c>
      <c r="G261" s="18" t="str">
        <f>'GİRDİ RAPORU'!G477</f>
        <v>Temizlik</v>
      </c>
      <c r="H261" s="18">
        <v>15</v>
      </c>
      <c r="I261" s="18" t="s">
        <v>10</v>
      </c>
      <c r="J261" s="18">
        <f>'GİRDİ RAPORU'!J1417</f>
        <v>0</v>
      </c>
      <c r="K261" s="18">
        <f>'GİRDİ RAPORU'!K1417</f>
        <v>0</v>
      </c>
      <c r="L261" s="18">
        <f>'GİRDİ RAPORU'!L1417</f>
        <v>0</v>
      </c>
      <c r="M261" s="26">
        <f t="shared" si="12"/>
        <v>0.51733333333333331</v>
      </c>
      <c r="N261" s="26">
        <f t="shared" si="13"/>
        <v>5.5555555555555552E-2</v>
      </c>
      <c r="O261" s="26">
        <f t="shared" si="14"/>
        <v>0.94444444444444442</v>
      </c>
    </row>
    <row r="262" spans="1:15" ht="21.75" hidden="1" customHeight="1">
      <c r="A262" s="17">
        <f>'GİRDİ RAPORU'!A474</f>
        <v>45698</v>
      </c>
      <c r="B262" s="18">
        <f>'GİRDİ RAPORU'!B469</f>
        <v>2</v>
      </c>
      <c r="C262" s="18">
        <f>'GİRDİ RAPORU'!C469</f>
        <v>0</v>
      </c>
      <c r="D262" s="18">
        <f>'GİRDİ RAPORU'!D469</f>
        <v>422</v>
      </c>
      <c r="E262" s="18" t="str">
        <f>'GİRDİ RAPORU'!E469</f>
        <v>Normal Mesai</v>
      </c>
      <c r="F262" s="18">
        <f>'GİRDİ RAPORU'!F469</f>
        <v>10</v>
      </c>
      <c r="G262" s="18" t="str">
        <f>'GİRDİ RAPORU'!G469</f>
        <v>Temizlik</v>
      </c>
      <c r="H262" s="18">
        <v>15</v>
      </c>
      <c r="I262" s="18" t="s">
        <v>10</v>
      </c>
      <c r="J262" s="18">
        <f>'GİRDİ RAPORU'!J1416</f>
        <v>0</v>
      </c>
      <c r="K262" s="18">
        <f>'GİRDİ RAPORU'!K1416</f>
        <v>0</v>
      </c>
      <c r="L262" s="18">
        <f>'GİRDİ RAPORU'!L1416</f>
        <v>0</v>
      </c>
      <c r="M262" s="26">
        <f t="shared" si="12"/>
        <v>0.56266666666666665</v>
      </c>
      <c r="N262" s="26">
        <f t="shared" si="13"/>
        <v>4.6296296296296294E-2</v>
      </c>
      <c r="O262" s="26">
        <f t="shared" si="14"/>
        <v>0.95370370370370372</v>
      </c>
    </row>
    <row r="263" spans="1:15" ht="21.75" hidden="1" customHeight="1">
      <c r="A263" s="17">
        <f>'GİRDİ RAPORU'!A473</f>
        <v>45695</v>
      </c>
      <c r="B263" s="18">
        <f>'GİRDİ RAPORU'!B468</f>
        <v>2</v>
      </c>
      <c r="C263" s="18">
        <f>'GİRDİ RAPORU'!C468</f>
        <v>0</v>
      </c>
      <c r="D263" s="18">
        <f>'GİRDİ RAPORU'!D468</f>
        <v>694</v>
      </c>
      <c r="E263" s="18" t="str">
        <f>'GİRDİ RAPORU'!E468</f>
        <v>Normal Mesai</v>
      </c>
      <c r="F263" s="18">
        <v>15</v>
      </c>
      <c r="G263" s="18" t="s">
        <v>4</v>
      </c>
      <c r="H263" s="18">
        <v>15</v>
      </c>
      <c r="I263" s="18" t="s">
        <v>10</v>
      </c>
      <c r="J263" s="18">
        <f>'GİRDİ RAPORU'!J1415</f>
        <v>0</v>
      </c>
      <c r="K263" s="18">
        <f>'GİRDİ RAPORU'!K1415</f>
        <v>0</v>
      </c>
      <c r="L263" s="18">
        <f>'GİRDİ RAPORU'!L1415</f>
        <v>0</v>
      </c>
      <c r="M263" s="26">
        <f t="shared" si="12"/>
        <v>0.92533333333333334</v>
      </c>
      <c r="N263" s="26">
        <f t="shared" si="13"/>
        <v>5.5555555555555552E-2</v>
      </c>
      <c r="O263" s="26">
        <f t="shared" si="14"/>
        <v>0.94444444444444442</v>
      </c>
    </row>
    <row r="264" spans="1:15" ht="21.75" hidden="1" customHeight="1">
      <c r="A264" s="17">
        <f>'GİRDİ RAPORU'!A478</f>
        <v>45694</v>
      </c>
      <c r="B264" s="18">
        <f>'GİRDİ RAPORU'!B466</f>
        <v>2</v>
      </c>
      <c r="C264" s="18">
        <f>'GİRDİ RAPORU'!C466</f>
        <v>0</v>
      </c>
      <c r="D264" s="18">
        <f>'GİRDİ RAPORU'!D466</f>
        <v>30</v>
      </c>
      <c r="E264" s="18" t="str">
        <f>'GİRDİ RAPORU'!E466</f>
        <v>Normal Mesai</v>
      </c>
      <c r="F264" s="18">
        <f>'GİRDİ RAPORU'!F466</f>
        <v>360</v>
      </c>
      <c r="G264" s="18" t="str">
        <f>'GİRDİ RAPORU'!G466</f>
        <v>Makine Arızası</v>
      </c>
      <c r="H264" s="18">
        <f>'GİRDİ RAPORU'!H466</f>
        <v>0</v>
      </c>
      <c r="I264" s="18">
        <f>'GİRDİ RAPORU'!I466</f>
        <v>0</v>
      </c>
      <c r="J264" s="18">
        <f>'GİRDİ RAPORU'!J1414</f>
        <v>0</v>
      </c>
      <c r="K264" s="18">
        <f>'GİRDİ RAPORU'!K1414</f>
        <v>0</v>
      </c>
      <c r="L264" s="18">
        <f>'GİRDİ RAPORU'!L1414</f>
        <v>0</v>
      </c>
      <c r="M264" s="26">
        <f t="shared" si="12"/>
        <v>0.04</v>
      </c>
      <c r="N264" s="26">
        <f t="shared" si="13"/>
        <v>0.66666666666666663</v>
      </c>
      <c r="O264" s="26">
        <f t="shared" si="14"/>
        <v>0.33333333333333331</v>
      </c>
    </row>
    <row r="265" spans="1:15" ht="21.75" hidden="1" customHeight="1">
      <c r="A265" s="17">
        <f>'GİRDİ RAPORU'!A477</f>
        <v>45693</v>
      </c>
      <c r="B265" s="18">
        <f>'GİRDİ RAPORU'!B464</f>
        <v>1</v>
      </c>
      <c r="C265" s="18">
        <f>'GİRDİ RAPORU'!C464</f>
        <v>0</v>
      </c>
      <c r="D265" s="18">
        <f>'GİRDİ RAPORU'!D464</f>
        <v>0</v>
      </c>
      <c r="E265" s="18" t="str">
        <f>'GİRDİ RAPORU'!E464</f>
        <v>Normal Mesai</v>
      </c>
      <c r="F265" s="18">
        <f>'GİRDİ RAPORU'!F464</f>
        <v>540</v>
      </c>
      <c r="G265" s="18" t="str">
        <f>'GİRDİ RAPORU'!G464</f>
        <v>Makine Arızası</v>
      </c>
      <c r="H265" s="18">
        <f>'GİRDİ RAPORU'!H464</f>
        <v>0</v>
      </c>
      <c r="I265" s="18">
        <f>'GİRDİ RAPORU'!I464</f>
        <v>0</v>
      </c>
      <c r="J265" s="18">
        <f>'GİRDİ RAPORU'!J1413</f>
        <v>0</v>
      </c>
      <c r="K265" s="18">
        <f>'GİRDİ RAPORU'!K1413</f>
        <v>0</v>
      </c>
      <c r="L265" s="18">
        <f>'GİRDİ RAPORU'!L1413</f>
        <v>0</v>
      </c>
      <c r="M265" s="26">
        <f t="shared" si="12"/>
        <v>0</v>
      </c>
      <c r="N265" s="26">
        <f t="shared" si="13"/>
        <v>1</v>
      </c>
      <c r="O265" s="26">
        <f t="shared" si="14"/>
        <v>0</v>
      </c>
    </row>
    <row r="266" spans="1:15" ht="21.75" hidden="1" customHeight="1">
      <c r="A266" s="17">
        <f>'GİRDİ RAPORU'!A469</f>
        <v>45692</v>
      </c>
      <c r="B266" s="18">
        <f>'GİRDİ RAPORU'!B462</f>
        <v>1</v>
      </c>
      <c r="C266" s="18">
        <f>'GİRDİ RAPORU'!C462</f>
        <v>0</v>
      </c>
      <c r="D266" s="18">
        <f>'GİRDİ RAPORU'!D462</f>
        <v>0</v>
      </c>
      <c r="E266" s="18" t="str">
        <f>'GİRDİ RAPORU'!E462</f>
        <v>Normal Mesai</v>
      </c>
      <c r="F266" s="18">
        <f>'GİRDİ RAPORU'!F462</f>
        <v>540</v>
      </c>
      <c r="G266" s="18" t="str">
        <f>'GİRDİ RAPORU'!G462</f>
        <v>Makine Arızası</v>
      </c>
      <c r="H266" s="18">
        <f>'GİRDİ RAPORU'!H462</f>
        <v>0</v>
      </c>
      <c r="I266" s="18">
        <f>'GİRDİ RAPORU'!I462</f>
        <v>0</v>
      </c>
      <c r="J266" s="18">
        <f>'GİRDİ RAPORU'!J1412</f>
        <v>0</v>
      </c>
      <c r="K266" s="18">
        <f>'GİRDİ RAPORU'!K1412</f>
        <v>0</v>
      </c>
      <c r="L266" s="18">
        <f>'GİRDİ RAPORU'!L1412</f>
        <v>0</v>
      </c>
      <c r="M266" s="26">
        <f t="shared" si="12"/>
        <v>0</v>
      </c>
      <c r="N266" s="26">
        <f t="shared" si="13"/>
        <v>1</v>
      </c>
      <c r="O266" s="26">
        <f t="shared" si="14"/>
        <v>0</v>
      </c>
    </row>
    <row r="267" spans="1:15" ht="21.75" hidden="1" customHeight="1">
      <c r="A267" s="17">
        <f>'GİRDİ RAPORU'!A468</f>
        <v>45691</v>
      </c>
      <c r="B267" s="18">
        <f>'GİRDİ RAPORU'!B461</f>
        <v>2</v>
      </c>
      <c r="C267" s="18">
        <f>'GİRDİ RAPORU'!C461</f>
        <v>0</v>
      </c>
      <c r="D267" s="18">
        <f>'GİRDİ RAPORU'!D461</f>
        <v>432</v>
      </c>
      <c r="E267" s="18" t="str">
        <f>'GİRDİ RAPORU'!E461</f>
        <v>Normal Mesai</v>
      </c>
      <c r="F267" s="18">
        <f>'GİRDİ RAPORU'!F461</f>
        <v>180</v>
      </c>
      <c r="G267" s="18" t="str">
        <f>'GİRDİ RAPORU'!G461</f>
        <v>Makine Arızası</v>
      </c>
      <c r="H267" s="18">
        <f>'GİRDİ RAPORU'!H461</f>
        <v>0</v>
      </c>
      <c r="I267" s="18">
        <f>'GİRDİ RAPORU'!I461</f>
        <v>0</v>
      </c>
      <c r="J267" s="18">
        <f>'GİRDİ RAPORU'!J1411</f>
        <v>0</v>
      </c>
      <c r="K267" s="18">
        <f>'GİRDİ RAPORU'!K1411</f>
        <v>0</v>
      </c>
      <c r="L267" s="18">
        <f>'GİRDİ RAPORU'!L1411</f>
        <v>0</v>
      </c>
      <c r="M267" s="26">
        <f t="shared" si="12"/>
        <v>0.57599999999999996</v>
      </c>
      <c r="N267" s="26">
        <f t="shared" si="13"/>
        <v>0.33333333333333331</v>
      </c>
      <c r="O267" s="26">
        <f t="shared" si="14"/>
        <v>0.66666666666666663</v>
      </c>
    </row>
    <row r="268" spans="1:15" ht="21.75" hidden="1" customHeight="1">
      <c r="A268" s="17">
        <f>'GİRDİ RAPORU'!A466</f>
        <v>45688</v>
      </c>
      <c r="B268" s="18">
        <f>'GİRDİ RAPORU'!B459</f>
        <v>2</v>
      </c>
      <c r="C268" s="18">
        <f>'GİRDİ RAPORU'!C459</f>
        <v>0</v>
      </c>
      <c r="D268" s="18">
        <f>'GİRDİ RAPORU'!D459</f>
        <v>380</v>
      </c>
      <c r="E268" s="18" t="str">
        <f>'GİRDİ RAPORU'!E459</f>
        <v>Normal Mesai</v>
      </c>
      <c r="F268" s="18">
        <f>'GİRDİ RAPORU'!F459</f>
        <v>15</v>
      </c>
      <c r="G268" s="18" t="str">
        <f>'GİRDİ RAPORU'!G459</f>
        <v>Temizlik</v>
      </c>
      <c r="H268" s="18">
        <f>'GİRDİ RAPORU'!H459</f>
        <v>0</v>
      </c>
      <c r="I268" s="18">
        <f>'GİRDİ RAPORU'!I459</f>
        <v>0</v>
      </c>
      <c r="J268" s="18">
        <f>'GİRDİ RAPORU'!J1410</f>
        <v>0</v>
      </c>
      <c r="K268" s="18">
        <f>'GİRDİ RAPORU'!K1410</f>
        <v>0</v>
      </c>
      <c r="L268" s="18">
        <f>'GİRDİ RAPORU'!L1410</f>
        <v>0</v>
      </c>
      <c r="M268" s="26">
        <f t="shared" si="12"/>
        <v>0.50666666666666671</v>
      </c>
      <c r="N268" s="26">
        <f t="shared" si="13"/>
        <v>2.7777777777777776E-2</v>
      </c>
      <c r="O268" s="26">
        <f t="shared" si="14"/>
        <v>0.97222222222222221</v>
      </c>
    </row>
    <row r="269" spans="1:15" ht="21.75" hidden="1" customHeight="1">
      <c r="A269" s="17">
        <f>'GİRDİ RAPORU'!A464</f>
        <v>45687</v>
      </c>
      <c r="B269" s="18">
        <f>'GİRDİ RAPORU'!B460</f>
        <v>2</v>
      </c>
      <c r="C269" s="18">
        <f>'GİRDİ RAPORU'!C460</f>
        <v>0</v>
      </c>
      <c r="D269" s="18">
        <f>'GİRDİ RAPORU'!D460</f>
        <v>504</v>
      </c>
      <c r="E269" s="18" t="str">
        <f>'GİRDİ RAPORU'!E460</f>
        <v>Normal Mesai</v>
      </c>
      <c r="F269" s="18">
        <f>'GİRDİ RAPORU'!F460</f>
        <v>15</v>
      </c>
      <c r="G269" s="18" t="str">
        <f>'GİRDİ RAPORU'!G460</f>
        <v>Temizlik</v>
      </c>
      <c r="H269" s="18">
        <f>'GİRDİ RAPORU'!H460</f>
        <v>0</v>
      </c>
      <c r="I269" s="18">
        <f>'GİRDİ RAPORU'!I460</f>
        <v>0</v>
      </c>
      <c r="J269" s="18">
        <f>'GİRDİ RAPORU'!J1409</f>
        <v>0</v>
      </c>
      <c r="K269" s="18">
        <f>'GİRDİ RAPORU'!K1409</f>
        <v>0</v>
      </c>
      <c r="L269" s="18">
        <f>'GİRDİ RAPORU'!L1409</f>
        <v>0</v>
      </c>
      <c r="M269" s="26">
        <f t="shared" si="12"/>
        <v>0.67200000000000004</v>
      </c>
      <c r="N269" s="26">
        <f t="shared" si="13"/>
        <v>2.7777777777777776E-2</v>
      </c>
      <c r="O269" s="26">
        <f t="shared" si="14"/>
        <v>0.97222222222222221</v>
      </c>
    </row>
    <row r="270" spans="1:15" ht="21.75" hidden="1" customHeight="1">
      <c r="A270" s="17">
        <v>45686</v>
      </c>
      <c r="B270" s="18">
        <f>'GİRDİ RAPORU'!B458</f>
        <v>2</v>
      </c>
      <c r="C270" s="18">
        <f>'GİRDİ RAPORU'!C458</f>
        <v>0</v>
      </c>
      <c r="D270" s="18">
        <f>'GİRDİ RAPORU'!D458</f>
        <v>472</v>
      </c>
      <c r="E270" s="18" t="str">
        <f>'GİRDİ RAPORU'!E458</f>
        <v>Normal Mesai</v>
      </c>
      <c r="F270" s="18">
        <f>'GİRDİ RAPORU'!F458</f>
        <v>15</v>
      </c>
      <c r="G270" s="18" t="str">
        <f>'GİRDİ RAPORU'!G458</f>
        <v>Temizlik</v>
      </c>
      <c r="H270" s="18">
        <f>'GİRDİ RAPORU'!H458</f>
        <v>0</v>
      </c>
      <c r="I270" s="18">
        <f>'GİRDİ RAPORU'!I458</f>
        <v>0</v>
      </c>
      <c r="J270" s="18">
        <f>'GİRDİ RAPORU'!J1408</f>
        <v>0</v>
      </c>
      <c r="K270" s="18">
        <f>'GİRDİ RAPORU'!K1408</f>
        <v>0</v>
      </c>
      <c r="L270" s="18">
        <f>'GİRDİ RAPORU'!L1408</f>
        <v>0</v>
      </c>
      <c r="M270" s="26">
        <f t="shared" si="12"/>
        <v>0.6293333333333333</v>
      </c>
      <c r="N270" s="26">
        <f t="shared" si="13"/>
        <v>2.7777777777777776E-2</v>
      </c>
      <c r="O270" s="26">
        <f t="shared" si="14"/>
        <v>0.97222222222222221</v>
      </c>
    </row>
    <row r="271" spans="1:15" ht="21.75" hidden="1" customHeight="1">
      <c r="A271" s="17">
        <v>45685</v>
      </c>
      <c r="B271" s="18">
        <f>'GİRDİ RAPORU'!B457</f>
        <v>2</v>
      </c>
      <c r="C271" s="18">
        <f>'GİRDİ RAPORU'!C457</f>
        <v>0</v>
      </c>
      <c r="D271" s="18">
        <f>'GİRDİ RAPORU'!D457</f>
        <v>578</v>
      </c>
      <c r="E271" s="18" t="str">
        <f>'GİRDİ RAPORU'!E457</f>
        <v>Normal Mesai</v>
      </c>
      <c r="F271" s="18">
        <f>'GİRDİ RAPORU'!F457</f>
        <v>15</v>
      </c>
      <c r="G271" s="18" t="str">
        <f>'GİRDİ RAPORU'!G457</f>
        <v>Temizlik</v>
      </c>
      <c r="H271" s="18">
        <f>'GİRDİ RAPORU'!H457</f>
        <v>0</v>
      </c>
      <c r="I271" s="18">
        <f>'GİRDİ RAPORU'!I457</f>
        <v>0</v>
      </c>
      <c r="J271" s="18">
        <f>'GİRDİ RAPORU'!J1407</f>
        <v>0</v>
      </c>
      <c r="K271" s="18">
        <f>'GİRDİ RAPORU'!K1407</f>
        <v>0</v>
      </c>
      <c r="L271" s="18">
        <f>'GİRDİ RAPORU'!L1407</f>
        <v>0</v>
      </c>
      <c r="M271" s="26">
        <f t="shared" si="12"/>
        <v>0.77066666666666672</v>
      </c>
      <c r="N271" s="26">
        <f t="shared" si="13"/>
        <v>2.7777777777777776E-2</v>
      </c>
      <c r="O271" s="26">
        <f t="shared" si="14"/>
        <v>0.97222222222222221</v>
      </c>
    </row>
    <row r="272" spans="1:15" ht="21.75" hidden="1" customHeight="1">
      <c r="A272" s="17">
        <v>45684</v>
      </c>
      <c r="B272" s="18">
        <f>'GİRDİ RAPORU'!B463</f>
        <v>2</v>
      </c>
      <c r="C272" s="18">
        <f>'GİRDİ RAPORU'!C463</f>
        <v>0</v>
      </c>
      <c r="D272" s="18">
        <f>'GİRDİ RAPORU'!D463</f>
        <v>324</v>
      </c>
      <c r="E272" s="18" t="str">
        <f>'GİRDİ RAPORU'!E463</f>
        <v>Normal Mesai</v>
      </c>
      <c r="F272" s="18">
        <f>'GİRDİ RAPORU'!F463</f>
        <v>15</v>
      </c>
      <c r="G272" s="18" t="str">
        <f>'GİRDİ RAPORU'!G463</f>
        <v>Temizlik</v>
      </c>
      <c r="H272" s="18">
        <f>'GİRDİ RAPORU'!H463</f>
        <v>0</v>
      </c>
      <c r="I272" s="18">
        <f>'GİRDİ RAPORU'!I463</f>
        <v>0</v>
      </c>
      <c r="J272" s="18">
        <f>'GİRDİ RAPORU'!J1406</f>
        <v>0</v>
      </c>
      <c r="K272" s="18">
        <f>'GİRDİ RAPORU'!K1406</f>
        <v>0</v>
      </c>
      <c r="L272" s="18">
        <f>'GİRDİ RAPORU'!L1406</f>
        <v>0</v>
      </c>
      <c r="M272" s="26">
        <f t="shared" si="12"/>
        <v>0.432</v>
      </c>
      <c r="N272" s="26">
        <f t="shared" si="13"/>
        <v>2.7777777777777776E-2</v>
      </c>
      <c r="O272" s="26">
        <f t="shared" si="14"/>
        <v>0.97222222222222221</v>
      </c>
    </row>
    <row r="273" spans="1:15" ht="21.75" hidden="1" customHeight="1">
      <c r="A273" s="17">
        <v>45681</v>
      </c>
      <c r="B273" s="18">
        <f>'GİRDİ RAPORU'!B456</f>
        <v>2</v>
      </c>
      <c r="C273" s="18">
        <f>'GİRDİ RAPORU'!C456</f>
        <v>0</v>
      </c>
      <c r="D273" s="18">
        <f>'GİRDİ RAPORU'!D456</f>
        <v>272</v>
      </c>
      <c r="E273" s="18" t="str">
        <f>'GİRDİ RAPORU'!E456</f>
        <v>Normal Mesai</v>
      </c>
      <c r="F273" s="18">
        <f>'GİRDİ RAPORU'!F456</f>
        <v>15</v>
      </c>
      <c r="G273" s="18" t="str">
        <f>'GİRDİ RAPORU'!G456</f>
        <v>Temizlik</v>
      </c>
      <c r="H273" s="18">
        <f>'GİRDİ RAPORU'!H456</f>
        <v>0</v>
      </c>
      <c r="I273" s="18">
        <f>'GİRDİ RAPORU'!I456</f>
        <v>0</v>
      </c>
      <c r="J273" s="18">
        <f>'GİRDİ RAPORU'!J1405</f>
        <v>0</v>
      </c>
      <c r="K273" s="18">
        <f>'GİRDİ RAPORU'!K1405</f>
        <v>0</v>
      </c>
      <c r="L273" s="18">
        <f>'GİRDİ RAPORU'!L1405</f>
        <v>0</v>
      </c>
      <c r="M273" s="26">
        <f t="shared" si="12"/>
        <v>0.36266666666666669</v>
      </c>
      <c r="N273" s="26">
        <f t="shared" si="13"/>
        <v>2.7777777777777776E-2</v>
      </c>
      <c r="O273" s="26">
        <f t="shared" si="14"/>
        <v>0.97222222222222221</v>
      </c>
    </row>
    <row r="274" spans="1:15" ht="21.75" hidden="1" customHeight="1">
      <c r="A274" s="17">
        <f>'GİRDİ RAPORU'!A458</f>
        <v>45680</v>
      </c>
      <c r="B274" s="18">
        <v>2</v>
      </c>
      <c r="C274" s="18">
        <v>0</v>
      </c>
      <c r="D274" s="18">
        <v>380</v>
      </c>
      <c r="E274" s="18" t="s">
        <v>31</v>
      </c>
      <c r="F274" s="18">
        <v>15</v>
      </c>
      <c r="G274" s="18" t="s">
        <v>4</v>
      </c>
      <c r="H274" s="18">
        <f>'GİRDİ RAPORU'!H465</f>
        <v>0</v>
      </c>
      <c r="I274" s="18">
        <f>'GİRDİ RAPORU'!I465</f>
        <v>0</v>
      </c>
      <c r="J274" s="18">
        <f>'GİRDİ RAPORU'!J1404</f>
        <v>0</v>
      </c>
      <c r="K274" s="18">
        <f>'GİRDİ RAPORU'!K1404</f>
        <v>0</v>
      </c>
      <c r="L274" s="18">
        <f>'GİRDİ RAPORU'!L1404</f>
        <v>0</v>
      </c>
      <c r="M274" s="26">
        <f t="shared" si="12"/>
        <v>0.50666666666666671</v>
      </c>
      <c r="N274" s="26">
        <f t="shared" si="13"/>
        <v>2.7777777777777776E-2</v>
      </c>
      <c r="O274" s="26">
        <f t="shared" si="14"/>
        <v>0.97222222222222221</v>
      </c>
    </row>
    <row r="275" spans="1:15" ht="21.75" hidden="1" customHeight="1">
      <c r="A275" s="17">
        <f>'GİRDİ RAPORU'!A457</f>
        <v>45679</v>
      </c>
      <c r="B275" s="18">
        <f>'GİRDİ RAPORU'!B455</f>
        <v>2</v>
      </c>
      <c r="C275" s="18">
        <f>'GİRDİ RAPORU'!C455</f>
        <v>0</v>
      </c>
      <c r="D275" s="18">
        <f>'GİRDİ RAPORU'!D455</f>
        <v>382</v>
      </c>
      <c r="E275" s="18" t="str">
        <f>'GİRDİ RAPORU'!E455</f>
        <v>Normal Mesai</v>
      </c>
      <c r="F275" s="18">
        <f>'GİRDİ RAPORU'!F455</f>
        <v>15</v>
      </c>
      <c r="G275" s="18" t="str">
        <f>'GİRDİ RAPORU'!G455</f>
        <v>Temizlik</v>
      </c>
      <c r="H275" s="18">
        <v>80</v>
      </c>
      <c r="I275" s="18" t="s">
        <v>12</v>
      </c>
      <c r="J275" s="18">
        <f>'GİRDİ RAPORU'!J1403</f>
        <v>0</v>
      </c>
      <c r="K275" s="18">
        <f>'GİRDİ RAPORU'!K1403</f>
        <v>0</v>
      </c>
      <c r="L275" s="18">
        <f>'GİRDİ RAPORU'!L1403</f>
        <v>0</v>
      </c>
      <c r="M275" s="26">
        <f t="shared" si="12"/>
        <v>0.5093333333333333</v>
      </c>
      <c r="N275" s="26">
        <f t="shared" si="13"/>
        <v>0.17592592592592593</v>
      </c>
      <c r="O275" s="26">
        <f t="shared" si="14"/>
        <v>0.82407407407407407</v>
      </c>
    </row>
    <row r="276" spans="1:15" ht="21.75" hidden="1" customHeight="1">
      <c r="A276" s="17">
        <f>'GİRDİ RAPORU'!A463</f>
        <v>45678</v>
      </c>
      <c r="B276" s="18">
        <f>'GİRDİ RAPORU'!B454</f>
        <v>2</v>
      </c>
      <c r="C276" s="18">
        <f>'GİRDİ RAPORU'!C454</f>
        <v>0</v>
      </c>
      <c r="D276" s="18">
        <f>'GİRDİ RAPORU'!D454</f>
        <v>466</v>
      </c>
      <c r="E276" s="18" t="str">
        <f>'GİRDİ RAPORU'!E454</f>
        <v>Normal Mesai</v>
      </c>
      <c r="F276" s="18">
        <f>'GİRDİ RAPORU'!F454</f>
        <v>15</v>
      </c>
      <c r="G276" s="18" t="str">
        <f>'GİRDİ RAPORU'!G454</f>
        <v>Temizlik</v>
      </c>
      <c r="H276" s="18">
        <f>'GİRDİ RAPORU'!H454</f>
        <v>0</v>
      </c>
      <c r="I276" s="18">
        <f>'GİRDİ RAPORU'!I454</f>
        <v>0</v>
      </c>
      <c r="J276" s="18">
        <f>'GİRDİ RAPORU'!J1402</f>
        <v>0</v>
      </c>
      <c r="K276" s="18">
        <f>'GİRDİ RAPORU'!K1402</f>
        <v>0</v>
      </c>
      <c r="L276" s="18">
        <f>'GİRDİ RAPORU'!L1402</f>
        <v>0</v>
      </c>
      <c r="M276" s="26">
        <f t="shared" si="12"/>
        <v>0.62133333333333329</v>
      </c>
      <c r="N276" s="26">
        <f t="shared" si="13"/>
        <v>2.7777777777777776E-2</v>
      </c>
      <c r="O276" s="26">
        <f t="shared" si="14"/>
        <v>0.97222222222222221</v>
      </c>
    </row>
    <row r="277" spans="1:15" ht="21.75" hidden="1" customHeight="1">
      <c r="A277" s="17">
        <f>'GİRDİ RAPORU'!A456</f>
        <v>45677</v>
      </c>
      <c r="B277" s="18">
        <f>'GİRDİ RAPORU'!B453</f>
        <v>2</v>
      </c>
      <c r="C277" s="18">
        <f>'GİRDİ RAPORU'!C453</f>
        <v>0</v>
      </c>
      <c r="D277" s="18">
        <f>'GİRDİ RAPORU'!D453</f>
        <v>528</v>
      </c>
      <c r="E277" s="18" t="str">
        <f>'GİRDİ RAPORU'!E453</f>
        <v>Normal Mesai</v>
      </c>
      <c r="F277" s="18">
        <f>'GİRDİ RAPORU'!F453</f>
        <v>15</v>
      </c>
      <c r="G277" s="18" t="str">
        <f>'GİRDİ RAPORU'!G453</f>
        <v>Temizlik</v>
      </c>
      <c r="H277" s="18">
        <f>'GİRDİ RAPORU'!H453</f>
        <v>0</v>
      </c>
      <c r="I277" s="18">
        <f>'GİRDİ RAPORU'!I453</f>
        <v>0</v>
      </c>
      <c r="J277" s="18">
        <f>'GİRDİ RAPORU'!J1401</f>
        <v>0</v>
      </c>
      <c r="K277" s="18">
        <f>'GİRDİ RAPORU'!K1401</f>
        <v>0</v>
      </c>
      <c r="L277" s="18">
        <f>'GİRDİ RAPORU'!L1401</f>
        <v>0</v>
      </c>
      <c r="M277" s="26">
        <f t="shared" si="12"/>
        <v>0.70399999999999996</v>
      </c>
      <c r="N277" s="26">
        <f t="shared" si="13"/>
        <v>2.7777777777777776E-2</v>
      </c>
      <c r="O277" s="26">
        <f t="shared" si="14"/>
        <v>0.97222222222222221</v>
      </c>
    </row>
    <row r="278" spans="1:15" ht="21.75" hidden="1" customHeight="1">
      <c r="A278" s="17">
        <v>45674</v>
      </c>
      <c r="B278" s="18">
        <f>'GİRDİ RAPORU'!B452</f>
        <v>2</v>
      </c>
      <c r="C278" s="18">
        <f>'GİRDİ RAPORU'!C452</f>
        <v>0</v>
      </c>
      <c r="D278" s="18">
        <f>'GİRDİ RAPORU'!D452</f>
        <v>450</v>
      </c>
      <c r="E278" s="18" t="str">
        <f>'GİRDİ RAPORU'!E452</f>
        <v>Normal Mesai</v>
      </c>
      <c r="F278" s="18">
        <f>'GİRDİ RAPORU'!F452</f>
        <v>15</v>
      </c>
      <c r="G278" s="18" t="str">
        <f>'GİRDİ RAPORU'!G452</f>
        <v>Temizlik</v>
      </c>
      <c r="H278" s="18">
        <f>'GİRDİ RAPORU'!H452</f>
        <v>0</v>
      </c>
      <c r="I278" s="18">
        <f>'GİRDİ RAPORU'!I452</f>
        <v>0</v>
      </c>
      <c r="J278" s="18">
        <f>'GİRDİ RAPORU'!J1400</f>
        <v>0</v>
      </c>
      <c r="K278" s="18">
        <f>'GİRDİ RAPORU'!K1400</f>
        <v>0</v>
      </c>
      <c r="L278" s="18">
        <f>'GİRDİ RAPORU'!L1400</f>
        <v>0</v>
      </c>
      <c r="M278" s="26">
        <f t="shared" si="12"/>
        <v>0.6</v>
      </c>
      <c r="N278" s="26">
        <f t="shared" si="13"/>
        <v>2.7777777777777776E-2</v>
      </c>
      <c r="O278" s="26">
        <f t="shared" si="14"/>
        <v>0.97222222222222221</v>
      </c>
    </row>
    <row r="279" spans="1:15" ht="21.75" hidden="1" customHeight="1">
      <c r="A279" s="17">
        <v>45673</v>
      </c>
      <c r="B279" s="18">
        <f>'GİRDİ RAPORU'!B451</f>
        <v>2</v>
      </c>
      <c r="C279" s="18">
        <f>'GİRDİ RAPORU'!C451</f>
        <v>0</v>
      </c>
      <c r="D279" s="18">
        <f>'GİRDİ RAPORU'!D451</f>
        <v>568</v>
      </c>
      <c r="E279" s="18" t="str">
        <f>'GİRDİ RAPORU'!E451</f>
        <v>Normal Mesai</v>
      </c>
      <c r="F279" s="18">
        <f>'GİRDİ RAPORU'!F451</f>
        <v>15</v>
      </c>
      <c r="G279" s="18" t="str">
        <f>'GİRDİ RAPORU'!G451</f>
        <v>Temizlik</v>
      </c>
      <c r="H279" s="18">
        <f>'GİRDİ RAPORU'!H451</f>
        <v>0</v>
      </c>
      <c r="I279" s="18">
        <f>'GİRDİ RAPORU'!I451</f>
        <v>0</v>
      </c>
      <c r="J279" s="18">
        <f>'GİRDİ RAPORU'!J1399</f>
        <v>0</v>
      </c>
      <c r="K279" s="18">
        <f>'GİRDİ RAPORU'!K1399</f>
        <v>0</v>
      </c>
      <c r="L279" s="18">
        <f>'GİRDİ RAPORU'!L1399</f>
        <v>0</v>
      </c>
      <c r="M279" s="26">
        <f t="shared" si="12"/>
        <v>0.7573333333333333</v>
      </c>
      <c r="N279" s="26">
        <f t="shared" si="13"/>
        <v>2.7777777777777776E-2</v>
      </c>
      <c r="O279" s="26">
        <f t="shared" si="14"/>
        <v>0.97222222222222221</v>
      </c>
    </row>
    <row r="280" spans="1:15" ht="21.75" hidden="1" customHeight="1">
      <c r="A280" s="17">
        <v>45672</v>
      </c>
      <c r="B280" s="18">
        <f>'GİRDİ RAPORU'!B450</f>
        <v>2</v>
      </c>
      <c r="C280" s="18">
        <f>'GİRDİ RAPORU'!C450</f>
        <v>382</v>
      </c>
      <c r="D280" s="18">
        <f>'GİRDİ RAPORU'!D450</f>
        <v>118</v>
      </c>
      <c r="E280" s="18" t="str">
        <f>'GİRDİ RAPORU'!E450</f>
        <v>Normal Mesai</v>
      </c>
      <c r="F280" s="18">
        <f>'GİRDİ RAPORU'!F450</f>
        <v>15</v>
      </c>
      <c r="G280" s="18" t="str">
        <f>'GİRDİ RAPORU'!G450</f>
        <v>Temizlik</v>
      </c>
      <c r="H280" s="18">
        <f>'GİRDİ RAPORU'!H450</f>
        <v>0</v>
      </c>
      <c r="I280" s="18">
        <f>'GİRDİ RAPORU'!I450</f>
        <v>0</v>
      </c>
      <c r="J280" s="18">
        <f>'GİRDİ RAPORU'!J1398</f>
        <v>0</v>
      </c>
      <c r="K280" s="18">
        <f>'GİRDİ RAPORU'!K1398</f>
        <v>0</v>
      </c>
      <c r="L280" s="18">
        <f>'GİRDİ RAPORU'!L1398</f>
        <v>0</v>
      </c>
      <c r="M280" s="26">
        <f t="shared" si="12"/>
        <v>0.66666666666666663</v>
      </c>
      <c r="N280" s="26">
        <f t="shared" si="13"/>
        <v>2.7777777777777776E-2</v>
      </c>
      <c r="O280" s="26">
        <f t="shared" si="14"/>
        <v>0.97222222222222221</v>
      </c>
    </row>
    <row r="281" spans="1:15" ht="21.75" hidden="1" customHeight="1">
      <c r="A281" s="17">
        <v>45671</v>
      </c>
      <c r="B281" s="18">
        <f>'GİRDİ RAPORU'!B449</f>
        <v>2</v>
      </c>
      <c r="C281" s="18">
        <f>'GİRDİ RAPORU'!C449</f>
        <v>100</v>
      </c>
      <c r="D281" s="18">
        <f>'GİRDİ RAPORU'!D449</f>
        <v>148</v>
      </c>
      <c r="E281" s="18" t="str">
        <f>'GİRDİ RAPORU'!E449</f>
        <v>Normal Mesai</v>
      </c>
      <c r="F281" s="18">
        <f>'GİRDİ RAPORU'!F449</f>
        <v>420</v>
      </c>
      <c r="G281" s="18" t="str">
        <f>'GİRDİ RAPORU'!G449</f>
        <v>Bakım/Onarım</v>
      </c>
      <c r="H281" s="18">
        <f>'GİRDİ RAPORU'!H449</f>
        <v>0</v>
      </c>
      <c r="I281" s="18">
        <f>'GİRDİ RAPORU'!I449</f>
        <v>0</v>
      </c>
      <c r="J281" s="18">
        <f>'GİRDİ RAPORU'!J1397</f>
        <v>0</v>
      </c>
      <c r="K281" s="18">
        <f>'GİRDİ RAPORU'!K1397</f>
        <v>0</v>
      </c>
      <c r="L281" s="18">
        <f>'GİRDİ RAPORU'!L1397</f>
        <v>0</v>
      </c>
      <c r="M281" s="26">
        <f t="shared" si="12"/>
        <v>0.33066666666666666</v>
      </c>
      <c r="N281" s="26">
        <f t="shared" si="13"/>
        <v>0.77777777777777779</v>
      </c>
      <c r="O281" s="26">
        <f t="shared" si="14"/>
        <v>0.22222222222222221</v>
      </c>
    </row>
    <row r="282" spans="1:15" ht="21.75" hidden="1" customHeight="1">
      <c r="A282" s="17">
        <v>45670</v>
      </c>
      <c r="B282" s="18">
        <f>'GİRDİ RAPORU'!B448</f>
        <v>2</v>
      </c>
      <c r="C282" s="18">
        <f>'GİRDİ RAPORU'!C448</f>
        <v>382</v>
      </c>
      <c r="D282" s="18">
        <f>'GİRDİ RAPORU'!D448</f>
        <v>0</v>
      </c>
      <c r="E282" s="18" t="str">
        <f>'GİRDİ RAPORU'!E448</f>
        <v>Normal Mesai</v>
      </c>
      <c r="F282" s="18">
        <f>'GİRDİ RAPORU'!F448</f>
        <v>15</v>
      </c>
      <c r="G282" s="18" t="str">
        <f>'GİRDİ RAPORU'!G448</f>
        <v>Temizlik</v>
      </c>
      <c r="H282" s="18">
        <f>'GİRDİ RAPORU'!H448</f>
        <v>0</v>
      </c>
      <c r="I282" s="18">
        <f>'GİRDİ RAPORU'!I448</f>
        <v>0</v>
      </c>
      <c r="J282" s="18">
        <f>'GİRDİ RAPORU'!J1396</f>
        <v>0</v>
      </c>
      <c r="K282" s="18">
        <f>'GİRDİ RAPORU'!K1396</f>
        <v>0</v>
      </c>
      <c r="L282" s="18">
        <f>'GİRDİ RAPORU'!L1396</f>
        <v>0</v>
      </c>
      <c r="M282" s="26">
        <f t="shared" si="12"/>
        <v>0.5093333333333333</v>
      </c>
      <c r="N282" s="26">
        <f t="shared" si="13"/>
        <v>2.7777777777777776E-2</v>
      </c>
      <c r="O282" s="26">
        <f t="shared" si="14"/>
        <v>0.97222222222222221</v>
      </c>
    </row>
    <row r="283" spans="1:15" ht="21.75" hidden="1" customHeight="1">
      <c r="A283" s="17">
        <v>45667</v>
      </c>
      <c r="B283" s="18">
        <f>'GİRDİ RAPORU'!B446</f>
        <v>2</v>
      </c>
      <c r="C283" s="18">
        <v>25</v>
      </c>
      <c r="D283" s="18">
        <v>0</v>
      </c>
      <c r="E283" s="18" t="str">
        <f>'GİRDİ RAPORU'!E446</f>
        <v>Normal Mesai</v>
      </c>
      <c r="F283" s="18">
        <f>'GİRDİ RAPORU'!F446</f>
        <v>540</v>
      </c>
      <c r="G283" s="18" t="str">
        <f>'GİRDİ RAPORU'!G446</f>
        <v>Makine Arızası</v>
      </c>
      <c r="H283" s="18">
        <f>'GİRDİ RAPORU'!H446</f>
        <v>0</v>
      </c>
      <c r="I283" s="18">
        <f>'GİRDİ RAPORU'!I446</f>
        <v>0</v>
      </c>
      <c r="J283" s="18">
        <f>'GİRDİ RAPORU'!J1395</f>
        <v>0</v>
      </c>
      <c r="K283" s="18">
        <f>'GİRDİ RAPORU'!K1395</f>
        <v>0</v>
      </c>
      <c r="L283" s="18">
        <f>'GİRDİ RAPORU'!L1395</f>
        <v>0</v>
      </c>
      <c r="M283" s="26">
        <f t="shared" si="12"/>
        <v>3.3333333333333333E-2</v>
      </c>
      <c r="N283" s="26">
        <f t="shared" si="13"/>
        <v>1</v>
      </c>
      <c r="O283" s="26">
        <f t="shared" si="14"/>
        <v>0</v>
      </c>
    </row>
    <row r="284" spans="1:15" ht="21.75" hidden="1" customHeight="1">
      <c r="A284" s="17">
        <f>'GİRDİ RAPORU'!A450</f>
        <v>45666</v>
      </c>
      <c r="B284" s="18">
        <f>'GİRDİ RAPORU'!B445</f>
        <v>2</v>
      </c>
      <c r="C284" s="18">
        <f>'GİRDİ RAPORU'!C445</f>
        <v>245</v>
      </c>
      <c r="D284" s="18">
        <v>0</v>
      </c>
      <c r="E284" s="18" t="str">
        <f>'GİRDİ RAPORU'!E445</f>
        <v>Normal Mesai</v>
      </c>
      <c r="F284" s="18">
        <f>'GİRDİ RAPORU'!F445</f>
        <v>15</v>
      </c>
      <c r="G284" s="18" t="str">
        <f>'GİRDİ RAPORU'!G445</f>
        <v>Temizlik</v>
      </c>
      <c r="H284" s="18">
        <f>'GİRDİ RAPORU'!H445</f>
        <v>0</v>
      </c>
      <c r="I284" s="18">
        <f>'GİRDİ RAPORU'!I445</f>
        <v>0</v>
      </c>
      <c r="J284" s="18">
        <f>'GİRDİ RAPORU'!J1394</f>
        <v>0</v>
      </c>
      <c r="K284" s="18">
        <f>'GİRDİ RAPORU'!K1394</f>
        <v>0</v>
      </c>
      <c r="L284" s="18">
        <f>'GİRDİ RAPORU'!L1394</f>
        <v>0</v>
      </c>
      <c r="M284" s="26">
        <f t="shared" si="12"/>
        <v>0.32666666666666666</v>
      </c>
      <c r="N284" s="26">
        <f t="shared" si="13"/>
        <v>2.7777777777777776E-2</v>
      </c>
      <c r="O284" s="26">
        <f t="shared" si="14"/>
        <v>0.97222222222222221</v>
      </c>
    </row>
    <row r="285" spans="1:15" ht="21.75" hidden="1" customHeight="1">
      <c r="A285" s="17">
        <f>'GİRDİ RAPORU'!A449</f>
        <v>45665</v>
      </c>
      <c r="B285" s="18">
        <f>'GİRDİ RAPORU'!B444</f>
        <v>2</v>
      </c>
      <c r="C285" s="18">
        <f>'GİRDİ RAPORU'!C444</f>
        <v>522</v>
      </c>
      <c r="D285" s="18">
        <v>0</v>
      </c>
      <c r="E285" s="18" t="str">
        <f>'GİRDİ RAPORU'!E444</f>
        <v>Normal Mesai</v>
      </c>
      <c r="F285" s="18">
        <f>'GİRDİ RAPORU'!F444</f>
        <v>15</v>
      </c>
      <c r="G285" s="18" t="str">
        <f>'GİRDİ RAPORU'!G444</f>
        <v>Temizlik</v>
      </c>
      <c r="H285" s="18">
        <f>'GİRDİ RAPORU'!H444</f>
        <v>0</v>
      </c>
      <c r="I285" s="18">
        <f>'GİRDİ RAPORU'!I444</f>
        <v>0</v>
      </c>
      <c r="J285" s="18">
        <f>'GİRDİ RAPORU'!J1393</f>
        <v>0</v>
      </c>
      <c r="K285" s="18">
        <f>'GİRDİ RAPORU'!K1393</f>
        <v>0</v>
      </c>
      <c r="L285" s="18">
        <f>'GİRDİ RAPORU'!L1393</f>
        <v>0</v>
      </c>
      <c r="M285" s="26">
        <f t="shared" si="12"/>
        <v>0.69599999999999995</v>
      </c>
      <c r="N285" s="26">
        <f t="shared" si="13"/>
        <v>2.7777777777777776E-2</v>
      </c>
      <c r="O285" s="26">
        <f t="shared" si="14"/>
        <v>0.97222222222222221</v>
      </c>
    </row>
    <row r="286" spans="1:15" ht="21.75" hidden="1" customHeight="1">
      <c r="A286" s="17">
        <f>'GİRDİ RAPORU'!A448</f>
        <v>45664</v>
      </c>
      <c r="B286" s="18">
        <f>'GİRDİ RAPORU'!B443</f>
        <v>2</v>
      </c>
      <c r="C286" s="18">
        <f>'GİRDİ RAPORU'!C443</f>
        <v>189</v>
      </c>
      <c r="D286" s="18">
        <f>'GİRDİ RAPORU'!D443</f>
        <v>0</v>
      </c>
      <c r="E286" s="18" t="str">
        <f>'GİRDİ RAPORU'!E443</f>
        <v>Normal Mesai</v>
      </c>
      <c r="F286" s="18">
        <f>'GİRDİ RAPORU'!F443</f>
        <v>240</v>
      </c>
      <c r="G286" s="18" t="str">
        <f>'GİRDİ RAPORU'!G443</f>
        <v>Makine Arızası</v>
      </c>
      <c r="H286" s="18">
        <f>'GİRDİ RAPORU'!H443</f>
        <v>0</v>
      </c>
      <c r="I286" s="18">
        <f>'GİRDİ RAPORU'!I443</f>
        <v>0</v>
      </c>
      <c r="J286" s="18">
        <f>'GİRDİ RAPORU'!J1392</f>
        <v>0</v>
      </c>
      <c r="K286" s="18">
        <f>'GİRDİ RAPORU'!K1392</f>
        <v>0</v>
      </c>
      <c r="L286" s="18">
        <f>'GİRDİ RAPORU'!L1392</f>
        <v>0</v>
      </c>
      <c r="M286" s="26">
        <f t="shared" si="12"/>
        <v>0.252</v>
      </c>
      <c r="N286" s="26">
        <f t="shared" si="13"/>
        <v>0.44444444444444442</v>
      </c>
      <c r="O286" s="26">
        <f t="shared" si="14"/>
        <v>0.55555555555555558</v>
      </c>
    </row>
    <row r="287" spans="1:15" ht="21.75" hidden="1" customHeight="1">
      <c r="A287" s="17">
        <f>'GİRDİ RAPORU'!A446</f>
        <v>45663</v>
      </c>
      <c r="B287" s="18">
        <f>'GİRDİ RAPORU'!B442</f>
        <v>2</v>
      </c>
      <c r="C287" s="18">
        <f>'GİRDİ RAPORU'!C442</f>
        <v>240</v>
      </c>
      <c r="D287" s="18">
        <f>'GİRDİ RAPORU'!D442</f>
        <v>0</v>
      </c>
      <c r="E287" s="18" t="str">
        <f>'GİRDİ RAPORU'!E442</f>
        <v>Normal Mesai</v>
      </c>
      <c r="F287" s="18">
        <f>'GİRDİ RAPORU'!F442</f>
        <v>120</v>
      </c>
      <c r="G287" s="18" t="str">
        <f>'GİRDİ RAPORU'!G442</f>
        <v>Makine Arızası</v>
      </c>
      <c r="H287" s="18">
        <f>'GİRDİ RAPORU'!H442</f>
        <v>0</v>
      </c>
      <c r="I287" s="18">
        <f>'GİRDİ RAPORU'!I442</f>
        <v>0</v>
      </c>
      <c r="J287" s="18">
        <f>'GİRDİ RAPORU'!J1391</f>
        <v>0</v>
      </c>
      <c r="K287" s="18">
        <f>'GİRDİ RAPORU'!K1391</f>
        <v>0</v>
      </c>
      <c r="L287" s="18">
        <f>'GİRDİ RAPORU'!L1391</f>
        <v>0</v>
      </c>
      <c r="M287" s="26">
        <f t="shared" si="12"/>
        <v>0.32</v>
      </c>
      <c r="N287" s="26">
        <f t="shared" si="13"/>
        <v>0.22222222222222221</v>
      </c>
      <c r="O287" s="26">
        <f t="shared" si="14"/>
        <v>0.77777777777777779</v>
      </c>
    </row>
    <row r="288" spans="1:15" ht="21.75" hidden="1" customHeight="1">
      <c r="A288" s="17">
        <f>'GİRDİ RAPORU'!A445</f>
        <v>45660</v>
      </c>
      <c r="B288" s="18">
        <f>'GİRDİ RAPORU'!B441</f>
        <v>2</v>
      </c>
      <c r="C288" s="18">
        <v>0</v>
      </c>
      <c r="D288" s="18">
        <f>'GİRDİ RAPORU'!D441</f>
        <v>184</v>
      </c>
      <c r="E288" s="18" t="str">
        <f>'GİRDİ RAPORU'!E441</f>
        <v>Normal Mesai</v>
      </c>
      <c r="F288" s="18">
        <f>'GİRDİ RAPORU'!F441</f>
        <v>360</v>
      </c>
      <c r="G288" s="18" t="str">
        <f>'GİRDİ RAPORU'!G441</f>
        <v>Makine Arızası</v>
      </c>
      <c r="H288" s="18">
        <f>'GİRDİ RAPORU'!H441</f>
        <v>0</v>
      </c>
      <c r="I288" s="18">
        <f>'GİRDİ RAPORU'!I441</f>
        <v>0</v>
      </c>
      <c r="J288" s="18">
        <f>'GİRDİ RAPORU'!J1390</f>
        <v>0</v>
      </c>
      <c r="K288" s="18">
        <f>'GİRDİ RAPORU'!K1390</f>
        <v>0</v>
      </c>
      <c r="L288" s="18">
        <f>'GİRDİ RAPORU'!L1390</f>
        <v>0</v>
      </c>
      <c r="M288" s="26">
        <f t="shared" si="12"/>
        <v>0.24533333333333332</v>
      </c>
      <c r="N288" s="26">
        <f t="shared" si="13"/>
        <v>0.66666666666666663</v>
      </c>
      <c r="O288" s="26">
        <f t="shared" si="14"/>
        <v>0.33333333333333331</v>
      </c>
    </row>
    <row r="289" spans="1:15" ht="21.75" hidden="1" customHeight="1">
      <c r="A289" s="17">
        <f>'GİRDİ RAPORU'!A444</f>
        <v>45659</v>
      </c>
      <c r="B289" s="18">
        <f>'GİRDİ RAPORU'!B435</f>
        <v>2</v>
      </c>
      <c r="C289" s="18">
        <f>'GİRDİ RAPORU'!C435</f>
        <v>227</v>
      </c>
      <c r="D289" s="18">
        <f>'GİRDİ RAPORU'!D435</f>
        <v>15</v>
      </c>
      <c r="E289" s="18" t="str">
        <f>'GİRDİ RAPORU'!E435</f>
        <v>Normal Mesai</v>
      </c>
      <c r="F289" s="18">
        <v>270</v>
      </c>
      <c r="G289" s="18" t="str">
        <f>'GİRDİ RAPORU'!G435</f>
        <v>Makine Arızası</v>
      </c>
      <c r="H289" s="18">
        <f>'GİRDİ RAPORU'!H435</f>
        <v>0</v>
      </c>
      <c r="I289" s="18">
        <f>'GİRDİ RAPORU'!I435</f>
        <v>0</v>
      </c>
      <c r="J289" s="18">
        <f>'GİRDİ RAPORU'!J1389</f>
        <v>0</v>
      </c>
      <c r="K289" s="18">
        <f>'GİRDİ RAPORU'!K1389</f>
        <v>0</v>
      </c>
      <c r="L289" s="18">
        <f>'GİRDİ RAPORU'!L1389</f>
        <v>0</v>
      </c>
      <c r="M289" s="26">
        <f t="shared" si="12"/>
        <v>0.32266666666666666</v>
      </c>
      <c r="N289" s="26">
        <f t="shared" si="13"/>
        <v>0.5</v>
      </c>
      <c r="O289" s="26">
        <f t="shared" si="14"/>
        <v>0.5</v>
      </c>
    </row>
    <row r="290" spans="1:15" ht="21.75" hidden="1" customHeight="1">
      <c r="A290" s="17">
        <f>'GİRDİ RAPORU'!A443</f>
        <v>45657</v>
      </c>
      <c r="B290" s="18">
        <f>'GİRDİ RAPORU'!B438</f>
        <v>2</v>
      </c>
      <c r="C290" s="18">
        <f>'GİRDİ RAPORU'!C438</f>
        <v>480</v>
      </c>
      <c r="D290" s="18">
        <f>'GİRDİ RAPORU'!D438</f>
        <v>25</v>
      </c>
      <c r="E290" s="18" t="str">
        <f>'GİRDİ RAPORU'!E438</f>
        <v>Normal Mesai</v>
      </c>
      <c r="F290" s="18">
        <f>'GİRDİ RAPORU'!F438</f>
        <v>15</v>
      </c>
      <c r="G290" s="18" t="str">
        <f>'GİRDİ RAPORU'!G438</f>
        <v>Temizlik</v>
      </c>
      <c r="H290" s="18">
        <f>'GİRDİ RAPORU'!H438</f>
        <v>0</v>
      </c>
      <c r="I290" s="18">
        <f>'GİRDİ RAPORU'!I438</f>
        <v>0</v>
      </c>
      <c r="J290" s="18">
        <f>'GİRDİ RAPORU'!J1388</f>
        <v>0</v>
      </c>
      <c r="K290" s="18">
        <f>'GİRDİ RAPORU'!K1388</f>
        <v>0</v>
      </c>
      <c r="L290" s="18">
        <f>'GİRDİ RAPORU'!L1388</f>
        <v>0</v>
      </c>
      <c r="M290" s="26">
        <f t="shared" si="12"/>
        <v>0.67333333333333334</v>
      </c>
      <c r="N290" s="26">
        <f t="shared" si="13"/>
        <v>2.7777777777777776E-2</v>
      </c>
      <c r="O290" s="26">
        <f t="shared" si="14"/>
        <v>0.97222222222222221</v>
      </c>
    </row>
    <row r="291" spans="1:15" ht="21.75" hidden="1" customHeight="1">
      <c r="A291" s="17">
        <f>'GİRDİ RAPORU'!A442</f>
        <v>45656</v>
      </c>
      <c r="B291" s="18">
        <f>'GİRDİ RAPORU'!B437</f>
        <v>2</v>
      </c>
      <c r="C291" s="18">
        <f>'GİRDİ RAPORU'!C437</f>
        <v>312</v>
      </c>
      <c r="D291" s="18">
        <f>'GİRDİ RAPORU'!D437</f>
        <v>80</v>
      </c>
      <c r="E291" s="18" t="str">
        <f>'GİRDİ RAPORU'!E437</f>
        <v>Normal Mesai</v>
      </c>
      <c r="F291" s="18">
        <f>'GİRDİ RAPORU'!F437</f>
        <v>15</v>
      </c>
      <c r="G291" s="18" t="str">
        <f>'GİRDİ RAPORU'!G437</f>
        <v>Temizlik</v>
      </c>
      <c r="H291" s="18">
        <f>'GİRDİ RAPORU'!H437</f>
        <v>0</v>
      </c>
      <c r="I291" s="18">
        <f>'GİRDİ RAPORU'!I437</f>
        <v>0</v>
      </c>
      <c r="J291" s="18">
        <f>'GİRDİ RAPORU'!J1387</f>
        <v>0</v>
      </c>
      <c r="K291" s="18">
        <f>'GİRDİ RAPORU'!K1387</f>
        <v>0</v>
      </c>
      <c r="L291" s="18">
        <f>'GİRDİ RAPORU'!L1387</f>
        <v>0</v>
      </c>
      <c r="M291" s="26">
        <f t="shared" si="12"/>
        <v>0.52266666666666661</v>
      </c>
      <c r="N291" s="26">
        <f t="shared" si="13"/>
        <v>2.7777777777777776E-2</v>
      </c>
      <c r="O291" s="26">
        <f t="shared" si="14"/>
        <v>0.97222222222222221</v>
      </c>
    </row>
    <row r="292" spans="1:15" ht="21.75" hidden="1" customHeight="1">
      <c r="A292" s="17">
        <f>'GİRDİ RAPORU'!A441</f>
        <v>45653</v>
      </c>
      <c r="B292" s="18">
        <f>'GİRDİ RAPORU'!B434</f>
        <v>2</v>
      </c>
      <c r="C292" s="18">
        <f>'GİRDİ RAPORU'!C434</f>
        <v>260</v>
      </c>
      <c r="D292" s="18">
        <f>'GİRDİ RAPORU'!D434</f>
        <v>216</v>
      </c>
      <c r="E292" s="18" t="str">
        <f>'GİRDİ RAPORU'!E434</f>
        <v>Normal Mesai</v>
      </c>
      <c r="F292" s="18">
        <f>'GİRDİ RAPORU'!F434</f>
        <v>15</v>
      </c>
      <c r="G292" s="18" t="str">
        <f>'GİRDİ RAPORU'!G434</f>
        <v>Temizlik</v>
      </c>
      <c r="H292" s="18">
        <f>'GİRDİ RAPORU'!H434</f>
        <v>0</v>
      </c>
      <c r="I292" s="18">
        <f>'GİRDİ RAPORU'!I434</f>
        <v>0</v>
      </c>
      <c r="J292" s="18">
        <f>'GİRDİ RAPORU'!J1386</f>
        <v>0</v>
      </c>
      <c r="K292" s="18">
        <f>'GİRDİ RAPORU'!K1386</f>
        <v>0</v>
      </c>
      <c r="L292" s="18">
        <f>'GİRDİ RAPORU'!L1386</f>
        <v>0</v>
      </c>
      <c r="M292" s="26">
        <f t="shared" si="12"/>
        <v>0.63466666666666671</v>
      </c>
      <c r="N292" s="26">
        <f t="shared" si="13"/>
        <v>2.7777777777777776E-2</v>
      </c>
      <c r="O292" s="26">
        <f t="shared" si="14"/>
        <v>0.97222222222222221</v>
      </c>
    </row>
    <row r="293" spans="1:15" ht="21.75" hidden="1" customHeight="1">
      <c r="A293" s="17">
        <v>45652</v>
      </c>
      <c r="B293" s="18">
        <f>'GİRDİ RAPORU'!B432</f>
        <v>2</v>
      </c>
      <c r="C293" s="18">
        <f>'GİRDİ RAPORU'!C432</f>
        <v>284</v>
      </c>
      <c r="D293" s="18">
        <f>'GİRDİ RAPORU'!D432</f>
        <v>94</v>
      </c>
      <c r="E293" s="18" t="str">
        <f>'GİRDİ RAPORU'!E432</f>
        <v>Normal Mesai</v>
      </c>
      <c r="F293" s="18">
        <f>'GİRDİ RAPORU'!F432</f>
        <v>55</v>
      </c>
      <c r="G293" s="18" t="str">
        <f>'GİRDİ RAPORU'!G432</f>
        <v>Temizlik</v>
      </c>
      <c r="H293" s="18">
        <f>'GİRDİ RAPORU'!H432</f>
        <v>0</v>
      </c>
      <c r="I293" s="18">
        <f>'GİRDİ RAPORU'!I432</f>
        <v>0</v>
      </c>
      <c r="J293" s="18">
        <f>'GİRDİ RAPORU'!J1385</f>
        <v>0</v>
      </c>
      <c r="K293" s="18">
        <f>'GİRDİ RAPORU'!K1385</f>
        <v>0</v>
      </c>
      <c r="L293" s="18">
        <f>'GİRDİ RAPORU'!L1385</f>
        <v>0</v>
      </c>
      <c r="M293" s="26">
        <f t="shared" si="12"/>
        <v>0.504</v>
      </c>
      <c r="N293" s="26">
        <f t="shared" si="13"/>
        <v>0.10185185185185185</v>
      </c>
      <c r="O293" s="26">
        <f t="shared" si="14"/>
        <v>0.89814814814814814</v>
      </c>
    </row>
    <row r="294" spans="1:15" ht="21.75" hidden="1" customHeight="1">
      <c r="A294" s="17">
        <f>'GİRDİ RAPORU'!A438</f>
        <v>45651</v>
      </c>
      <c r="B294" s="18">
        <f>'GİRDİ RAPORU'!B431</f>
        <v>2</v>
      </c>
      <c r="C294" s="18">
        <f>'GİRDİ RAPORU'!C431</f>
        <v>266</v>
      </c>
      <c r="D294" s="18">
        <f>'GİRDİ RAPORU'!D431</f>
        <v>180</v>
      </c>
      <c r="E294" s="18" t="str">
        <f>'GİRDİ RAPORU'!E431</f>
        <v>Normal Mesai</v>
      </c>
      <c r="F294" s="18">
        <f>'GİRDİ RAPORU'!F431</f>
        <v>15</v>
      </c>
      <c r="G294" s="18" t="str">
        <f>'GİRDİ RAPORU'!G431</f>
        <v>Temizlik</v>
      </c>
      <c r="H294" s="18">
        <f>'GİRDİ RAPORU'!H431</f>
        <v>0</v>
      </c>
      <c r="I294" s="18">
        <f>'GİRDİ RAPORU'!I431</f>
        <v>0</v>
      </c>
      <c r="J294" s="18">
        <f>'GİRDİ RAPORU'!J1384</f>
        <v>0</v>
      </c>
      <c r="K294" s="18">
        <f>'GİRDİ RAPORU'!K1384</f>
        <v>0</v>
      </c>
      <c r="L294" s="18">
        <f>'GİRDİ RAPORU'!L1384</f>
        <v>0</v>
      </c>
      <c r="M294" s="26">
        <f t="shared" si="12"/>
        <v>0.59466666666666668</v>
      </c>
      <c r="N294" s="26">
        <f t="shared" si="13"/>
        <v>2.7777777777777776E-2</v>
      </c>
      <c r="O294" s="26">
        <f t="shared" si="14"/>
        <v>0.97222222222222221</v>
      </c>
    </row>
    <row r="295" spans="1:15" ht="21.75" hidden="1" customHeight="1">
      <c r="A295" s="17">
        <f>'GİRDİ RAPORU'!A437</f>
        <v>45650</v>
      </c>
      <c r="B295" s="18">
        <f>'GİRDİ RAPORU'!B430</f>
        <v>2</v>
      </c>
      <c r="C295" s="18">
        <f>'GİRDİ RAPORU'!C430</f>
        <v>280</v>
      </c>
      <c r="D295" s="18">
        <f>'GİRDİ RAPORU'!D430</f>
        <v>84</v>
      </c>
      <c r="E295" s="18" t="str">
        <f>'GİRDİ RAPORU'!E430</f>
        <v>Normal Mesai</v>
      </c>
      <c r="F295" s="18">
        <f>'GİRDİ RAPORU'!F430</f>
        <v>15</v>
      </c>
      <c r="G295" s="18" t="str">
        <f>'GİRDİ RAPORU'!G430</f>
        <v>Temizlik</v>
      </c>
      <c r="H295" s="18">
        <f>'GİRDİ RAPORU'!H430</f>
        <v>0</v>
      </c>
      <c r="I295" s="18">
        <f>'GİRDİ RAPORU'!I430</f>
        <v>0</v>
      </c>
      <c r="J295" s="18">
        <f>'GİRDİ RAPORU'!J1383</f>
        <v>0</v>
      </c>
      <c r="K295" s="18">
        <f>'GİRDİ RAPORU'!K1383</f>
        <v>0</v>
      </c>
      <c r="L295" s="18">
        <f>'GİRDİ RAPORU'!L1383</f>
        <v>0</v>
      </c>
      <c r="M295" s="26">
        <f t="shared" si="12"/>
        <v>0.48533333333333334</v>
      </c>
      <c r="N295" s="26">
        <f t="shared" si="13"/>
        <v>2.7777777777777776E-2</v>
      </c>
      <c r="O295" s="26">
        <f t="shared" si="14"/>
        <v>0.97222222222222221</v>
      </c>
    </row>
    <row r="296" spans="1:15" ht="21.75" hidden="1" customHeight="1">
      <c r="A296" s="17">
        <f>'GİRDİ RAPORU'!A434</f>
        <v>45649</v>
      </c>
      <c r="B296" s="18">
        <f>'GİRDİ RAPORU'!B429</f>
        <v>2</v>
      </c>
      <c r="C296" s="18">
        <f>'GİRDİ RAPORU'!C429</f>
        <v>312</v>
      </c>
      <c r="D296" s="18">
        <f>'GİRDİ RAPORU'!D429</f>
        <v>83</v>
      </c>
      <c r="E296" s="18" t="str">
        <f>'GİRDİ RAPORU'!E429</f>
        <v>Normal Mesai</v>
      </c>
      <c r="F296" s="18">
        <f>'GİRDİ RAPORU'!F429</f>
        <v>15</v>
      </c>
      <c r="G296" s="18" t="str">
        <f>'GİRDİ RAPORU'!G429</f>
        <v>Temizlik</v>
      </c>
      <c r="H296" s="18">
        <f>'GİRDİ RAPORU'!H429</f>
        <v>0</v>
      </c>
      <c r="I296" s="18">
        <f>'GİRDİ RAPORU'!I429</f>
        <v>0</v>
      </c>
      <c r="J296" s="18">
        <f>'GİRDİ RAPORU'!J1382</f>
        <v>0</v>
      </c>
      <c r="K296" s="18">
        <f>'GİRDİ RAPORU'!K1382</f>
        <v>0</v>
      </c>
      <c r="L296" s="18">
        <f>'GİRDİ RAPORU'!L1382</f>
        <v>0</v>
      </c>
      <c r="M296" s="26">
        <f t="shared" si="12"/>
        <v>0.52666666666666662</v>
      </c>
      <c r="N296" s="26">
        <f t="shared" si="13"/>
        <v>2.7777777777777776E-2</v>
      </c>
      <c r="O296" s="26">
        <f t="shared" si="14"/>
        <v>0.97222222222222221</v>
      </c>
    </row>
    <row r="297" spans="1:15" ht="21.75" hidden="1" customHeight="1">
      <c r="A297" s="17">
        <v>45646</v>
      </c>
      <c r="B297" s="18">
        <f>'GİRDİ RAPORU'!B427</f>
        <v>2</v>
      </c>
      <c r="C297" s="18">
        <f>'GİRDİ RAPORU'!C427</f>
        <v>219</v>
      </c>
      <c r="D297" s="18">
        <f>'GİRDİ RAPORU'!D427</f>
        <v>89</v>
      </c>
      <c r="E297" s="18" t="str">
        <f>'GİRDİ RAPORU'!E427</f>
        <v>Normal Mesai</v>
      </c>
      <c r="F297" s="18">
        <f>'GİRDİ RAPORU'!F427</f>
        <v>15</v>
      </c>
      <c r="G297" s="18" t="str">
        <f>'GİRDİ RAPORU'!G427</f>
        <v>Temizlik</v>
      </c>
      <c r="H297" s="18">
        <f>'GİRDİ RAPORU'!H427</f>
        <v>0</v>
      </c>
      <c r="I297" s="18">
        <f>'GİRDİ RAPORU'!I427</f>
        <v>0</v>
      </c>
      <c r="J297" s="18">
        <f>'GİRDİ RAPORU'!J1381</f>
        <v>0</v>
      </c>
      <c r="K297" s="18">
        <f>'GİRDİ RAPORU'!K1381</f>
        <v>0</v>
      </c>
      <c r="L297" s="18">
        <f>'GİRDİ RAPORU'!L1381</f>
        <v>0</v>
      </c>
      <c r="M297" s="26">
        <f t="shared" si="12"/>
        <v>0.41066666666666668</v>
      </c>
      <c r="N297" s="26">
        <f t="shared" si="13"/>
        <v>2.7777777777777776E-2</v>
      </c>
      <c r="O297" s="26">
        <f t="shared" si="14"/>
        <v>0.97222222222222221</v>
      </c>
    </row>
    <row r="298" spans="1:15" ht="21.75" hidden="1" customHeight="1">
      <c r="A298" s="17">
        <v>45645</v>
      </c>
      <c r="B298" s="18">
        <f>'GİRDİ RAPORU'!B428</f>
        <v>2</v>
      </c>
      <c r="C298" s="18">
        <f>'GİRDİ RAPORU'!C428</f>
        <v>628</v>
      </c>
      <c r="D298" s="18">
        <f>'GİRDİ RAPORU'!D428</f>
        <v>89</v>
      </c>
      <c r="E298" s="18" t="str">
        <f>'GİRDİ RAPORU'!E428</f>
        <v>Fazla Mesai</v>
      </c>
      <c r="F298" s="18">
        <f>'GİRDİ RAPORU'!F428</f>
        <v>15</v>
      </c>
      <c r="G298" s="18" t="str">
        <f>'GİRDİ RAPORU'!G428</f>
        <v>Temizlik</v>
      </c>
      <c r="H298" s="18">
        <f>'GİRDİ RAPORU'!H428</f>
        <v>0</v>
      </c>
      <c r="I298" s="18">
        <f>'GİRDİ RAPORU'!I428</f>
        <v>0</v>
      </c>
      <c r="J298" s="18">
        <f>'GİRDİ RAPORU'!J1380</f>
        <v>0</v>
      </c>
      <c r="K298" s="18">
        <f>'GİRDİ RAPORU'!K1380</f>
        <v>0</v>
      </c>
      <c r="L298" s="18">
        <f>'GİRDİ RAPORU'!L1380</f>
        <v>0</v>
      </c>
      <c r="M298" s="26">
        <f t="shared" si="12"/>
        <v>0.95599999999999996</v>
      </c>
      <c r="N298" s="26">
        <f t="shared" si="13"/>
        <v>2.7777777777777776E-2</v>
      </c>
      <c r="O298" s="26">
        <f t="shared" si="14"/>
        <v>0.97222222222222221</v>
      </c>
    </row>
    <row r="299" spans="1:15" ht="21.75" hidden="1" customHeight="1">
      <c r="A299" s="17">
        <v>45644</v>
      </c>
      <c r="B299" s="18">
        <f>'GİRDİ RAPORU'!B426</f>
        <v>2</v>
      </c>
      <c r="C299" s="18">
        <f>'GİRDİ RAPORU'!C426</f>
        <v>133</v>
      </c>
      <c r="D299" s="18">
        <f>'GİRDİ RAPORU'!D426</f>
        <v>78</v>
      </c>
      <c r="E299" s="18" t="str">
        <f>'GİRDİ RAPORU'!E426</f>
        <v>Normal Mesai</v>
      </c>
      <c r="F299" s="18">
        <f>'GİRDİ RAPORU'!F426</f>
        <v>45</v>
      </c>
      <c r="G299" s="18" t="str">
        <f>'GİRDİ RAPORU'!G426</f>
        <v>Temizlik</v>
      </c>
      <c r="H299" s="18">
        <f>'GİRDİ RAPORU'!H426</f>
        <v>0</v>
      </c>
      <c r="I299" s="18">
        <f>'GİRDİ RAPORU'!I426</f>
        <v>0</v>
      </c>
      <c r="J299" s="18">
        <f>'GİRDİ RAPORU'!J1379</f>
        <v>0</v>
      </c>
      <c r="K299" s="18">
        <f>'GİRDİ RAPORU'!K1379</f>
        <v>0</v>
      </c>
      <c r="L299" s="18">
        <f>'GİRDİ RAPORU'!L1379</f>
        <v>0</v>
      </c>
      <c r="M299" s="26">
        <f t="shared" si="12"/>
        <v>0.28133333333333332</v>
      </c>
      <c r="N299" s="26">
        <f t="shared" si="13"/>
        <v>8.3333333333333329E-2</v>
      </c>
      <c r="O299" s="26">
        <f t="shared" si="14"/>
        <v>0.91666666666666663</v>
      </c>
    </row>
    <row r="300" spans="1:15" ht="21.75" hidden="1" customHeight="1">
      <c r="A300" s="17">
        <f>'GİRDİ RAPORU'!A429</f>
        <v>45643</v>
      </c>
      <c r="B300" s="18">
        <f>'GİRDİ RAPORU'!B425</f>
        <v>2</v>
      </c>
      <c r="C300" s="18">
        <f>'GİRDİ RAPORU'!C425</f>
        <v>196</v>
      </c>
      <c r="D300" s="18">
        <f>'GİRDİ RAPORU'!D425</f>
        <v>92</v>
      </c>
      <c r="E300" s="18" t="str">
        <f>'GİRDİ RAPORU'!E425</f>
        <v>Normal Mesai</v>
      </c>
      <c r="F300" s="18">
        <f>'GİRDİ RAPORU'!F425</f>
        <v>10</v>
      </c>
      <c r="G300" s="18" t="str">
        <f>'GİRDİ RAPORU'!G425</f>
        <v>Temizlik</v>
      </c>
      <c r="H300" s="18">
        <f>'GİRDİ RAPORU'!H425</f>
        <v>0</v>
      </c>
      <c r="I300" s="18">
        <f>'GİRDİ RAPORU'!I425</f>
        <v>0</v>
      </c>
      <c r="J300" s="18">
        <f>'GİRDİ RAPORU'!J1378</f>
        <v>0</v>
      </c>
      <c r="K300" s="18">
        <f>'GİRDİ RAPORU'!K1378</f>
        <v>0</v>
      </c>
      <c r="L300" s="18">
        <f>'GİRDİ RAPORU'!L1378</f>
        <v>0</v>
      </c>
      <c r="M300" s="26">
        <f t="shared" si="12"/>
        <v>0.38400000000000001</v>
      </c>
      <c r="N300" s="26">
        <f t="shared" si="13"/>
        <v>1.8518518518518517E-2</v>
      </c>
      <c r="O300" s="26">
        <f t="shared" si="14"/>
        <v>0.98148148148148151</v>
      </c>
    </row>
    <row r="301" spans="1:15" ht="21.75" hidden="1" customHeight="1">
      <c r="A301" s="17">
        <f>'GİRDİ RAPORU'!A427</f>
        <v>45642.764058912035</v>
      </c>
      <c r="B301" s="18">
        <f>'GİRDİ RAPORU'!B423</f>
        <v>2</v>
      </c>
      <c r="C301" s="18">
        <f>'GİRDİ RAPORU'!C423</f>
        <v>278</v>
      </c>
      <c r="D301" s="18">
        <f>'GİRDİ RAPORU'!D423</f>
        <v>70</v>
      </c>
      <c r="E301" s="18" t="str">
        <f>'GİRDİ RAPORU'!E423</f>
        <v>Normal Mesai</v>
      </c>
      <c r="F301" s="18">
        <f>'GİRDİ RAPORU'!F423</f>
        <v>10</v>
      </c>
      <c r="G301" s="18" t="str">
        <f>'GİRDİ RAPORU'!G423</f>
        <v>Temizlik</v>
      </c>
      <c r="H301" s="18">
        <f>'GİRDİ RAPORU'!H423</f>
        <v>0</v>
      </c>
      <c r="I301" s="18">
        <f>'GİRDİ RAPORU'!I423</f>
        <v>0</v>
      </c>
      <c r="J301" s="18">
        <f>'GİRDİ RAPORU'!J1377</f>
        <v>0</v>
      </c>
      <c r="K301" s="18">
        <f>'GİRDİ RAPORU'!K1377</f>
        <v>0</v>
      </c>
      <c r="L301" s="18">
        <f>'GİRDİ RAPORU'!L1377</f>
        <v>0</v>
      </c>
      <c r="M301" s="26">
        <f t="shared" si="12"/>
        <v>0.46400000000000002</v>
      </c>
      <c r="N301" s="26">
        <f t="shared" si="13"/>
        <v>1.8518518518518517E-2</v>
      </c>
      <c r="O301" s="26">
        <f t="shared" si="14"/>
        <v>0.98148148148148151</v>
      </c>
    </row>
    <row r="302" spans="1:15" ht="21.75" hidden="1" customHeight="1">
      <c r="A302" s="17">
        <f>'GİRDİ RAPORU'!A428</f>
        <v>45640</v>
      </c>
      <c r="B302" s="18">
        <f>'GİRDİ RAPORU'!B421</f>
        <v>2</v>
      </c>
      <c r="C302" s="18">
        <f>'GİRDİ RAPORU'!C421</f>
        <v>65</v>
      </c>
      <c r="D302" s="18">
        <f>'GİRDİ RAPORU'!D421</f>
        <v>208</v>
      </c>
      <c r="E302" s="18" t="str">
        <f>'GİRDİ RAPORU'!E421</f>
        <v>Normal Mesai</v>
      </c>
      <c r="F302" s="18">
        <f>'GİRDİ RAPORU'!F421</f>
        <v>10</v>
      </c>
      <c r="G302" s="18" t="str">
        <f>'GİRDİ RAPORU'!G421</f>
        <v>Temizlik</v>
      </c>
      <c r="H302" s="18">
        <f>'GİRDİ RAPORU'!H421</f>
        <v>0</v>
      </c>
      <c r="I302" s="18">
        <f>'GİRDİ RAPORU'!I421</f>
        <v>0</v>
      </c>
      <c r="J302" s="18">
        <f>'GİRDİ RAPORU'!J1376</f>
        <v>0</v>
      </c>
      <c r="K302" s="18">
        <f>'GİRDİ RAPORU'!K1376</f>
        <v>0</v>
      </c>
      <c r="L302" s="18">
        <f>'GİRDİ RAPORU'!L1376</f>
        <v>0</v>
      </c>
      <c r="M302" s="26">
        <f t="shared" si="12"/>
        <v>0.36399999999999999</v>
      </c>
      <c r="N302" s="26">
        <f t="shared" si="13"/>
        <v>1.8518518518518517E-2</v>
      </c>
      <c r="O302" s="26">
        <f t="shared" si="14"/>
        <v>0.98148148148148151</v>
      </c>
    </row>
    <row r="303" spans="1:15" ht="21.75" hidden="1" customHeight="1">
      <c r="A303" s="17">
        <f>'GİRDİ RAPORU'!A426</f>
        <v>45639.768740856482</v>
      </c>
      <c r="B303" s="18">
        <f>'GİRDİ RAPORU'!B417</f>
        <v>2</v>
      </c>
      <c r="C303" s="18">
        <f>'GİRDİ RAPORU'!C417</f>
        <v>342</v>
      </c>
      <c r="D303" s="18">
        <f>'GİRDİ RAPORU'!D417</f>
        <v>173</v>
      </c>
      <c r="E303" s="18" t="str">
        <f>'GİRDİ RAPORU'!E417</f>
        <v>Normal Mesai</v>
      </c>
      <c r="F303" s="18">
        <f>'GİRDİ RAPORU'!F417</f>
        <v>30</v>
      </c>
      <c r="G303" s="18" t="str">
        <f>'GİRDİ RAPORU'!G417</f>
        <v>İş bekleme</v>
      </c>
      <c r="H303" s="18">
        <f>'GİRDİ RAPORU'!H417</f>
        <v>0</v>
      </c>
      <c r="I303" s="18">
        <f>'GİRDİ RAPORU'!I417</f>
        <v>0</v>
      </c>
      <c r="J303" s="18">
        <f>'GİRDİ RAPORU'!J1375</f>
        <v>0</v>
      </c>
      <c r="K303" s="18">
        <f>'GİRDİ RAPORU'!K1375</f>
        <v>0</v>
      </c>
      <c r="L303" s="18">
        <f>'GİRDİ RAPORU'!L1375</f>
        <v>0</v>
      </c>
      <c r="M303" s="26">
        <f t="shared" si="12"/>
        <v>0.68666666666666665</v>
      </c>
      <c r="N303" s="26">
        <f t="shared" si="13"/>
        <v>5.5555555555555552E-2</v>
      </c>
      <c r="O303" s="26">
        <f t="shared" si="14"/>
        <v>0.94444444444444442</v>
      </c>
    </row>
    <row r="304" spans="1:15" ht="21.75" hidden="1" customHeight="1">
      <c r="A304" s="17">
        <f>'GİRDİ RAPORU'!A425</f>
        <v>45638.764170833332</v>
      </c>
      <c r="B304" s="18">
        <f>'GİRDİ RAPORU'!B415</f>
        <v>1</v>
      </c>
      <c r="C304" s="18">
        <f>'GİRDİ RAPORU'!C415</f>
        <v>252</v>
      </c>
      <c r="D304" s="18">
        <f>'GİRDİ RAPORU'!D415</f>
        <v>44</v>
      </c>
      <c r="E304" s="18" t="str">
        <f>'GİRDİ RAPORU'!E415</f>
        <v>Normal Mesai</v>
      </c>
      <c r="F304" s="18">
        <f>'GİRDİ RAPORU'!F415</f>
        <v>40</v>
      </c>
      <c r="G304" s="18" t="str">
        <f>'GİRDİ RAPORU'!G415</f>
        <v>İş bekleme</v>
      </c>
      <c r="H304" s="18">
        <f>'GİRDİ RAPORU'!H415</f>
        <v>0</v>
      </c>
      <c r="I304" s="18">
        <f>'GİRDİ RAPORU'!I415</f>
        <v>0</v>
      </c>
      <c r="J304" s="18">
        <f>'GİRDİ RAPORU'!J1374</f>
        <v>0</v>
      </c>
      <c r="K304" s="18">
        <f>'GİRDİ RAPORU'!K1374</f>
        <v>0</v>
      </c>
      <c r="L304" s="18">
        <f>'GİRDİ RAPORU'!L1374</f>
        <v>0</v>
      </c>
      <c r="M304" s="26">
        <f t="shared" si="12"/>
        <v>0.39466666666666667</v>
      </c>
      <c r="N304" s="26">
        <f t="shared" si="13"/>
        <v>7.407407407407407E-2</v>
      </c>
      <c r="O304" s="26">
        <f t="shared" si="14"/>
        <v>0.92592592592592593</v>
      </c>
    </row>
    <row r="305" spans="1:15" ht="21.75" hidden="1" customHeight="1">
      <c r="A305" s="17">
        <f>'GİRDİ RAPORU'!A423</f>
        <v>45637.765452777778</v>
      </c>
      <c r="B305" s="18">
        <f>'GİRDİ RAPORU'!B414</f>
        <v>2</v>
      </c>
      <c r="C305" s="18">
        <f>'GİRDİ RAPORU'!C414</f>
        <v>162</v>
      </c>
      <c r="D305" s="18">
        <f>'GİRDİ RAPORU'!D414</f>
        <v>65</v>
      </c>
      <c r="E305" s="18" t="str">
        <f>'GİRDİ RAPORU'!E414</f>
        <v>Normal Mesai</v>
      </c>
      <c r="F305" s="18">
        <f>'GİRDİ RAPORU'!F414</f>
        <v>0</v>
      </c>
      <c r="G305" s="18">
        <f>'GİRDİ RAPORU'!G414</f>
        <v>0</v>
      </c>
      <c r="H305" s="18">
        <f>'GİRDİ RAPORU'!H414</f>
        <v>0</v>
      </c>
      <c r="I305" s="18">
        <f>'GİRDİ RAPORU'!I414</f>
        <v>0</v>
      </c>
      <c r="J305" s="18">
        <f>'GİRDİ RAPORU'!J1373</f>
        <v>0</v>
      </c>
      <c r="K305" s="18">
        <f>'GİRDİ RAPORU'!K1373</f>
        <v>0</v>
      </c>
      <c r="L305" s="18">
        <f>'GİRDİ RAPORU'!L1373</f>
        <v>0</v>
      </c>
      <c r="M305" s="26">
        <f t="shared" si="12"/>
        <v>0.30266666666666664</v>
      </c>
      <c r="N305" s="26">
        <f t="shared" si="13"/>
        <v>0</v>
      </c>
      <c r="O305" s="26">
        <f t="shared" si="14"/>
        <v>1</v>
      </c>
    </row>
    <row r="306" spans="1:15" ht="21.75" hidden="1" customHeight="1">
      <c r="A306" s="17">
        <f>'GİRDİ RAPORU'!A421</f>
        <v>45636.764642361108</v>
      </c>
      <c r="B306" s="18">
        <f>'GİRDİ RAPORU'!B413</f>
        <v>2</v>
      </c>
      <c r="C306" s="18">
        <f>'GİRDİ RAPORU'!C413</f>
        <v>208</v>
      </c>
      <c r="D306" s="18">
        <f>'GİRDİ RAPORU'!D413</f>
        <v>30</v>
      </c>
      <c r="E306" s="18" t="str">
        <f>'GİRDİ RAPORU'!E413</f>
        <v>Normal Mesai</v>
      </c>
      <c r="F306" s="18">
        <f>'GİRDİ RAPORU'!F413</f>
        <v>0</v>
      </c>
      <c r="G306" s="18">
        <f>'GİRDİ RAPORU'!G413</f>
        <v>0</v>
      </c>
      <c r="H306" s="18">
        <f>'GİRDİ RAPORU'!H413</f>
        <v>0</v>
      </c>
      <c r="I306" s="18">
        <f>'GİRDİ RAPORU'!I413</f>
        <v>0</v>
      </c>
      <c r="J306" s="18">
        <f>'GİRDİ RAPORU'!J1372</f>
        <v>0</v>
      </c>
      <c r="K306" s="18">
        <f>'GİRDİ RAPORU'!K1372</f>
        <v>0</v>
      </c>
      <c r="L306" s="18">
        <f>'GİRDİ RAPORU'!L1372</f>
        <v>0</v>
      </c>
      <c r="M306" s="26">
        <f t="shared" si="12"/>
        <v>0.31733333333333336</v>
      </c>
      <c r="N306" s="26">
        <f t="shared" si="13"/>
        <v>0</v>
      </c>
      <c r="O306" s="26">
        <f t="shared" si="14"/>
        <v>1</v>
      </c>
    </row>
    <row r="307" spans="1:15" ht="21.75" hidden="1" customHeight="1">
      <c r="A307" s="17">
        <f>'GİRDİ RAPORU'!A417</f>
        <v>45635.764984259258</v>
      </c>
      <c r="B307" s="18">
        <f>'GİRDİ RAPORU'!B411</f>
        <v>2</v>
      </c>
      <c r="C307" s="18">
        <f>'GİRDİ RAPORU'!C411</f>
        <v>132</v>
      </c>
      <c r="D307" s="18">
        <f>'GİRDİ RAPORU'!D411</f>
        <v>33</v>
      </c>
      <c r="E307" s="18" t="str">
        <f>'GİRDİ RAPORU'!E411</f>
        <v>Normal Mesai</v>
      </c>
      <c r="F307" s="18">
        <f>'GİRDİ RAPORU'!F411</f>
        <v>0</v>
      </c>
      <c r="G307" s="18">
        <f>'GİRDİ RAPORU'!G411</f>
        <v>0</v>
      </c>
      <c r="H307" s="18">
        <f>'GİRDİ RAPORU'!H411</f>
        <v>0</v>
      </c>
      <c r="I307" s="18">
        <f>'GİRDİ RAPORU'!I411</f>
        <v>0</v>
      </c>
      <c r="J307" s="18">
        <f>'GİRDİ RAPORU'!J1371</f>
        <v>0</v>
      </c>
      <c r="K307" s="18">
        <f>'GİRDİ RAPORU'!K1371</f>
        <v>0</v>
      </c>
      <c r="L307" s="18">
        <f>'GİRDİ RAPORU'!L1371</f>
        <v>0</v>
      </c>
      <c r="M307" s="26">
        <f t="shared" si="12"/>
        <v>0.22</v>
      </c>
      <c r="N307" s="26">
        <f t="shared" si="13"/>
        <v>0</v>
      </c>
      <c r="O307" s="26">
        <f t="shared" si="14"/>
        <v>1</v>
      </c>
    </row>
    <row r="308" spans="1:15" ht="21.75" hidden="1" customHeight="1">
      <c r="A308" s="17">
        <f>'GİRDİ RAPORU'!A415</f>
        <v>45632.766896412038</v>
      </c>
      <c r="B308" s="18">
        <f>'GİRDİ RAPORU'!B409</f>
        <v>2</v>
      </c>
      <c r="C308" s="18">
        <f>'GİRDİ RAPORU'!C409</f>
        <v>122</v>
      </c>
      <c r="D308" s="18">
        <f>'GİRDİ RAPORU'!D409</f>
        <v>106</v>
      </c>
      <c r="E308" s="18" t="str">
        <f>'GİRDİ RAPORU'!E409</f>
        <v>Normal Mesai</v>
      </c>
      <c r="F308" s="18">
        <f>'GİRDİ RAPORU'!F409</f>
        <v>0</v>
      </c>
      <c r="G308" s="18">
        <f>'GİRDİ RAPORU'!G409</f>
        <v>0</v>
      </c>
      <c r="H308" s="18">
        <f>'GİRDİ RAPORU'!H409</f>
        <v>0</v>
      </c>
      <c r="I308" s="18">
        <f>'GİRDİ RAPORU'!I409</f>
        <v>0</v>
      </c>
      <c r="J308" s="18">
        <f>'GİRDİ RAPORU'!J1370</f>
        <v>0</v>
      </c>
      <c r="K308" s="18">
        <f>'GİRDİ RAPORU'!K1370</f>
        <v>0</v>
      </c>
      <c r="L308" s="18">
        <f>'GİRDİ RAPORU'!L1370</f>
        <v>0</v>
      </c>
      <c r="M308" s="26">
        <f t="shared" si="12"/>
        <v>0.30399999999999999</v>
      </c>
      <c r="N308" s="26">
        <f t="shared" si="13"/>
        <v>0</v>
      </c>
      <c r="O308" s="26">
        <f t="shared" si="14"/>
        <v>1</v>
      </c>
    </row>
    <row r="309" spans="1:15" ht="21.75" hidden="1" customHeight="1">
      <c r="A309" s="17">
        <f>'GİRDİ RAPORU'!A414</f>
        <v>45631.76482546296</v>
      </c>
      <c r="B309" s="18">
        <f>'GİRDİ RAPORU'!B408</f>
        <v>2</v>
      </c>
      <c r="C309" s="18">
        <f>'GİRDİ RAPORU'!C408</f>
        <v>480</v>
      </c>
      <c r="D309" s="18">
        <f>'GİRDİ RAPORU'!D408</f>
        <v>115</v>
      </c>
      <c r="E309" s="18" t="str">
        <f>'GİRDİ RAPORU'!E408</f>
        <v>Normal Mesai</v>
      </c>
      <c r="F309" s="18">
        <f>'GİRDİ RAPORU'!F408</f>
        <v>0</v>
      </c>
      <c r="G309" s="18">
        <f>'GİRDİ RAPORU'!G408</f>
        <v>0</v>
      </c>
      <c r="H309" s="18">
        <f>'GİRDİ RAPORU'!H408</f>
        <v>0</v>
      </c>
      <c r="I309" s="18">
        <f>'GİRDİ RAPORU'!I408</f>
        <v>0</v>
      </c>
      <c r="J309" s="18">
        <f>'GİRDİ RAPORU'!J1369</f>
        <v>0</v>
      </c>
      <c r="K309" s="18">
        <f>'GİRDİ RAPORU'!K1369</f>
        <v>0</v>
      </c>
      <c r="L309" s="18">
        <f>'GİRDİ RAPORU'!L1369</f>
        <v>0</v>
      </c>
      <c r="M309" s="26">
        <f t="shared" si="12"/>
        <v>0.79333333333333333</v>
      </c>
      <c r="N309" s="26">
        <f t="shared" si="13"/>
        <v>0</v>
      </c>
      <c r="O309" s="26">
        <f t="shared" si="14"/>
        <v>1</v>
      </c>
    </row>
    <row r="310" spans="1:15" ht="21.75" hidden="1" customHeight="1">
      <c r="A310" s="17">
        <f>'GİRDİ RAPORU'!A413</f>
        <v>45630.767574884259</v>
      </c>
      <c r="B310" s="18">
        <f>'GİRDİ RAPORU'!B407</f>
        <v>2</v>
      </c>
      <c r="C310" s="18">
        <f>'GİRDİ RAPORU'!C407</f>
        <v>142</v>
      </c>
      <c r="D310" s="18">
        <f>'GİRDİ RAPORU'!D407</f>
        <v>110</v>
      </c>
      <c r="E310" s="18" t="str">
        <f>'GİRDİ RAPORU'!E407</f>
        <v>Normal Mesai</v>
      </c>
      <c r="F310" s="18">
        <f>'GİRDİ RAPORU'!F407</f>
        <v>0</v>
      </c>
      <c r="G310" s="18">
        <f>'GİRDİ RAPORU'!G407</f>
        <v>0</v>
      </c>
      <c r="H310" s="18">
        <f>'GİRDİ RAPORU'!H407</f>
        <v>0</v>
      </c>
      <c r="I310" s="18">
        <f>'GİRDİ RAPORU'!I407</f>
        <v>0</v>
      </c>
      <c r="J310" s="18">
        <f>'GİRDİ RAPORU'!J1368</f>
        <v>0</v>
      </c>
      <c r="K310" s="18">
        <f>'GİRDİ RAPORU'!K1368</f>
        <v>0</v>
      </c>
      <c r="L310" s="18">
        <f>'GİRDİ RAPORU'!L1368</f>
        <v>0</v>
      </c>
      <c r="M310" s="26">
        <f t="shared" si="12"/>
        <v>0.33600000000000002</v>
      </c>
      <c r="N310" s="26">
        <f t="shared" si="13"/>
        <v>0</v>
      </c>
      <c r="O310" s="26">
        <f t="shared" si="14"/>
        <v>1</v>
      </c>
    </row>
    <row r="311" spans="1:15" ht="21.75" hidden="1" customHeight="1">
      <c r="A311" s="17">
        <f>'GİRDİ RAPORU'!A411</f>
        <v>45629.76566921296</v>
      </c>
      <c r="B311" s="18">
        <f>'GİRDİ RAPORU'!B406</f>
        <v>2</v>
      </c>
      <c r="C311" s="18">
        <f>'GİRDİ RAPORU'!C406</f>
        <v>192</v>
      </c>
      <c r="D311" s="18">
        <f>'GİRDİ RAPORU'!D406</f>
        <v>110</v>
      </c>
      <c r="E311" s="18" t="str">
        <f>'GİRDİ RAPORU'!E406</f>
        <v>Normal Mesai</v>
      </c>
      <c r="F311" s="18">
        <f>'GİRDİ RAPORU'!F406</f>
        <v>0</v>
      </c>
      <c r="G311" s="18">
        <f>'GİRDİ RAPORU'!G406</f>
        <v>0</v>
      </c>
      <c r="H311" s="18">
        <f>'GİRDİ RAPORU'!H406</f>
        <v>0</v>
      </c>
      <c r="I311" s="18">
        <f>'GİRDİ RAPORU'!I406</f>
        <v>0</v>
      </c>
      <c r="J311" s="18">
        <f>'GİRDİ RAPORU'!J1367</f>
        <v>0</v>
      </c>
      <c r="K311" s="18">
        <f>'GİRDİ RAPORU'!K1367</f>
        <v>0</v>
      </c>
      <c r="L311" s="18">
        <f>'GİRDİ RAPORU'!L1367</f>
        <v>0</v>
      </c>
      <c r="M311" s="26">
        <f t="shared" si="12"/>
        <v>0.40266666666666667</v>
      </c>
      <c r="N311" s="26">
        <f t="shared" si="13"/>
        <v>0</v>
      </c>
      <c r="O311" s="26">
        <f t="shared" si="14"/>
        <v>1</v>
      </c>
    </row>
    <row r="312" spans="1:15" ht="21.75" hidden="1" customHeight="1">
      <c r="A312" s="17">
        <f>'GİRDİ RAPORU'!A409</f>
        <v>45628.765045138891</v>
      </c>
      <c r="B312" s="18">
        <f>'GİRDİ RAPORU'!B405</f>
        <v>2</v>
      </c>
      <c r="C312" s="18">
        <f>'GİRDİ RAPORU'!C405</f>
        <v>192</v>
      </c>
      <c r="D312" s="18">
        <f>'GİRDİ RAPORU'!D405</f>
        <v>110</v>
      </c>
      <c r="E312" s="18" t="str">
        <f>'GİRDİ RAPORU'!E405</f>
        <v>Normal Mesai</v>
      </c>
      <c r="F312" s="18">
        <f>'GİRDİ RAPORU'!F405</f>
        <v>0</v>
      </c>
      <c r="G312" s="18">
        <f>'GİRDİ RAPORU'!G405</f>
        <v>0</v>
      </c>
      <c r="H312" s="18">
        <f>'GİRDİ RAPORU'!H405</f>
        <v>0</v>
      </c>
      <c r="I312" s="18">
        <f>'GİRDİ RAPORU'!I405</f>
        <v>0</v>
      </c>
      <c r="J312" s="18">
        <f>'GİRDİ RAPORU'!J1366</f>
        <v>0</v>
      </c>
      <c r="K312" s="18">
        <f>'GİRDİ RAPORU'!K1366</f>
        <v>0</v>
      </c>
      <c r="L312" s="18">
        <f>'GİRDİ RAPORU'!L1366</f>
        <v>0</v>
      </c>
      <c r="M312" s="26">
        <f t="shared" si="12"/>
        <v>0.40266666666666667</v>
      </c>
      <c r="N312" s="26">
        <f t="shared" si="13"/>
        <v>0</v>
      </c>
      <c r="O312" s="26">
        <f t="shared" si="14"/>
        <v>1</v>
      </c>
    </row>
    <row r="313" spans="1:15" ht="21.75" hidden="1" customHeight="1">
      <c r="A313" s="17">
        <f>'GİRDİ RAPORU'!A408</f>
        <v>45626.723201967594</v>
      </c>
      <c r="B313" s="18">
        <f>'GİRDİ RAPORU'!B403</f>
        <v>2</v>
      </c>
      <c r="C313" s="18">
        <f>'GİRDİ RAPORU'!C403</f>
        <v>231</v>
      </c>
      <c r="D313" s="18">
        <f>'GİRDİ RAPORU'!D403</f>
        <v>80</v>
      </c>
      <c r="E313" s="18" t="str">
        <f>'GİRDİ RAPORU'!E403</f>
        <v>Normal Mesai</v>
      </c>
      <c r="F313" s="18">
        <f>'GİRDİ RAPORU'!F403</f>
        <v>0</v>
      </c>
      <c r="G313" s="18">
        <f>'GİRDİ RAPORU'!G403</f>
        <v>0</v>
      </c>
      <c r="H313" s="18">
        <f>'GİRDİ RAPORU'!H403</f>
        <v>0</v>
      </c>
      <c r="I313" s="18">
        <f>'GİRDİ RAPORU'!I403</f>
        <v>0</v>
      </c>
      <c r="J313" s="18">
        <f>'GİRDİ RAPORU'!J1365</f>
        <v>0</v>
      </c>
      <c r="K313" s="18">
        <f>'GİRDİ RAPORU'!K1365</f>
        <v>0</v>
      </c>
      <c r="L313" s="18">
        <f>'GİRDİ RAPORU'!L1365</f>
        <v>0</v>
      </c>
      <c r="M313" s="26">
        <f t="shared" si="12"/>
        <v>0.41466666666666668</v>
      </c>
      <c r="N313" s="26">
        <f t="shared" si="13"/>
        <v>0</v>
      </c>
      <c r="O313" s="26">
        <f t="shared" si="14"/>
        <v>1</v>
      </c>
    </row>
    <row r="314" spans="1:15" ht="21.75" hidden="1" customHeight="1">
      <c r="A314" s="17">
        <f>'GİRDİ RAPORU'!A407</f>
        <v>45625.764671064811</v>
      </c>
      <c r="B314" s="18">
        <f>'GİRDİ RAPORU'!B401</f>
        <v>2</v>
      </c>
      <c r="C314" s="18">
        <f>'GİRDİ RAPORU'!C401</f>
        <v>128</v>
      </c>
      <c r="D314" s="18">
        <f>'GİRDİ RAPORU'!D401</f>
        <v>55</v>
      </c>
      <c r="E314" s="18" t="str">
        <f>'GİRDİ RAPORU'!E401</f>
        <v>Normal Mesai</v>
      </c>
      <c r="F314" s="18">
        <f>'GİRDİ RAPORU'!F401</f>
        <v>0</v>
      </c>
      <c r="G314" s="18">
        <f>'GİRDİ RAPORU'!G401</f>
        <v>0</v>
      </c>
      <c r="H314" s="18">
        <f>'GİRDİ RAPORU'!H401</f>
        <v>0</v>
      </c>
      <c r="I314" s="18">
        <f>'GİRDİ RAPORU'!I401</f>
        <v>0</v>
      </c>
      <c r="J314" s="18">
        <f>'GİRDİ RAPORU'!J1364</f>
        <v>0</v>
      </c>
      <c r="K314" s="18">
        <f>'GİRDİ RAPORU'!K1364</f>
        <v>0</v>
      </c>
      <c r="L314" s="18">
        <f>'GİRDİ RAPORU'!L1364</f>
        <v>0</v>
      </c>
      <c r="M314" s="26">
        <f t="shared" si="12"/>
        <v>0.24399999999999999</v>
      </c>
      <c r="N314" s="26">
        <f t="shared" si="13"/>
        <v>0</v>
      </c>
      <c r="O314" s="26">
        <f t="shared" si="14"/>
        <v>1</v>
      </c>
    </row>
    <row r="315" spans="1:15" ht="21.75" hidden="1" customHeight="1">
      <c r="A315" s="17">
        <f>'GİRDİ RAPORU'!A406</f>
        <v>45624.766411921293</v>
      </c>
      <c r="B315" s="18">
        <f>'GİRDİ RAPORU'!B400</f>
        <v>2</v>
      </c>
      <c r="C315" s="18">
        <v>110</v>
      </c>
      <c r="D315" s="18">
        <f>'GİRDİ RAPORU'!D400</f>
        <v>144</v>
      </c>
      <c r="E315" s="18" t="str">
        <f>'GİRDİ RAPORU'!E400</f>
        <v>Normal Mesai</v>
      </c>
      <c r="F315" s="18">
        <f>'GİRDİ RAPORU'!F400</f>
        <v>0</v>
      </c>
      <c r="G315" s="18">
        <f>'GİRDİ RAPORU'!G400</f>
        <v>0</v>
      </c>
      <c r="H315" s="18">
        <f>'GİRDİ RAPORU'!H400</f>
        <v>0</v>
      </c>
      <c r="I315" s="18">
        <f>'GİRDİ RAPORU'!I400</f>
        <v>0</v>
      </c>
      <c r="J315" s="18">
        <f>'GİRDİ RAPORU'!J1363</f>
        <v>0</v>
      </c>
      <c r="K315" s="18">
        <f>'GİRDİ RAPORU'!K1363</f>
        <v>0</v>
      </c>
      <c r="L315" s="18">
        <f>'GİRDİ RAPORU'!L1363</f>
        <v>0</v>
      </c>
      <c r="M315" s="26">
        <f t="shared" si="12"/>
        <v>0.33866666666666667</v>
      </c>
      <c r="N315" s="26">
        <f t="shared" si="13"/>
        <v>0</v>
      </c>
      <c r="O315" s="26">
        <f t="shared" si="14"/>
        <v>1</v>
      </c>
    </row>
    <row r="316" spans="1:15" ht="21.75" hidden="1" customHeight="1">
      <c r="A316" s="17">
        <f>'GİRDİ RAPORU'!A405</f>
        <v>45624.766410069446</v>
      </c>
      <c r="B316" s="18">
        <f>'GİRDİ RAPORU'!B399</f>
        <v>2</v>
      </c>
      <c r="C316" s="18">
        <f>'GİRDİ RAPORU'!C399</f>
        <v>134</v>
      </c>
      <c r="D316" s="18">
        <f>'GİRDİ RAPORU'!D399</f>
        <v>132</v>
      </c>
      <c r="E316" s="18" t="str">
        <f>'GİRDİ RAPORU'!E399</f>
        <v>Normal Mesai</v>
      </c>
      <c r="F316" s="18">
        <f>'GİRDİ RAPORU'!F399</f>
        <v>0</v>
      </c>
      <c r="G316" s="18">
        <f>'GİRDİ RAPORU'!G399</f>
        <v>0</v>
      </c>
      <c r="H316" s="18">
        <f>'GİRDİ RAPORU'!H399</f>
        <v>0</v>
      </c>
      <c r="I316" s="18">
        <f>'GİRDİ RAPORU'!I399</f>
        <v>0</v>
      </c>
      <c r="J316" s="18">
        <f>'GİRDİ RAPORU'!J1362</f>
        <v>0</v>
      </c>
      <c r="K316" s="18">
        <f>'GİRDİ RAPORU'!K1362</f>
        <v>0</v>
      </c>
      <c r="L316" s="18">
        <f>'GİRDİ RAPORU'!L1362</f>
        <v>0</v>
      </c>
      <c r="M316" s="26">
        <f t="shared" si="12"/>
        <v>0.35466666666666669</v>
      </c>
      <c r="N316" s="26">
        <f t="shared" si="13"/>
        <v>0</v>
      </c>
      <c r="O316" s="26">
        <f t="shared" si="14"/>
        <v>1</v>
      </c>
    </row>
    <row r="317" spans="1:15" ht="21.75" hidden="1" customHeight="1">
      <c r="A317" s="17">
        <f>'GİRDİ RAPORU'!A403</f>
        <v>45623.765842129629</v>
      </c>
      <c r="B317" s="18">
        <f>'GİRDİ RAPORU'!B395</f>
        <v>2</v>
      </c>
      <c r="C317" s="18">
        <f>'GİRDİ RAPORU'!C395</f>
        <v>55</v>
      </c>
      <c r="D317" s="18">
        <f>'GİRDİ RAPORU'!D395</f>
        <v>8</v>
      </c>
      <c r="E317" s="18" t="str">
        <f>'GİRDİ RAPORU'!E395</f>
        <v>Fazla Mesai</v>
      </c>
      <c r="F317" s="18">
        <f>'GİRDİ RAPORU'!F395</f>
        <v>0</v>
      </c>
      <c r="G317" s="18">
        <f>'GİRDİ RAPORU'!G395</f>
        <v>0</v>
      </c>
      <c r="H317" s="18">
        <f>'GİRDİ RAPORU'!H395</f>
        <v>0</v>
      </c>
      <c r="I317" s="18">
        <f>'GİRDİ RAPORU'!I395</f>
        <v>0</v>
      </c>
      <c r="J317" s="18">
        <f>'GİRDİ RAPORU'!J1361</f>
        <v>0</v>
      </c>
      <c r="K317" s="18">
        <f>'GİRDİ RAPORU'!K1361</f>
        <v>0</v>
      </c>
      <c r="L317" s="18">
        <f>'GİRDİ RAPORU'!L1361</f>
        <v>0</v>
      </c>
      <c r="M317" s="26">
        <f t="shared" si="12"/>
        <v>8.4000000000000005E-2</v>
      </c>
      <c r="N317" s="26">
        <f t="shared" si="13"/>
        <v>0</v>
      </c>
      <c r="O317" s="26">
        <f t="shared" si="14"/>
        <v>1</v>
      </c>
    </row>
    <row r="318" spans="1:15" ht="21.75" hidden="1" customHeight="1">
      <c r="A318" s="17">
        <f>'GİRDİ RAPORU'!A401</f>
        <v>45622.766769097223</v>
      </c>
      <c r="B318" s="18">
        <f>'GİRDİ RAPORU'!B393</f>
        <v>2</v>
      </c>
      <c r="C318" s="18">
        <f>'GİRDİ RAPORU'!C393</f>
        <v>240</v>
      </c>
      <c r="D318" s="18">
        <f>'GİRDİ RAPORU'!D393</f>
        <v>35</v>
      </c>
      <c r="E318" s="18" t="str">
        <f>'GİRDİ RAPORU'!E393</f>
        <v>Normal Mesai</v>
      </c>
      <c r="F318" s="18">
        <f>'GİRDİ RAPORU'!F393</f>
        <v>0</v>
      </c>
      <c r="G318" s="18">
        <f>'GİRDİ RAPORU'!G393</f>
        <v>0</v>
      </c>
      <c r="H318" s="18">
        <f>'GİRDİ RAPORU'!H393</f>
        <v>0</v>
      </c>
      <c r="I318" s="18">
        <f>'GİRDİ RAPORU'!I393</f>
        <v>0</v>
      </c>
      <c r="J318" s="18">
        <f>'GİRDİ RAPORU'!J1360</f>
        <v>0</v>
      </c>
      <c r="K318" s="18">
        <f>'GİRDİ RAPORU'!K1360</f>
        <v>0</v>
      </c>
      <c r="L318" s="18">
        <f>'GİRDİ RAPORU'!L1360</f>
        <v>0</v>
      </c>
      <c r="M318" s="26">
        <f t="shared" si="12"/>
        <v>0.36666666666666664</v>
      </c>
      <c r="N318" s="26">
        <f t="shared" si="13"/>
        <v>0</v>
      </c>
      <c r="O318" s="26">
        <f t="shared" si="14"/>
        <v>1</v>
      </c>
    </row>
    <row r="319" spans="1:15" ht="21.75" hidden="1" customHeight="1">
      <c r="A319" s="17">
        <f>'GİRDİ RAPORU'!A400</f>
        <v>45621.763450578706</v>
      </c>
      <c r="B319" s="18">
        <f>'GİRDİ RAPORU'!B391</f>
        <v>2</v>
      </c>
      <c r="C319" s="18">
        <f>'GİRDİ RAPORU'!C391</f>
        <v>360</v>
      </c>
      <c r="D319" s="18">
        <f>'GİRDİ RAPORU'!D391</f>
        <v>156</v>
      </c>
      <c r="E319" s="18" t="str">
        <f>'GİRDİ RAPORU'!E391</f>
        <v>Normal Mesai</v>
      </c>
      <c r="F319" s="18">
        <f>'GİRDİ RAPORU'!F391</f>
        <v>0</v>
      </c>
      <c r="G319" s="18">
        <f>'GİRDİ RAPORU'!G391</f>
        <v>0</v>
      </c>
      <c r="H319" s="18">
        <f>'GİRDİ RAPORU'!H391</f>
        <v>0</v>
      </c>
      <c r="I319" s="18">
        <f>'GİRDİ RAPORU'!I391</f>
        <v>0</v>
      </c>
      <c r="J319" s="18">
        <f>'GİRDİ RAPORU'!J1359</f>
        <v>0</v>
      </c>
      <c r="K319" s="18">
        <f>'GİRDİ RAPORU'!K1359</f>
        <v>0</v>
      </c>
      <c r="L319" s="18">
        <f>'GİRDİ RAPORU'!L1359</f>
        <v>0</v>
      </c>
      <c r="M319" s="26">
        <f t="shared" si="12"/>
        <v>0.68799999999999994</v>
      </c>
      <c r="N319" s="26">
        <f t="shared" si="13"/>
        <v>0</v>
      </c>
      <c r="O319" s="26">
        <f t="shared" si="14"/>
        <v>1</v>
      </c>
    </row>
    <row r="320" spans="1:15" ht="21.75" hidden="1" customHeight="1">
      <c r="A320" s="17">
        <f>'GİRDİ RAPORU'!A399</f>
        <v>45618.767702546298</v>
      </c>
      <c r="B320" s="18">
        <f>'GİRDİ RAPORU'!B390</f>
        <v>2</v>
      </c>
      <c r="C320" s="18">
        <f>'GİRDİ RAPORU'!C390</f>
        <v>56</v>
      </c>
      <c r="D320" s="18">
        <f>'GİRDİ RAPORU'!D390</f>
        <v>42</v>
      </c>
      <c r="E320" s="18" t="str">
        <f>'GİRDİ RAPORU'!E390</f>
        <v>Fazla Mesai</v>
      </c>
      <c r="F320" s="18">
        <f>'GİRDİ RAPORU'!F390</f>
        <v>0</v>
      </c>
      <c r="G320" s="18">
        <f>'GİRDİ RAPORU'!G390</f>
        <v>0</v>
      </c>
      <c r="H320" s="18">
        <f>'GİRDİ RAPORU'!H390</f>
        <v>0</v>
      </c>
      <c r="I320" s="18">
        <f>'GİRDİ RAPORU'!I390</f>
        <v>0</v>
      </c>
      <c r="J320" s="18">
        <f>'GİRDİ RAPORU'!J1358</f>
        <v>0</v>
      </c>
      <c r="K320" s="18">
        <f>'GİRDİ RAPORU'!K1358</f>
        <v>0</v>
      </c>
      <c r="L320" s="18">
        <f>'GİRDİ RAPORU'!L1358</f>
        <v>0</v>
      </c>
      <c r="M320" s="26">
        <f t="shared" si="12"/>
        <v>0.13066666666666665</v>
      </c>
      <c r="N320" s="26">
        <f t="shared" si="13"/>
        <v>0</v>
      </c>
      <c r="O320" s="26">
        <f t="shared" si="14"/>
        <v>1</v>
      </c>
    </row>
    <row r="321" spans="1:15" ht="21.75" hidden="1" customHeight="1">
      <c r="A321" s="17">
        <f>'GİRDİ RAPORU'!A395</f>
        <v>45617.861417939814</v>
      </c>
      <c r="B321" s="18">
        <f>'GİRDİ RAPORU'!B389</f>
        <v>2</v>
      </c>
      <c r="C321" s="18">
        <f>'GİRDİ RAPORU'!C389</f>
        <v>366</v>
      </c>
      <c r="D321" s="18">
        <f>'GİRDİ RAPORU'!D389</f>
        <v>42</v>
      </c>
      <c r="E321" s="18" t="str">
        <f>'GİRDİ RAPORU'!E389</f>
        <v>Normal Mesai</v>
      </c>
      <c r="F321" s="18">
        <f>'GİRDİ RAPORU'!F389</f>
        <v>0</v>
      </c>
      <c r="G321" s="18">
        <f>'GİRDİ RAPORU'!G389</f>
        <v>0</v>
      </c>
      <c r="H321" s="18">
        <f>'GİRDİ RAPORU'!H389</f>
        <v>0</v>
      </c>
      <c r="I321" s="18">
        <f>'GİRDİ RAPORU'!I389</f>
        <v>0</v>
      </c>
      <c r="J321" s="18">
        <f>'GİRDİ RAPORU'!J1357</f>
        <v>0</v>
      </c>
      <c r="K321" s="18">
        <f>'GİRDİ RAPORU'!K1357</f>
        <v>0</v>
      </c>
      <c r="L321" s="18">
        <f>'GİRDİ RAPORU'!L1357</f>
        <v>0</v>
      </c>
      <c r="M321" s="26">
        <f t="shared" si="12"/>
        <v>0.54400000000000004</v>
      </c>
      <c r="N321" s="26">
        <f t="shared" si="13"/>
        <v>0</v>
      </c>
      <c r="O321" s="26">
        <f t="shared" si="14"/>
        <v>1</v>
      </c>
    </row>
    <row r="322" spans="1:15" ht="21.75" hidden="1" customHeight="1">
      <c r="A322" s="17">
        <f>'GİRDİ RAPORU'!A393</f>
        <v>45617.805128009262</v>
      </c>
      <c r="B322" s="18">
        <f>'GİRDİ RAPORU'!B388</f>
        <v>2</v>
      </c>
      <c r="C322" s="18">
        <f>'GİRDİ RAPORU'!C388</f>
        <v>210</v>
      </c>
      <c r="D322" s="18">
        <f>'GİRDİ RAPORU'!D388</f>
        <v>210</v>
      </c>
      <c r="E322" s="18" t="str">
        <f>'GİRDİ RAPORU'!E388</f>
        <v>Normal Mesai</v>
      </c>
      <c r="F322" s="18">
        <f>'GİRDİ RAPORU'!F388</f>
        <v>0</v>
      </c>
      <c r="G322" s="18">
        <f>'GİRDİ RAPORU'!G388</f>
        <v>0</v>
      </c>
      <c r="H322" s="18">
        <f>'GİRDİ RAPORU'!H388</f>
        <v>0</v>
      </c>
      <c r="I322" s="18">
        <f>'GİRDİ RAPORU'!I388</f>
        <v>0</v>
      </c>
      <c r="J322" s="18">
        <f>'GİRDİ RAPORU'!J1356</f>
        <v>0</v>
      </c>
      <c r="K322" s="18">
        <f>'GİRDİ RAPORU'!K1356</f>
        <v>0</v>
      </c>
      <c r="L322" s="18">
        <f>'GİRDİ RAPORU'!L1356</f>
        <v>0</v>
      </c>
      <c r="M322" s="26">
        <f t="shared" ref="M322:M385" si="15">(C322+D322)/750</f>
        <v>0.56000000000000005</v>
      </c>
      <c r="N322" s="26">
        <f t="shared" ref="N322:N385" si="16">(F322+H322+J322)/540</f>
        <v>0</v>
      </c>
      <c r="O322" s="26">
        <f t="shared" ref="O322:O385" si="17">(540-F322-H322-J322)/540</f>
        <v>1</v>
      </c>
    </row>
    <row r="323" spans="1:15" ht="21.75" hidden="1" customHeight="1">
      <c r="A323" s="17">
        <f>'GİRDİ RAPORU'!A391</f>
        <v>45616.768136342595</v>
      </c>
      <c r="B323" s="18">
        <f>'GİRDİ RAPORU'!B387</f>
        <v>2</v>
      </c>
      <c r="C323" s="18">
        <f>'GİRDİ RAPORU'!C387</f>
        <v>210</v>
      </c>
      <c r="D323" s="18">
        <f>'GİRDİ RAPORU'!D387</f>
        <v>210</v>
      </c>
      <c r="E323" s="18" t="str">
        <f>'GİRDİ RAPORU'!E387</f>
        <v>Normal Mesai</v>
      </c>
      <c r="F323" s="18">
        <f>'GİRDİ RAPORU'!F387</f>
        <v>0</v>
      </c>
      <c r="G323" s="18">
        <f>'GİRDİ RAPORU'!G387</f>
        <v>0</v>
      </c>
      <c r="H323" s="18">
        <f>'GİRDİ RAPORU'!H387</f>
        <v>0</v>
      </c>
      <c r="I323" s="18">
        <f>'GİRDİ RAPORU'!I387</f>
        <v>0</v>
      </c>
      <c r="J323" s="18">
        <f>'GİRDİ RAPORU'!J1355</f>
        <v>0</v>
      </c>
      <c r="K323" s="18">
        <f>'GİRDİ RAPORU'!K1355</f>
        <v>0</v>
      </c>
      <c r="L323" s="18">
        <f>'GİRDİ RAPORU'!L1355</f>
        <v>0</v>
      </c>
      <c r="M323" s="26">
        <f t="shared" si="15"/>
        <v>0.56000000000000005</v>
      </c>
      <c r="N323" s="26">
        <f t="shared" si="16"/>
        <v>0</v>
      </c>
      <c r="O323" s="26">
        <f t="shared" si="17"/>
        <v>1</v>
      </c>
    </row>
    <row r="324" spans="1:15" ht="21.75" hidden="1" customHeight="1">
      <c r="A324" s="17">
        <f>'GİRDİ RAPORU'!A390</f>
        <v>45615.864546412035</v>
      </c>
      <c r="B324" s="18">
        <f>'GİRDİ RAPORU'!B386</f>
        <v>2</v>
      </c>
      <c r="C324" s="18">
        <f>'GİRDİ RAPORU'!C386</f>
        <v>209</v>
      </c>
      <c r="D324" s="18">
        <f>'GİRDİ RAPORU'!D386</f>
        <v>210</v>
      </c>
      <c r="E324" s="18" t="str">
        <f>'GİRDİ RAPORU'!E386</f>
        <v>Normal Mesai</v>
      </c>
      <c r="F324" s="18">
        <f>'GİRDİ RAPORU'!F386</f>
        <v>60</v>
      </c>
      <c r="G324" s="18" t="str">
        <f>'GİRDİ RAPORU'!G386</f>
        <v>Temizlik</v>
      </c>
      <c r="H324" s="18">
        <f>'GİRDİ RAPORU'!H386</f>
        <v>0</v>
      </c>
      <c r="I324" s="18">
        <f>'GİRDİ RAPORU'!I386</f>
        <v>0</v>
      </c>
      <c r="J324" s="18">
        <f>'GİRDİ RAPORU'!J1354</f>
        <v>0</v>
      </c>
      <c r="K324" s="18">
        <f>'GİRDİ RAPORU'!K1354</f>
        <v>0</v>
      </c>
      <c r="L324" s="18">
        <f>'GİRDİ RAPORU'!L1354</f>
        <v>0</v>
      </c>
      <c r="M324" s="26">
        <f t="shared" si="15"/>
        <v>0.55866666666666664</v>
      </c>
      <c r="N324" s="26">
        <f t="shared" si="16"/>
        <v>0.1111111111111111</v>
      </c>
      <c r="O324" s="26">
        <f t="shared" si="17"/>
        <v>0.88888888888888884</v>
      </c>
    </row>
    <row r="325" spans="1:15" ht="21.75" hidden="1" customHeight="1">
      <c r="A325" s="17">
        <f>'GİRDİ RAPORU'!A389</f>
        <v>45615.863964236109</v>
      </c>
      <c r="B325" s="18">
        <f>'GİRDİ RAPORU'!B385</f>
        <v>2</v>
      </c>
      <c r="C325" s="18">
        <f>'GİRDİ RAPORU'!C385</f>
        <v>267</v>
      </c>
      <c r="D325" s="18">
        <f>'GİRDİ RAPORU'!D385</f>
        <v>65</v>
      </c>
      <c r="E325" s="18" t="str">
        <f>'GİRDİ RAPORU'!E385</f>
        <v>Normal Mesai</v>
      </c>
      <c r="F325" s="18">
        <f>'GİRDİ RAPORU'!F385</f>
        <v>5</v>
      </c>
      <c r="G325" s="18" t="str">
        <f>'GİRDİ RAPORU'!G385</f>
        <v>Kompresör Arızası</v>
      </c>
      <c r="H325" s="18">
        <f>'GİRDİ RAPORU'!H385</f>
        <v>0</v>
      </c>
      <c r="I325" s="18">
        <f>'GİRDİ RAPORU'!I385</f>
        <v>0</v>
      </c>
      <c r="J325" s="18">
        <f>'GİRDİ RAPORU'!J1353</f>
        <v>0</v>
      </c>
      <c r="K325" s="18">
        <f>'GİRDİ RAPORU'!K1353</f>
        <v>0</v>
      </c>
      <c r="L325" s="18">
        <f>'GİRDİ RAPORU'!L1353</f>
        <v>0</v>
      </c>
      <c r="M325" s="26">
        <f t="shared" si="15"/>
        <v>0.44266666666666665</v>
      </c>
      <c r="N325" s="26">
        <f t="shared" si="16"/>
        <v>9.2592592592592587E-3</v>
      </c>
      <c r="O325" s="26">
        <f t="shared" si="17"/>
        <v>0.9907407407407407</v>
      </c>
    </row>
    <row r="326" spans="1:15" ht="21.75" hidden="1" customHeight="1">
      <c r="A326" s="17">
        <f>'GİRDİ RAPORU'!A388</f>
        <v>45614.764162962965</v>
      </c>
      <c r="B326" s="18">
        <f>'GİRDİ RAPORU'!B384</f>
        <v>2</v>
      </c>
      <c r="C326" s="18">
        <f>'GİRDİ RAPORU'!C384</f>
        <v>263</v>
      </c>
      <c r="D326" s="18">
        <f>'GİRDİ RAPORU'!D384</f>
        <v>49</v>
      </c>
      <c r="E326" s="18" t="str">
        <f>'GİRDİ RAPORU'!E384</f>
        <v>Normal Mesai</v>
      </c>
      <c r="F326" s="18">
        <f>'GİRDİ RAPORU'!F384</f>
        <v>15</v>
      </c>
      <c r="G326" s="18" t="str">
        <f>'GİRDİ RAPORU'!G384</f>
        <v>Kompresör Arızası</v>
      </c>
      <c r="H326" s="18">
        <f>'GİRDİ RAPORU'!H384</f>
        <v>0</v>
      </c>
      <c r="I326" s="18">
        <f>'GİRDİ RAPORU'!I384</f>
        <v>0</v>
      </c>
      <c r="J326" s="18">
        <f>'GİRDİ RAPORU'!J1352</f>
        <v>0</v>
      </c>
      <c r="K326" s="18">
        <f>'GİRDİ RAPORU'!K1352</f>
        <v>0</v>
      </c>
      <c r="L326" s="18">
        <f>'GİRDİ RAPORU'!L1352</f>
        <v>0</v>
      </c>
      <c r="M326" s="26">
        <f t="shared" si="15"/>
        <v>0.41599999999999998</v>
      </c>
      <c r="N326" s="26">
        <f t="shared" si="16"/>
        <v>2.7777777777777776E-2</v>
      </c>
      <c r="O326" s="26">
        <f t="shared" si="17"/>
        <v>0.97222222222222221</v>
      </c>
    </row>
    <row r="327" spans="1:15" ht="21.75" hidden="1" customHeight="1">
      <c r="A327" s="17">
        <f>'GİRDİ RAPORU'!A387</f>
        <v>45614.764160763887</v>
      </c>
      <c r="B327" s="18">
        <f>'GİRDİ RAPORU'!B383</f>
        <v>2</v>
      </c>
      <c r="C327" s="18">
        <f>'GİRDİ RAPORU'!C383</f>
        <v>371</v>
      </c>
      <c r="D327" s="18">
        <f>'GİRDİ RAPORU'!D383</f>
        <v>68</v>
      </c>
      <c r="E327" s="18" t="str">
        <f>'GİRDİ RAPORU'!E383</f>
        <v>Normal Mesai</v>
      </c>
      <c r="F327" s="18">
        <f>'GİRDİ RAPORU'!F383</f>
        <v>0</v>
      </c>
      <c r="G327" s="18">
        <f>'GİRDİ RAPORU'!G383</f>
        <v>0</v>
      </c>
      <c r="H327" s="18">
        <f>'GİRDİ RAPORU'!H383</f>
        <v>0</v>
      </c>
      <c r="I327" s="18">
        <f>'GİRDİ RAPORU'!I383</f>
        <v>0</v>
      </c>
      <c r="J327" s="18">
        <f>'GİRDİ RAPORU'!J1351</f>
        <v>0</v>
      </c>
      <c r="K327" s="18">
        <f>'GİRDİ RAPORU'!K1351</f>
        <v>0</v>
      </c>
      <c r="L327" s="18">
        <f>'GİRDİ RAPORU'!L1351</f>
        <v>0</v>
      </c>
      <c r="M327" s="26">
        <f t="shared" si="15"/>
        <v>0.58533333333333337</v>
      </c>
      <c r="N327" s="26">
        <f t="shared" si="16"/>
        <v>0</v>
      </c>
      <c r="O327" s="26">
        <f t="shared" si="17"/>
        <v>1</v>
      </c>
    </row>
    <row r="328" spans="1:15" ht="21.75" hidden="1" customHeight="1">
      <c r="A328" s="17">
        <v>45611</v>
      </c>
      <c r="B328" s="18">
        <f>'GİRDİ RAPORU'!B382</f>
        <v>2</v>
      </c>
      <c r="C328" s="18">
        <f>'GİRDİ RAPORU'!C382</f>
        <v>247</v>
      </c>
      <c r="D328" s="18">
        <f>'GİRDİ RAPORU'!D382</f>
        <v>58</v>
      </c>
      <c r="E328" s="18" t="str">
        <f>'GİRDİ RAPORU'!E382</f>
        <v>Normal Mesai</v>
      </c>
      <c r="F328" s="18">
        <f>'GİRDİ RAPORU'!F382</f>
        <v>15</v>
      </c>
      <c r="G328" s="18" t="str">
        <f>'GİRDİ RAPORU'!G382</f>
        <v>Kompresör Arızası</v>
      </c>
      <c r="H328" s="18">
        <f>'GİRDİ RAPORU'!H382</f>
        <v>0</v>
      </c>
      <c r="I328" s="18">
        <f>'GİRDİ RAPORU'!I382</f>
        <v>0</v>
      </c>
      <c r="J328" s="18">
        <f>'GİRDİ RAPORU'!J1350</f>
        <v>0</v>
      </c>
      <c r="K328" s="18">
        <f>'GİRDİ RAPORU'!K1350</f>
        <v>0</v>
      </c>
      <c r="L328" s="18">
        <f>'GİRDİ RAPORU'!L1350</f>
        <v>0</v>
      </c>
      <c r="M328" s="26">
        <f t="shared" si="15"/>
        <v>0.40666666666666668</v>
      </c>
      <c r="N328" s="26">
        <f t="shared" si="16"/>
        <v>2.7777777777777776E-2</v>
      </c>
      <c r="O328" s="26">
        <f t="shared" si="17"/>
        <v>0.97222222222222221</v>
      </c>
    </row>
    <row r="329" spans="1:15" ht="21.75" hidden="1" customHeight="1">
      <c r="A329" s="17">
        <f>'GİRDİ RAPORU'!A385</f>
        <v>45610.766032523148</v>
      </c>
      <c r="B329" s="18">
        <f>'GİRDİ RAPORU'!B381</f>
        <v>2</v>
      </c>
      <c r="C329" s="18">
        <f>'GİRDİ RAPORU'!C381</f>
        <v>260</v>
      </c>
      <c r="D329" s="18">
        <f>'GİRDİ RAPORU'!D381</f>
        <v>16</v>
      </c>
      <c r="E329" s="18" t="str">
        <f>'GİRDİ RAPORU'!E381</f>
        <v>Normal Mesai</v>
      </c>
      <c r="F329" s="18">
        <f>'GİRDİ RAPORU'!F381</f>
        <v>0</v>
      </c>
      <c r="G329" s="18">
        <f>'GİRDİ RAPORU'!G381</f>
        <v>0</v>
      </c>
      <c r="H329" s="18">
        <f>'GİRDİ RAPORU'!H381</f>
        <v>0</v>
      </c>
      <c r="I329" s="18">
        <f>'GİRDİ RAPORU'!I381</f>
        <v>0</v>
      </c>
      <c r="J329" s="18">
        <f>'GİRDİ RAPORU'!J1349</f>
        <v>0</v>
      </c>
      <c r="K329" s="18">
        <f>'GİRDİ RAPORU'!K1349</f>
        <v>0</v>
      </c>
      <c r="L329" s="18">
        <f>'GİRDİ RAPORU'!L1349</f>
        <v>0</v>
      </c>
      <c r="M329" s="26">
        <f t="shared" si="15"/>
        <v>0.36799999999999999</v>
      </c>
      <c r="N329" s="26">
        <f t="shared" si="16"/>
        <v>0</v>
      </c>
      <c r="O329" s="26">
        <f t="shared" si="17"/>
        <v>1</v>
      </c>
    </row>
    <row r="330" spans="1:15" ht="21.75" hidden="1" customHeight="1">
      <c r="A330" s="17">
        <f>'GİRDİ RAPORU'!A384</f>
        <v>45609.761322222221</v>
      </c>
      <c r="B330" s="18">
        <f>'GİRDİ RAPORU'!B380</f>
        <v>2</v>
      </c>
      <c r="C330" s="18">
        <f>'GİRDİ RAPORU'!C380</f>
        <v>328</v>
      </c>
      <c r="D330" s="18">
        <f>'GİRDİ RAPORU'!D380</f>
        <v>16</v>
      </c>
      <c r="E330" s="18" t="str">
        <f>'GİRDİ RAPORU'!E380</f>
        <v>Normal Mesai</v>
      </c>
      <c r="F330" s="18">
        <f>'GİRDİ RAPORU'!F380</f>
        <v>0</v>
      </c>
      <c r="G330" s="18">
        <f>'GİRDİ RAPORU'!G380</f>
        <v>0</v>
      </c>
      <c r="H330" s="18">
        <f>'GİRDİ RAPORU'!H380</f>
        <v>0</v>
      </c>
      <c r="I330" s="18">
        <f>'GİRDİ RAPORU'!I380</f>
        <v>0</v>
      </c>
      <c r="J330" s="18">
        <f>'GİRDİ RAPORU'!J1348</f>
        <v>0</v>
      </c>
      <c r="K330" s="18">
        <f>'GİRDİ RAPORU'!K1348</f>
        <v>0</v>
      </c>
      <c r="L330" s="18">
        <f>'GİRDİ RAPORU'!L1348</f>
        <v>0</v>
      </c>
      <c r="M330" s="26">
        <f t="shared" si="15"/>
        <v>0.45866666666666667</v>
      </c>
      <c r="N330" s="26">
        <f t="shared" si="16"/>
        <v>0</v>
      </c>
      <c r="O330" s="26">
        <f t="shared" si="17"/>
        <v>1</v>
      </c>
    </row>
    <row r="331" spans="1:15" ht="21.75" hidden="1" customHeight="1">
      <c r="A331" s="17">
        <f>'GİRDİ RAPORU'!A383</f>
        <v>45608.767781828705</v>
      </c>
      <c r="B331" s="18">
        <f>'GİRDİ RAPORU'!B379</f>
        <v>2</v>
      </c>
      <c r="C331" s="18">
        <f>'GİRDİ RAPORU'!C379</f>
        <v>206</v>
      </c>
      <c r="D331" s="18">
        <f>'GİRDİ RAPORU'!D379</f>
        <v>44</v>
      </c>
      <c r="E331" s="18" t="str">
        <f>'GİRDİ RAPORU'!E379</f>
        <v>Normal Mesai</v>
      </c>
      <c r="F331" s="18">
        <f>'GİRDİ RAPORU'!F379</f>
        <v>30</v>
      </c>
      <c r="G331" s="18" t="str">
        <f>'GİRDİ RAPORU'!G379</f>
        <v>Ar-ge Çalışması</v>
      </c>
      <c r="H331" s="18">
        <f>'GİRDİ RAPORU'!H379</f>
        <v>0</v>
      </c>
      <c r="I331" s="18">
        <f>'GİRDİ RAPORU'!I379</f>
        <v>0</v>
      </c>
      <c r="J331" s="18">
        <f>'GİRDİ RAPORU'!J1347</f>
        <v>0</v>
      </c>
      <c r="K331" s="18">
        <f>'GİRDİ RAPORU'!K1347</f>
        <v>0</v>
      </c>
      <c r="L331" s="18">
        <f>'GİRDİ RAPORU'!L1347</f>
        <v>0</v>
      </c>
      <c r="M331" s="26">
        <f t="shared" si="15"/>
        <v>0.33333333333333331</v>
      </c>
      <c r="N331" s="26">
        <f t="shared" si="16"/>
        <v>5.5555555555555552E-2</v>
      </c>
      <c r="O331" s="26">
        <f t="shared" si="17"/>
        <v>0.94444444444444442</v>
      </c>
    </row>
    <row r="332" spans="1:15" ht="21.75" hidden="1" customHeight="1">
      <c r="A332" s="17">
        <v>45607</v>
      </c>
      <c r="B332" s="18">
        <f>'GİRDİ RAPORU'!B377</f>
        <v>2</v>
      </c>
      <c r="C332" s="18">
        <f>'GİRDİ RAPORU'!C377</f>
        <v>132</v>
      </c>
      <c r="D332" s="18">
        <f>'GİRDİ RAPORU'!D377</f>
        <v>12</v>
      </c>
      <c r="E332" s="18" t="str">
        <f>'GİRDİ RAPORU'!E377</f>
        <v>Normal Mesai</v>
      </c>
      <c r="F332" s="18">
        <f>'GİRDİ RAPORU'!F377</f>
        <v>0</v>
      </c>
      <c r="G332" s="18">
        <f>'GİRDİ RAPORU'!G377</f>
        <v>0</v>
      </c>
      <c r="H332" s="18">
        <f>'GİRDİ RAPORU'!H377</f>
        <v>0</v>
      </c>
      <c r="I332" s="18">
        <f>'GİRDİ RAPORU'!I377</f>
        <v>0</v>
      </c>
      <c r="J332" s="18">
        <f>'GİRDİ RAPORU'!J1346</f>
        <v>0</v>
      </c>
      <c r="K332" s="18">
        <f>'GİRDİ RAPORU'!K1346</f>
        <v>0</v>
      </c>
      <c r="L332" s="18">
        <f>'GİRDİ RAPORU'!L1346</f>
        <v>0</v>
      </c>
      <c r="M332" s="26">
        <f t="shared" si="15"/>
        <v>0.192</v>
      </c>
      <c r="N332" s="26">
        <f t="shared" si="16"/>
        <v>0</v>
      </c>
      <c r="O332" s="26">
        <f t="shared" si="17"/>
        <v>1</v>
      </c>
    </row>
    <row r="333" spans="1:15" ht="21.75" hidden="1" customHeight="1">
      <c r="A333" s="17">
        <f>'GİRDİ RAPORU'!A381</f>
        <v>45604</v>
      </c>
      <c r="B333" s="18">
        <f>'GİRDİ RAPORU'!B375</f>
        <v>2</v>
      </c>
      <c r="C333" s="18">
        <f>'GİRDİ RAPORU'!C375</f>
        <v>280</v>
      </c>
      <c r="D333" s="18">
        <f>'GİRDİ RAPORU'!D375</f>
        <v>110</v>
      </c>
      <c r="E333" s="18" t="str">
        <f>'GİRDİ RAPORU'!E375</f>
        <v>Normal Mesai</v>
      </c>
      <c r="F333" s="18">
        <f>'GİRDİ RAPORU'!F375</f>
        <v>0</v>
      </c>
      <c r="G333" s="18">
        <f>'GİRDİ RAPORU'!G375</f>
        <v>0</v>
      </c>
      <c r="H333" s="18">
        <f>'GİRDİ RAPORU'!H375</f>
        <v>0</v>
      </c>
      <c r="I333" s="18">
        <f>'GİRDİ RAPORU'!I375</f>
        <v>0</v>
      </c>
      <c r="J333" s="18">
        <f>'GİRDİ RAPORU'!J1345</f>
        <v>0</v>
      </c>
      <c r="K333" s="18">
        <f>'GİRDİ RAPORU'!K1345</f>
        <v>0</v>
      </c>
      <c r="L333" s="18">
        <f>'GİRDİ RAPORU'!L1345</f>
        <v>0</v>
      </c>
      <c r="M333" s="26">
        <f t="shared" si="15"/>
        <v>0.52</v>
      </c>
      <c r="N333" s="26">
        <f t="shared" si="16"/>
        <v>0</v>
      </c>
      <c r="O333" s="26">
        <f t="shared" si="17"/>
        <v>1</v>
      </c>
    </row>
    <row r="334" spans="1:15" ht="21.75" hidden="1" customHeight="1">
      <c r="A334" s="17">
        <f>'GİRDİ RAPORU'!A380</f>
        <v>45603</v>
      </c>
      <c r="B334" s="18">
        <f>'GİRDİ RAPORU'!B378</f>
        <v>2</v>
      </c>
      <c r="C334" s="18">
        <f>'GİRDİ RAPORU'!C378</f>
        <v>110</v>
      </c>
      <c r="D334" s="18">
        <f>'GİRDİ RAPORU'!D378</f>
        <v>22</v>
      </c>
      <c r="E334" s="18" t="str">
        <f>'GİRDİ RAPORU'!E378</f>
        <v>Normal Mesai</v>
      </c>
      <c r="F334" s="18">
        <f>'GİRDİ RAPORU'!F378</f>
        <v>0</v>
      </c>
      <c r="G334" s="18">
        <f>'GİRDİ RAPORU'!G378</f>
        <v>0</v>
      </c>
      <c r="H334" s="18">
        <f>'GİRDİ RAPORU'!H378</f>
        <v>0</v>
      </c>
      <c r="I334" s="18">
        <f>'GİRDİ RAPORU'!I378</f>
        <v>0</v>
      </c>
      <c r="J334" s="18">
        <f>'GİRDİ RAPORU'!J1344</f>
        <v>0</v>
      </c>
      <c r="K334" s="18">
        <f>'GİRDİ RAPORU'!K1344</f>
        <v>0</v>
      </c>
      <c r="L334" s="18">
        <f>'GİRDİ RAPORU'!L1344</f>
        <v>0</v>
      </c>
      <c r="M334" s="26">
        <f t="shared" si="15"/>
        <v>0.17599999999999999</v>
      </c>
      <c r="N334" s="26">
        <f t="shared" si="16"/>
        <v>0</v>
      </c>
      <c r="O334" s="26">
        <f t="shared" si="17"/>
        <v>1</v>
      </c>
    </row>
    <row r="335" spans="1:15" ht="21.75" hidden="1" customHeight="1">
      <c r="A335" s="17">
        <f>'GİRDİ RAPORU'!A379</f>
        <v>45602</v>
      </c>
      <c r="B335" s="18">
        <f>'GİRDİ RAPORU'!B371</f>
        <v>2</v>
      </c>
      <c r="C335" s="18">
        <f>'GİRDİ RAPORU'!C371</f>
        <v>340</v>
      </c>
      <c r="D335" s="18">
        <f>'GİRDİ RAPORU'!D371</f>
        <v>36</v>
      </c>
      <c r="E335" s="18" t="str">
        <f>'GİRDİ RAPORU'!E371</f>
        <v>Fazla Mesai</v>
      </c>
      <c r="F335" s="18">
        <f>'GİRDİ RAPORU'!F371</f>
        <v>0</v>
      </c>
      <c r="G335" s="18">
        <f>'GİRDİ RAPORU'!G371</f>
        <v>0</v>
      </c>
      <c r="H335" s="18">
        <f>'GİRDİ RAPORU'!H371</f>
        <v>0</v>
      </c>
      <c r="I335" s="18">
        <f>'GİRDİ RAPORU'!I371</f>
        <v>0</v>
      </c>
      <c r="J335" s="18">
        <f>'GİRDİ RAPORU'!J1343</f>
        <v>0</v>
      </c>
      <c r="K335" s="18">
        <f>'GİRDİ RAPORU'!K1343</f>
        <v>0</v>
      </c>
      <c r="L335" s="18">
        <f>'GİRDİ RAPORU'!L1343</f>
        <v>0</v>
      </c>
      <c r="M335" s="26">
        <f t="shared" si="15"/>
        <v>0.5013333333333333</v>
      </c>
      <c r="N335" s="26">
        <f t="shared" si="16"/>
        <v>0</v>
      </c>
      <c r="O335" s="26">
        <f t="shared" si="17"/>
        <v>1</v>
      </c>
    </row>
    <row r="336" spans="1:15" ht="21.75" hidden="1" customHeight="1">
      <c r="A336" s="17">
        <v>45601</v>
      </c>
      <c r="B336" s="18">
        <f>'GİRDİ RAPORU'!B372</f>
        <v>2</v>
      </c>
      <c r="C336" s="18">
        <f>'GİRDİ RAPORU'!C372</f>
        <v>340</v>
      </c>
      <c r="D336" s="18">
        <f>'GİRDİ RAPORU'!D372</f>
        <v>36</v>
      </c>
      <c r="E336" s="18" t="str">
        <f>'GİRDİ RAPORU'!E372</f>
        <v>Fazla Mesai</v>
      </c>
      <c r="F336" s="18">
        <f>'GİRDİ RAPORU'!F372</f>
        <v>0</v>
      </c>
      <c r="G336" s="18">
        <f>'GİRDİ RAPORU'!G372</f>
        <v>0</v>
      </c>
      <c r="H336" s="18">
        <f>'GİRDİ RAPORU'!H372</f>
        <v>0</v>
      </c>
      <c r="I336" s="18">
        <f>'GİRDİ RAPORU'!I372</f>
        <v>0</v>
      </c>
      <c r="J336" s="18">
        <f>'GİRDİ RAPORU'!J1342</f>
        <v>0</v>
      </c>
      <c r="K336" s="18">
        <f>'GİRDİ RAPORU'!K1342</f>
        <v>0</v>
      </c>
      <c r="L336" s="18">
        <f>'GİRDİ RAPORU'!L1342</f>
        <v>0</v>
      </c>
      <c r="M336" s="26">
        <f t="shared" si="15"/>
        <v>0.5013333333333333</v>
      </c>
      <c r="N336" s="26">
        <f t="shared" si="16"/>
        <v>0</v>
      </c>
      <c r="O336" s="26">
        <f t="shared" si="17"/>
        <v>1</v>
      </c>
    </row>
    <row r="337" spans="1:15" ht="21.75" hidden="1" customHeight="1">
      <c r="A337" s="17">
        <f>'GİRDİ RAPORU'!A375</f>
        <v>45600</v>
      </c>
      <c r="B337" s="18">
        <f>'GİRDİ RAPORU'!B373</f>
        <v>2</v>
      </c>
      <c r="C337" s="18">
        <f>'GİRDİ RAPORU'!C373</f>
        <v>180</v>
      </c>
      <c r="D337" s="18">
        <f>'GİRDİ RAPORU'!D373</f>
        <v>45</v>
      </c>
      <c r="E337" s="18" t="str">
        <f>'GİRDİ RAPORU'!E373</f>
        <v>Normal Mesai</v>
      </c>
      <c r="F337" s="18">
        <f>'GİRDİ RAPORU'!F373</f>
        <v>0</v>
      </c>
      <c r="G337" s="18">
        <f>'GİRDİ RAPORU'!G373</f>
        <v>0</v>
      </c>
      <c r="H337" s="18">
        <f>'GİRDİ RAPORU'!H373</f>
        <v>0</v>
      </c>
      <c r="I337" s="18">
        <f>'GİRDİ RAPORU'!I373</f>
        <v>0</v>
      </c>
      <c r="J337" s="18">
        <f>'GİRDİ RAPORU'!J1341</f>
        <v>0</v>
      </c>
      <c r="K337" s="18">
        <f>'GİRDİ RAPORU'!K1341</f>
        <v>0</v>
      </c>
      <c r="L337" s="18">
        <f>'GİRDİ RAPORU'!L1341</f>
        <v>0</v>
      </c>
      <c r="M337" s="26">
        <f t="shared" si="15"/>
        <v>0.3</v>
      </c>
      <c r="N337" s="26">
        <f t="shared" si="16"/>
        <v>0</v>
      </c>
      <c r="O337" s="26">
        <f t="shared" si="17"/>
        <v>1</v>
      </c>
    </row>
    <row r="338" spans="1:15" ht="21.75" hidden="1" customHeight="1">
      <c r="A338" s="17">
        <f>'GİRDİ RAPORU'!A378</f>
        <v>45597</v>
      </c>
      <c r="B338" s="18">
        <f>'GİRDİ RAPORU'!B374</f>
        <v>2</v>
      </c>
      <c r="C338" s="18">
        <f>'GİRDİ RAPORU'!C374</f>
        <v>180</v>
      </c>
      <c r="D338" s="18">
        <f>'GİRDİ RAPORU'!D374</f>
        <v>45</v>
      </c>
      <c r="E338" s="18" t="str">
        <f>'GİRDİ RAPORU'!E374</f>
        <v>Normal Mesai</v>
      </c>
      <c r="F338" s="18">
        <f>'GİRDİ RAPORU'!F374</f>
        <v>0</v>
      </c>
      <c r="G338" s="18">
        <f>'GİRDİ RAPORU'!G374</f>
        <v>0</v>
      </c>
      <c r="H338" s="18">
        <f>'GİRDİ RAPORU'!H374</f>
        <v>0</v>
      </c>
      <c r="I338" s="18">
        <f>'GİRDİ RAPORU'!I374</f>
        <v>0</v>
      </c>
      <c r="J338" s="18">
        <f>'GİRDİ RAPORU'!J1340</f>
        <v>0</v>
      </c>
      <c r="K338" s="18">
        <f>'GİRDİ RAPORU'!K1340</f>
        <v>0</v>
      </c>
      <c r="L338" s="18">
        <f>'GİRDİ RAPORU'!L1340</f>
        <v>0</v>
      </c>
      <c r="M338" s="26">
        <f t="shared" si="15"/>
        <v>0.3</v>
      </c>
      <c r="N338" s="26">
        <f t="shared" si="16"/>
        <v>0</v>
      </c>
      <c r="O338" s="26">
        <f t="shared" si="17"/>
        <v>1</v>
      </c>
    </row>
    <row r="339" spans="1:15" ht="21.75" hidden="1" customHeight="1">
      <c r="A339" s="17">
        <f>'GİRDİ RAPORU'!A371</f>
        <v>45595</v>
      </c>
      <c r="B339" s="18">
        <f>'GİRDİ RAPORU'!B369</f>
        <v>2</v>
      </c>
      <c r="C339" s="18">
        <f>'GİRDİ RAPORU'!C369</f>
        <v>40</v>
      </c>
      <c r="D339" s="18">
        <f>'GİRDİ RAPORU'!D369</f>
        <v>222</v>
      </c>
      <c r="E339" s="18" t="str">
        <f>'GİRDİ RAPORU'!E369</f>
        <v>Fazla Mesai</v>
      </c>
      <c r="F339" s="18">
        <f>'GİRDİ RAPORU'!F369</f>
        <v>0</v>
      </c>
      <c r="G339" s="18">
        <f>'GİRDİ RAPORU'!G369</f>
        <v>0</v>
      </c>
      <c r="H339" s="18">
        <f>'GİRDİ RAPORU'!H369</f>
        <v>0</v>
      </c>
      <c r="I339" s="18">
        <f>'GİRDİ RAPORU'!I369</f>
        <v>0</v>
      </c>
      <c r="J339" s="18">
        <f>'GİRDİ RAPORU'!J1336</f>
        <v>0</v>
      </c>
      <c r="K339" s="18">
        <f>'GİRDİ RAPORU'!K1336</f>
        <v>0</v>
      </c>
      <c r="L339" s="18">
        <f>'GİRDİ RAPORU'!L1336</f>
        <v>0</v>
      </c>
      <c r="M339" s="26">
        <f t="shared" si="15"/>
        <v>0.34933333333333333</v>
      </c>
      <c r="N339" s="26">
        <f t="shared" si="16"/>
        <v>0</v>
      </c>
      <c r="O339" s="26">
        <f t="shared" si="17"/>
        <v>1</v>
      </c>
    </row>
    <row r="340" spans="1:15" ht="21.75" hidden="1" customHeight="1">
      <c r="A340" s="17">
        <f>'GİRDİ RAPORU'!A372</f>
        <v>45595</v>
      </c>
      <c r="B340" s="18">
        <f>'GİRDİ RAPORU'!B370</f>
        <v>2</v>
      </c>
      <c r="C340" s="18">
        <f>'GİRDİ RAPORU'!C370</f>
        <v>340</v>
      </c>
      <c r="D340" s="18">
        <f>'GİRDİ RAPORU'!D370</f>
        <v>36</v>
      </c>
      <c r="E340" s="18" t="str">
        <f>'GİRDİ RAPORU'!E370</f>
        <v>Fazla Mesai</v>
      </c>
      <c r="F340" s="18">
        <f>'GİRDİ RAPORU'!F370</f>
        <v>0</v>
      </c>
      <c r="G340" s="18">
        <f>'GİRDİ RAPORU'!G370</f>
        <v>0</v>
      </c>
      <c r="H340" s="18">
        <f>'GİRDİ RAPORU'!H370</f>
        <v>0</v>
      </c>
      <c r="I340" s="18">
        <f>'GİRDİ RAPORU'!I370</f>
        <v>0</v>
      </c>
      <c r="J340" s="18">
        <f>'GİRDİ RAPORU'!J1337</f>
        <v>0</v>
      </c>
      <c r="K340" s="18">
        <f>'GİRDİ RAPORU'!K1337</f>
        <v>0</v>
      </c>
      <c r="L340" s="18">
        <f>'GİRDİ RAPORU'!L1337</f>
        <v>0</v>
      </c>
      <c r="M340" s="26">
        <f t="shared" si="15"/>
        <v>0.5013333333333333</v>
      </c>
      <c r="N340" s="26">
        <f t="shared" si="16"/>
        <v>0</v>
      </c>
      <c r="O340" s="26">
        <f t="shared" si="17"/>
        <v>1</v>
      </c>
    </row>
    <row r="341" spans="1:15" ht="21.75" hidden="1" customHeight="1">
      <c r="A341" s="17">
        <f>'GİRDİ RAPORU'!A373</f>
        <v>45595</v>
      </c>
      <c r="B341" s="18">
        <f>'GİRDİ RAPORU'!B367</f>
        <v>2</v>
      </c>
      <c r="C341" s="18">
        <f>'GİRDİ RAPORU'!C367</f>
        <v>140</v>
      </c>
      <c r="D341" s="18">
        <f>'GİRDİ RAPORU'!D367</f>
        <v>35</v>
      </c>
      <c r="E341" s="18" t="str">
        <f>'GİRDİ RAPORU'!E367</f>
        <v>Normal Mesai</v>
      </c>
      <c r="F341" s="18">
        <f>'GİRDİ RAPORU'!F367</f>
        <v>15</v>
      </c>
      <c r="G341" s="18" t="str">
        <f>'GİRDİ RAPORU'!G367</f>
        <v>Ayar</v>
      </c>
      <c r="H341" s="18">
        <f>'GİRDİ RAPORU'!H367</f>
        <v>15</v>
      </c>
      <c r="I341" s="18" t="str">
        <f>'GİRDİ RAPORU'!I367</f>
        <v>İş bekleme</v>
      </c>
      <c r="J341" s="18">
        <f>'GİRDİ RAPORU'!J1338</f>
        <v>0</v>
      </c>
      <c r="K341" s="18">
        <f>'GİRDİ RAPORU'!K1338</f>
        <v>0</v>
      </c>
      <c r="L341" s="18">
        <f>'GİRDİ RAPORU'!L1338</f>
        <v>0</v>
      </c>
      <c r="M341" s="26">
        <f t="shared" si="15"/>
        <v>0.23333333333333334</v>
      </c>
      <c r="N341" s="26">
        <f t="shared" si="16"/>
        <v>5.5555555555555552E-2</v>
      </c>
      <c r="O341" s="26">
        <f t="shared" si="17"/>
        <v>0.94444444444444442</v>
      </c>
    </row>
    <row r="342" spans="1:15" ht="21.75" hidden="1" customHeight="1">
      <c r="A342" s="17">
        <f>'GİRDİ RAPORU'!A374</f>
        <v>45595</v>
      </c>
      <c r="B342" s="18">
        <f>'GİRDİ RAPORU'!B368</f>
        <v>2</v>
      </c>
      <c r="C342" s="18">
        <f>'GİRDİ RAPORU'!C368</f>
        <v>40</v>
      </c>
      <c r="D342" s="18">
        <f>'GİRDİ RAPORU'!D368</f>
        <v>15</v>
      </c>
      <c r="E342" s="18" t="str">
        <f>'GİRDİ RAPORU'!E368</f>
        <v>Fazla Mesai</v>
      </c>
      <c r="F342" s="18">
        <f>'GİRDİ RAPORU'!F368</f>
        <v>0</v>
      </c>
      <c r="G342" s="18">
        <f>'GİRDİ RAPORU'!G368</f>
        <v>0</v>
      </c>
      <c r="H342" s="18">
        <f>'GİRDİ RAPORU'!H368</f>
        <v>0</v>
      </c>
      <c r="I342" s="18">
        <f>'GİRDİ RAPORU'!I368</f>
        <v>0</v>
      </c>
      <c r="J342" s="18">
        <f>'GİRDİ RAPORU'!J1339</f>
        <v>0</v>
      </c>
      <c r="K342" s="18">
        <f>'GİRDİ RAPORU'!K1339</f>
        <v>0</v>
      </c>
      <c r="L342" s="18">
        <f>'GİRDİ RAPORU'!L1339</f>
        <v>0</v>
      </c>
      <c r="M342" s="26">
        <f t="shared" si="15"/>
        <v>7.3333333333333334E-2</v>
      </c>
      <c r="N342" s="26">
        <f t="shared" si="16"/>
        <v>0</v>
      </c>
      <c r="O342" s="26">
        <f t="shared" si="17"/>
        <v>1</v>
      </c>
    </row>
    <row r="343" spans="1:15" ht="21.75" hidden="1" customHeight="1">
      <c r="A343" s="17">
        <f>'GİRDİ RAPORU'!A369</f>
        <v>45593</v>
      </c>
      <c r="B343" s="18">
        <f>'GİRDİ RAPORU'!B364</f>
        <v>2</v>
      </c>
      <c r="C343" s="18">
        <f>'GİRDİ RAPORU'!C364</f>
        <v>35</v>
      </c>
      <c r="D343" s="18">
        <f>'GİRDİ RAPORU'!D364</f>
        <v>15</v>
      </c>
      <c r="E343" s="18" t="str">
        <f>'GİRDİ RAPORU'!E364</f>
        <v>Normal Mesai</v>
      </c>
      <c r="F343" s="18">
        <v>480</v>
      </c>
      <c r="G343" s="18" t="str">
        <f>'GİRDİ RAPORU'!G364</f>
        <v>Makine Arızası</v>
      </c>
      <c r="H343" s="18">
        <f>'GİRDİ RAPORU'!H364</f>
        <v>0</v>
      </c>
      <c r="I343" s="18" t="str">
        <f>'GİRDİ RAPORU'!I364</f>
        <v>Ayar</v>
      </c>
      <c r="J343" s="18">
        <f>'GİRDİ RAPORU'!J1334</f>
        <v>0</v>
      </c>
      <c r="K343" s="18">
        <f>'GİRDİ RAPORU'!K1334</f>
        <v>0</v>
      </c>
      <c r="L343" s="18">
        <f>'GİRDİ RAPORU'!L1334</f>
        <v>0</v>
      </c>
      <c r="M343" s="26">
        <f t="shared" si="15"/>
        <v>6.6666666666666666E-2</v>
      </c>
      <c r="N343" s="26">
        <f t="shared" si="16"/>
        <v>0.88888888888888884</v>
      </c>
      <c r="O343" s="26">
        <f t="shared" si="17"/>
        <v>0.1111111111111111</v>
      </c>
    </row>
    <row r="344" spans="1:15" ht="21.75" hidden="1" customHeight="1">
      <c r="A344" s="17">
        <f>'GİRDİ RAPORU'!A370</f>
        <v>45593</v>
      </c>
      <c r="B344" s="18">
        <f>'GİRDİ RAPORU'!B366</f>
        <v>2</v>
      </c>
      <c r="C344" s="18">
        <f>'GİRDİ RAPORU'!C366</f>
        <v>140</v>
      </c>
      <c r="D344" s="18">
        <f>'GİRDİ RAPORU'!D366</f>
        <v>35</v>
      </c>
      <c r="E344" s="18" t="str">
        <f>'GİRDİ RAPORU'!E366</f>
        <v>Normal Mesai</v>
      </c>
      <c r="F344" s="18">
        <f>'GİRDİ RAPORU'!F366</f>
        <v>15</v>
      </c>
      <c r="G344" s="18" t="str">
        <f>'GİRDİ RAPORU'!G366</f>
        <v>Ayar</v>
      </c>
      <c r="H344" s="18">
        <f>'GİRDİ RAPORU'!H366</f>
        <v>15</v>
      </c>
      <c r="I344" s="18" t="str">
        <f>'GİRDİ RAPORU'!I366</f>
        <v>İş bekleme</v>
      </c>
      <c r="J344" s="18">
        <f>'GİRDİ RAPORU'!J1335</f>
        <v>0</v>
      </c>
      <c r="K344" s="18">
        <f>'GİRDİ RAPORU'!K1335</f>
        <v>0</v>
      </c>
      <c r="L344" s="18">
        <f>'GİRDİ RAPORU'!L1335</f>
        <v>0</v>
      </c>
      <c r="M344" s="26">
        <f t="shared" si="15"/>
        <v>0.23333333333333334</v>
      </c>
      <c r="N344" s="26">
        <f t="shared" si="16"/>
        <v>5.5555555555555552E-2</v>
      </c>
      <c r="O344" s="26">
        <f t="shared" si="17"/>
        <v>0.94444444444444442</v>
      </c>
    </row>
    <row r="345" spans="1:15" ht="21.75" hidden="1" customHeight="1">
      <c r="A345" s="17">
        <f>'GİRDİ RAPORU'!A367</f>
        <v>45589</v>
      </c>
      <c r="B345" s="18">
        <f>'GİRDİ RAPORU'!B363</f>
        <v>2</v>
      </c>
      <c r="C345" s="18">
        <f>'GİRDİ RAPORU'!C363</f>
        <v>20</v>
      </c>
      <c r="D345" s="18">
        <f>'GİRDİ RAPORU'!D363</f>
        <v>0</v>
      </c>
      <c r="E345" s="18" t="str">
        <f>'GİRDİ RAPORU'!E363</f>
        <v>Normal Mesai</v>
      </c>
      <c r="F345" s="18">
        <v>480</v>
      </c>
      <c r="G345" s="18" t="str">
        <f>'GİRDİ RAPORU'!G363</f>
        <v>Makine Arızası</v>
      </c>
      <c r="H345" s="18">
        <f>'GİRDİ RAPORU'!H363</f>
        <v>0</v>
      </c>
      <c r="I345" s="18" t="str">
        <f>'GİRDİ RAPORU'!I363</f>
        <v>Ayar</v>
      </c>
      <c r="J345" s="18">
        <f>'GİRDİ RAPORU'!J1332</f>
        <v>0</v>
      </c>
      <c r="K345" s="18">
        <f>'GİRDİ RAPORU'!K1332</f>
        <v>0</v>
      </c>
      <c r="L345" s="18">
        <f>'GİRDİ RAPORU'!L1332</f>
        <v>0</v>
      </c>
      <c r="M345" s="26">
        <f t="shared" si="15"/>
        <v>2.6666666666666668E-2</v>
      </c>
      <c r="N345" s="26">
        <f t="shared" si="16"/>
        <v>0.88888888888888884</v>
      </c>
      <c r="O345" s="26">
        <f t="shared" si="17"/>
        <v>0.1111111111111111</v>
      </c>
    </row>
    <row r="346" spans="1:15" ht="21.75" hidden="1" customHeight="1">
      <c r="A346" s="17">
        <f>'GİRDİ RAPORU'!A368</f>
        <v>45589</v>
      </c>
      <c r="B346" s="18">
        <f>'GİRDİ RAPORU'!B362</f>
        <v>2</v>
      </c>
      <c r="C346" s="18">
        <f>'GİRDİ RAPORU'!C362</f>
        <v>70</v>
      </c>
      <c r="D346" s="18">
        <f>'GİRDİ RAPORU'!D362</f>
        <v>0</v>
      </c>
      <c r="E346" s="18" t="str">
        <f>'GİRDİ RAPORU'!E362</f>
        <v>Normal Mesai</v>
      </c>
      <c r="F346" s="18">
        <v>480</v>
      </c>
      <c r="G346" s="18" t="str">
        <f>'GİRDİ RAPORU'!G362</f>
        <v>Makine Arızası</v>
      </c>
      <c r="H346" s="18">
        <f>'GİRDİ RAPORU'!H362</f>
        <v>0</v>
      </c>
      <c r="I346" s="18" t="str">
        <f>'GİRDİ RAPORU'!I362</f>
        <v>Ayar</v>
      </c>
      <c r="J346" s="18">
        <f>'GİRDİ RAPORU'!J1333</f>
        <v>0</v>
      </c>
      <c r="K346" s="18">
        <f>'GİRDİ RAPORU'!K1333</f>
        <v>0</v>
      </c>
      <c r="L346" s="18">
        <f>'GİRDİ RAPORU'!L1333</f>
        <v>0</v>
      </c>
      <c r="M346" s="26">
        <f t="shared" si="15"/>
        <v>9.3333333333333338E-2</v>
      </c>
      <c r="N346" s="26">
        <f t="shared" si="16"/>
        <v>0.88888888888888884</v>
      </c>
      <c r="O346" s="26">
        <f t="shared" si="17"/>
        <v>0.1111111111111111</v>
      </c>
    </row>
    <row r="347" spans="1:15" ht="21.75" hidden="1" customHeight="1">
      <c r="A347" s="17">
        <f>'GİRDİ RAPORU'!A364</f>
        <v>45588</v>
      </c>
      <c r="B347" s="18">
        <f>'GİRDİ RAPORU'!B361</f>
        <v>2</v>
      </c>
      <c r="C347" s="18">
        <f>'GİRDİ RAPORU'!C361</f>
        <v>112</v>
      </c>
      <c r="D347" s="18">
        <f>'GİRDİ RAPORU'!D361</f>
        <v>0</v>
      </c>
      <c r="E347" s="18" t="str">
        <f>'GİRDİ RAPORU'!E361</f>
        <v>Normal Mesai</v>
      </c>
      <c r="F347" s="18">
        <f>'GİRDİ RAPORU'!F361</f>
        <v>0</v>
      </c>
      <c r="G347" s="18">
        <f>'GİRDİ RAPORU'!G361</f>
        <v>0</v>
      </c>
      <c r="H347" s="18">
        <f>'GİRDİ RAPORU'!H361</f>
        <v>0</v>
      </c>
      <c r="I347" s="18" t="str">
        <f>'GİRDİ RAPORU'!I361</f>
        <v>Ayar</v>
      </c>
      <c r="J347" s="18">
        <f>'GİRDİ RAPORU'!J1330</f>
        <v>0</v>
      </c>
      <c r="K347" s="18">
        <f>'GİRDİ RAPORU'!K1330</f>
        <v>0</v>
      </c>
      <c r="L347" s="18">
        <f>'GİRDİ RAPORU'!L1330</f>
        <v>0</v>
      </c>
      <c r="M347" s="26">
        <f t="shared" si="15"/>
        <v>0.14933333333333335</v>
      </c>
      <c r="N347" s="26">
        <f t="shared" si="16"/>
        <v>0</v>
      </c>
      <c r="O347" s="26">
        <f t="shared" si="17"/>
        <v>1</v>
      </c>
    </row>
    <row r="348" spans="1:15" ht="21.75" hidden="1" customHeight="1">
      <c r="A348" s="17">
        <f>'GİRDİ RAPORU'!A366</f>
        <v>45588</v>
      </c>
      <c r="B348" s="18">
        <f>'GİRDİ RAPORU'!B360</f>
        <v>2</v>
      </c>
      <c r="C348" s="18">
        <f>'GİRDİ RAPORU'!C360</f>
        <v>341</v>
      </c>
      <c r="D348" s="18">
        <f>'GİRDİ RAPORU'!D360</f>
        <v>25</v>
      </c>
      <c r="E348" s="18" t="str">
        <f>'GİRDİ RAPORU'!E360</f>
        <v>Normal Mesai</v>
      </c>
      <c r="F348" s="18">
        <v>180</v>
      </c>
      <c r="G348" s="18" t="str">
        <f>'GİRDİ RAPORU'!G360</f>
        <v>Makine Arızası</v>
      </c>
      <c r="H348" s="18">
        <f>'GİRDİ RAPORU'!H360</f>
        <v>0</v>
      </c>
      <c r="I348" s="18" t="str">
        <f>'GİRDİ RAPORU'!I360</f>
        <v>Ayar</v>
      </c>
      <c r="J348" s="18">
        <f>'GİRDİ RAPORU'!J1331</f>
        <v>0</v>
      </c>
      <c r="K348" s="18">
        <f>'GİRDİ RAPORU'!K1331</f>
        <v>0</v>
      </c>
      <c r="L348" s="18">
        <f>'GİRDİ RAPORU'!L1331</f>
        <v>0</v>
      </c>
      <c r="M348" s="26">
        <f t="shared" si="15"/>
        <v>0.48799999999999999</v>
      </c>
      <c r="N348" s="26">
        <f t="shared" si="16"/>
        <v>0.33333333333333331</v>
      </c>
      <c r="O348" s="26">
        <f t="shared" si="17"/>
        <v>0.66666666666666663</v>
      </c>
    </row>
    <row r="349" spans="1:15" ht="21.75" hidden="1" customHeight="1">
      <c r="A349" s="17">
        <f>'GİRDİ RAPORU'!A363</f>
        <v>45587</v>
      </c>
      <c r="B349" s="18">
        <f>'GİRDİ RAPORU'!B359</f>
        <v>2</v>
      </c>
      <c r="C349" s="18">
        <f>'GİRDİ RAPORU'!C359</f>
        <v>194</v>
      </c>
      <c r="D349" s="18">
        <f>'GİRDİ RAPORU'!D359</f>
        <v>118</v>
      </c>
      <c r="E349" s="18" t="str">
        <f>'GİRDİ RAPORU'!E359</f>
        <v>Fazla Mesai</v>
      </c>
      <c r="F349" s="18">
        <f>'GİRDİ RAPORU'!F359</f>
        <v>30</v>
      </c>
      <c r="G349" s="18" t="str">
        <f>'GİRDİ RAPORU'!G359</f>
        <v>Temizlik</v>
      </c>
      <c r="H349" s="18">
        <f>'GİRDİ RAPORU'!H359</f>
        <v>30</v>
      </c>
      <c r="I349" s="18" t="str">
        <f>'GİRDİ RAPORU'!I359</f>
        <v>Ayar</v>
      </c>
      <c r="J349" s="18">
        <f>'GİRDİ RAPORU'!J1329</f>
        <v>0</v>
      </c>
      <c r="K349" s="18">
        <f>'GİRDİ RAPORU'!K1329</f>
        <v>0</v>
      </c>
      <c r="L349" s="18">
        <f>'GİRDİ RAPORU'!L1329</f>
        <v>0</v>
      </c>
      <c r="M349" s="26">
        <f t="shared" si="15"/>
        <v>0.41599999999999998</v>
      </c>
      <c r="N349" s="26">
        <f t="shared" si="16"/>
        <v>0.1111111111111111</v>
      </c>
      <c r="O349" s="26">
        <f t="shared" si="17"/>
        <v>0.88888888888888884</v>
      </c>
    </row>
    <row r="350" spans="1:15" ht="21.75" hidden="1" customHeight="1">
      <c r="A350" s="17">
        <f>'GİRDİ RAPORU'!A362</f>
        <v>45586</v>
      </c>
      <c r="B350" s="18">
        <f>'GİRDİ RAPORU'!B358</f>
        <v>2</v>
      </c>
      <c r="C350" s="18">
        <f>'GİRDİ RAPORU'!C358</f>
        <v>164</v>
      </c>
      <c r="D350" s="18">
        <f>'GİRDİ RAPORU'!D358</f>
        <v>75</v>
      </c>
      <c r="E350" s="18" t="str">
        <f>'GİRDİ RAPORU'!E358</f>
        <v>Normal Mesai</v>
      </c>
      <c r="F350" s="18">
        <f>'GİRDİ RAPORU'!F358</f>
        <v>30</v>
      </c>
      <c r="G350" s="18" t="str">
        <f>'GİRDİ RAPORU'!G358</f>
        <v>Temizlik</v>
      </c>
      <c r="H350" s="18">
        <f>'GİRDİ RAPORU'!H358</f>
        <v>30</v>
      </c>
      <c r="I350" s="18" t="str">
        <f>'GİRDİ RAPORU'!I358</f>
        <v>Ayar</v>
      </c>
      <c r="J350" s="18">
        <f>'GİRDİ RAPORU'!J1328</f>
        <v>0</v>
      </c>
      <c r="K350" s="18">
        <f>'GİRDİ RAPORU'!K1328</f>
        <v>0</v>
      </c>
      <c r="L350" s="18">
        <f>'GİRDİ RAPORU'!L1328</f>
        <v>0</v>
      </c>
      <c r="M350" s="26">
        <f t="shared" si="15"/>
        <v>0.31866666666666665</v>
      </c>
      <c r="N350" s="26">
        <f t="shared" si="16"/>
        <v>0.1111111111111111</v>
      </c>
      <c r="O350" s="26">
        <f t="shared" si="17"/>
        <v>0.88888888888888884</v>
      </c>
    </row>
    <row r="351" spans="1:15" ht="21.75" hidden="1" customHeight="1">
      <c r="A351" s="17">
        <f>'GİRDİ RAPORU'!A361</f>
        <v>45583.765697685187</v>
      </c>
      <c r="B351" s="18">
        <f>'GİRDİ RAPORU'!B357</f>
        <v>2</v>
      </c>
      <c r="C351" s="18">
        <f>'GİRDİ RAPORU'!C357</f>
        <v>75</v>
      </c>
      <c r="D351" s="18">
        <f>'GİRDİ RAPORU'!D357</f>
        <v>10</v>
      </c>
      <c r="E351" s="18" t="str">
        <f>'GİRDİ RAPORU'!E357</f>
        <v>Fazla Mesai</v>
      </c>
      <c r="F351" s="18">
        <f>'GİRDİ RAPORU'!F357</f>
        <v>0</v>
      </c>
      <c r="G351" s="18">
        <f>'GİRDİ RAPORU'!G357</f>
        <v>0</v>
      </c>
      <c r="H351" s="18">
        <f>'GİRDİ RAPORU'!H357</f>
        <v>0</v>
      </c>
      <c r="I351" s="18">
        <f>'GİRDİ RAPORU'!I357</f>
        <v>0</v>
      </c>
      <c r="J351" s="18">
        <f>'GİRDİ RAPORU'!J1327</f>
        <v>0</v>
      </c>
      <c r="K351" s="18">
        <f>'GİRDİ RAPORU'!K1327</f>
        <v>0</v>
      </c>
      <c r="L351" s="18">
        <f>'GİRDİ RAPORU'!L1327</f>
        <v>0</v>
      </c>
      <c r="M351" s="26">
        <f t="shared" si="15"/>
        <v>0.11333333333333333</v>
      </c>
      <c r="N351" s="26">
        <f t="shared" si="16"/>
        <v>0</v>
      </c>
      <c r="O351" s="26">
        <f t="shared" si="17"/>
        <v>1</v>
      </c>
    </row>
    <row r="352" spans="1:15" ht="21.75" hidden="1" customHeight="1">
      <c r="A352" s="17">
        <f>'GİRDİ RAPORU'!A360</f>
        <v>45581.828167824075</v>
      </c>
      <c r="B352" s="18">
        <f>'GİRDİ RAPORU'!B356</f>
        <v>2</v>
      </c>
      <c r="C352" s="18">
        <f>'GİRDİ RAPORU'!C356</f>
        <v>207</v>
      </c>
      <c r="D352" s="18">
        <f>'GİRDİ RAPORU'!D356</f>
        <v>55</v>
      </c>
      <c r="E352" s="18" t="str">
        <f>'GİRDİ RAPORU'!E356</f>
        <v>Normal Mesai</v>
      </c>
      <c r="F352" s="18">
        <f>'GİRDİ RAPORU'!F356</f>
        <v>60</v>
      </c>
      <c r="G352" s="18" t="str">
        <f>'GİRDİ RAPORU'!G356</f>
        <v>Ayar</v>
      </c>
      <c r="H352" s="18">
        <f>'GİRDİ RAPORU'!H356</f>
        <v>0</v>
      </c>
      <c r="I352" s="18">
        <f>'GİRDİ RAPORU'!I356</f>
        <v>0</v>
      </c>
      <c r="J352" s="18">
        <f>'GİRDİ RAPORU'!J1326</f>
        <v>0</v>
      </c>
      <c r="K352" s="18">
        <f>'GİRDİ RAPORU'!K1326</f>
        <v>0</v>
      </c>
      <c r="L352" s="18">
        <f>'GİRDİ RAPORU'!L1326</f>
        <v>0</v>
      </c>
      <c r="M352" s="26">
        <f t="shared" si="15"/>
        <v>0.34933333333333333</v>
      </c>
      <c r="N352" s="26">
        <f t="shared" si="16"/>
        <v>0.1111111111111111</v>
      </c>
      <c r="O352" s="26">
        <f t="shared" si="17"/>
        <v>0.88888888888888884</v>
      </c>
    </row>
    <row r="353" spans="1:15" ht="21.75" hidden="1" customHeight="1">
      <c r="A353" s="17">
        <f>'GİRDİ RAPORU'!A359</f>
        <v>45579.858347337962</v>
      </c>
      <c r="B353" s="18">
        <f>'GİRDİ RAPORU'!B355</f>
        <v>2</v>
      </c>
      <c r="C353" s="18">
        <f>'GİRDİ RAPORU'!C355</f>
        <v>130</v>
      </c>
      <c r="D353" s="18">
        <f>'GİRDİ RAPORU'!D355</f>
        <v>1</v>
      </c>
      <c r="E353" s="18" t="str">
        <f>'GİRDİ RAPORU'!E355</f>
        <v>Fazla Mesai</v>
      </c>
      <c r="F353" s="18">
        <f>'GİRDİ RAPORU'!F355</f>
        <v>10</v>
      </c>
      <c r="G353" s="18" t="str">
        <f>'GİRDİ RAPORU'!G355</f>
        <v>Temizlik</v>
      </c>
      <c r="H353" s="18">
        <f>'GİRDİ RAPORU'!H355</f>
        <v>0</v>
      </c>
      <c r="I353" s="18">
        <f>'GİRDİ RAPORU'!I355</f>
        <v>0</v>
      </c>
      <c r="J353" s="18">
        <f>'GİRDİ RAPORU'!J1325</f>
        <v>0</v>
      </c>
      <c r="K353" s="18">
        <f>'GİRDİ RAPORU'!K1325</f>
        <v>0</v>
      </c>
      <c r="L353" s="18">
        <f>'GİRDİ RAPORU'!L1325</f>
        <v>0</v>
      </c>
      <c r="M353" s="26">
        <f t="shared" si="15"/>
        <v>0.17466666666666666</v>
      </c>
      <c r="N353" s="26">
        <f t="shared" si="16"/>
        <v>1.8518518518518517E-2</v>
      </c>
      <c r="O353" s="26">
        <f t="shared" si="17"/>
        <v>0.98148148148148151</v>
      </c>
    </row>
    <row r="354" spans="1:15" ht="21.75" hidden="1" customHeight="1">
      <c r="A354" s="17">
        <f>'GİRDİ RAPORU'!A358</f>
        <v>45576.769869791664</v>
      </c>
      <c r="B354" s="18">
        <f>'GİRDİ RAPORU'!B354</f>
        <v>2</v>
      </c>
      <c r="C354" s="18">
        <f>'GİRDİ RAPORU'!C354</f>
        <v>303</v>
      </c>
      <c r="D354" s="18">
        <f>'GİRDİ RAPORU'!D354</f>
        <v>68</v>
      </c>
      <c r="E354" s="18" t="str">
        <f>'GİRDİ RAPORU'!E354</f>
        <v>Normal Mesai</v>
      </c>
      <c r="F354" s="18">
        <f>'GİRDİ RAPORU'!F354</f>
        <v>40</v>
      </c>
      <c r="G354" s="18" t="str">
        <f>'GİRDİ RAPORU'!G354</f>
        <v>Ayar</v>
      </c>
      <c r="H354" s="18">
        <f>'GİRDİ RAPORU'!H354</f>
        <v>0</v>
      </c>
      <c r="I354" s="18">
        <f>'GİRDİ RAPORU'!I354</f>
        <v>0</v>
      </c>
      <c r="J354" s="18">
        <f>'GİRDİ RAPORU'!J1324</f>
        <v>0</v>
      </c>
      <c r="K354" s="18">
        <f>'GİRDİ RAPORU'!K1324</f>
        <v>0</v>
      </c>
      <c r="L354" s="18">
        <f>'GİRDİ RAPORU'!L1324</f>
        <v>0</v>
      </c>
      <c r="M354" s="26">
        <f t="shared" si="15"/>
        <v>0.49466666666666664</v>
      </c>
      <c r="N354" s="26">
        <f t="shared" si="16"/>
        <v>7.407407407407407E-2</v>
      </c>
      <c r="O354" s="26">
        <f t="shared" si="17"/>
        <v>0.92592592592592593</v>
      </c>
    </row>
    <row r="355" spans="1:15" ht="21.75" hidden="1" customHeight="1">
      <c r="A355" s="17">
        <f>'GİRDİ RAPORU'!A357</f>
        <v>45575.862314120372</v>
      </c>
      <c r="B355" s="18">
        <f>'GİRDİ RAPORU'!B353</f>
        <v>2</v>
      </c>
      <c r="C355" s="18">
        <f>'GİRDİ RAPORU'!C353</f>
        <v>83</v>
      </c>
      <c r="D355" s="18">
        <f>'GİRDİ RAPORU'!D353</f>
        <v>21</v>
      </c>
      <c r="E355" s="18" t="str">
        <f>'GİRDİ RAPORU'!E353</f>
        <v>Fazla Mesai</v>
      </c>
      <c r="F355" s="18">
        <f>'GİRDİ RAPORU'!F353</f>
        <v>20</v>
      </c>
      <c r="G355" s="18" t="str">
        <f>'GİRDİ RAPORU'!G353</f>
        <v>Ayar</v>
      </c>
      <c r="H355" s="18">
        <f>'GİRDİ RAPORU'!H353</f>
        <v>0</v>
      </c>
      <c r="I355" s="18">
        <f>'GİRDİ RAPORU'!I353</f>
        <v>0</v>
      </c>
      <c r="J355" s="18">
        <f>'GİRDİ RAPORU'!J1323</f>
        <v>0</v>
      </c>
      <c r="K355" s="18">
        <f>'GİRDİ RAPORU'!K1323</f>
        <v>0</v>
      </c>
      <c r="L355" s="18">
        <f>'GİRDİ RAPORU'!L1323</f>
        <v>0</v>
      </c>
      <c r="M355" s="26">
        <f t="shared" si="15"/>
        <v>0.13866666666666666</v>
      </c>
      <c r="N355" s="26">
        <f t="shared" si="16"/>
        <v>3.7037037037037035E-2</v>
      </c>
      <c r="O355" s="26">
        <f t="shared" si="17"/>
        <v>0.96296296296296291</v>
      </c>
    </row>
    <row r="356" spans="1:15" ht="21.75" hidden="1" customHeight="1">
      <c r="A356" s="17">
        <f>'GİRDİ RAPORU'!A356</f>
        <v>45575.76973472222</v>
      </c>
      <c r="B356" s="18">
        <f>'GİRDİ RAPORU'!B352</f>
        <v>2</v>
      </c>
      <c r="C356" s="18">
        <f>'GİRDİ RAPORU'!C352</f>
        <v>140</v>
      </c>
      <c r="D356" s="18">
        <f>'GİRDİ RAPORU'!D352</f>
        <v>55</v>
      </c>
      <c r="E356" s="18" t="str">
        <f>'GİRDİ RAPORU'!E352</f>
        <v>Normal Mesai</v>
      </c>
      <c r="F356" s="18">
        <f>'GİRDİ RAPORU'!F352</f>
        <v>0</v>
      </c>
      <c r="G356" s="18">
        <f>'GİRDİ RAPORU'!G352</f>
        <v>0</v>
      </c>
      <c r="H356" s="18">
        <f>'GİRDİ RAPORU'!H352</f>
        <v>0</v>
      </c>
      <c r="I356" s="18">
        <f>'GİRDİ RAPORU'!I352</f>
        <v>0</v>
      </c>
      <c r="J356" s="18">
        <f>'GİRDİ RAPORU'!J1322</f>
        <v>0</v>
      </c>
      <c r="K356" s="18">
        <f>'GİRDİ RAPORU'!K1322</f>
        <v>0</v>
      </c>
      <c r="L356" s="18">
        <f>'GİRDİ RAPORU'!L1322</f>
        <v>0</v>
      </c>
      <c r="M356" s="26">
        <f t="shared" si="15"/>
        <v>0.26</v>
      </c>
      <c r="N356" s="26">
        <f t="shared" si="16"/>
        <v>0</v>
      </c>
      <c r="O356" s="26">
        <f t="shared" si="17"/>
        <v>1</v>
      </c>
    </row>
    <row r="357" spans="1:15" ht="21.75" hidden="1" customHeight="1">
      <c r="A357" s="17">
        <f>'GİRDİ RAPORU'!A355</f>
        <v>45574.859087962963</v>
      </c>
      <c r="B357" s="18">
        <f>'GİRDİ RAPORU'!B349</f>
        <v>2</v>
      </c>
      <c r="C357" s="18">
        <f>'GİRDİ RAPORU'!C349</f>
        <v>253</v>
      </c>
      <c r="D357" s="18">
        <f>'GİRDİ RAPORU'!D349</f>
        <v>45</v>
      </c>
      <c r="E357" s="18" t="str">
        <f>'GİRDİ RAPORU'!E349</f>
        <v>Normal Mesai</v>
      </c>
      <c r="F357" s="18">
        <f>'GİRDİ RAPORU'!F349</f>
        <v>20</v>
      </c>
      <c r="G357" s="18" t="str">
        <f>'GİRDİ RAPORU'!G349</f>
        <v>Ayar</v>
      </c>
      <c r="H357" s="18">
        <f>'GİRDİ RAPORU'!H349</f>
        <v>20</v>
      </c>
      <c r="I357" s="18" t="str">
        <f>'GİRDİ RAPORU'!I349</f>
        <v>İş bekleme</v>
      </c>
      <c r="J357" s="18">
        <f>'GİRDİ RAPORU'!J1321</f>
        <v>0</v>
      </c>
      <c r="K357" s="18">
        <f>'GİRDİ RAPORU'!K1321</f>
        <v>0</v>
      </c>
      <c r="L357" s="18">
        <f>'GİRDİ RAPORU'!L1321</f>
        <v>0</v>
      </c>
      <c r="M357" s="26">
        <f t="shared" si="15"/>
        <v>0.39733333333333332</v>
      </c>
      <c r="N357" s="26">
        <f t="shared" si="16"/>
        <v>7.407407407407407E-2</v>
      </c>
      <c r="O357" s="26">
        <f t="shared" si="17"/>
        <v>0.92592592592592593</v>
      </c>
    </row>
    <row r="358" spans="1:15" ht="21.75" hidden="1" customHeight="1">
      <c r="A358" s="17">
        <f>'GİRDİ RAPORU'!A354</f>
        <v>45574.772769212963</v>
      </c>
      <c r="B358" s="18">
        <f>'GİRDİ RAPORU'!B350</f>
        <v>2</v>
      </c>
      <c r="C358" s="18">
        <f>'GİRDİ RAPORU'!C350</f>
        <v>75</v>
      </c>
      <c r="D358" s="18">
        <f>'GİRDİ RAPORU'!D350</f>
        <v>25</v>
      </c>
      <c r="E358" s="18" t="str">
        <f>'GİRDİ RAPORU'!E350</f>
        <v>Fazla Mesai</v>
      </c>
      <c r="F358" s="18">
        <f>'GİRDİ RAPORU'!F350</f>
        <v>0</v>
      </c>
      <c r="G358" s="18">
        <f>'GİRDİ RAPORU'!G350</f>
        <v>0</v>
      </c>
      <c r="H358" s="18">
        <f>'GİRDİ RAPORU'!H350</f>
        <v>0</v>
      </c>
      <c r="I358" s="18">
        <f>'GİRDİ RAPORU'!I350</f>
        <v>0</v>
      </c>
      <c r="J358" s="18">
        <f>'GİRDİ RAPORU'!J1320</f>
        <v>0</v>
      </c>
      <c r="K358" s="18">
        <f>'GİRDİ RAPORU'!K1320</f>
        <v>0</v>
      </c>
      <c r="L358" s="18">
        <f>'GİRDİ RAPORU'!L1320</f>
        <v>0</v>
      </c>
      <c r="M358" s="26">
        <f t="shared" si="15"/>
        <v>0.13333333333333333</v>
      </c>
      <c r="N358" s="26">
        <f t="shared" si="16"/>
        <v>0</v>
      </c>
      <c r="O358" s="26">
        <f t="shared" si="17"/>
        <v>1</v>
      </c>
    </row>
    <row r="359" spans="1:15" ht="21.75" hidden="1" customHeight="1">
      <c r="A359" s="17">
        <f>'GİRDİ RAPORU'!A353</f>
        <v>45573.859945370372</v>
      </c>
      <c r="B359" s="18">
        <f>'GİRDİ RAPORU'!B348</f>
        <v>2</v>
      </c>
      <c r="C359" s="18">
        <f>'GİRDİ RAPORU'!C348</f>
        <v>114</v>
      </c>
      <c r="D359" s="18">
        <f>'GİRDİ RAPORU'!D348</f>
        <v>280</v>
      </c>
      <c r="E359" s="18" t="str">
        <f>'GİRDİ RAPORU'!E348</f>
        <v>Normal Mesai</v>
      </c>
      <c r="F359" s="18">
        <f>'GİRDİ RAPORU'!F348</f>
        <v>20</v>
      </c>
      <c r="G359" s="18" t="str">
        <f>'GİRDİ RAPORU'!G348</f>
        <v>Ayar</v>
      </c>
      <c r="H359" s="18">
        <f>'GİRDİ RAPORU'!H348</f>
        <v>0</v>
      </c>
      <c r="I359" s="18">
        <f>'GİRDİ RAPORU'!I348</f>
        <v>0</v>
      </c>
      <c r="J359" s="18">
        <f>'GİRDİ RAPORU'!J1319</f>
        <v>0</v>
      </c>
      <c r="K359" s="18">
        <f>'GİRDİ RAPORU'!K1319</f>
        <v>0</v>
      </c>
      <c r="L359" s="18">
        <f>'GİRDİ RAPORU'!L1319</f>
        <v>0</v>
      </c>
      <c r="M359" s="26">
        <f t="shared" si="15"/>
        <v>0.52533333333333332</v>
      </c>
      <c r="N359" s="26">
        <f t="shared" si="16"/>
        <v>3.7037037037037035E-2</v>
      </c>
      <c r="O359" s="26">
        <f t="shared" si="17"/>
        <v>0.96296296296296291</v>
      </c>
    </row>
    <row r="360" spans="1:15" ht="21.75" hidden="1" customHeight="1">
      <c r="A360" s="17">
        <f>'GİRDİ RAPORU'!A352</f>
        <v>45573.77507152778</v>
      </c>
      <c r="B360" s="18">
        <f>'GİRDİ RAPORU'!B347</f>
        <v>2</v>
      </c>
      <c r="C360" s="18">
        <f>'GİRDİ RAPORU'!C347</f>
        <v>167</v>
      </c>
      <c r="D360" s="18">
        <f>'GİRDİ RAPORU'!D347</f>
        <v>194</v>
      </c>
      <c r="E360" s="18" t="str">
        <f>'GİRDİ RAPORU'!E347</f>
        <v>Fazla Mesai</v>
      </c>
      <c r="F360" s="18">
        <f>'GİRDİ RAPORU'!F347</f>
        <v>20</v>
      </c>
      <c r="G360" s="18" t="str">
        <f>'GİRDİ RAPORU'!G347</f>
        <v>Ayar</v>
      </c>
      <c r="H360" s="18">
        <f>'GİRDİ RAPORU'!H347</f>
        <v>120</v>
      </c>
      <c r="I360" s="18">
        <f>'GİRDİ RAPORU'!I347</f>
        <v>0</v>
      </c>
      <c r="J360" s="18">
        <f>'GİRDİ RAPORU'!J1318</f>
        <v>0</v>
      </c>
      <c r="K360" s="18">
        <f>'GİRDİ RAPORU'!K1318</f>
        <v>0</v>
      </c>
      <c r="L360" s="18">
        <f>'GİRDİ RAPORU'!L1318</f>
        <v>0</v>
      </c>
      <c r="M360" s="26">
        <f t="shared" si="15"/>
        <v>0.48133333333333334</v>
      </c>
      <c r="N360" s="26">
        <f t="shared" si="16"/>
        <v>0.25925925925925924</v>
      </c>
      <c r="O360" s="26">
        <f t="shared" si="17"/>
        <v>0.7407407407407407</v>
      </c>
    </row>
    <row r="361" spans="1:15" ht="21.75" hidden="1" customHeight="1">
      <c r="A361" s="17">
        <f>'GİRDİ RAPORU'!A349</f>
        <v>45572.76582685185</v>
      </c>
      <c r="B361" s="18">
        <f>'GİRDİ RAPORU'!B346</f>
        <v>2</v>
      </c>
      <c r="C361" s="18">
        <f>'GİRDİ RAPORU'!C346</f>
        <v>184</v>
      </c>
      <c r="D361" s="18">
        <f>'GİRDİ RAPORU'!D346</f>
        <v>400</v>
      </c>
      <c r="E361" s="18" t="str">
        <f>'GİRDİ RAPORU'!E346</f>
        <v>Fazla Mesai</v>
      </c>
      <c r="F361" s="18">
        <f>'GİRDİ RAPORU'!F346</f>
        <v>20</v>
      </c>
      <c r="G361" s="18" t="str">
        <f>'GİRDİ RAPORU'!G346</f>
        <v>Ayar</v>
      </c>
      <c r="H361" s="18">
        <f>'GİRDİ RAPORU'!H346</f>
        <v>0</v>
      </c>
      <c r="I361" s="18">
        <f>'GİRDİ RAPORU'!I346</f>
        <v>0</v>
      </c>
      <c r="J361" s="18">
        <f>'GİRDİ RAPORU'!J1317</f>
        <v>0</v>
      </c>
      <c r="K361" s="18">
        <f>'GİRDİ RAPORU'!K1317</f>
        <v>0</v>
      </c>
      <c r="L361" s="18">
        <f>'GİRDİ RAPORU'!L1317</f>
        <v>0</v>
      </c>
      <c r="M361" s="26">
        <f t="shared" si="15"/>
        <v>0.77866666666666662</v>
      </c>
      <c r="N361" s="26">
        <f t="shared" si="16"/>
        <v>3.7037037037037035E-2</v>
      </c>
      <c r="O361" s="26">
        <f t="shared" si="17"/>
        <v>0.96296296296296291</v>
      </c>
    </row>
    <row r="362" spans="1:15" ht="21.75" hidden="1" customHeight="1">
      <c r="A362" s="17">
        <v>45572</v>
      </c>
      <c r="B362" s="18">
        <f>'GİRDİ RAPORU'!B345</f>
        <v>2</v>
      </c>
      <c r="C362" s="18">
        <f>'GİRDİ RAPORU'!C345</f>
        <v>285</v>
      </c>
      <c r="D362" s="18">
        <f>'GİRDİ RAPORU'!D345</f>
        <v>184</v>
      </c>
      <c r="E362" s="18" t="str">
        <f>'GİRDİ RAPORU'!E345</f>
        <v>Normal Mesai</v>
      </c>
      <c r="F362" s="18">
        <f>'GİRDİ RAPORU'!F345</f>
        <v>20</v>
      </c>
      <c r="G362" s="18" t="str">
        <f>'GİRDİ RAPORU'!G345</f>
        <v>Ayar</v>
      </c>
      <c r="H362" s="18">
        <f>'GİRDİ RAPORU'!H345</f>
        <v>0</v>
      </c>
      <c r="I362" s="18">
        <f>'GİRDİ RAPORU'!I345</f>
        <v>0</v>
      </c>
      <c r="J362" s="18">
        <f>'GİRDİ RAPORU'!J1316</f>
        <v>0</v>
      </c>
      <c r="K362" s="18">
        <f>'GİRDİ RAPORU'!K1316</f>
        <v>0</v>
      </c>
      <c r="L362" s="18">
        <f>'GİRDİ RAPORU'!L1316</f>
        <v>0</v>
      </c>
      <c r="M362" s="26">
        <f t="shared" si="15"/>
        <v>0.6253333333333333</v>
      </c>
      <c r="N362" s="26">
        <f t="shared" si="16"/>
        <v>3.7037037037037035E-2</v>
      </c>
      <c r="O362" s="26">
        <f t="shared" si="17"/>
        <v>0.96296296296296291</v>
      </c>
    </row>
    <row r="363" spans="1:15" ht="21.75" hidden="1" customHeight="1">
      <c r="A363" s="17">
        <f>'GİRDİ RAPORU'!A348</f>
        <v>45569.760828240738</v>
      </c>
      <c r="B363" s="18">
        <f>'GİRDİ RAPORU'!B344</f>
        <v>2</v>
      </c>
      <c r="C363" s="18">
        <f>'GİRDİ RAPORU'!C344</f>
        <v>402</v>
      </c>
      <c r="D363" s="18">
        <f>'GİRDİ RAPORU'!D344</f>
        <v>174</v>
      </c>
      <c r="E363" s="18" t="str">
        <f>'GİRDİ RAPORU'!E344</f>
        <v>Fazla Mesai</v>
      </c>
      <c r="F363" s="18">
        <f>'GİRDİ RAPORU'!F344</f>
        <v>20</v>
      </c>
      <c r="G363" s="18" t="str">
        <f>'GİRDİ RAPORU'!G344</f>
        <v>Ayar</v>
      </c>
      <c r="H363" s="18">
        <f>'GİRDİ RAPORU'!H344</f>
        <v>0</v>
      </c>
      <c r="I363" s="18">
        <f>'GİRDİ RAPORU'!I344</f>
        <v>0</v>
      </c>
      <c r="J363" s="18">
        <f>'GİRDİ RAPORU'!J1315</f>
        <v>0</v>
      </c>
      <c r="K363" s="18">
        <f>'GİRDİ RAPORU'!K1315</f>
        <v>0</v>
      </c>
      <c r="L363" s="18">
        <f>'GİRDİ RAPORU'!L1315</f>
        <v>0</v>
      </c>
      <c r="M363" s="26">
        <f t="shared" si="15"/>
        <v>0.76800000000000002</v>
      </c>
      <c r="N363" s="26">
        <f t="shared" si="16"/>
        <v>3.7037037037037035E-2</v>
      </c>
      <c r="O363" s="26">
        <f t="shared" si="17"/>
        <v>0.96296296296296291</v>
      </c>
    </row>
    <row r="364" spans="1:15" ht="21.75" hidden="1" customHeight="1">
      <c r="A364" s="17">
        <f>'GİRDİ RAPORU'!A347</f>
        <v>45566.863372800923</v>
      </c>
      <c r="B364" s="18">
        <f>'GİRDİ RAPORU'!B343</f>
        <v>2</v>
      </c>
      <c r="C364" s="18">
        <f>'GİRDİ RAPORU'!C343</f>
        <v>378</v>
      </c>
      <c r="D364" s="18">
        <f>'GİRDİ RAPORU'!D343</f>
        <v>54</v>
      </c>
      <c r="E364" s="18" t="str">
        <f>'GİRDİ RAPORU'!E343</f>
        <v>Fazla Mesai</v>
      </c>
      <c r="F364" s="18">
        <f>'GİRDİ RAPORU'!F343</f>
        <v>20</v>
      </c>
      <c r="G364" s="18" t="str">
        <f>'GİRDİ RAPORU'!G343</f>
        <v>Ayar</v>
      </c>
      <c r="H364" s="18">
        <f>'GİRDİ RAPORU'!H343</f>
        <v>0</v>
      </c>
      <c r="I364" s="18">
        <f>'GİRDİ RAPORU'!I343</f>
        <v>0</v>
      </c>
      <c r="J364" s="18">
        <f>'GİRDİ RAPORU'!J1314</f>
        <v>0</v>
      </c>
      <c r="K364" s="18">
        <f>'GİRDİ RAPORU'!K1314</f>
        <v>0</v>
      </c>
      <c r="L364" s="18">
        <f>'GİRDİ RAPORU'!L1314</f>
        <v>0</v>
      </c>
      <c r="M364" s="26">
        <f t="shared" si="15"/>
        <v>0.57599999999999996</v>
      </c>
      <c r="N364" s="26">
        <f t="shared" si="16"/>
        <v>3.7037037037037035E-2</v>
      </c>
      <c r="O364" s="26">
        <f t="shared" si="17"/>
        <v>0.96296296296296291</v>
      </c>
    </row>
    <row r="365" spans="1:15" ht="21.75" hidden="1" customHeight="1">
      <c r="A365" s="17">
        <f>'GİRDİ RAPORU'!A346</f>
        <v>45565.86214513889</v>
      </c>
      <c r="B365" s="18">
        <f>'GİRDİ RAPORU'!B342</f>
        <v>2</v>
      </c>
      <c r="C365" s="18">
        <f>'GİRDİ RAPORU'!C342</f>
        <v>312</v>
      </c>
      <c r="D365" s="18">
        <f>'GİRDİ RAPORU'!D342</f>
        <v>98</v>
      </c>
      <c r="E365" s="18" t="str">
        <f>'GİRDİ RAPORU'!E342</f>
        <v>Fazla Mesai</v>
      </c>
      <c r="F365" s="18">
        <f>'GİRDİ RAPORU'!F342</f>
        <v>20</v>
      </c>
      <c r="G365" s="18" t="str">
        <f>'GİRDİ RAPORU'!G342</f>
        <v>Ayar</v>
      </c>
      <c r="H365" s="18">
        <f>'GİRDİ RAPORU'!H342</f>
        <v>0</v>
      </c>
      <c r="I365" s="18">
        <f>'GİRDİ RAPORU'!I342</f>
        <v>0</v>
      </c>
      <c r="J365" s="18">
        <f>'GİRDİ RAPORU'!J1313</f>
        <v>0</v>
      </c>
      <c r="K365" s="18">
        <f>'GİRDİ RAPORU'!K1313</f>
        <v>0</v>
      </c>
      <c r="L365" s="18">
        <f>'GİRDİ RAPORU'!L1313</f>
        <v>0</v>
      </c>
      <c r="M365" s="26">
        <f t="shared" si="15"/>
        <v>0.54666666666666663</v>
      </c>
      <c r="N365" s="26">
        <f t="shared" si="16"/>
        <v>3.7037037037037035E-2</v>
      </c>
      <c r="O365" s="26">
        <f t="shared" si="17"/>
        <v>0.96296296296296291</v>
      </c>
    </row>
    <row r="366" spans="1:15" ht="21.75" hidden="1" customHeight="1">
      <c r="A366" s="17">
        <f>'GİRDİ RAPORU'!A345</f>
        <v>45562.763171759259</v>
      </c>
      <c r="B366" s="18">
        <f>'GİRDİ RAPORU'!B341</f>
        <v>2</v>
      </c>
      <c r="C366" s="18">
        <f>'GİRDİ RAPORU'!C341</f>
        <v>311</v>
      </c>
      <c r="D366" s="18">
        <f>'GİRDİ RAPORU'!D341</f>
        <v>38</v>
      </c>
      <c r="E366" s="18" t="str">
        <f>'GİRDİ RAPORU'!E341</f>
        <v>Fazla Mesai</v>
      </c>
      <c r="F366" s="18">
        <f>'GİRDİ RAPORU'!F341</f>
        <v>20</v>
      </c>
      <c r="G366" s="18" t="str">
        <f>'GİRDİ RAPORU'!G341</f>
        <v>Ayar</v>
      </c>
      <c r="H366" s="18">
        <f>'GİRDİ RAPORU'!H341</f>
        <v>0</v>
      </c>
      <c r="I366" s="18">
        <f>'GİRDİ RAPORU'!I341</f>
        <v>0</v>
      </c>
      <c r="J366" s="18">
        <f>'GİRDİ RAPORU'!J1312</f>
        <v>0</v>
      </c>
      <c r="K366" s="18">
        <f>'GİRDİ RAPORU'!K1312</f>
        <v>0</v>
      </c>
      <c r="L366" s="18">
        <f>'GİRDİ RAPORU'!L1312</f>
        <v>0</v>
      </c>
      <c r="M366" s="26">
        <f t="shared" si="15"/>
        <v>0.46533333333333332</v>
      </c>
      <c r="N366" s="26">
        <f t="shared" si="16"/>
        <v>3.7037037037037035E-2</v>
      </c>
      <c r="O366" s="26">
        <f t="shared" si="17"/>
        <v>0.96296296296296291</v>
      </c>
    </row>
    <row r="367" spans="1:15" ht="21.75" hidden="1" customHeight="1">
      <c r="A367" s="17">
        <f>'GİRDİ RAPORU'!A344</f>
        <v>45562.356021990738</v>
      </c>
      <c r="B367" s="18">
        <f>'GİRDİ RAPORU'!B340</f>
        <v>2</v>
      </c>
      <c r="C367" s="18">
        <f>'GİRDİ RAPORU'!C340</f>
        <v>184</v>
      </c>
      <c r="D367" s="18">
        <f>'GİRDİ RAPORU'!D340</f>
        <v>32</v>
      </c>
      <c r="E367" s="18" t="str">
        <f>'GİRDİ RAPORU'!E340</f>
        <v>Fazla Mesai</v>
      </c>
      <c r="F367" s="18">
        <f>'GİRDİ RAPORU'!F340</f>
        <v>20</v>
      </c>
      <c r="G367" s="18" t="str">
        <f>'GİRDİ RAPORU'!G340</f>
        <v>Ayar</v>
      </c>
      <c r="H367" s="18">
        <f>'GİRDİ RAPORU'!H340</f>
        <v>0</v>
      </c>
      <c r="I367" s="18">
        <f>'GİRDİ RAPORU'!I340</f>
        <v>0</v>
      </c>
      <c r="J367" s="18">
        <f>'GİRDİ RAPORU'!J1311</f>
        <v>0</v>
      </c>
      <c r="K367" s="18">
        <f>'GİRDİ RAPORU'!K1311</f>
        <v>0</v>
      </c>
      <c r="L367" s="18">
        <f>'GİRDİ RAPORU'!L1311</f>
        <v>0</v>
      </c>
      <c r="M367" s="26">
        <f t="shared" si="15"/>
        <v>0.28799999999999998</v>
      </c>
      <c r="N367" s="26">
        <f t="shared" si="16"/>
        <v>3.7037037037037035E-2</v>
      </c>
      <c r="O367" s="26">
        <f t="shared" si="17"/>
        <v>0.96296296296296291</v>
      </c>
    </row>
    <row r="368" spans="1:15" ht="21.75" hidden="1" customHeight="1">
      <c r="A368" s="17">
        <f>'GİRDİ RAPORU'!A343</f>
        <v>45560.855112384263</v>
      </c>
      <c r="B368" s="18">
        <f>'GİRDİ RAPORU'!B339</f>
        <v>2</v>
      </c>
      <c r="C368" s="18">
        <f>'GİRDİ RAPORU'!C339</f>
        <v>50</v>
      </c>
      <c r="D368" s="18">
        <f>'GİRDİ RAPORU'!D339</f>
        <v>0</v>
      </c>
      <c r="E368" s="18" t="str">
        <f>'GİRDİ RAPORU'!E339</f>
        <v>Normal Mesai</v>
      </c>
      <c r="F368" s="18">
        <f>'GİRDİ RAPORU'!F339</f>
        <v>20</v>
      </c>
      <c r="G368" s="18" t="str">
        <f>'GİRDİ RAPORU'!G339</f>
        <v>Ayar</v>
      </c>
      <c r="H368" s="18">
        <f>'GİRDİ RAPORU'!H339</f>
        <v>360</v>
      </c>
      <c r="I368" s="18" t="str">
        <f>'GİRDİ RAPORU'!I339</f>
        <v>Ar-ge Çalışması</v>
      </c>
      <c r="J368" s="18">
        <f>'GİRDİ RAPORU'!J1310</f>
        <v>0</v>
      </c>
      <c r="K368" s="18">
        <f>'GİRDİ RAPORU'!K1310</f>
        <v>0</v>
      </c>
      <c r="L368" s="18">
        <f>'GİRDİ RAPORU'!L1310</f>
        <v>0</v>
      </c>
      <c r="M368" s="26">
        <f t="shared" si="15"/>
        <v>6.6666666666666666E-2</v>
      </c>
      <c r="N368" s="26">
        <f t="shared" si="16"/>
        <v>0.70370370370370372</v>
      </c>
      <c r="O368" s="26">
        <f t="shared" si="17"/>
        <v>0.29629629629629628</v>
      </c>
    </row>
    <row r="369" spans="1:15" ht="21.75" hidden="1" customHeight="1">
      <c r="A369" s="17">
        <f>'GİRDİ RAPORU'!A342</f>
        <v>45560.33325891204</v>
      </c>
      <c r="B369" s="18">
        <f>'GİRDİ RAPORU'!B338</f>
        <v>2</v>
      </c>
      <c r="C369" s="18">
        <f>'GİRDİ RAPORU'!C338</f>
        <v>212</v>
      </c>
      <c r="D369" s="18">
        <f>'GİRDİ RAPORU'!D338</f>
        <v>22</v>
      </c>
      <c r="E369" s="18" t="str">
        <f>'GİRDİ RAPORU'!E338</f>
        <v>Normal Mesai</v>
      </c>
      <c r="F369" s="18">
        <f>'GİRDİ RAPORU'!F338</f>
        <v>20</v>
      </c>
      <c r="G369" s="18" t="str">
        <f>'GİRDİ RAPORU'!G338</f>
        <v>Ayar</v>
      </c>
      <c r="H369" s="18">
        <f>'GİRDİ RAPORU'!H338</f>
        <v>30</v>
      </c>
      <c r="I369" s="18" t="str">
        <f>'GİRDİ RAPORU'!I338</f>
        <v>Ar-ge Çalışması</v>
      </c>
      <c r="J369" s="18">
        <f>'GİRDİ RAPORU'!J1309</f>
        <v>0</v>
      </c>
      <c r="K369" s="18">
        <f>'GİRDİ RAPORU'!K1309</f>
        <v>0</v>
      </c>
      <c r="L369" s="18">
        <f>'GİRDİ RAPORU'!L1309</f>
        <v>0</v>
      </c>
      <c r="M369" s="26">
        <f t="shared" si="15"/>
        <v>0.312</v>
      </c>
      <c r="N369" s="26">
        <f t="shared" si="16"/>
        <v>9.2592592592592587E-2</v>
      </c>
      <c r="O369" s="26">
        <f t="shared" si="17"/>
        <v>0.90740740740740744</v>
      </c>
    </row>
    <row r="370" spans="1:15" ht="21.75" hidden="1" customHeight="1">
      <c r="A370" s="17">
        <f>'GİRDİ RAPORU'!A341</f>
        <v>45558.857676851854</v>
      </c>
      <c r="B370" s="18">
        <f>'GİRDİ RAPORU'!B337</f>
        <v>2</v>
      </c>
      <c r="C370" s="18">
        <f>'GİRDİ RAPORU'!C337</f>
        <v>260</v>
      </c>
      <c r="D370" s="18">
        <f>'GİRDİ RAPORU'!D337</f>
        <v>55</v>
      </c>
      <c r="E370" s="18" t="str">
        <f>'GİRDİ RAPORU'!E337</f>
        <v>Normal Mesai</v>
      </c>
      <c r="F370" s="18">
        <f>'GİRDİ RAPORU'!F337</f>
        <v>20</v>
      </c>
      <c r="G370" s="18" t="str">
        <f>'GİRDİ RAPORU'!G337</f>
        <v>Ayar</v>
      </c>
      <c r="H370" s="18">
        <f>'GİRDİ RAPORU'!H337</f>
        <v>0</v>
      </c>
      <c r="I370" s="18">
        <f>'GİRDİ RAPORU'!I337</f>
        <v>0</v>
      </c>
      <c r="J370" s="18">
        <f>'GİRDİ RAPORU'!J1308</f>
        <v>0</v>
      </c>
      <c r="K370" s="18">
        <f>'GİRDİ RAPORU'!K1308</f>
        <v>0</v>
      </c>
      <c r="L370" s="18">
        <f>'GİRDİ RAPORU'!L1308</f>
        <v>0</v>
      </c>
      <c r="M370" s="26">
        <f t="shared" si="15"/>
        <v>0.42</v>
      </c>
      <c r="N370" s="26">
        <f t="shared" si="16"/>
        <v>3.7037037037037035E-2</v>
      </c>
      <c r="O370" s="26">
        <f t="shared" si="17"/>
        <v>0.96296296296296291</v>
      </c>
    </row>
    <row r="371" spans="1:15" ht="21.75" hidden="1" customHeight="1">
      <c r="A371" s="17">
        <v>45556</v>
      </c>
      <c r="B371" s="18">
        <f>'GİRDİ RAPORU'!B336</f>
        <v>2</v>
      </c>
      <c r="C371" s="18">
        <f>'GİRDİ RAPORU'!C336</f>
        <v>35</v>
      </c>
      <c r="D371" s="18">
        <f>'GİRDİ RAPORU'!D336</f>
        <v>227</v>
      </c>
      <c r="E371" s="18" t="str">
        <f>'GİRDİ RAPORU'!E336</f>
        <v>Normal Mesai</v>
      </c>
      <c r="F371" s="18">
        <f>'GİRDİ RAPORU'!F336</f>
        <v>20</v>
      </c>
      <c r="G371" s="18" t="str">
        <f>'GİRDİ RAPORU'!G336</f>
        <v>Ayar</v>
      </c>
      <c r="H371" s="18">
        <f>'GİRDİ RAPORU'!H336</f>
        <v>240</v>
      </c>
      <c r="I371" s="18" t="str">
        <f>'GİRDİ RAPORU'!I336</f>
        <v>İş bekleme</v>
      </c>
      <c r="J371" s="18">
        <f>'GİRDİ RAPORU'!J1307</f>
        <v>0</v>
      </c>
      <c r="K371" s="18">
        <f>'GİRDİ RAPORU'!K1307</f>
        <v>0</v>
      </c>
      <c r="L371" s="18">
        <f>'GİRDİ RAPORU'!L1307</f>
        <v>0</v>
      </c>
      <c r="M371" s="26">
        <f t="shared" si="15"/>
        <v>0.34933333333333333</v>
      </c>
      <c r="N371" s="26">
        <f t="shared" si="16"/>
        <v>0.48148148148148145</v>
      </c>
      <c r="O371" s="26">
        <f t="shared" si="17"/>
        <v>0.51851851851851849</v>
      </c>
    </row>
    <row r="372" spans="1:15" ht="21.75" hidden="1" customHeight="1">
      <c r="A372" s="17">
        <v>45555</v>
      </c>
      <c r="B372" s="18">
        <f>'GİRDİ RAPORU'!B335</f>
        <v>2</v>
      </c>
      <c r="C372" s="18">
        <f>'GİRDİ RAPORU'!C335</f>
        <v>200</v>
      </c>
      <c r="D372" s="18">
        <f>'GİRDİ RAPORU'!D335</f>
        <v>30</v>
      </c>
      <c r="E372" s="18" t="str">
        <f>'GİRDİ RAPORU'!E335</f>
        <v>Normal Mesai</v>
      </c>
      <c r="F372" s="18">
        <f>'GİRDİ RAPORU'!F335</f>
        <v>20</v>
      </c>
      <c r="G372" s="18" t="str">
        <f>'GİRDİ RAPORU'!G335</f>
        <v>Ayar</v>
      </c>
      <c r="H372" s="18">
        <f>'GİRDİ RAPORU'!H335</f>
        <v>60</v>
      </c>
      <c r="I372" s="18" t="str">
        <f>'GİRDİ RAPORU'!I335</f>
        <v>İş bekleme</v>
      </c>
      <c r="J372" s="18">
        <f>'GİRDİ RAPORU'!J1306</f>
        <v>0</v>
      </c>
      <c r="K372" s="18">
        <f>'GİRDİ RAPORU'!K1306</f>
        <v>0</v>
      </c>
      <c r="L372" s="18">
        <f>'GİRDİ RAPORU'!L1306</f>
        <v>0</v>
      </c>
      <c r="M372" s="26">
        <f t="shared" si="15"/>
        <v>0.30666666666666664</v>
      </c>
      <c r="N372" s="26">
        <f t="shared" si="16"/>
        <v>0.14814814814814814</v>
      </c>
      <c r="O372" s="26">
        <f t="shared" si="17"/>
        <v>0.85185185185185186</v>
      </c>
    </row>
    <row r="373" spans="1:15" ht="21.75" hidden="1" customHeight="1">
      <c r="A373" s="17">
        <v>45554</v>
      </c>
      <c r="B373" s="18">
        <f>'GİRDİ RAPORU'!B334</f>
        <v>2</v>
      </c>
      <c r="C373" s="18">
        <f>'GİRDİ RAPORU'!C334</f>
        <v>468</v>
      </c>
      <c r="D373" s="18">
        <f>'GİRDİ RAPORU'!D334</f>
        <v>68</v>
      </c>
      <c r="E373" s="18" t="str">
        <f>'GİRDİ RAPORU'!E334</f>
        <v>Normal Mesai</v>
      </c>
      <c r="F373" s="18">
        <f>'GİRDİ RAPORU'!F334</f>
        <v>20</v>
      </c>
      <c r="G373" s="18" t="str">
        <f>'GİRDİ RAPORU'!G334</f>
        <v>Ayar</v>
      </c>
      <c r="H373" s="18">
        <f>'GİRDİ RAPORU'!H334</f>
        <v>0</v>
      </c>
      <c r="I373" s="18">
        <f>'GİRDİ RAPORU'!I334</f>
        <v>0</v>
      </c>
      <c r="J373" s="18">
        <f>'GİRDİ RAPORU'!J1305</f>
        <v>0</v>
      </c>
      <c r="K373" s="18">
        <f>'GİRDİ RAPORU'!K1305</f>
        <v>0</v>
      </c>
      <c r="L373" s="18">
        <f>'GİRDİ RAPORU'!L1305</f>
        <v>0</v>
      </c>
      <c r="M373" s="26">
        <f t="shared" si="15"/>
        <v>0.71466666666666667</v>
      </c>
      <c r="N373" s="26">
        <f t="shared" si="16"/>
        <v>3.7037037037037035E-2</v>
      </c>
      <c r="O373" s="26">
        <f t="shared" si="17"/>
        <v>0.96296296296296291</v>
      </c>
    </row>
    <row r="374" spans="1:15" ht="21.75" hidden="1" customHeight="1">
      <c r="A374" s="17">
        <f>'GİRDİ RAPORU'!A337</f>
        <v>45553.767559375003</v>
      </c>
      <c r="B374" s="18">
        <f>'GİRDİ RAPORU'!B333</f>
        <v>2</v>
      </c>
      <c r="C374" s="18">
        <f>'GİRDİ RAPORU'!C333</f>
        <v>228</v>
      </c>
      <c r="D374" s="18">
        <f>'GİRDİ RAPORU'!D333</f>
        <v>194</v>
      </c>
      <c r="E374" s="18" t="str">
        <f>'GİRDİ RAPORU'!E333</f>
        <v>Fazla Mesai</v>
      </c>
      <c r="F374" s="18">
        <f>'GİRDİ RAPORU'!F333</f>
        <v>20</v>
      </c>
      <c r="G374" s="18" t="str">
        <f>'GİRDİ RAPORU'!G333</f>
        <v>Ayar</v>
      </c>
      <c r="H374" s="18">
        <f>'GİRDİ RAPORU'!H333</f>
        <v>30</v>
      </c>
      <c r="I374" s="18" t="str">
        <f>'GİRDİ RAPORU'!I333</f>
        <v>İş bekleme</v>
      </c>
      <c r="J374" s="18">
        <f>'GİRDİ RAPORU'!J1304</f>
        <v>0</v>
      </c>
      <c r="K374" s="18">
        <f>'GİRDİ RAPORU'!K1304</f>
        <v>0</v>
      </c>
      <c r="L374" s="18">
        <f>'GİRDİ RAPORU'!L1304</f>
        <v>0</v>
      </c>
      <c r="M374" s="26">
        <f t="shared" si="15"/>
        <v>0.56266666666666665</v>
      </c>
      <c r="N374" s="26">
        <f t="shared" si="16"/>
        <v>9.2592592592592587E-2</v>
      </c>
      <c r="O374" s="26">
        <f t="shared" si="17"/>
        <v>0.90740740740740744</v>
      </c>
    </row>
    <row r="375" spans="1:15" ht="21.75" hidden="1" customHeight="1">
      <c r="A375" s="17">
        <f>'GİRDİ RAPORU'!A336</f>
        <v>45552.769645370368</v>
      </c>
      <c r="B375" s="18">
        <f>'GİRDİ RAPORU'!B332</f>
        <v>2</v>
      </c>
      <c r="C375" s="18">
        <f>'GİRDİ RAPORU'!C332</f>
        <v>267</v>
      </c>
      <c r="D375" s="18">
        <f>'GİRDİ RAPORU'!D332</f>
        <v>55</v>
      </c>
      <c r="E375" s="18" t="str">
        <f>'GİRDİ RAPORU'!E332</f>
        <v>Fazla Mesai</v>
      </c>
      <c r="F375" s="18">
        <f>'GİRDİ RAPORU'!F332</f>
        <v>20</v>
      </c>
      <c r="G375" s="18" t="str">
        <f>'GİRDİ RAPORU'!G332</f>
        <v>Ayar</v>
      </c>
      <c r="H375" s="18">
        <f>'GİRDİ RAPORU'!H332</f>
        <v>40</v>
      </c>
      <c r="I375" s="18" t="str">
        <f>'GİRDİ RAPORU'!I332</f>
        <v>İş bekleme</v>
      </c>
      <c r="J375" s="18">
        <f>'GİRDİ RAPORU'!J1303</f>
        <v>0</v>
      </c>
      <c r="K375" s="18">
        <f>'GİRDİ RAPORU'!K1303</f>
        <v>0</v>
      </c>
      <c r="L375" s="18">
        <f>'GİRDİ RAPORU'!L1303</f>
        <v>0</v>
      </c>
      <c r="M375" s="26">
        <f t="shared" si="15"/>
        <v>0.42933333333333334</v>
      </c>
      <c r="N375" s="26">
        <f t="shared" si="16"/>
        <v>0.1111111111111111</v>
      </c>
      <c r="O375" s="26">
        <f t="shared" si="17"/>
        <v>0.88888888888888884</v>
      </c>
    </row>
    <row r="376" spans="1:15" ht="21.75" hidden="1" customHeight="1">
      <c r="A376" s="17">
        <f>'GİRDİ RAPORU'!A335</f>
        <v>45551.769165046295</v>
      </c>
      <c r="B376" s="18">
        <f>'GİRDİ RAPORU'!B331</f>
        <v>2</v>
      </c>
      <c r="C376" s="18">
        <f>'GİRDİ RAPORU'!C331</f>
        <v>328</v>
      </c>
      <c r="D376" s="18">
        <f>'GİRDİ RAPORU'!D331</f>
        <v>71</v>
      </c>
      <c r="E376" s="18" t="str">
        <f>'GİRDİ RAPORU'!E331</f>
        <v>Fazla Mesai</v>
      </c>
      <c r="F376" s="18">
        <f>'GİRDİ RAPORU'!F331</f>
        <v>20</v>
      </c>
      <c r="G376" s="18" t="str">
        <f>'GİRDİ RAPORU'!G331</f>
        <v>Ayar</v>
      </c>
      <c r="H376" s="18">
        <f>'GİRDİ RAPORU'!H331</f>
        <v>20</v>
      </c>
      <c r="I376" s="18" t="str">
        <f>'GİRDİ RAPORU'!I331</f>
        <v>Elektrik Kesilmesi</v>
      </c>
      <c r="J376" s="18">
        <f>'GİRDİ RAPORU'!J1302</f>
        <v>0</v>
      </c>
      <c r="K376" s="18">
        <f>'GİRDİ RAPORU'!K1302</f>
        <v>0</v>
      </c>
      <c r="L376" s="18">
        <f>'GİRDİ RAPORU'!L1302</f>
        <v>0</v>
      </c>
      <c r="M376" s="26">
        <f t="shared" si="15"/>
        <v>0.53200000000000003</v>
      </c>
      <c r="N376" s="26">
        <f t="shared" si="16"/>
        <v>7.407407407407407E-2</v>
      </c>
      <c r="O376" s="26">
        <f t="shared" si="17"/>
        <v>0.92592592592592593</v>
      </c>
    </row>
    <row r="377" spans="1:15" ht="21.75" hidden="1" customHeight="1">
      <c r="A377" s="17">
        <f>'GİRDİ RAPORU'!A334</f>
        <v>45498.761616087962</v>
      </c>
      <c r="B377" s="18">
        <f>'GİRDİ RAPORU'!B330</f>
        <v>2</v>
      </c>
      <c r="C377" s="18">
        <f>'GİRDİ RAPORU'!C330</f>
        <v>445</v>
      </c>
      <c r="D377" s="18">
        <f>'GİRDİ RAPORU'!D330</f>
        <v>48</v>
      </c>
      <c r="E377" s="18" t="str">
        <f>'GİRDİ RAPORU'!E330</f>
        <v>Normal Mesai</v>
      </c>
      <c r="F377" s="18">
        <f>'GİRDİ RAPORU'!F330</f>
        <v>20</v>
      </c>
      <c r="G377" s="18" t="str">
        <f>'GİRDİ RAPORU'!G330</f>
        <v>Ayar</v>
      </c>
      <c r="H377" s="18">
        <f>'GİRDİ RAPORU'!H330</f>
        <v>0</v>
      </c>
      <c r="I377" s="18">
        <f>'GİRDİ RAPORU'!I330</f>
        <v>0</v>
      </c>
      <c r="J377" s="18">
        <f>'GİRDİ RAPORU'!J1301</f>
        <v>0</v>
      </c>
      <c r="K377" s="18">
        <f>'GİRDİ RAPORU'!K1301</f>
        <v>0</v>
      </c>
      <c r="L377" s="18">
        <f>'GİRDİ RAPORU'!L1301</f>
        <v>0</v>
      </c>
      <c r="M377" s="26">
        <f t="shared" si="15"/>
        <v>0.65733333333333333</v>
      </c>
      <c r="N377" s="26">
        <f t="shared" si="16"/>
        <v>3.7037037037037035E-2</v>
      </c>
      <c r="O377" s="26">
        <f t="shared" si="17"/>
        <v>0.96296296296296291</v>
      </c>
    </row>
    <row r="378" spans="1:15" ht="21.75" hidden="1" customHeight="1">
      <c r="A378" s="17">
        <f>'GİRDİ RAPORU'!A333</f>
        <v>45497.856685763887</v>
      </c>
      <c r="B378" s="18">
        <f>'GİRDİ RAPORU'!B329</f>
        <v>2</v>
      </c>
      <c r="C378" s="18">
        <f>'GİRDİ RAPORU'!C329</f>
        <v>481</v>
      </c>
      <c r="D378" s="18">
        <f>'GİRDİ RAPORU'!D329</f>
        <v>63</v>
      </c>
      <c r="E378" s="18" t="str">
        <f>'GİRDİ RAPORU'!E329</f>
        <v>Fazla Mesai</v>
      </c>
      <c r="F378" s="18">
        <f>'GİRDİ RAPORU'!F329</f>
        <v>40</v>
      </c>
      <c r="G378" s="18" t="str">
        <f>'GİRDİ RAPORU'!G329</f>
        <v>Ayar</v>
      </c>
      <c r="H378" s="18">
        <f>'GİRDİ RAPORU'!H329</f>
        <v>0</v>
      </c>
      <c r="I378" s="18">
        <f>'GİRDİ RAPORU'!I329</f>
        <v>0</v>
      </c>
      <c r="J378" s="18">
        <f>'GİRDİ RAPORU'!J1300</f>
        <v>0</v>
      </c>
      <c r="K378" s="18">
        <f>'GİRDİ RAPORU'!K1300</f>
        <v>0</v>
      </c>
      <c r="L378" s="18">
        <f>'GİRDİ RAPORU'!L1300</f>
        <v>0</v>
      </c>
      <c r="M378" s="26">
        <f t="shared" si="15"/>
        <v>0.72533333333333339</v>
      </c>
      <c r="N378" s="26">
        <f t="shared" si="16"/>
        <v>7.407407407407407E-2</v>
      </c>
      <c r="O378" s="26">
        <f t="shared" si="17"/>
        <v>0.92592592592592593</v>
      </c>
    </row>
    <row r="379" spans="1:15" ht="21.75" hidden="1" customHeight="1">
      <c r="A379" s="17">
        <f>'GİRDİ RAPORU'!A332</f>
        <v>45496.855820370372</v>
      </c>
      <c r="B379" s="18">
        <f>'GİRDİ RAPORU'!B328</f>
        <v>2</v>
      </c>
      <c r="C379" s="18">
        <f>'GİRDİ RAPORU'!C328</f>
        <v>245</v>
      </c>
      <c r="D379" s="18">
        <f>'GİRDİ RAPORU'!D328</f>
        <v>41</v>
      </c>
      <c r="E379" s="18" t="str">
        <f>'GİRDİ RAPORU'!E328</f>
        <v>Fazla Mesai</v>
      </c>
      <c r="F379" s="18">
        <f>'GİRDİ RAPORU'!F328</f>
        <v>40</v>
      </c>
      <c r="G379" s="18" t="str">
        <f>'GİRDİ RAPORU'!G328</f>
        <v>Ayar</v>
      </c>
      <c r="H379" s="18">
        <f>'GİRDİ RAPORU'!H328</f>
        <v>30</v>
      </c>
      <c r="I379" s="18" t="str">
        <f>'GİRDİ RAPORU'!I328</f>
        <v>İş bekleme</v>
      </c>
      <c r="J379" s="18">
        <f>'GİRDİ RAPORU'!J1299</f>
        <v>0</v>
      </c>
      <c r="K379" s="18">
        <f>'GİRDİ RAPORU'!K1299</f>
        <v>0</v>
      </c>
      <c r="L379" s="18">
        <f>'GİRDİ RAPORU'!L1299</f>
        <v>0</v>
      </c>
      <c r="M379" s="26">
        <f t="shared" si="15"/>
        <v>0.38133333333333336</v>
      </c>
      <c r="N379" s="26">
        <f t="shared" si="16"/>
        <v>0.12962962962962962</v>
      </c>
      <c r="O379" s="26">
        <f t="shared" si="17"/>
        <v>0.87037037037037035</v>
      </c>
    </row>
    <row r="380" spans="1:15" ht="21.75" hidden="1" customHeight="1">
      <c r="A380" s="17">
        <f>'GİRDİ RAPORU'!A331</f>
        <v>45495.858764814817</v>
      </c>
      <c r="B380" s="18">
        <f>'GİRDİ RAPORU'!B327</f>
        <v>2</v>
      </c>
      <c r="C380" s="18">
        <f>'GİRDİ RAPORU'!C327</f>
        <v>556</v>
      </c>
      <c r="D380" s="18">
        <f>'GİRDİ RAPORU'!D327</f>
        <v>64</v>
      </c>
      <c r="E380" s="18" t="str">
        <f>'GİRDİ RAPORU'!E327</f>
        <v>Fazla Mesai</v>
      </c>
      <c r="F380" s="18">
        <f>'GİRDİ RAPORU'!F327</f>
        <v>20</v>
      </c>
      <c r="G380" s="18" t="str">
        <f>'GİRDİ RAPORU'!G327</f>
        <v>Ayar</v>
      </c>
      <c r="H380" s="18">
        <f>'GİRDİ RAPORU'!H327</f>
        <v>0</v>
      </c>
      <c r="I380" s="18">
        <f>'GİRDİ RAPORU'!I327</f>
        <v>0</v>
      </c>
      <c r="J380" s="18">
        <f>'GİRDİ RAPORU'!J1298</f>
        <v>0</v>
      </c>
      <c r="K380" s="18">
        <f>'GİRDİ RAPORU'!K1298</f>
        <v>0</v>
      </c>
      <c r="L380" s="18">
        <f>'GİRDİ RAPORU'!L1298</f>
        <v>0</v>
      </c>
      <c r="M380" s="26">
        <f t="shared" si="15"/>
        <v>0.82666666666666666</v>
      </c>
      <c r="N380" s="26">
        <f t="shared" si="16"/>
        <v>3.7037037037037035E-2</v>
      </c>
      <c r="O380" s="26">
        <f t="shared" si="17"/>
        <v>0.96296296296296291</v>
      </c>
    </row>
    <row r="381" spans="1:15" ht="21.75" hidden="1" customHeight="1">
      <c r="A381" s="17">
        <f>'GİRDİ RAPORU'!A330</f>
        <v>45493.71466041667</v>
      </c>
      <c r="B381" s="18">
        <f>'GİRDİ RAPORU'!B326</f>
        <v>2</v>
      </c>
      <c r="C381" s="18">
        <f>'GİRDİ RAPORU'!C326</f>
        <v>650</v>
      </c>
      <c r="D381" s="18">
        <f>'GİRDİ RAPORU'!D326</f>
        <v>50</v>
      </c>
      <c r="E381" s="18" t="str">
        <f>'GİRDİ RAPORU'!E326</f>
        <v>Fazla Mesai</v>
      </c>
      <c r="F381" s="18">
        <f>'GİRDİ RAPORU'!F326</f>
        <v>20</v>
      </c>
      <c r="G381" s="18" t="str">
        <f>'GİRDİ RAPORU'!G326</f>
        <v>Ayar</v>
      </c>
      <c r="H381" s="18">
        <f>'GİRDİ RAPORU'!H326</f>
        <v>0</v>
      </c>
      <c r="I381" s="18">
        <f>'GİRDİ RAPORU'!I326</f>
        <v>0</v>
      </c>
      <c r="J381" s="18">
        <f>'GİRDİ RAPORU'!J1297</f>
        <v>0</v>
      </c>
      <c r="K381" s="18">
        <f>'GİRDİ RAPORU'!K1297</f>
        <v>0</v>
      </c>
      <c r="L381" s="18">
        <f>'GİRDİ RAPORU'!L1297</f>
        <v>0</v>
      </c>
      <c r="M381" s="26">
        <f t="shared" si="15"/>
        <v>0.93333333333333335</v>
      </c>
      <c r="N381" s="26">
        <f t="shared" si="16"/>
        <v>3.7037037037037035E-2</v>
      </c>
      <c r="O381" s="26">
        <f t="shared" si="17"/>
        <v>0.96296296296296291</v>
      </c>
    </row>
    <row r="382" spans="1:15" ht="21.75" hidden="1" customHeight="1">
      <c r="A382" s="17">
        <f>'GİRDİ RAPORU'!A329</f>
        <v>45492.862927083333</v>
      </c>
      <c r="B382" s="18">
        <f>'GİRDİ RAPORU'!B325</f>
        <v>2</v>
      </c>
      <c r="C382" s="18">
        <f>'GİRDİ RAPORU'!C325</f>
        <v>606</v>
      </c>
      <c r="D382" s="18">
        <f>'GİRDİ RAPORU'!D325</f>
        <v>0</v>
      </c>
      <c r="E382" s="18" t="str">
        <f>'GİRDİ RAPORU'!E325</f>
        <v>Normal Mesai</v>
      </c>
      <c r="F382" s="18">
        <f>'GİRDİ RAPORU'!F325</f>
        <v>10</v>
      </c>
      <c r="G382" s="18" t="str">
        <f>'GİRDİ RAPORU'!G325</f>
        <v>Ayar</v>
      </c>
      <c r="H382" s="18">
        <f>'GİRDİ RAPORU'!H325</f>
        <v>0</v>
      </c>
      <c r="I382" s="18">
        <f>'GİRDİ RAPORU'!I325</f>
        <v>0</v>
      </c>
      <c r="J382" s="18">
        <f>'GİRDİ RAPORU'!J1296</f>
        <v>0</v>
      </c>
      <c r="K382" s="18">
        <f>'GİRDİ RAPORU'!K1296</f>
        <v>0</v>
      </c>
      <c r="L382" s="18">
        <f>'GİRDİ RAPORU'!L1296</f>
        <v>0</v>
      </c>
      <c r="M382" s="26">
        <f t="shared" si="15"/>
        <v>0.80800000000000005</v>
      </c>
      <c r="N382" s="26">
        <f t="shared" si="16"/>
        <v>1.8518518518518517E-2</v>
      </c>
      <c r="O382" s="26">
        <f t="shared" si="17"/>
        <v>0.98148148148148151</v>
      </c>
    </row>
    <row r="383" spans="1:15" ht="21.75" hidden="1" customHeight="1">
      <c r="A383" s="17">
        <f>'GİRDİ RAPORU'!A328</f>
        <v>45491.857761226849</v>
      </c>
      <c r="B383" s="18">
        <f>'GİRDİ RAPORU'!B324</f>
        <v>2</v>
      </c>
      <c r="C383" s="18">
        <f>'GİRDİ RAPORU'!C324</f>
        <v>500</v>
      </c>
      <c r="D383" s="18">
        <f>'GİRDİ RAPORU'!D324</f>
        <v>0</v>
      </c>
      <c r="E383" s="18" t="str">
        <f>'GİRDİ RAPORU'!E324</f>
        <v>Normal Mesai</v>
      </c>
      <c r="F383" s="18">
        <f>'GİRDİ RAPORU'!F324</f>
        <v>20</v>
      </c>
      <c r="G383" s="18" t="str">
        <f>'GİRDİ RAPORU'!G324</f>
        <v>Ayar</v>
      </c>
      <c r="H383" s="18">
        <f>'GİRDİ RAPORU'!H324</f>
        <v>0</v>
      </c>
      <c r="I383" s="18">
        <f>'GİRDİ RAPORU'!I324</f>
        <v>0</v>
      </c>
      <c r="J383" s="18">
        <f>'GİRDİ RAPORU'!J1295</f>
        <v>0</v>
      </c>
      <c r="K383" s="18">
        <f>'GİRDİ RAPORU'!K1295</f>
        <v>0</v>
      </c>
      <c r="L383" s="18">
        <f>'GİRDİ RAPORU'!L1295</f>
        <v>0</v>
      </c>
      <c r="M383" s="26">
        <f t="shared" si="15"/>
        <v>0.66666666666666663</v>
      </c>
      <c r="N383" s="26">
        <f t="shared" si="16"/>
        <v>3.7037037037037035E-2</v>
      </c>
      <c r="O383" s="26">
        <f t="shared" si="17"/>
        <v>0.96296296296296291</v>
      </c>
    </row>
    <row r="384" spans="1:15" ht="21.75" hidden="1" customHeight="1">
      <c r="A384" s="17">
        <f>'GİRDİ RAPORU'!A327</f>
        <v>45490.85835347222</v>
      </c>
      <c r="B384" s="18">
        <f>'GİRDİ RAPORU'!B323</f>
        <v>2</v>
      </c>
      <c r="C384" s="18">
        <f>'GİRDİ RAPORU'!C323</f>
        <v>126</v>
      </c>
      <c r="D384" s="18">
        <f>'GİRDİ RAPORU'!D323</f>
        <v>390</v>
      </c>
      <c r="E384" s="18" t="str">
        <f>'GİRDİ RAPORU'!E323</f>
        <v>Normal Mesai</v>
      </c>
      <c r="F384" s="18">
        <f>'GİRDİ RAPORU'!F323</f>
        <v>20</v>
      </c>
      <c r="G384" s="18" t="str">
        <f>'GİRDİ RAPORU'!G323</f>
        <v>Ayar</v>
      </c>
      <c r="H384" s="18">
        <f>'GİRDİ RAPORU'!H323</f>
        <v>0</v>
      </c>
      <c r="I384" s="18">
        <f>'GİRDİ RAPORU'!I323</f>
        <v>0</v>
      </c>
      <c r="J384" s="18">
        <f>'GİRDİ RAPORU'!J1294</f>
        <v>0</v>
      </c>
      <c r="K384" s="18">
        <f>'GİRDİ RAPORU'!K1294</f>
        <v>0</v>
      </c>
      <c r="L384" s="18">
        <f>'GİRDİ RAPORU'!L1294</f>
        <v>0</v>
      </c>
      <c r="M384" s="26">
        <f t="shared" si="15"/>
        <v>0.68799999999999994</v>
      </c>
      <c r="N384" s="26">
        <f t="shared" si="16"/>
        <v>3.7037037037037035E-2</v>
      </c>
      <c r="O384" s="26">
        <f t="shared" si="17"/>
        <v>0.96296296296296291</v>
      </c>
    </row>
    <row r="385" spans="1:15" ht="21.75" hidden="1" customHeight="1">
      <c r="A385" s="17">
        <f>'GİRDİ RAPORU'!A326</f>
        <v>45489.859539930556</v>
      </c>
      <c r="B385" s="18">
        <f>'GİRDİ RAPORU'!B322</f>
        <v>2</v>
      </c>
      <c r="C385" s="18">
        <f>'GİRDİ RAPORU'!C322</f>
        <v>126</v>
      </c>
      <c r="D385" s="18">
        <f>'GİRDİ RAPORU'!D322</f>
        <v>390</v>
      </c>
      <c r="E385" s="18" t="str">
        <f>'GİRDİ RAPORU'!E322</f>
        <v>Normal Mesai</v>
      </c>
      <c r="F385" s="18">
        <f>'GİRDİ RAPORU'!F322</f>
        <v>20</v>
      </c>
      <c r="G385" s="18" t="str">
        <f>'GİRDİ RAPORU'!G322</f>
        <v>Ayar</v>
      </c>
      <c r="H385" s="18">
        <f>'GİRDİ RAPORU'!H322</f>
        <v>0</v>
      </c>
      <c r="I385" s="18">
        <f>'GİRDİ RAPORU'!I322</f>
        <v>0</v>
      </c>
      <c r="J385" s="18">
        <f>'GİRDİ RAPORU'!J1293</f>
        <v>0</v>
      </c>
      <c r="K385" s="18">
        <f>'GİRDİ RAPORU'!K1293</f>
        <v>0</v>
      </c>
      <c r="L385" s="18">
        <f>'GİRDİ RAPORU'!L1293</f>
        <v>0</v>
      </c>
      <c r="M385" s="26">
        <f t="shared" si="15"/>
        <v>0.68799999999999994</v>
      </c>
      <c r="N385" s="26">
        <f t="shared" si="16"/>
        <v>3.7037037037037035E-2</v>
      </c>
      <c r="O385" s="26">
        <f t="shared" si="17"/>
        <v>0.96296296296296291</v>
      </c>
    </row>
    <row r="386" spans="1:15" ht="21.75" hidden="1" customHeight="1">
      <c r="A386" s="17">
        <f>'GİRDİ RAPORU'!A325</f>
        <v>45488.725873379626</v>
      </c>
      <c r="B386" s="18">
        <f>'GİRDİ RAPORU'!B321</f>
        <v>2</v>
      </c>
      <c r="C386" s="18">
        <f>'GİRDİ RAPORU'!C321</f>
        <v>395</v>
      </c>
      <c r="D386" s="18">
        <f>'GİRDİ RAPORU'!D321</f>
        <v>41</v>
      </c>
      <c r="E386" s="18" t="str">
        <f>'GİRDİ RAPORU'!E321</f>
        <v>Fazla Mesai</v>
      </c>
      <c r="F386" s="18">
        <f>'GİRDİ RAPORU'!F321</f>
        <v>40</v>
      </c>
      <c r="G386" s="18" t="str">
        <f>'GİRDİ RAPORU'!G321</f>
        <v>Ayar</v>
      </c>
      <c r="H386" s="18">
        <f>'GİRDİ RAPORU'!H321</f>
        <v>0</v>
      </c>
      <c r="I386" s="18">
        <f>'GİRDİ RAPORU'!I321</f>
        <v>0</v>
      </c>
      <c r="J386" s="18">
        <f>'GİRDİ RAPORU'!J1292</f>
        <v>0</v>
      </c>
      <c r="K386" s="18">
        <f>'GİRDİ RAPORU'!K1292</f>
        <v>0</v>
      </c>
      <c r="L386" s="18">
        <f>'GİRDİ RAPORU'!L1292</f>
        <v>0</v>
      </c>
      <c r="M386" s="26">
        <f t="shared" ref="M386:M449" si="18">(C386+D386)/750</f>
        <v>0.58133333333333337</v>
      </c>
      <c r="N386" s="26">
        <f t="shared" ref="N386:N449" si="19">(F386+H386+J386)/540</f>
        <v>7.407407407407407E-2</v>
      </c>
      <c r="O386" s="26">
        <f t="shared" ref="O386:O449" si="20">(540-F386-H386-J386)/540</f>
        <v>0.92592592592592593</v>
      </c>
    </row>
    <row r="387" spans="1:15" ht="21.75" hidden="1" customHeight="1">
      <c r="A387" s="17">
        <f>'GİRDİ RAPORU'!A324</f>
        <v>45486.727900578706</v>
      </c>
      <c r="B387" s="18">
        <f>'GİRDİ RAPORU'!B320</f>
        <v>2</v>
      </c>
      <c r="C387" s="18">
        <f>'GİRDİ RAPORU'!C320</f>
        <v>433</v>
      </c>
      <c r="D387" s="18">
        <f>'GİRDİ RAPORU'!D320</f>
        <v>25</v>
      </c>
      <c r="E387" s="18" t="str">
        <f>'GİRDİ RAPORU'!E320</f>
        <v>Normal Mesai</v>
      </c>
      <c r="F387" s="18">
        <f>'GİRDİ RAPORU'!F320</f>
        <v>20</v>
      </c>
      <c r="G387" s="18" t="str">
        <f>'GİRDİ RAPORU'!G320</f>
        <v>Ayar</v>
      </c>
      <c r="H387" s="18">
        <f>'GİRDİ RAPORU'!H320</f>
        <v>0</v>
      </c>
      <c r="I387" s="18">
        <f>'GİRDİ RAPORU'!I320</f>
        <v>0</v>
      </c>
      <c r="J387" s="18">
        <f>'GİRDİ RAPORU'!J1291</f>
        <v>0</v>
      </c>
      <c r="K387" s="18">
        <f>'GİRDİ RAPORU'!K1291</f>
        <v>0</v>
      </c>
      <c r="L387" s="18">
        <f>'GİRDİ RAPORU'!L1291</f>
        <v>0</v>
      </c>
      <c r="M387" s="26">
        <f t="shared" si="18"/>
        <v>0.61066666666666669</v>
      </c>
      <c r="N387" s="26">
        <f t="shared" si="19"/>
        <v>3.7037037037037035E-2</v>
      </c>
      <c r="O387" s="26">
        <f t="shared" si="20"/>
        <v>0.96296296296296291</v>
      </c>
    </row>
    <row r="388" spans="1:15" ht="21.75" hidden="1" customHeight="1">
      <c r="A388" s="17">
        <f>'GİRDİ RAPORU'!A323</f>
        <v>45485.738106712961</v>
      </c>
      <c r="B388" s="18">
        <f>'GİRDİ RAPORU'!B319</f>
        <v>2</v>
      </c>
      <c r="C388" s="18">
        <f>'GİRDİ RAPORU'!C319</f>
        <v>623</v>
      </c>
      <c r="D388" s="18">
        <f>'GİRDİ RAPORU'!D319</f>
        <v>35</v>
      </c>
      <c r="E388" s="18" t="str">
        <f>'GİRDİ RAPORU'!E319</f>
        <v>Normal Mesai</v>
      </c>
      <c r="F388" s="18">
        <f>'GİRDİ RAPORU'!F319</f>
        <v>20</v>
      </c>
      <c r="G388" s="18" t="str">
        <f>'GİRDİ RAPORU'!G319</f>
        <v>Ayar</v>
      </c>
      <c r="H388" s="18">
        <f>'GİRDİ RAPORU'!H319</f>
        <v>0</v>
      </c>
      <c r="I388" s="18">
        <f>'GİRDİ RAPORU'!I319</f>
        <v>0</v>
      </c>
      <c r="J388" s="18">
        <f>'GİRDİ RAPORU'!J1290</f>
        <v>0</v>
      </c>
      <c r="K388" s="18">
        <f>'GİRDİ RAPORU'!K1290</f>
        <v>0</v>
      </c>
      <c r="L388" s="18">
        <f>'GİRDİ RAPORU'!L1290</f>
        <v>0</v>
      </c>
      <c r="M388" s="26">
        <f t="shared" si="18"/>
        <v>0.8773333333333333</v>
      </c>
      <c r="N388" s="26">
        <f t="shared" si="19"/>
        <v>3.7037037037037035E-2</v>
      </c>
      <c r="O388" s="26">
        <f t="shared" si="20"/>
        <v>0.96296296296296291</v>
      </c>
    </row>
    <row r="389" spans="1:15" ht="21.75" hidden="1" customHeight="1">
      <c r="A389" s="17">
        <f>'GİRDİ RAPORU'!A322</f>
        <v>45485.737982523147</v>
      </c>
      <c r="B389" s="18">
        <f>'GİRDİ RAPORU'!B318</f>
        <v>2</v>
      </c>
      <c r="C389" s="18">
        <f>'GİRDİ RAPORU'!C318</f>
        <v>246</v>
      </c>
      <c r="D389" s="18">
        <f>'GİRDİ RAPORU'!D318</f>
        <v>66</v>
      </c>
      <c r="E389" s="18" t="str">
        <f>'GİRDİ RAPORU'!E318</f>
        <v>Normal Mesai</v>
      </c>
      <c r="F389" s="18">
        <f>'GİRDİ RAPORU'!F318</f>
        <v>40</v>
      </c>
      <c r="G389" s="18" t="str">
        <f>'GİRDİ RAPORU'!G318</f>
        <v>Ayar</v>
      </c>
      <c r="H389" s="18">
        <f>'GİRDİ RAPORU'!H318</f>
        <v>60</v>
      </c>
      <c r="I389" s="18" t="str">
        <f>'GİRDİ RAPORU'!I318</f>
        <v>Temizlik</v>
      </c>
      <c r="J389" s="18">
        <f>'GİRDİ RAPORU'!J1289</f>
        <v>0</v>
      </c>
      <c r="K389" s="18">
        <f>'GİRDİ RAPORU'!K1289</f>
        <v>0</v>
      </c>
      <c r="L389" s="18">
        <f>'GİRDİ RAPORU'!L1289</f>
        <v>0</v>
      </c>
      <c r="M389" s="26">
        <f t="shared" si="18"/>
        <v>0.41599999999999998</v>
      </c>
      <c r="N389" s="26">
        <f t="shared" si="19"/>
        <v>0.18518518518518517</v>
      </c>
      <c r="O389" s="26">
        <f t="shared" si="20"/>
        <v>0.81481481481481477</v>
      </c>
    </row>
    <row r="390" spans="1:15" ht="21.75" hidden="1" customHeight="1">
      <c r="A390" s="17">
        <f>'GİRDİ RAPORU'!A321</f>
        <v>45484.861258333331</v>
      </c>
      <c r="B390" s="18">
        <f>'GİRDİ RAPORU'!B317</f>
        <v>2</v>
      </c>
      <c r="C390" s="18">
        <f>'GİRDİ RAPORU'!C317</f>
        <v>265</v>
      </c>
      <c r="D390" s="18">
        <f>'GİRDİ RAPORU'!D317</f>
        <v>53</v>
      </c>
      <c r="E390" s="18" t="str">
        <f>'GİRDİ RAPORU'!E317</f>
        <v>Normal Mesai</v>
      </c>
      <c r="F390" s="18">
        <f>'GİRDİ RAPORU'!F317</f>
        <v>60</v>
      </c>
      <c r="G390" s="18" t="str">
        <f>'GİRDİ RAPORU'!G317</f>
        <v>Ayar</v>
      </c>
      <c r="H390" s="18">
        <f>'GİRDİ RAPORU'!H317</f>
        <v>0</v>
      </c>
      <c r="I390" s="18">
        <f>'GİRDİ RAPORU'!I317</f>
        <v>0</v>
      </c>
      <c r="J390" s="18">
        <f>'GİRDİ RAPORU'!J1288</f>
        <v>0</v>
      </c>
      <c r="K390" s="18">
        <f>'GİRDİ RAPORU'!K1288</f>
        <v>0</v>
      </c>
      <c r="L390" s="18">
        <f>'GİRDİ RAPORU'!L1288</f>
        <v>0</v>
      </c>
      <c r="M390" s="26">
        <f t="shared" si="18"/>
        <v>0.42399999999999999</v>
      </c>
      <c r="N390" s="26">
        <f t="shared" si="19"/>
        <v>0.1111111111111111</v>
      </c>
      <c r="O390" s="26">
        <f t="shared" si="20"/>
        <v>0.88888888888888884</v>
      </c>
    </row>
    <row r="391" spans="1:15" ht="21.75" hidden="1" customHeight="1">
      <c r="A391" s="17">
        <f>'GİRDİ RAPORU'!A320</f>
        <v>45482.762236458337</v>
      </c>
      <c r="B391" s="18">
        <f>'GİRDİ RAPORU'!B316</f>
        <v>2</v>
      </c>
      <c r="C391" s="18">
        <f>'GİRDİ RAPORU'!C316</f>
        <v>229</v>
      </c>
      <c r="D391" s="18">
        <f>'GİRDİ RAPORU'!D316</f>
        <v>49</v>
      </c>
      <c r="E391" s="18" t="str">
        <f>'GİRDİ RAPORU'!E316</f>
        <v>Normal Mesai</v>
      </c>
      <c r="F391" s="18">
        <f>'GİRDİ RAPORU'!F316</f>
        <v>45</v>
      </c>
      <c r="G391" s="18" t="str">
        <f>'GİRDİ RAPORU'!G316</f>
        <v>Ayar</v>
      </c>
      <c r="H391" s="18">
        <f>'GİRDİ RAPORU'!H316</f>
        <v>0</v>
      </c>
      <c r="I391" s="18">
        <f>'GİRDİ RAPORU'!I316</f>
        <v>0</v>
      </c>
      <c r="J391" s="18">
        <f>'GİRDİ RAPORU'!J1287</f>
        <v>0</v>
      </c>
      <c r="K391" s="18">
        <f>'GİRDİ RAPORU'!K1287</f>
        <v>0</v>
      </c>
      <c r="L391" s="18">
        <f>'GİRDİ RAPORU'!L1287</f>
        <v>0</v>
      </c>
      <c r="M391" s="26">
        <f t="shared" si="18"/>
        <v>0.37066666666666664</v>
      </c>
      <c r="N391" s="26">
        <f t="shared" si="19"/>
        <v>8.3333333333333329E-2</v>
      </c>
      <c r="O391" s="26">
        <f t="shared" si="20"/>
        <v>0.91666666666666663</v>
      </c>
    </row>
    <row r="392" spans="1:15" ht="21.75" hidden="1" customHeight="1">
      <c r="A392" s="17">
        <f>'GİRDİ RAPORU'!A319</f>
        <v>45481.764012268519</v>
      </c>
      <c r="B392" s="18">
        <f>'GİRDİ RAPORU'!B315</f>
        <v>2</v>
      </c>
      <c r="C392" s="18">
        <f>'GİRDİ RAPORU'!C315</f>
        <v>376</v>
      </c>
      <c r="D392" s="18">
        <f>'GİRDİ RAPORU'!D315</f>
        <v>55</v>
      </c>
      <c r="E392" s="18" t="str">
        <f>'GİRDİ RAPORU'!E315</f>
        <v>Normal Mesai</v>
      </c>
      <c r="F392" s="18">
        <f>'GİRDİ RAPORU'!F315</f>
        <v>30</v>
      </c>
      <c r="G392" s="18" t="str">
        <f>'GİRDİ RAPORU'!G315</f>
        <v>Ayar</v>
      </c>
      <c r="H392" s="18">
        <f>'GİRDİ RAPORU'!H315</f>
        <v>0</v>
      </c>
      <c r="I392" s="18">
        <f>'GİRDİ RAPORU'!I315</f>
        <v>0</v>
      </c>
      <c r="J392" s="18">
        <f>'GİRDİ RAPORU'!J1286</f>
        <v>0</v>
      </c>
      <c r="K392" s="18">
        <f>'GİRDİ RAPORU'!K1286</f>
        <v>0</v>
      </c>
      <c r="L392" s="18">
        <f>'GİRDİ RAPORU'!L1286</f>
        <v>0</v>
      </c>
      <c r="M392" s="26">
        <f t="shared" si="18"/>
        <v>0.57466666666666666</v>
      </c>
      <c r="N392" s="26">
        <f t="shared" si="19"/>
        <v>5.5555555555555552E-2</v>
      </c>
      <c r="O392" s="26">
        <f t="shared" si="20"/>
        <v>0.94444444444444442</v>
      </c>
    </row>
    <row r="393" spans="1:15" ht="21.75" hidden="1" customHeight="1">
      <c r="A393" s="17">
        <f>'GİRDİ RAPORU'!A318</f>
        <v>45478.762470486108</v>
      </c>
      <c r="B393" s="18">
        <f>'GİRDİ RAPORU'!B314</f>
        <v>2</v>
      </c>
      <c r="C393" s="18">
        <f>'GİRDİ RAPORU'!C314</f>
        <v>173</v>
      </c>
      <c r="D393" s="18">
        <f>'GİRDİ RAPORU'!D314</f>
        <v>75</v>
      </c>
      <c r="E393" s="18" t="str">
        <f>'GİRDİ RAPORU'!E314</f>
        <v>Fazla Mesai</v>
      </c>
      <c r="F393" s="18">
        <f>'GİRDİ RAPORU'!F314</f>
        <v>60</v>
      </c>
      <c r="G393" s="18" t="str">
        <f>'GİRDİ RAPORU'!G314</f>
        <v>Ayar</v>
      </c>
      <c r="H393" s="18">
        <f>'GİRDİ RAPORU'!H314</f>
        <v>0</v>
      </c>
      <c r="I393" s="18">
        <f>'GİRDİ RAPORU'!I314</f>
        <v>0</v>
      </c>
      <c r="J393" s="18">
        <f>'GİRDİ RAPORU'!J1285</f>
        <v>0</v>
      </c>
      <c r="K393" s="18">
        <f>'GİRDİ RAPORU'!K1285</f>
        <v>0</v>
      </c>
      <c r="L393" s="18">
        <f>'GİRDİ RAPORU'!L1285</f>
        <v>0</v>
      </c>
      <c r="M393" s="26">
        <f t="shared" si="18"/>
        <v>0.33066666666666666</v>
      </c>
      <c r="N393" s="26">
        <f t="shared" si="19"/>
        <v>0.1111111111111111</v>
      </c>
      <c r="O393" s="26">
        <f t="shared" si="20"/>
        <v>0.88888888888888884</v>
      </c>
    </row>
    <row r="394" spans="1:15" ht="21.75" hidden="1" customHeight="1">
      <c r="A394" s="17">
        <f>'GİRDİ RAPORU'!A317</f>
        <v>45477.7678900463</v>
      </c>
      <c r="B394" s="18">
        <f>'GİRDİ RAPORU'!B313</f>
        <v>2</v>
      </c>
      <c r="C394" s="18">
        <f>'GİRDİ RAPORU'!C313</f>
        <v>209</v>
      </c>
      <c r="D394" s="18">
        <f>'GİRDİ RAPORU'!D313</f>
        <v>56</v>
      </c>
      <c r="E394" s="18" t="str">
        <f>'GİRDİ RAPORU'!E313</f>
        <v>Normal Mesai</v>
      </c>
      <c r="F394" s="18">
        <f>'GİRDİ RAPORU'!F313</f>
        <v>60</v>
      </c>
      <c r="G394" s="18" t="str">
        <f>'GİRDİ RAPORU'!G313</f>
        <v>Ayar</v>
      </c>
      <c r="H394" s="18">
        <f>'GİRDİ RAPORU'!H313</f>
        <v>0</v>
      </c>
      <c r="I394" s="18">
        <f>'GİRDİ RAPORU'!I313</f>
        <v>0</v>
      </c>
      <c r="J394" s="18">
        <f>'GİRDİ RAPORU'!J1284</f>
        <v>0</v>
      </c>
      <c r="K394" s="18">
        <f>'GİRDİ RAPORU'!K1284</f>
        <v>0</v>
      </c>
      <c r="L394" s="18">
        <f>'GİRDİ RAPORU'!L1284</f>
        <v>0</v>
      </c>
      <c r="M394" s="26">
        <f t="shared" si="18"/>
        <v>0.35333333333333333</v>
      </c>
      <c r="N394" s="26">
        <f t="shared" si="19"/>
        <v>0.1111111111111111</v>
      </c>
      <c r="O394" s="26">
        <f t="shared" si="20"/>
        <v>0.88888888888888884</v>
      </c>
    </row>
    <row r="395" spans="1:15" ht="21.75" hidden="1" customHeight="1">
      <c r="A395" s="17">
        <f>'GİRDİ RAPORU'!A316</f>
        <v>45476.763909259258</v>
      </c>
      <c r="B395" s="18">
        <f>'GİRDİ RAPORU'!B312</f>
        <v>2</v>
      </c>
      <c r="C395" s="18">
        <f>'GİRDİ RAPORU'!C312</f>
        <v>287</v>
      </c>
      <c r="D395" s="18">
        <f>'GİRDİ RAPORU'!D312</f>
        <v>43</v>
      </c>
      <c r="E395" s="18" t="str">
        <f>'GİRDİ RAPORU'!E312</f>
        <v>Fazla Mesai</v>
      </c>
      <c r="F395" s="18">
        <f>'GİRDİ RAPORU'!F312</f>
        <v>20</v>
      </c>
      <c r="G395" s="18" t="str">
        <f>'GİRDİ RAPORU'!G312</f>
        <v>Ayar</v>
      </c>
      <c r="H395" s="18">
        <f>'GİRDİ RAPORU'!H312</f>
        <v>60</v>
      </c>
      <c r="I395" s="18" t="str">
        <f>'GİRDİ RAPORU'!I312</f>
        <v>İş bekleme</v>
      </c>
      <c r="J395" s="18">
        <f>'GİRDİ RAPORU'!J1283</f>
        <v>0</v>
      </c>
      <c r="K395" s="18">
        <f>'GİRDİ RAPORU'!K1283</f>
        <v>0</v>
      </c>
      <c r="L395" s="18">
        <f>'GİRDİ RAPORU'!L1283</f>
        <v>0</v>
      </c>
      <c r="M395" s="26">
        <f t="shared" si="18"/>
        <v>0.44</v>
      </c>
      <c r="N395" s="26">
        <f t="shared" si="19"/>
        <v>0.14814814814814814</v>
      </c>
      <c r="O395" s="26">
        <f t="shared" si="20"/>
        <v>0.85185185185185186</v>
      </c>
    </row>
    <row r="396" spans="1:15" ht="21.75" hidden="1" customHeight="1">
      <c r="A396" s="17">
        <f>'GİRDİ RAPORU'!A315</f>
        <v>45475.765209375</v>
      </c>
      <c r="B396" s="18">
        <f>'GİRDİ RAPORU'!B311</f>
        <v>1</v>
      </c>
      <c r="C396" s="18">
        <f>'GİRDİ RAPORU'!C311</f>
        <v>186</v>
      </c>
      <c r="D396" s="18">
        <f>'GİRDİ RAPORU'!D311</f>
        <v>9</v>
      </c>
      <c r="E396" s="18" t="str">
        <f>'GİRDİ RAPORU'!E311</f>
        <v>Normal Mesai</v>
      </c>
      <c r="F396" s="18">
        <f>'GİRDİ RAPORU'!F311</f>
        <v>20</v>
      </c>
      <c r="G396" s="18" t="str">
        <f>'GİRDİ RAPORU'!G311</f>
        <v>Ayar</v>
      </c>
      <c r="H396" s="18">
        <f>'GİRDİ RAPORU'!H311</f>
        <v>240</v>
      </c>
      <c r="I396" s="18" t="str">
        <f>'GİRDİ RAPORU'!I311</f>
        <v>İş bekleme</v>
      </c>
      <c r="J396" s="18">
        <f>'GİRDİ RAPORU'!J1282</f>
        <v>0</v>
      </c>
      <c r="K396" s="18">
        <f>'GİRDİ RAPORU'!K1282</f>
        <v>0</v>
      </c>
      <c r="L396" s="18">
        <f>'GİRDİ RAPORU'!L1282</f>
        <v>0</v>
      </c>
      <c r="M396" s="26">
        <f t="shared" si="18"/>
        <v>0.26</v>
      </c>
      <c r="N396" s="26">
        <f t="shared" si="19"/>
        <v>0.48148148148148145</v>
      </c>
      <c r="O396" s="26">
        <f t="shared" si="20"/>
        <v>0.51851851851851849</v>
      </c>
    </row>
    <row r="397" spans="1:15" ht="21.75" hidden="1" customHeight="1">
      <c r="A397" s="17">
        <f>'GİRDİ RAPORU'!A314</f>
        <v>45474.856972800924</v>
      </c>
      <c r="B397" s="18">
        <f>'GİRDİ RAPORU'!B310</f>
        <v>2</v>
      </c>
      <c r="C397" s="18">
        <f>'GİRDİ RAPORU'!C310</f>
        <v>114</v>
      </c>
      <c r="D397" s="18">
        <f>'GİRDİ RAPORU'!D310</f>
        <v>25</v>
      </c>
      <c r="E397" s="18" t="str">
        <f>'GİRDİ RAPORU'!E310</f>
        <v>Normal Mesai</v>
      </c>
      <c r="F397" s="18">
        <f>'GİRDİ RAPORU'!F310</f>
        <v>20</v>
      </c>
      <c r="G397" s="18" t="str">
        <f>'GİRDİ RAPORU'!G310</f>
        <v>Ayar</v>
      </c>
      <c r="H397" s="18">
        <f>'GİRDİ RAPORU'!H310</f>
        <v>180</v>
      </c>
      <c r="I397" s="18" t="str">
        <f>'GİRDİ RAPORU'!I310</f>
        <v>İş bekleme</v>
      </c>
      <c r="J397" s="18">
        <f>'GİRDİ RAPORU'!J1281</f>
        <v>0</v>
      </c>
      <c r="K397" s="18">
        <f>'GİRDİ RAPORU'!K1281</f>
        <v>0</v>
      </c>
      <c r="L397" s="18">
        <f>'GİRDİ RAPORU'!L1281</f>
        <v>0</v>
      </c>
      <c r="M397" s="26">
        <f t="shared" si="18"/>
        <v>0.18533333333333332</v>
      </c>
      <c r="N397" s="26">
        <f t="shared" si="19"/>
        <v>0.37037037037037035</v>
      </c>
      <c r="O397" s="26">
        <f t="shared" si="20"/>
        <v>0.62962962962962965</v>
      </c>
    </row>
    <row r="398" spans="1:15" ht="21.75" hidden="1" customHeight="1">
      <c r="A398" s="17">
        <f>'GİRDİ RAPORU'!A313</f>
        <v>45471.752749768515</v>
      </c>
      <c r="B398" s="18">
        <f>'GİRDİ RAPORU'!B309</f>
        <v>2</v>
      </c>
      <c r="C398" s="18">
        <f>'GİRDİ RAPORU'!C309</f>
        <v>343</v>
      </c>
      <c r="D398" s="18">
        <f>'GİRDİ RAPORU'!D309</f>
        <v>55</v>
      </c>
      <c r="E398" s="18" t="str">
        <f>'GİRDİ RAPORU'!E309</f>
        <v>Normal Mesai</v>
      </c>
      <c r="F398" s="18">
        <f>'GİRDİ RAPORU'!F309</f>
        <v>20</v>
      </c>
      <c r="G398" s="18" t="str">
        <f>'GİRDİ RAPORU'!G309</f>
        <v>Ayar</v>
      </c>
      <c r="H398" s="18">
        <f>'GİRDİ RAPORU'!H309</f>
        <v>40</v>
      </c>
      <c r="I398" s="18" t="str">
        <f>'GİRDİ RAPORU'!I309</f>
        <v>Temizlik</v>
      </c>
      <c r="J398" s="18">
        <f>'GİRDİ RAPORU'!J1280</f>
        <v>0</v>
      </c>
      <c r="K398" s="18">
        <f>'GİRDİ RAPORU'!K1280</f>
        <v>0</v>
      </c>
      <c r="L398" s="18">
        <f>'GİRDİ RAPORU'!L1280</f>
        <v>0</v>
      </c>
      <c r="M398" s="26">
        <f t="shared" si="18"/>
        <v>0.53066666666666662</v>
      </c>
      <c r="N398" s="26">
        <f t="shared" si="19"/>
        <v>0.1111111111111111</v>
      </c>
      <c r="O398" s="26">
        <f t="shared" si="20"/>
        <v>0.88888888888888884</v>
      </c>
    </row>
    <row r="399" spans="1:15" ht="21.75" hidden="1" customHeight="1">
      <c r="A399" s="17">
        <f>'GİRDİ RAPORU'!A312</f>
        <v>45470.857583333331</v>
      </c>
      <c r="B399" s="18">
        <f>'GİRDİ RAPORU'!B308</f>
        <v>2</v>
      </c>
      <c r="C399" s="18">
        <f>'GİRDİ RAPORU'!C308</f>
        <v>291</v>
      </c>
      <c r="D399" s="18">
        <f>'GİRDİ RAPORU'!D308</f>
        <v>63</v>
      </c>
      <c r="E399" s="18" t="str">
        <f>'GİRDİ RAPORU'!E308</f>
        <v>Normal Mesai</v>
      </c>
      <c r="F399" s="18">
        <f>'GİRDİ RAPORU'!F308</f>
        <v>20</v>
      </c>
      <c r="G399" s="18" t="str">
        <f>'GİRDİ RAPORU'!G308</f>
        <v>Ayar</v>
      </c>
      <c r="H399" s="18">
        <f>'GİRDİ RAPORU'!H308</f>
        <v>20</v>
      </c>
      <c r="I399" s="18" t="str">
        <f>'GİRDİ RAPORU'!I308</f>
        <v>Kompresör Arızası</v>
      </c>
      <c r="J399" s="18">
        <f>'GİRDİ RAPORU'!J1279</f>
        <v>0</v>
      </c>
      <c r="K399" s="18">
        <f>'GİRDİ RAPORU'!K1279</f>
        <v>0</v>
      </c>
      <c r="L399" s="18">
        <f>'GİRDİ RAPORU'!L1279</f>
        <v>0</v>
      </c>
      <c r="M399" s="26">
        <f t="shared" si="18"/>
        <v>0.47199999999999998</v>
      </c>
      <c r="N399" s="26">
        <f t="shared" si="19"/>
        <v>7.407407407407407E-2</v>
      </c>
      <c r="O399" s="26">
        <f t="shared" si="20"/>
        <v>0.92592592592592593</v>
      </c>
    </row>
    <row r="400" spans="1:15" ht="21.75" hidden="1" customHeight="1">
      <c r="A400" s="17">
        <f>'GİRDİ RAPORU'!A311</f>
        <v>45468.761560185187</v>
      </c>
      <c r="B400" s="18">
        <f>'GİRDİ RAPORU'!B307</f>
        <v>2</v>
      </c>
      <c r="C400" s="18">
        <f>'GİRDİ RAPORU'!C307</f>
        <v>211</v>
      </c>
      <c r="D400" s="18">
        <f>'GİRDİ RAPORU'!D307</f>
        <v>55</v>
      </c>
      <c r="E400" s="18" t="str">
        <f>'GİRDİ RAPORU'!E307</f>
        <v>Normal Mesai</v>
      </c>
      <c r="F400" s="18">
        <f>'GİRDİ RAPORU'!F307</f>
        <v>20</v>
      </c>
      <c r="G400" s="18" t="str">
        <f>'GİRDİ RAPORU'!G307</f>
        <v>Ayar</v>
      </c>
      <c r="H400" s="18">
        <f>'GİRDİ RAPORU'!H307</f>
        <v>40</v>
      </c>
      <c r="I400" s="18" t="str">
        <f>'GİRDİ RAPORU'!I307</f>
        <v>İş bekleme</v>
      </c>
      <c r="J400" s="18">
        <f>'GİRDİ RAPORU'!J1278</f>
        <v>0</v>
      </c>
      <c r="K400" s="18">
        <f>'GİRDİ RAPORU'!K1278</f>
        <v>0</v>
      </c>
      <c r="L400" s="18">
        <f>'GİRDİ RAPORU'!L1278</f>
        <v>0</v>
      </c>
      <c r="M400" s="26">
        <f t="shared" si="18"/>
        <v>0.35466666666666669</v>
      </c>
      <c r="N400" s="26">
        <f t="shared" si="19"/>
        <v>0.1111111111111111</v>
      </c>
      <c r="O400" s="26">
        <f t="shared" si="20"/>
        <v>0.88888888888888884</v>
      </c>
    </row>
    <row r="401" spans="1:15" ht="21.75" hidden="1" customHeight="1">
      <c r="A401" s="17">
        <f>'GİRDİ RAPORU'!A310</f>
        <v>45467.764001041665</v>
      </c>
      <c r="B401" s="18">
        <f>'GİRDİ RAPORU'!B306</f>
        <v>2</v>
      </c>
      <c r="C401" s="18">
        <f>'GİRDİ RAPORU'!C306</f>
        <v>309</v>
      </c>
      <c r="D401" s="18">
        <f>'GİRDİ RAPORU'!D306</f>
        <v>67</v>
      </c>
      <c r="E401" s="18" t="str">
        <f>'GİRDİ RAPORU'!E306</f>
        <v>Normal Mesai</v>
      </c>
      <c r="F401" s="18">
        <f>'GİRDİ RAPORU'!F306</f>
        <v>20</v>
      </c>
      <c r="G401" s="18" t="str">
        <f>'GİRDİ RAPORU'!G306</f>
        <v>Ayar</v>
      </c>
      <c r="H401" s="18">
        <f>'GİRDİ RAPORU'!H306</f>
        <v>0</v>
      </c>
      <c r="I401" s="18">
        <f>'GİRDİ RAPORU'!I306</f>
        <v>0</v>
      </c>
      <c r="J401" s="18">
        <f>'GİRDİ RAPORU'!J1277</f>
        <v>0</v>
      </c>
      <c r="K401" s="18">
        <f>'GİRDİ RAPORU'!K1277</f>
        <v>0</v>
      </c>
      <c r="L401" s="18">
        <f>'GİRDİ RAPORU'!L1277</f>
        <v>0</v>
      </c>
      <c r="M401" s="26">
        <f t="shared" si="18"/>
        <v>0.5013333333333333</v>
      </c>
      <c r="N401" s="26">
        <f t="shared" si="19"/>
        <v>3.7037037037037035E-2</v>
      </c>
      <c r="O401" s="26">
        <f t="shared" si="20"/>
        <v>0.96296296296296291</v>
      </c>
    </row>
    <row r="402" spans="1:15" ht="21.75" hidden="1" customHeight="1">
      <c r="A402" s="17">
        <f>'GİRDİ RAPORU'!A309</f>
        <v>45464.768200462961</v>
      </c>
      <c r="B402" s="18">
        <f>'GİRDİ RAPORU'!B305</f>
        <v>2</v>
      </c>
      <c r="C402" s="18">
        <f>'GİRDİ RAPORU'!C305</f>
        <v>225</v>
      </c>
      <c r="D402" s="18">
        <f>'GİRDİ RAPORU'!D305</f>
        <v>65</v>
      </c>
      <c r="E402" s="18" t="str">
        <f>'GİRDİ RAPORU'!E305</f>
        <v>Normal Mesai</v>
      </c>
      <c r="F402" s="18">
        <f>'GİRDİ RAPORU'!F305</f>
        <v>20</v>
      </c>
      <c r="G402" s="18" t="str">
        <f>'GİRDİ RAPORU'!G305</f>
        <v>Ayar</v>
      </c>
      <c r="H402" s="18">
        <f>'GİRDİ RAPORU'!H305</f>
        <v>60</v>
      </c>
      <c r="I402" s="18" t="str">
        <f>'GİRDİ RAPORU'!I305</f>
        <v>Ar-ge Çalışması</v>
      </c>
      <c r="J402" s="18">
        <f>'GİRDİ RAPORU'!J1276</f>
        <v>0</v>
      </c>
      <c r="K402" s="18">
        <f>'GİRDİ RAPORU'!K1276</f>
        <v>0</v>
      </c>
      <c r="L402" s="18">
        <f>'GİRDİ RAPORU'!L1276</f>
        <v>0</v>
      </c>
      <c r="M402" s="26">
        <f t="shared" si="18"/>
        <v>0.38666666666666666</v>
      </c>
      <c r="N402" s="26">
        <f t="shared" si="19"/>
        <v>0.14814814814814814</v>
      </c>
      <c r="O402" s="26">
        <f t="shared" si="20"/>
        <v>0.85185185185185186</v>
      </c>
    </row>
    <row r="403" spans="1:15" ht="21.75" hidden="1" customHeight="1">
      <c r="A403" s="17">
        <f>'GİRDİ RAPORU'!A308</f>
        <v>45463.764432175929</v>
      </c>
      <c r="B403" s="18">
        <f>'GİRDİ RAPORU'!B304</f>
        <v>2</v>
      </c>
      <c r="C403" s="18">
        <f>'GİRDİ RAPORU'!C304</f>
        <v>281</v>
      </c>
      <c r="D403" s="18">
        <f>'GİRDİ RAPORU'!D304</f>
        <v>45</v>
      </c>
      <c r="E403" s="18" t="str">
        <f>'GİRDİ RAPORU'!E304</f>
        <v>Normal Mesai</v>
      </c>
      <c r="F403" s="18">
        <f>'GİRDİ RAPORU'!F304</f>
        <v>20</v>
      </c>
      <c r="G403" s="18" t="str">
        <f>'GİRDİ RAPORU'!G304</f>
        <v>Ayar</v>
      </c>
      <c r="H403" s="18">
        <f>'GİRDİ RAPORU'!H304</f>
        <v>0</v>
      </c>
      <c r="I403" s="18">
        <f>'GİRDİ RAPORU'!I304</f>
        <v>0</v>
      </c>
      <c r="J403" s="18">
        <f>'GİRDİ RAPORU'!J1275</f>
        <v>0</v>
      </c>
      <c r="K403" s="18">
        <f>'GİRDİ RAPORU'!K1275</f>
        <v>0</v>
      </c>
      <c r="L403" s="18">
        <f>'GİRDİ RAPORU'!L1275</f>
        <v>0</v>
      </c>
      <c r="M403" s="26">
        <f t="shared" si="18"/>
        <v>0.43466666666666665</v>
      </c>
      <c r="N403" s="26">
        <f t="shared" si="19"/>
        <v>3.7037037037037035E-2</v>
      </c>
      <c r="O403" s="26">
        <f t="shared" si="20"/>
        <v>0.96296296296296291</v>
      </c>
    </row>
    <row r="404" spans="1:15" ht="21.75" hidden="1" customHeight="1">
      <c r="A404" s="17">
        <f>'GİRDİ RAPORU'!A307</f>
        <v>45457.763667476851</v>
      </c>
      <c r="B404" s="18">
        <f>'GİRDİ RAPORU'!B303</f>
        <v>2</v>
      </c>
      <c r="C404" s="18">
        <f>'GİRDİ RAPORU'!C303</f>
        <v>298</v>
      </c>
      <c r="D404" s="18">
        <f>'GİRDİ RAPORU'!D303</f>
        <v>70</v>
      </c>
      <c r="E404" s="18" t="str">
        <f>'GİRDİ RAPORU'!E303</f>
        <v>Normal Mesai</v>
      </c>
      <c r="F404" s="18">
        <f>'GİRDİ RAPORU'!F303</f>
        <v>20</v>
      </c>
      <c r="G404" s="18" t="str">
        <f>'GİRDİ RAPORU'!G303</f>
        <v>Ayar</v>
      </c>
      <c r="H404" s="18">
        <f>'GİRDİ RAPORU'!H303</f>
        <v>0</v>
      </c>
      <c r="I404" s="18">
        <f>'GİRDİ RAPORU'!I303</f>
        <v>0</v>
      </c>
      <c r="J404" s="18">
        <f>'GİRDİ RAPORU'!J1274</f>
        <v>0</v>
      </c>
      <c r="K404" s="18">
        <f>'GİRDİ RAPORU'!K1274</f>
        <v>0</v>
      </c>
      <c r="L404" s="18">
        <f>'GİRDİ RAPORU'!L1274</f>
        <v>0</v>
      </c>
      <c r="M404" s="26">
        <f t="shared" si="18"/>
        <v>0.49066666666666664</v>
      </c>
      <c r="N404" s="26">
        <f t="shared" si="19"/>
        <v>3.7037037037037035E-2</v>
      </c>
      <c r="O404" s="26">
        <f t="shared" si="20"/>
        <v>0.96296296296296291</v>
      </c>
    </row>
    <row r="405" spans="1:15" ht="21.75" hidden="1" customHeight="1">
      <c r="A405" s="17">
        <f>'GİRDİ RAPORU'!A306</f>
        <v>45456.761978703704</v>
      </c>
      <c r="B405" s="18">
        <f>'GİRDİ RAPORU'!B302</f>
        <v>2</v>
      </c>
      <c r="C405" s="18">
        <f>'GİRDİ RAPORU'!C302</f>
        <v>427</v>
      </c>
      <c r="D405" s="18">
        <f>'GİRDİ RAPORU'!D302</f>
        <v>125</v>
      </c>
      <c r="E405" s="18" t="str">
        <f>'GİRDİ RAPORU'!E302</f>
        <v>Normal Mesai</v>
      </c>
      <c r="F405" s="18">
        <f>'GİRDİ RAPORU'!F302</f>
        <v>20</v>
      </c>
      <c r="G405" s="18" t="str">
        <f>'GİRDİ RAPORU'!G302</f>
        <v>Ayar</v>
      </c>
      <c r="H405" s="18">
        <f>'GİRDİ RAPORU'!H302</f>
        <v>60</v>
      </c>
      <c r="I405" s="18" t="str">
        <f>'GİRDİ RAPORU'!I302</f>
        <v>Temizlik</v>
      </c>
      <c r="J405" s="18">
        <f>'GİRDİ RAPORU'!J1273</f>
        <v>0</v>
      </c>
      <c r="K405" s="18">
        <f>'GİRDİ RAPORU'!K1273</f>
        <v>0</v>
      </c>
      <c r="L405" s="18">
        <f>'GİRDİ RAPORU'!L1273</f>
        <v>0</v>
      </c>
      <c r="M405" s="26">
        <f t="shared" si="18"/>
        <v>0.73599999999999999</v>
      </c>
      <c r="N405" s="26">
        <f t="shared" si="19"/>
        <v>0.14814814814814814</v>
      </c>
      <c r="O405" s="26">
        <f t="shared" si="20"/>
        <v>0.85185185185185186</v>
      </c>
    </row>
    <row r="406" spans="1:15" ht="21.75" hidden="1" customHeight="1">
      <c r="A406" s="17">
        <f>'GİRDİ RAPORU'!A305</f>
        <v>45455.761981944444</v>
      </c>
      <c r="B406" s="18">
        <f>'GİRDİ RAPORU'!B301</f>
        <v>2</v>
      </c>
      <c r="C406" s="18">
        <f>'GİRDİ RAPORU'!C301</f>
        <v>251</v>
      </c>
      <c r="D406" s="18">
        <f>'GİRDİ RAPORU'!D301</f>
        <v>74</v>
      </c>
      <c r="E406" s="18" t="str">
        <f>'GİRDİ RAPORU'!E301</f>
        <v>fazla mesai</v>
      </c>
      <c r="F406" s="18">
        <f>'GİRDİ RAPORU'!F301</f>
        <v>20</v>
      </c>
      <c r="G406" s="18" t="str">
        <f>'GİRDİ RAPORU'!G301</f>
        <v>Ayar</v>
      </c>
      <c r="H406" s="18">
        <f>'GİRDİ RAPORU'!H301</f>
        <v>0</v>
      </c>
      <c r="I406" s="18">
        <f>'GİRDİ RAPORU'!I301</f>
        <v>0</v>
      </c>
      <c r="J406" s="18">
        <f>'GİRDİ RAPORU'!J1272</f>
        <v>0</v>
      </c>
      <c r="K406" s="18">
        <f>'GİRDİ RAPORU'!K1272</f>
        <v>0</v>
      </c>
      <c r="L406" s="18">
        <f>'GİRDİ RAPORU'!L1272</f>
        <v>0</v>
      </c>
      <c r="M406" s="26">
        <f t="shared" si="18"/>
        <v>0.43333333333333335</v>
      </c>
      <c r="N406" s="26">
        <f t="shared" si="19"/>
        <v>3.7037037037037035E-2</v>
      </c>
      <c r="O406" s="26">
        <f t="shared" si="20"/>
        <v>0.96296296296296291</v>
      </c>
    </row>
    <row r="407" spans="1:15" ht="21.75" hidden="1" customHeight="1">
      <c r="A407" s="17">
        <f>'GİRDİ RAPORU'!A304</f>
        <v>45454.763594675926</v>
      </c>
      <c r="B407" s="18">
        <f>'GİRDİ RAPORU'!B300</f>
        <v>2</v>
      </c>
      <c r="C407" s="18">
        <f>'GİRDİ RAPORU'!C300</f>
        <v>233</v>
      </c>
      <c r="D407" s="18">
        <f>'GİRDİ RAPORU'!D300</f>
        <v>79</v>
      </c>
      <c r="E407" s="18" t="str">
        <f>'GİRDİ RAPORU'!E300</f>
        <v>Normal Mesai</v>
      </c>
      <c r="F407" s="18">
        <f>'GİRDİ RAPORU'!F300</f>
        <v>20</v>
      </c>
      <c r="G407" s="18" t="str">
        <f>'GİRDİ RAPORU'!G300</f>
        <v>Ayar</v>
      </c>
      <c r="H407" s="18">
        <f>'GİRDİ RAPORU'!H300</f>
        <v>0</v>
      </c>
      <c r="I407" s="18">
        <f>'GİRDİ RAPORU'!I300</f>
        <v>0</v>
      </c>
      <c r="J407" s="18">
        <f>'GİRDİ RAPORU'!J1271</f>
        <v>0</v>
      </c>
      <c r="K407" s="18">
        <f>'GİRDİ RAPORU'!K1271</f>
        <v>0</v>
      </c>
      <c r="L407" s="18">
        <f>'GİRDİ RAPORU'!L1271</f>
        <v>0</v>
      </c>
      <c r="M407" s="26">
        <f t="shared" si="18"/>
        <v>0.41599999999999998</v>
      </c>
      <c r="N407" s="26">
        <f t="shared" si="19"/>
        <v>3.7037037037037035E-2</v>
      </c>
      <c r="O407" s="26">
        <f t="shared" si="20"/>
        <v>0.96296296296296291</v>
      </c>
    </row>
    <row r="408" spans="1:15" ht="21.75" hidden="1" customHeight="1">
      <c r="A408" s="17">
        <f>'GİRDİ RAPORU'!A303</f>
        <v>45453.769961805556</v>
      </c>
      <c r="B408" s="18">
        <f>'GİRDİ RAPORU'!B299</f>
        <v>2</v>
      </c>
      <c r="C408" s="18">
        <f>'GİRDİ RAPORU'!C299</f>
        <v>156</v>
      </c>
      <c r="D408" s="18">
        <f>'GİRDİ RAPORU'!D299</f>
        <v>52</v>
      </c>
      <c r="E408" s="18" t="str">
        <f>'GİRDİ RAPORU'!E299</f>
        <v>Normal Mesai</v>
      </c>
      <c r="F408" s="18">
        <f>'GİRDİ RAPORU'!F299</f>
        <v>20</v>
      </c>
      <c r="G408" s="18" t="str">
        <f>'GİRDİ RAPORU'!G299</f>
        <v>Ayar</v>
      </c>
      <c r="H408" s="18">
        <f>'GİRDİ RAPORU'!H299</f>
        <v>20</v>
      </c>
      <c r="I408" s="18" t="str">
        <f>'GİRDİ RAPORU'!I299</f>
        <v>Kompresör Arızası</v>
      </c>
      <c r="J408" s="18">
        <f>'GİRDİ RAPORU'!J1270</f>
        <v>0</v>
      </c>
      <c r="K408" s="18">
        <f>'GİRDİ RAPORU'!K1270</f>
        <v>0</v>
      </c>
      <c r="L408" s="18">
        <f>'GİRDİ RAPORU'!L1270</f>
        <v>0</v>
      </c>
      <c r="M408" s="26">
        <f t="shared" si="18"/>
        <v>0.27733333333333332</v>
      </c>
      <c r="N408" s="26">
        <f t="shared" si="19"/>
        <v>7.407407407407407E-2</v>
      </c>
      <c r="O408" s="26">
        <f t="shared" si="20"/>
        <v>0.92592592592592593</v>
      </c>
    </row>
    <row r="409" spans="1:15" ht="21.75" hidden="1" customHeight="1">
      <c r="A409" s="17">
        <f>'GİRDİ RAPORU'!A302</f>
        <v>45450.762488194443</v>
      </c>
      <c r="B409" s="18">
        <f>'GİRDİ RAPORU'!B298</f>
        <v>2</v>
      </c>
      <c r="C409" s="18">
        <f>'GİRDİ RAPORU'!C298</f>
        <v>119</v>
      </c>
      <c r="D409" s="18">
        <f>'GİRDİ RAPORU'!D298</f>
        <v>65</v>
      </c>
      <c r="E409" s="18" t="str">
        <f>'GİRDİ RAPORU'!E298</f>
        <v>Normal Mesai</v>
      </c>
      <c r="F409" s="18">
        <f>'GİRDİ RAPORU'!F298</f>
        <v>20</v>
      </c>
      <c r="G409" s="18" t="str">
        <f>'GİRDİ RAPORU'!G298</f>
        <v>Ayar</v>
      </c>
      <c r="H409" s="18">
        <f>'GİRDİ RAPORU'!H298</f>
        <v>0</v>
      </c>
      <c r="I409" s="18">
        <f>'GİRDİ RAPORU'!I298</f>
        <v>0</v>
      </c>
      <c r="J409" s="18">
        <f>'GİRDİ RAPORU'!J1269</f>
        <v>0</v>
      </c>
      <c r="K409" s="18">
        <f>'GİRDİ RAPORU'!K1269</f>
        <v>0</v>
      </c>
      <c r="L409" s="18">
        <f>'GİRDİ RAPORU'!L1269</f>
        <v>0</v>
      </c>
      <c r="M409" s="26">
        <f t="shared" si="18"/>
        <v>0.24533333333333332</v>
      </c>
      <c r="N409" s="26">
        <f t="shared" si="19"/>
        <v>3.7037037037037035E-2</v>
      </c>
      <c r="O409" s="26">
        <f t="shared" si="20"/>
        <v>0.96296296296296291</v>
      </c>
    </row>
    <row r="410" spans="1:15" ht="21.75" hidden="1" customHeight="1">
      <c r="A410" s="17">
        <f>'GİRDİ RAPORU'!A301</f>
        <v>45449.860177199072</v>
      </c>
      <c r="B410" s="18">
        <f>'GİRDİ RAPORU'!B297</f>
        <v>2</v>
      </c>
      <c r="C410" s="18">
        <f>'GİRDİ RAPORU'!C297</f>
        <v>156</v>
      </c>
      <c r="D410" s="18">
        <f>'GİRDİ RAPORU'!D297</f>
        <v>73</v>
      </c>
      <c r="E410" s="18" t="str">
        <f>'GİRDİ RAPORU'!E297</f>
        <v>Normal Mesai</v>
      </c>
      <c r="F410" s="18">
        <f>'GİRDİ RAPORU'!F297</f>
        <v>20</v>
      </c>
      <c r="G410" s="18" t="str">
        <f>'GİRDİ RAPORU'!G297</f>
        <v>Ayar</v>
      </c>
      <c r="H410" s="18">
        <f>'GİRDİ RAPORU'!H297</f>
        <v>50</v>
      </c>
      <c r="I410" s="18" t="str">
        <f>'GİRDİ RAPORU'!I297</f>
        <v>Temizlik</v>
      </c>
      <c r="J410" s="18">
        <f>'GİRDİ RAPORU'!J1268</f>
        <v>0</v>
      </c>
      <c r="K410" s="18">
        <f>'GİRDİ RAPORU'!K1268</f>
        <v>0</v>
      </c>
      <c r="L410" s="18">
        <f>'GİRDİ RAPORU'!L1268</f>
        <v>0</v>
      </c>
      <c r="M410" s="26">
        <f t="shared" si="18"/>
        <v>0.30533333333333335</v>
      </c>
      <c r="N410" s="26">
        <f t="shared" si="19"/>
        <v>0.12962962962962962</v>
      </c>
      <c r="O410" s="26">
        <f t="shared" si="20"/>
        <v>0.87037037037037035</v>
      </c>
    </row>
    <row r="411" spans="1:15" ht="21.75" hidden="1" customHeight="1">
      <c r="A411" s="17">
        <f>'GİRDİ RAPORU'!A300</f>
        <v>45448.760031712962</v>
      </c>
      <c r="B411" s="18">
        <f>'GİRDİ RAPORU'!B296</f>
        <v>2</v>
      </c>
      <c r="C411" s="18">
        <f>'GİRDİ RAPORU'!C296</f>
        <v>212</v>
      </c>
      <c r="D411" s="18">
        <f>'GİRDİ RAPORU'!D296</f>
        <v>65</v>
      </c>
      <c r="E411" s="18" t="str">
        <f>'GİRDİ RAPORU'!E296</f>
        <v>Normal Mesai</v>
      </c>
      <c r="F411" s="18">
        <f>'GİRDİ RAPORU'!F296</f>
        <v>20</v>
      </c>
      <c r="G411" s="18" t="str">
        <f>'GİRDİ RAPORU'!G296</f>
        <v>Ayar</v>
      </c>
      <c r="H411" s="18">
        <f>'GİRDİ RAPORU'!H296</f>
        <v>0</v>
      </c>
      <c r="I411" s="18">
        <f>'GİRDİ RAPORU'!I296</f>
        <v>0</v>
      </c>
      <c r="J411" s="18">
        <f>'GİRDİ RAPORU'!J1267</f>
        <v>0</v>
      </c>
      <c r="K411" s="18">
        <f>'GİRDİ RAPORU'!K1267</f>
        <v>0</v>
      </c>
      <c r="L411" s="18">
        <f>'GİRDİ RAPORU'!L1267</f>
        <v>0</v>
      </c>
      <c r="M411" s="26">
        <f t="shared" si="18"/>
        <v>0.36933333333333335</v>
      </c>
      <c r="N411" s="26">
        <f t="shared" si="19"/>
        <v>3.7037037037037035E-2</v>
      </c>
      <c r="O411" s="26">
        <f t="shared" si="20"/>
        <v>0.96296296296296291</v>
      </c>
    </row>
    <row r="412" spans="1:15" ht="21.75" hidden="1" customHeight="1">
      <c r="A412" s="17">
        <f>'GİRDİ RAPORU'!A299</f>
        <v>45447.764522453705</v>
      </c>
      <c r="B412" s="18">
        <f>'GİRDİ RAPORU'!B295</f>
        <v>2</v>
      </c>
      <c r="C412" s="18">
        <f>'GİRDİ RAPORU'!C295</f>
        <v>207</v>
      </c>
      <c r="D412" s="18">
        <f>'GİRDİ RAPORU'!D295</f>
        <v>85</v>
      </c>
      <c r="E412" s="18" t="str">
        <f>'GİRDİ RAPORU'!E295</f>
        <v>Normal Mesai</v>
      </c>
      <c r="F412" s="18">
        <f>'GİRDİ RAPORU'!F295</f>
        <v>20</v>
      </c>
      <c r="G412" s="18" t="str">
        <f>'GİRDİ RAPORU'!G295</f>
        <v>Ayar</v>
      </c>
      <c r="H412" s="18">
        <f>'GİRDİ RAPORU'!H295</f>
        <v>60</v>
      </c>
      <c r="I412" s="18" t="str">
        <f>'GİRDİ RAPORU'!I295</f>
        <v>İş bekleme</v>
      </c>
      <c r="J412" s="18">
        <f>'GİRDİ RAPORU'!J1266</f>
        <v>0</v>
      </c>
      <c r="K412" s="18">
        <f>'GİRDİ RAPORU'!K1266</f>
        <v>0</v>
      </c>
      <c r="L412" s="18">
        <f>'GİRDİ RAPORU'!L1266</f>
        <v>0</v>
      </c>
      <c r="M412" s="26">
        <f t="shared" si="18"/>
        <v>0.38933333333333331</v>
      </c>
      <c r="N412" s="26">
        <f t="shared" si="19"/>
        <v>0.14814814814814814</v>
      </c>
      <c r="O412" s="26">
        <f t="shared" si="20"/>
        <v>0.85185185185185186</v>
      </c>
    </row>
    <row r="413" spans="1:15" ht="21.75" hidden="1" customHeight="1">
      <c r="A413" s="17">
        <f>'GİRDİ RAPORU'!A298</f>
        <v>45446.762586689816</v>
      </c>
      <c r="B413" s="18">
        <f>'GİRDİ RAPORU'!B294</f>
        <v>2</v>
      </c>
      <c r="C413" s="18">
        <f>'GİRDİ RAPORU'!C294</f>
        <v>258</v>
      </c>
      <c r="D413" s="18">
        <f>'GİRDİ RAPORU'!D294</f>
        <v>112</v>
      </c>
      <c r="E413" s="18" t="str">
        <f>'GİRDİ RAPORU'!E294</f>
        <v>Normal Mesai</v>
      </c>
      <c r="F413" s="18">
        <f>'GİRDİ RAPORU'!F294</f>
        <v>20</v>
      </c>
      <c r="G413" s="18" t="str">
        <f>'GİRDİ RAPORU'!G294</f>
        <v>Ayar</v>
      </c>
      <c r="H413" s="18">
        <f>'GİRDİ RAPORU'!H294</f>
        <v>0</v>
      </c>
      <c r="I413" s="18">
        <f>'GİRDİ RAPORU'!I294</f>
        <v>0</v>
      </c>
      <c r="J413" s="18">
        <f>'GİRDİ RAPORU'!J1265</f>
        <v>0</v>
      </c>
      <c r="K413" s="18">
        <f>'GİRDİ RAPORU'!K1265</f>
        <v>0</v>
      </c>
      <c r="L413" s="18">
        <f>'GİRDİ RAPORU'!L1265</f>
        <v>0</v>
      </c>
      <c r="M413" s="26">
        <f t="shared" si="18"/>
        <v>0.49333333333333335</v>
      </c>
      <c r="N413" s="26">
        <f t="shared" si="19"/>
        <v>3.7037037037037035E-2</v>
      </c>
      <c r="O413" s="26">
        <f t="shared" si="20"/>
        <v>0.96296296296296291</v>
      </c>
    </row>
    <row r="414" spans="1:15" ht="21.75" hidden="1" customHeight="1">
      <c r="A414" s="17">
        <f>'GİRDİ RAPORU'!A297</f>
        <v>45446.337899421298</v>
      </c>
      <c r="B414" s="18">
        <f>'GİRDİ RAPORU'!B293</f>
        <v>2</v>
      </c>
      <c r="C414" s="18">
        <f>'GİRDİ RAPORU'!C293</f>
        <v>324</v>
      </c>
      <c r="D414" s="18">
        <f>'GİRDİ RAPORU'!D293</f>
        <v>94</v>
      </c>
      <c r="E414" s="18" t="str">
        <f>'GİRDİ RAPORU'!E293</f>
        <v>Normal Mesai</v>
      </c>
      <c r="F414" s="18">
        <f>'GİRDİ RAPORU'!F293</f>
        <v>20</v>
      </c>
      <c r="G414" s="18" t="str">
        <f>'GİRDİ RAPORU'!G293</f>
        <v>Ayar</v>
      </c>
      <c r="H414" s="18">
        <f>'GİRDİ RAPORU'!H293</f>
        <v>0</v>
      </c>
      <c r="I414" s="18">
        <f>'GİRDİ RAPORU'!I293</f>
        <v>0</v>
      </c>
      <c r="J414" s="18">
        <f>'GİRDİ RAPORU'!J1264</f>
        <v>0</v>
      </c>
      <c r="K414" s="18">
        <f>'GİRDİ RAPORU'!K1264</f>
        <v>0</v>
      </c>
      <c r="L414" s="18">
        <f>'GİRDİ RAPORU'!L1264</f>
        <v>0</v>
      </c>
      <c r="M414" s="26">
        <f t="shared" si="18"/>
        <v>0.55733333333333335</v>
      </c>
      <c r="N414" s="26">
        <f t="shared" si="19"/>
        <v>3.7037037037037035E-2</v>
      </c>
      <c r="O414" s="26">
        <f t="shared" si="20"/>
        <v>0.96296296296296291</v>
      </c>
    </row>
    <row r="415" spans="1:15" ht="21.75" hidden="1" customHeight="1">
      <c r="A415" s="17">
        <f>'GİRDİ RAPORU'!A296</f>
        <v>45442.764269791667</v>
      </c>
      <c r="B415" s="18">
        <f>'GİRDİ RAPORU'!B292</f>
        <v>2</v>
      </c>
      <c r="C415" s="18">
        <f>'GİRDİ RAPORU'!C292</f>
        <v>239</v>
      </c>
      <c r="D415" s="18">
        <f>'GİRDİ RAPORU'!D292</f>
        <v>75</v>
      </c>
      <c r="E415" s="18" t="str">
        <f>'GİRDİ RAPORU'!E292</f>
        <v>Normal Mesai</v>
      </c>
      <c r="F415" s="18">
        <f>'GİRDİ RAPORU'!F292</f>
        <v>20</v>
      </c>
      <c r="G415" s="18" t="str">
        <f>'GİRDİ RAPORU'!G292</f>
        <v>Ayar</v>
      </c>
      <c r="H415" s="18">
        <f>'GİRDİ RAPORU'!H292</f>
        <v>60</v>
      </c>
      <c r="I415" s="18" t="str">
        <f>'GİRDİ RAPORU'!I292</f>
        <v>Temizlik</v>
      </c>
      <c r="J415" s="18">
        <f>'GİRDİ RAPORU'!J1263</f>
        <v>0</v>
      </c>
      <c r="K415" s="18">
        <f>'GİRDİ RAPORU'!K1263</f>
        <v>0</v>
      </c>
      <c r="L415" s="18">
        <f>'GİRDİ RAPORU'!L1263</f>
        <v>0</v>
      </c>
      <c r="M415" s="26">
        <f t="shared" si="18"/>
        <v>0.41866666666666669</v>
      </c>
      <c r="N415" s="26">
        <f t="shared" si="19"/>
        <v>0.14814814814814814</v>
      </c>
      <c r="O415" s="26">
        <f t="shared" si="20"/>
        <v>0.85185185185185186</v>
      </c>
    </row>
    <row r="416" spans="1:15" ht="21.75" hidden="1" customHeight="1">
      <c r="A416" s="17">
        <f>'GİRDİ RAPORU'!A295</f>
        <v>45441.767747453705</v>
      </c>
      <c r="B416" s="18">
        <f>'GİRDİ RAPORU'!B291</f>
        <v>2</v>
      </c>
      <c r="C416" s="18">
        <f>'GİRDİ RAPORU'!C291</f>
        <v>330</v>
      </c>
      <c r="D416" s="18">
        <f>'GİRDİ RAPORU'!D291</f>
        <v>126</v>
      </c>
      <c r="E416" s="18" t="str">
        <f>'GİRDİ RAPORU'!E291</f>
        <v>Normal Mesai</v>
      </c>
      <c r="F416" s="18">
        <f>'GİRDİ RAPORU'!F291</f>
        <v>20</v>
      </c>
      <c r="G416" s="18" t="str">
        <f>'GİRDİ RAPORU'!G291</f>
        <v>Ayar</v>
      </c>
      <c r="H416" s="18">
        <f>'GİRDİ RAPORU'!H291</f>
        <v>0</v>
      </c>
      <c r="I416" s="18">
        <f>'GİRDİ RAPORU'!I291</f>
        <v>0</v>
      </c>
      <c r="J416" s="18">
        <f>'GİRDİ RAPORU'!J1262</f>
        <v>0</v>
      </c>
      <c r="K416" s="18">
        <f>'GİRDİ RAPORU'!K1262</f>
        <v>0</v>
      </c>
      <c r="L416" s="18">
        <f>'GİRDİ RAPORU'!L1262</f>
        <v>0</v>
      </c>
      <c r="M416" s="26">
        <f t="shared" si="18"/>
        <v>0.60799999999999998</v>
      </c>
      <c r="N416" s="26">
        <f t="shared" si="19"/>
        <v>3.7037037037037035E-2</v>
      </c>
      <c r="O416" s="26">
        <f t="shared" si="20"/>
        <v>0.96296296296296291</v>
      </c>
    </row>
    <row r="417" spans="1:15" ht="21.75" hidden="1" customHeight="1">
      <c r="A417" s="17">
        <f>'GİRDİ RAPORU'!A294</f>
        <v>45440.763787037038</v>
      </c>
      <c r="B417" s="18">
        <f>'GİRDİ RAPORU'!B290</f>
        <v>2</v>
      </c>
      <c r="C417" s="18">
        <f>'GİRDİ RAPORU'!C290</f>
        <v>399</v>
      </c>
      <c r="D417" s="18">
        <f>'GİRDİ RAPORU'!D290</f>
        <v>115</v>
      </c>
      <c r="E417" s="18" t="str">
        <f>'GİRDİ RAPORU'!E290</f>
        <v>Normal Mesai</v>
      </c>
      <c r="F417" s="18">
        <f>'GİRDİ RAPORU'!F290</f>
        <v>20</v>
      </c>
      <c r="G417" s="18" t="str">
        <f>'GİRDİ RAPORU'!G290</f>
        <v>Ayar</v>
      </c>
      <c r="H417" s="18">
        <f>'GİRDİ RAPORU'!H290</f>
        <v>0</v>
      </c>
      <c r="I417" s="18">
        <f>'GİRDİ RAPORU'!I290</f>
        <v>0</v>
      </c>
      <c r="J417" s="18">
        <f>'GİRDİ RAPORU'!J1261</f>
        <v>0</v>
      </c>
      <c r="K417" s="18">
        <f>'GİRDİ RAPORU'!K1261</f>
        <v>0</v>
      </c>
      <c r="L417" s="18">
        <f>'GİRDİ RAPORU'!L1261</f>
        <v>0</v>
      </c>
      <c r="M417" s="26">
        <f t="shared" si="18"/>
        <v>0.68533333333333335</v>
      </c>
      <c r="N417" s="26">
        <f t="shared" si="19"/>
        <v>3.7037037037037035E-2</v>
      </c>
      <c r="O417" s="26">
        <f t="shared" si="20"/>
        <v>0.96296296296296291</v>
      </c>
    </row>
    <row r="418" spans="1:15" ht="21.75" hidden="1" customHeight="1">
      <c r="A418" s="17">
        <f>'GİRDİ RAPORU'!A293</f>
        <v>45439.76228101852</v>
      </c>
      <c r="B418" s="18">
        <f>'GİRDİ RAPORU'!B289</f>
        <v>2</v>
      </c>
      <c r="C418" s="18">
        <f>'GİRDİ RAPORU'!C289</f>
        <v>258</v>
      </c>
      <c r="D418" s="18">
        <f>'GİRDİ RAPORU'!D289</f>
        <v>80</v>
      </c>
      <c r="E418" s="18" t="str">
        <f>'GİRDİ RAPORU'!E289</f>
        <v>Normal Mesai</v>
      </c>
      <c r="F418" s="18">
        <f>'GİRDİ RAPORU'!F289</f>
        <v>20</v>
      </c>
      <c r="G418" s="18" t="str">
        <f>'GİRDİ RAPORU'!G289</f>
        <v>Ayar</v>
      </c>
      <c r="H418" s="18">
        <f>'GİRDİ RAPORU'!H289</f>
        <v>0</v>
      </c>
      <c r="I418" s="18">
        <f>'GİRDİ RAPORU'!I289</f>
        <v>0</v>
      </c>
      <c r="J418" s="18">
        <f>'GİRDİ RAPORU'!J1260</f>
        <v>0</v>
      </c>
      <c r="K418" s="18">
        <f>'GİRDİ RAPORU'!K1260</f>
        <v>0</v>
      </c>
      <c r="L418" s="18">
        <f>'GİRDİ RAPORU'!L1260</f>
        <v>0</v>
      </c>
      <c r="M418" s="26">
        <f t="shared" si="18"/>
        <v>0.45066666666666666</v>
      </c>
      <c r="N418" s="26">
        <f t="shared" si="19"/>
        <v>3.7037037037037035E-2</v>
      </c>
      <c r="O418" s="26">
        <f t="shared" si="20"/>
        <v>0.96296296296296291</v>
      </c>
    </row>
    <row r="419" spans="1:15" ht="21.75" hidden="1" customHeight="1">
      <c r="A419" s="17">
        <f>'GİRDİ RAPORU'!A292</f>
        <v>45436.755965277778</v>
      </c>
      <c r="B419" s="18">
        <f>'GİRDİ RAPORU'!B288</f>
        <v>2</v>
      </c>
      <c r="C419" s="18">
        <f>'GİRDİ RAPORU'!C288</f>
        <v>221</v>
      </c>
      <c r="D419" s="18">
        <f>'GİRDİ RAPORU'!D288</f>
        <v>73</v>
      </c>
      <c r="E419" s="18" t="str">
        <f>'GİRDİ RAPORU'!E288</f>
        <v>Normal Mesai</v>
      </c>
      <c r="F419" s="18">
        <f>'GİRDİ RAPORU'!F288</f>
        <v>20</v>
      </c>
      <c r="G419" s="18" t="str">
        <f>'GİRDİ RAPORU'!G288</f>
        <v>Ayar</v>
      </c>
      <c r="H419" s="18">
        <f>'GİRDİ RAPORU'!H288</f>
        <v>0</v>
      </c>
      <c r="I419" s="18">
        <f>'GİRDİ RAPORU'!I288</f>
        <v>0</v>
      </c>
      <c r="J419" s="18">
        <f>'GİRDİ RAPORU'!J1259</f>
        <v>0</v>
      </c>
      <c r="K419" s="18">
        <f>'GİRDİ RAPORU'!K1259</f>
        <v>0</v>
      </c>
      <c r="L419" s="18">
        <f>'GİRDİ RAPORU'!L1259</f>
        <v>0</v>
      </c>
      <c r="M419" s="26">
        <f t="shared" si="18"/>
        <v>0.39200000000000002</v>
      </c>
      <c r="N419" s="26">
        <f t="shared" si="19"/>
        <v>3.7037037037037035E-2</v>
      </c>
      <c r="O419" s="26">
        <f t="shared" si="20"/>
        <v>0.96296296296296291</v>
      </c>
    </row>
    <row r="420" spans="1:15" ht="21.75" hidden="1" customHeight="1">
      <c r="A420" s="17">
        <f>'GİRDİ RAPORU'!A291</f>
        <v>45435.761180787034</v>
      </c>
      <c r="B420" s="18">
        <f>'GİRDİ RAPORU'!B287</f>
        <v>2</v>
      </c>
      <c r="C420" s="18">
        <f>'GİRDİ RAPORU'!C287</f>
        <v>218</v>
      </c>
      <c r="D420" s="18">
        <f>'GİRDİ RAPORU'!D287</f>
        <v>89</v>
      </c>
      <c r="E420" s="18" t="str">
        <f>'GİRDİ RAPORU'!E287</f>
        <v>Normal Mesai</v>
      </c>
      <c r="F420" s="18">
        <f>'GİRDİ RAPORU'!F287</f>
        <v>20</v>
      </c>
      <c r="G420" s="18" t="str">
        <f>'GİRDİ RAPORU'!G287</f>
        <v>Ayar</v>
      </c>
      <c r="H420" s="18">
        <f>'GİRDİ RAPORU'!H287</f>
        <v>60</v>
      </c>
      <c r="I420" s="18" t="str">
        <f>'GİRDİ RAPORU'!I287</f>
        <v>Temizlik</v>
      </c>
      <c r="J420" s="18">
        <f>'GİRDİ RAPORU'!J1258</f>
        <v>0</v>
      </c>
      <c r="K420" s="18">
        <f>'GİRDİ RAPORU'!K1258</f>
        <v>0</v>
      </c>
      <c r="L420" s="18">
        <f>'GİRDİ RAPORU'!L1258</f>
        <v>0</v>
      </c>
      <c r="M420" s="26">
        <f t="shared" si="18"/>
        <v>0.40933333333333333</v>
      </c>
      <c r="N420" s="26">
        <f t="shared" si="19"/>
        <v>0.14814814814814814</v>
      </c>
      <c r="O420" s="26">
        <f t="shared" si="20"/>
        <v>0.85185185185185186</v>
      </c>
    </row>
    <row r="421" spans="1:15" ht="21.75" hidden="1" customHeight="1">
      <c r="A421" s="17">
        <f>'GİRDİ RAPORU'!A290</f>
        <v>45434.765924421299</v>
      </c>
      <c r="B421" s="18">
        <f>'GİRDİ RAPORU'!B286</f>
        <v>2</v>
      </c>
      <c r="C421" s="18">
        <f>'GİRDİ RAPORU'!C286</f>
        <v>320</v>
      </c>
      <c r="D421" s="18">
        <f>'GİRDİ RAPORU'!D286</f>
        <v>110</v>
      </c>
      <c r="E421" s="18" t="str">
        <f>'GİRDİ RAPORU'!E286</f>
        <v>Normal Mesai</v>
      </c>
      <c r="F421" s="18">
        <f>'GİRDİ RAPORU'!F286</f>
        <v>20</v>
      </c>
      <c r="G421" s="18" t="str">
        <f>'GİRDİ RAPORU'!G286</f>
        <v>Ayar</v>
      </c>
      <c r="H421" s="18">
        <f>'GİRDİ RAPORU'!H286</f>
        <v>0</v>
      </c>
      <c r="I421" s="18">
        <f>'GİRDİ RAPORU'!I286</f>
        <v>0</v>
      </c>
      <c r="J421" s="18">
        <f>'GİRDİ RAPORU'!J1257</f>
        <v>0</v>
      </c>
      <c r="K421" s="18">
        <f>'GİRDİ RAPORU'!K1257</f>
        <v>0</v>
      </c>
      <c r="L421" s="18">
        <f>'GİRDİ RAPORU'!L1257</f>
        <v>0</v>
      </c>
      <c r="M421" s="26">
        <f t="shared" si="18"/>
        <v>0.57333333333333336</v>
      </c>
      <c r="N421" s="26">
        <f t="shared" si="19"/>
        <v>3.7037037037037035E-2</v>
      </c>
      <c r="O421" s="26">
        <f t="shared" si="20"/>
        <v>0.96296296296296291</v>
      </c>
    </row>
    <row r="422" spans="1:15" ht="21.75" hidden="1" customHeight="1">
      <c r="A422" s="17">
        <f>'GİRDİ RAPORU'!A289</f>
        <v>45433.766957754633</v>
      </c>
      <c r="B422" s="18">
        <f>'GİRDİ RAPORU'!B285</f>
        <v>2</v>
      </c>
      <c r="C422" s="18">
        <f>'GİRDİ RAPORU'!C285</f>
        <v>410</v>
      </c>
      <c r="D422" s="18">
        <f>'GİRDİ RAPORU'!D285</f>
        <v>55</v>
      </c>
      <c r="E422" s="18" t="str">
        <f>'GİRDİ RAPORU'!E285</f>
        <v>Normal Mesai</v>
      </c>
      <c r="F422" s="18">
        <f>'GİRDİ RAPORU'!F285</f>
        <v>20</v>
      </c>
      <c r="G422" s="18" t="str">
        <f>'GİRDİ RAPORU'!G285</f>
        <v>Ayar</v>
      </c>
      <c r="H422" s="18">
        <f>'GİRDİ RAPORU'!H285</f>
        <v>0</v>
      </c>
      <c r="I422" s="18">
        <f>'GİRDİ RAPORU'!I285</f>
        <v>0</v>
      </c>
      <c r="J422" s="18">
        <f>'GİRDİ RAPORU'!J1256</f>
        <v>0</v>
      </c>
      <c r="K422" s="18">
        <f>'GİRDİ RAPORU'!K1256</f>
        <v>0</v>
      </c>
      <c r="L422" s="18">
        <f>'GİRDİ RAPORU'!L1256</f>
        <v>0</v>
      </c>
      <c r="M422" s="26">
        <f t="shared" si="18"/>
        <v>0.62</v>
      </c>
      <c r="N422" s="26">
        <f t="shared" si="19"/>
        <v>3.7037037037037035E-2</v>
      </c>
      <c r="O422" s="26">
        <f t="shared" si="20"/>
        <v>0.96296296296296291</v>
      </c>
    </row>
    <row r="423" spans="1:15" ht="21.75" hidden="1" customHeight="1">
      <c r="A423" s="17">
        <f>'GİRDİ RAPORU'!A288</f>
        <v>45432.761852430558</v>
      </c>
      <c r="B423" s="18">
        <f>'GİRDİ RAPORU'!B284</f>
        <v>2</v>
      </c>
      <c r="C423" s="18">
        <f>'GİRDİ RAPORU'!C284</f>
        <v>390</v>
      </c>
      <c r="D423" s="18">
        <f>'GİRDİ RAPORU'!D284</f>
        <v>85</v>
      </c>
      <c r="E423" s="18" t="str">
        <f>'GİRDİ RAPORU'!E284</f>
        <v>Fazla Mesai</v>
      </c>
      <c r="F423" s="18">
        <f>'GİRDİ RAPORU'!F284</f>
        <v>20</v>
      </c>
      <c r="G423" s="18" t="str">
        <f>'GİRDİ RAPORU'!G284</f>
        <v>Ayar</v>
      </c>
      <c r="H423" s="18">
        <f>'GİRDİ RAPORU'!H284</f>
        <v>0</v>
      </c>
      <c r="I423" s="18">
        <f>'GİRDİ RAPORU'!I284</f>
        <v>0</v>
      </c>
      <c r="J423" s="18">
        <f>'GİRDİ RAPORU'!J1255</f>
        <v>0</v>
      </c>
      <c r="K423" s="18">
        <f>'GİRDİ RAPORU'!K1255</f>
        <v>0</v>
      </c>
      <c r="L423" s="18">
        <f>'GİRDİ RAPORU'!L1255</f>
        <v>0</v>
      </c>
      <c r="M423" s="26">
        <f t="shared" si="18"/>
        <v>0.6333333333333333</v>
      </c>
      <c r="N423" s="26">
        <f t="shared" si="19"/>
        <v>3.7037037037037035E-2</v>
      </c>
      <c r="O423" s="26">
        <f t="shared" si="20"/>
        <v>0.96296296296296291</v>
      </c>
    </row>
    <row r="424" spans="1:15" ht="21.75" hidden="1" customHeight="1">
      <c r="A424" s="17">
        <f>'GİRDİ RAPORU'!A287</f>
        <v>45429.766235300929</v>
      </c>
      <c r="B424" s="18">
        <f>'GİRDİ RAPORU'!B283</f>
        <v>2</v>
      </c>
      <c r="C424" s="18">
        <f>'GİRDİ RAPORU'!C283</f>
        <v>432</v>
      </c>
      <c r="D424" s="18">
        <f>'GİRDİ RAPORU'!D283</f>
        <v>98</v>
      </c>
      <c r="E424" s="18" t="str">
        <f>'GİRDİ RAPORU'!E283</f>
        <v>Fazla Mesai</v>
      </c>
      <c r="F424" s="18">
        <f>'GİRDİ RAPORU'!F283</f>
        <v>20</v>
      </c>
      <c r="G424" s="18" t="str">
        <f>'GİRDİ RAPORU'!G283</f>
        <v>Ayar</v>
      </c>
      <c r="H424" s="18">
        <f>'GİRDİ RAPORU'!H283</f>
        <v>0</v>
      </c>
      <c r="I424" s="18">
        <f>'GİRDİ RAPORU'!I283</f>
        <v>0</v>
      </c>
      <c r="J424" s="18">
        <f>'GİRDİ RAPORU'!J1254</f>
        <v>0</v>
      </c>
      <c r="K424" s="18">
        <f>'GİRDİ RAPORU'!K1254</f>
        <v>0</v>
      </c>
      <c r="L424" s="18">
        <f>'GİRDİ RAPORU'!L1254</f>
        <v>0</v>
      </c>
      <c r="M424" s="26">
        <f t="shared" si="18"/>
        <v>0.70666666666666667</v>
      </c>
      <c r="N424" s="26">
        <f t="shared" si="19"/>
        <v>3.7037037037037035E-2</v>
      </c>
      <c r="O424" s="26">
        <f t="shared" si="20"/>
        <v>0.96296296296296291</v>
      </c>
    </row>
    <row r="425" spans="1:15" ht="21.75" hidden="1" customHeight="1">
      <c r="A425" s="17">
        <f>'GİRDİ RAPORU'!A286</f>
        <v>45428.765810416669</v>
      </c>
      <c r="B425" s="18">
        <f>'GİRDİ RAPORU'!B282</f>
        <v>2</v>
      </c>
      <c r="C425" s="18">
        <f>'GİRDİ RAPORU'!C282</f>
        <v>272</v>
      </c>
      <c r="D425" s="18">
        <f>'GİRDİ RAPORU'!D282</f>
        <v>56</v>
      </c>
      <c r="E425" s="18" t="str">
        <f>'GİRDİ RAPORU'!E282</f>
        <v>Normal Mesai</v>
      </c>
      <c r="F425" s="18">
        <f>'GİRDİ RAPORU'!F282</f>
        <v>20</v>
      </c>
      <c r="G425" s="18" t="str">
        <f>'GİRDİ RAPORU'!G282</f>
        <v>Ayar</v>
      </c>
      <c r="H425" s="18">
        <f>'GİRDİ RAPORU'!H282</f>
        <v>25</v>
      </c>
      <c r="I425" s="18" t="str">
        <f>'GİRDİ RAPORU'!I282</f>
        <v>Temizlik</v>
      </c>
      <c r="J425" s="18">
        <f>'GİRDİ RAPORU'!J1253</f>
        <v>0</v>
      </c>
      <c r="K425" s="18">
        <f>'GİRDİ RAPORU'!K1253</f>
        <v>0</v>
      </c>
      <c r="L425" s="18">
        <f>'GİRDİ RAPORU'!L1253</f>
        <v>0</v>
      </c>
      <c r="M425" s="26">
        <f t="shared" si="18"/>
        <v>0.43733333333333335</v>
      </c>
      <c r="N425" s="26">
        <f t="shared" si="19"/>
        <v>8.3333333333333329E-2</v>
      </c>
      <c r="O425" s="26">
        <f t="shared" si="20"/>
        <v>0.91666666666666663</v>
      </c>
    </row>
    <row r="426" spans="1:15" ht="21.75" hidden="1" customHeight="1">
      <c r="A426" s="17">
        <f>'GİRDİ RAPORU'!A285</f>
        <v>45427.766889351849</v>
      </c>
      <c r="B426" s="18">
        <f>'GİRDİ RAPORU'!B281</f>
        <v>2</v>
      </c>
      <c r="C426" s="18">
        <f>'GİRDİ RAPORU'!C281</f>
        <v>280</v>
      </c>
      <c r="D426" s="18">
        <f>'GİRDİ RAPORU'!D281</f>
        <v>36</v>
      </c>
      <c r="E426" s="18" t="str">
        <f>'GİRDİ RAPORU'!E281</f>
        <v>Normal Mesai</v>
      </c>
      <c r="F426" s="18">
        <f>'GİRDİ RAPORU'!F281</f>
        <v>20</v>
      </c>
      <c r="G426" s="18" t="str">
        <f>'GİRDİ RAPORU'!G281</f>
        <v>Ayar</v>
      </c>
      <c r="H426" s="18">
        <f>'GİRDİ RAPORU'!H281</f>
        <v>0</v>
      </c>
      <c r="I426" s="18" t="str">
        <f>'GİRDİ RAPORU'!I281</f>
        <v>Temizlik</v>
      </c>
      <c r="J426" s="18">
        <f>'GİRDİ RAPORU'!J1252</f>
        <v>0</v>
      </c>
      <c r="K426" s="18">
        <f>'GİRDİ RAPORU'!K1252</f>
        <v>0</v>
      </c>
      <c r="L426" s="18">
        <f>'GİRDİ RAPORU'!L1252</f>
        <v>0</v>
      </c>
      <c r="M426" s="26">
        <f t="shared" si="18"/>
        <v>0.42133333333333334</v>
      </c>
      <c r="N426" s="26">
        <f t="shared" si="19"/>
        <v>3.7037037037037035E-2</v>
      </c>
      <c r="O426" s="26">
        <f t="shared" si="20"/>
        <v>0.96296296296296291</v>
      </c>
    </row>
    <row r="427" spans="1:15" ht="21.75" hidden="1" customHeight="1">
      <c r="A427" s="17">
        <f>'GİRDİ RAPORU'!A284</f>
        <v>45426.856187152778</v>
      </c>
      <c r="B427" s="18">
        <f>'GİRDİ RAPORU'!B280</f>
        <v>2</v>
      </c>
      <c r="C427" s="18">
        <f>'GİRDİ RAPORU'!C280</f>
        <v>450</v>
      </c>
      <c r="D427" s="18">
        <f>'GİRDİ RAPORU'!D280</f>
        <v>76</v>
      </c>
      <c r="E427" s="18" t="str">
        <f>'GİRDİ RAPORU'!E280</f>
        <v>Normal Mesai</v>
      </c>
      <c r="F427" s="18">
        <f>'GİRDİ RAPORU'!F280</f>
        <v>20</v>
      </c>
      <c r="G427" s="18" t="str">
        <f>'GİRDİ RAPORU'!G280</f>
        <v>Ayar</v>
      </c>
      <c r="H427" s="18">
        <f>'GİRDİ RAPORU'!H280</f>
        <v>0</v>
      </c>
      <c r="I427" s="18" t="str">
        <f>'GİRDİ RAPORU'!I280</f>
        <v>Temizlik</v>
      </c>
      <c r="J427" s="18">
        <f>'GİRDİ RAPORU'!J1251</f>
        <v>0</v>
      </c>
      <c r="K427" s="18">
        <f>'GİRDİ RAPORU'!K1251</f>
        <v>0</v>
      </c>
      <c r="L427" s="18">
        <f>'GİRDİ RAPORU'!L1251</f>
        <v>0</v>
      </c>
      <c r="M427" s="26">
        <f t="shared" si="18"/>
        <v>0.70133333333333336</v>
      </c>
      <c r="N427" s="26">
        <f t="shared" si="19"/>
        <v>3.7037037037037035E-2</v>
      </c>
      <c r="O427" s="26">
        <f t="shared" si="20"/>
        <v>0.96296296296296291</v>
      </c>
    </row>
    <row r="428" spans="1:15" ht="21.75" hidden="1" customHeight="1">
      <c r="A428" s="17">
        <f>'GİRDİ RAPORU'!A283</f>
        <v>45425.859894097222</v>
      </c>
      <c r="B428" s="18">
        <f>'GİRDİ RAPORU'!B279</f>
        <v>2</v>
      </c>
      <c r="C428" s="18">
        <f>'GİRDİ RAPORU'!C279</f>
        <v>590</v>
      </c>
      <c r="D428" s="18">
        <f>'GİRDİ RAPORU'!D279</f>
        <v>80</v>
      </c>
      <c r="E428" s="18" t="str">
        <f>'GİRDİ RAPORU'!E279</f>
        <v>Normal Mesai</v>
      </c>
      <c r="F428" s="18">
        <f>'GİRDİ RAPORU'!F279</f>
        <v>20</v>
      </c>
      <c r="G428" s="18" t="str">
        <f>'GİRDİ RAPORU'!G279</f>
        <v>Ayar</v>
      </c>
      <c r="H428" s="18">
        <f>'GİRDİ RAPORU'!H279</f>
        <v>0</v>
      </c>
      <c r="I428" s="18" t="str">
        <f>'GİRDİ RAPORU'!I279</f>
        <v>Temizlik</v>
      </c>
      <c r="J428" s="18">
        <f>'GİRDİ RAPORU'!J1250</f>
        <v>0</v>
      </c>
      <c r="K428" s="18">
        <f>'GİRDİ RAPORU'!K1250</f>
        <v>0</v>
      </c>
      <c r="L428" s="18">
        <f>'GİRDİ RAPORU'!L1250</f>
        <v>0</v>
      </c>
      <c r="M428" s="26">
        <f t="shared" si="18"/>
        <v>0.89333333333333331</v>
      </c>
      <c r="N428" s="26">
        <f t="shared" si="19"/>
        <v>3.7037037037037035E-2</v>
      </c>
      <c r="O428" s="26">
        <f t="shared" si="20"/>
        <v>0.96296296296296291</v>
      </c>
    </row>
    <row r="429" spans="1:15" ht="21.75" hidden="1" customHeight="1">
      <c r="A429" s="17">
        <f>'GİRDİ RAPORU'!A282</f>
        <v>45422.755918055555</v>
      </c>
      <c r="B429" s="18">
        <f>'GİRDİ RAPORU'!B278</f>
        <v>2</v>
      </c>
      <c r="C429" s="18">
        <f>'GİRDİ RAPORU'!C278</f>
        <v>810</v>
      </c>
      <c r="D429" s="18">
        <f>'GİRDİ RAPORU'!D278</f>
        <v>6</v>
      </c>
      <c r="E429" s="18" t="str">
        <f>'GİRDİ RAPORU'!E278</f>
        <v>Normal Mesai</v>
      </c>
      <c r="F429" s="18">
        <f>'GİRDİ RAPORU'!F278</f>
        <v>20</v>
      </c>
      <c r="G429" s="18" t="str">
        <f>'GİRDİ RAPORU'!G278</f>
        <v>Ayar</v>
      </c>
      <c r="H429" s="18">
        <f>'GİRDİ RAPORU'!H278</f>
        <v>0</v>
      </c>
      <c r="I429" s="18" t="str">
        <f>'GİRDİ RAPORU'!I278</f>
        <v>Temizlik</v>
      </c>
      <c r="J429" s="18">
        <f>'GİRDİ RAPORU'!J1249</f>
        <v>0</v>
      </c>
      <c r="K429" s="18">
        <f>'GİRDİ RAPORU'!K1249</f>
        <v>0</v>
      </c>
      <c r="L429" s="18">
        <f>'GİRDİ RAPORU'!L1249</f>
        <v>0</v>
      </c>
      <c r="M429" s="26">
        <f t="shared" si="18"/>
        <v>1.0880000000000001</v>
      </c>
      <c r="N429" s="26">
        <f t="shared" si="19"/>
        <v>3.7037037037037035E-2</v>
      </c>
      <c r="O429" s="26">
        <f t="shared" si="20"/>
        <v>0.96296296296296291</v>
      </c>
    </row>
    <row r="430" spans="1:15" ht="21.75" hidden="1" customHeight="1">
      <c r="A430" s="17">
        <f>'GİRDİ RAPORU'!A281</f>
        <v>45421.765368055552</v>
      </c>
      <c r="B430" s="18">
        <f>'GİRDİ RAPORU'!B277</f>
        <v>2</v>
      </c>
      <c r="C430" s="18">
        <f>'GİRDİ RAPORU'!C277</f>
        <v>315</v>
      </c>
      <c r="D430" s="18">
        <f>'GİRDİ RAPORU'!D277</f>
        <v>35</v>
      </c>
      <c r="E430" s="18" t="str">
        <f>'GİRDİ RAPORU'!E277</f>
        <v>Normal Mesai</v>
      </c>
      <c r="F430" s="18">
        <f>'GİRDİ RAPORU'!F277</f>
        <v>20</v>
      </c>
      <c r="G430" s="18" t="str">
        <f>'GİRDİ RAPORU'!G277</f>
        <v>Ayar</v>
      </c>
      <c r="H430" s="18">
        <f>'GİRDİ RAPORU'!H277</f>
        <v>0</v>
      </c>
      <c r="I430" s="18" t="str">
        <f>'GİRDİ RAPORU'!I277</f>
        <v>Temizlik</v>
      </c>
      <c r="J430" s="18">
        <f>'GİRDİ RAPORU'!J1248</f>
        <v>0</v>
      </c>
      <c r="K430" s="18">
        <f>'GİRDİ RAPORU'!K1248</f>
        <v>0</v>
      </c>
      <c r="L430" s="18">
        <f>'GİRDİ RAPORU'!L1248</f>
        <v>0</v>
      </c>
      <c r="M430" s="26">
        <f t="shared" si="18"/>
        <v>0.46666666666666667</v>
      </c>
      <c r="N430" s="26">
        <f t="shared" si="19"/>
        <v>3.7037037037037035E-2</v>
      </c>
      <c r="O430" s="26">
        <f t="shared" si="20"/>
        <v>0.96296296296296291</v>
      </c>
    </row>
    <row r="431" spans="1:15" ht="21.75" hidden="1" customHeight="1">
      <c r="A431" s="17">
        <f>'GİRDİ RAPORU'!A280</f>
        <v>45420.770093402774</v>
      </c>
      <c r="B431" s="18">
        <f>'GİRDİ RAPORU'!B276</f>
        <v>2</v>
      </c>
      <c r="C431" s="18">
        <f>'GİRDİ RAPORU'!C276</f>
        <v>390</v>
      </c>
      <c r="D431" s="18">
        <f>'GİRDİ RAPORU'!D276</f>
        <v>51</v>
      </c>
      <c r="E431" s="18" t="str">
        <f>'GİRDİ RAPORU'!E276</f>
        <v>Normal Mesai</v>
      </c>
      <c r="F431" s="18">
        <f>'GİRDİ RAPORU'!F276</f>
        <v>20</v>
      </c>
      <c r="G431" s="18" t="str">
        <f>'GİRDİ RAPORU'!G276</f>
        <v>Ayar</v>
      </c>
      <c r="H431" s="18">
        <f>'GİRDİ RAPORU'!H276</f>
        <v>0</v>
      </c>
      <c r="I431" s="18" t="str">
        <f>'GİRDİ RAPORU'!I276</f>
        <v>Temizlik</v>
      </c>
      <c r="J431" s="18">
        <f>'GİRDİ RAPORU'!J1247</f>
        <v>0</v>
      </c>
      <c r="K431" s="18">
        <f>'GİRDİ RAPORU'!K1247</f>
        <v>0</v>
      </c>
      <c r="L431" s="18">
        <f>'GİRDİ RAPORU'!L1247</f>
        <v>0</v>
      </c>
      <c r="M431" s="26">
        <f t="shared" si="18"/>
        <v>0.58799999999999997</v>
      </c>
      <c r="N431" s="26">
        <f t="shared" si="19"/>
        <v>3.7037037037037035E-2</v>
      </c>
      <c r="O431" s="26">
        <f t="shared" si="20"/>
        <v>0.96296296296296291</v>
      </c>
    </row>
    <row r="432" spans="1:15" ht="21.75" hidden="1" customHeight="1">
      <c r="A432" s="17">
        <f>'GİRDİ RAPORU'!A279</f>
        <v>45419.760732523151</v>
      </c>
      <c r="B432" s="18">
        <f>'GİRDİ RAPORU'!B275</f>
        <v>2</v>
      </c>
      <c r="C432" s="18">
        <f>'GİRDİ RAPORU'!C275</f>
        <v>361</v>
      </c>
      <c r="D432" s="18">
        <f>'GİRDİ RAPORU'!D275</f>
        <v>75</v>
      </c>
      <c r="E432" s="18" t="str">
        <f>'GİRDİ RAPORU'!E275</f>
        <v>Normal Mesai</v>
      </c>
      <c r="F432" s="18">
        <f>'GİRDİ RAPORU'!F275</f>
        <v>20</v>
      </c>
      <c r="G432" s="18" t="str">
        <f>'GİRDİ RAPORU'!G275</f>
        <v>Ayar</v>
      </c>
      <c r="H432" s="18">
        <f>'GİRDİ RAPORU'!H275</f>
        <v>0</v>
      </c>
      <c r="I432" s="18" t="str">
        <f>'GİRDİ RAPORU'!I275</f>
        <v>Temizlik</v>
      </c>
      <c r="J432" s="18">
        <f>'GİRDİ RAPORU'!J1246</f>
        <v>0</v>
      </c>
      <c r="K432" s="18">
        <f>'GİRDİ RAPORU'!K1246</f>
        <v>0</v>
      </c>
      <c r="L432" s="18">
        <f>'GİRDİ RAPORU'!L1246</f>
        <v>0</v>
      </c>
      <c r="M432" s="26">
        <f t="shared" si="18"/>
        <v>0.58133333333333337</v>
      </c>
      <c r="N432" s="26">
        <f t="shared" si="19"/>
        <v>3.7037037037037035E-2</v>
      </c>
      <c r="O432" s="26">
        <f t="shared" si="20"/>
        <v>0.96296296296296291</v>
      </c>
    </row>
    <row r="433" spans="1:15" ht="21.75" hidden="1" customHeight="1">
      <c r="A433" s="17">
        <f>'GİRDİ RAPORU'!A278</f>
        <v>45418.760399768522</v>
      </c>
      <c r="B433" s="18">
        <f>'GİRDİ RAPORU'!B274</f>
        <v>2</v>
      </c>
      <c r="C433" s="18">
        <f>'GİRDİ RAPORU'!C274</f>
        <v>450</v>
      </c>
      <c r="D433" s="18">
        <f>'GİRDİ RAPORU'!D274</f>
        <v>70</v>
      </c>
      <c r="E433" s="18" t="str">
        <f>'GİRDİ RAPORU'!E274</f>
        <v>Normal Mesai</v>
      </c>
      <c r="F433" s="18">
        <f>'GİRDİ RAPORU'!F274</f>
        <v>20</v>
      </c>
      <c r="G433" s="18" t="str">
        <f>'GİRDİ RAPORU'!G274</f>
        <v>Ayar</v>
      </c>
      <c r="H433" s="18">
        <f>'GİRDİ RAPORU'!H274</f>
        <v>0</v>
      </c>
      <c r="I433" s="18" t="str">
        <f>'GİRDİ RAPORU'!I274</f>
        <v>Temizlik</v>
      </c>
      <c r="J433" s="18">
        <f>'GİRDİ RAPORU'!J1245</f>
        <v>0</v>
      </c>
      <c r="K433" s="18">
        <f>'GİRDİ RAPORU'!K1245</f>
        <v>0</v>
      </c>
      <c r="L433" s="18">
        <f>'GİRDİ RAPORU'!L1245</f>
        <v>0</v>
      </c>
      <c r="M433" s="26">
        <f t="shared" si="18"/>
        <v>0.69333333333333336</v>
      </c>
      <c r="N433" s="26">
        <f t="shared" si="19"/>
        <v>3.7037037037037035E-2</v>
      </c>
      <c r="O433" s="26">
        <f t="shared" si="20"/>
        <v>0.96296296296296291</v>
      </c>
    </row>
    <row r="434" spans="1:15" ht="21.75" hidden="1" customHeight="1">
      <c r="A434" s="17">
        <f>'GİRDİ RAPORU'!A277</f>
        <v>45414.764773958334</v>
      </c>
      <c r="B434" s="18">
        <f>'GİRDİ RAPORU'!B273</f>
        <v>2</v>
      </c>
      <c r="C434" s="18">
        <f>'GİRDİ RAPORU'!C273</f>
        <v>395</v>
      </c>
      <c r="D434" s="18">
        <f>'GİRDİ RAPORU'!D273</f>
        <v>110</v>
      </c>
      <c r="E434" s="18" t="str">
        <f>'GİRDİ RAPORU'!E273</f>
        <v>Normal Mesai</v>
      </c>
      <c r="F434" s="18">
        <f>'GİRDİ RAPORU'!F273</f>
        <v>20</v>
      </c>
      <c r="G434" s="18" t="str">
        <f>'GİRDİ RAPORU'!G273</f>
        <v>Ayar</v>
      </c>
      <c r="H434" s="18">
        <f>'GİRDİ RAPORU'!H273</f>
        <v>0</v>
      </c>
      <c r="I434" s="18" t="str">
        <f>'GİRDİ RAPORU'!I273</f>
        <v>Temizlik</v>
      </c>
      <c r="J434" s="18">
        <f>'GİRDİ RAPORU'!J1244</f>
        <v>0</v>
      </c>
      <c r="K434" s="18">
        <f>'GİRDİ RAPORU'!K1244</f>
        <v>0</v>
      </c>
      <c r="L434" s="18">
        <f>'GİRDİ RAPORU'!L1244</f>
        <v>0</v>
      </c>
      <c r="M434" s="26">
        <f t="shared" si="18"/>
        <v>0.67333333333333334</v>
      </c>
      <c r="N434" s="26">
        <f t="shared" si="19"/>
        <v>3.7037037037037035E-2</v>
      </c>
      <c r="O434" s="26">
        <f t="shared" si="20"/>
        <v>0.96296296296296291</v>
      </c>
    </row>
    <row r="435" spans="1:15" ht="21.75" hidden="1" customHeight="1">
      <c r="A435" s="17">
        <f>'GİRDİ RAPORU'!A276</f>
        <v>45412.769241782407</v>
      </c>
      <c r="B435" s="18">
        <f>'GİRDİ RAPORU'!B272</f>
        <v>2</v>
      </c>
      <c r="C435" s="18">
        <f>'GİRDİ RAPORU'!C272</f>
        <v>495</v>
      </c>
      <c r="D435" s="18">
        <f>'GİRDİ RAPORU'!D272</f>
        <v>98</v>
      </c>
      <c r="E435" s="18" t="str">
        <f>'GİRDİ RAPORU'!E272</f>
        <v>Normal Mesai</v>
      </c>
      <c r="F435" s="18">
        <f>'GİRDİ RAPORU'!F272</f>
        <v>20</v>
      </c>
      <c r="G435" s="18" t="str">
        <f>'GİRDİ RAPORU'!G272</f>
        <v>Ayar</v>
      </c>
      <c r="H435" s="18">
        <f>'GİRDİ RAPORU'!H272</f>
        <v>0</v>
      </c>
      <c r="I435" s="18" t="str">
        <f>'GİRDİ RAPORU'!I272</f>
        <v>Temizlik</v>
      </c>
      <c r="J435" s="18">
        <f>'GİRDİ RAPORU'!J1243</f>
        <v>0</v>
      </c>
      <c r="K435" s="18">
        <f>'GİRDİ RAPORU'!K1243</f>
        <v>0</v>
      </c>
      <c r="L435" s="18">
        <f>'GİRDİ RAPORU'!L1243</f>
        <v>0</v>
      </c>
      <c r="M435" s="26">
        <f t="shared" si="18"/>
        <v>0.79066666666666663</v>
      </c>
      <c r="N435" s="26">
        <f t="shared" si="19"/>
        <v>3.7037037037037035E-2</v>
      </c>
      <c r="O435" s="26">
        <f t="shared" si="20"/>
        <v>0.96296296296296291</v>
      </c>
    </row>
    <row r="436" spans="1:15" ht="21.75" hidden="1" customHeight="1">
      <c r="A436" s="17">
        <f>'GİRDİ RAPORU'!A275</f>
        <v>45411.766443981483</v>
      </c>
      <c r="B436" s="18">
        <f>'GİRDİ RAPORU'!B271</f>
        <v>2</v>
      </c>
      <c r="C436" s="18">
        <f>'GİRDİ RAPORU'!C271</f>
        <v>390</v>
      </c>
      <c r="D436" s="18">
        <f>'GİRDİ RAPORU'!D271</f>
        <v>60</v>
      </c>
      <c r="E436" s="18" t="str">
        <f>'GİRDİ RAPORU'!E271</f>
        <v>Normal Mesai</v>
      </c>
      <c r="F436" s="18">
        <f>'GİRDİ RAPORU'!F271</f>
        <v>20</v>
      </c>
      <c r="G436" s="18" t="str">
        <f>'GİRDİ RAPORU'!G271</f>
        <v>Ayar</v>
      </c>
      <c r="H436" s="18">
        <f>'GİRDİ RAPORU'!H271</f>
        <v>0</v>
      </c>
      <c r="I436" s="18" t="str">
        <f>'GİRDİ RAPORU'!I271</f>
        <v>Temizlik</v>
      </c>
      <c r="J436" s="18">
        <f>'GİRDİ RAPORU'!J1242</f>
        <v>0</v>
      </c>
      <c r="K436" s="18">
        <f>'GİRDİ RAPORU'!K1242</f>
        <v>0</v>
      </c>
      <c r="L436" s="18">
        <f>'GİRDİ RAPORU'!L1242</f>
        <v>0</v>
      </c>
      <c r="M436" s="26">
        <f t="shared" si="18"/>
        <v>0.6</v>
      </c>
      <c r="N436" s="26">
        <f t="shared" si="19"/>
        <v>3.7037037037037035E-2</v>
      </c>
      <c r="O436" s="26">
        <f t="shared" si="20"/>
        <v>0.96296296296296291</v>
      </c>
    </row>
    <row r="437" spans="1:15" ht="21.75" hidden="1" customHeight="1">
      <c r="A437" s="17">
        <f>'GİRDİ RAPORU'!A274</f>
        <v>45408.756330439814</v>
      </c>
      <c r="B437" s="18">
        <f>'GİRDİ RAPORU'!B270</f>
        <v>2</v>
      </c>
      <c r="C437" s="18">
        <f>'GİRDİ RAPORU'!C270</f>
        <v>300</v>
      </c>
      <c r="D437" s="18">
        <f>'GİRDİ RAPORU'!D270</f>
        <v>40</v>
      </c>
      <c r="E437" s="18" t="str">
        <f>'GİRDİ RAPORU'!E270</f>
        <v>Normal Mesai</v>
      </c>
      <c r="F437" s="18">
        <f>'GİRDİ RAPORU'!F270</f>
        <v>20</v>
      </c>
      <c r="G437" s="18" t="str">
        <f>'GİRDİ RAPORU'!G270</f>
        <v>Ayar</v>
      </c>
      <c r="H437" s="18">
        <f>'GİRDİ RAPORU'!H270</f>
        <v>180</v>
      </c>
      <c r="I437" s="18" t="str">
        <f>'GİRDİ RAPORU'!I270</f>
        <v>Temizlik</v>
      </c>
      <c r="J437" s="18">
        <f>'GİRDİ RAPORU'!J1241</f>
        <v>0</v>
      </c>
      <c r="K437" s="18">
        <f>'GİRDİ RAPORU'!K1241</f>
        <v>0</v>
      </c>
      <c r="L437" s="18">
        <f>'GİRDİ RAPORU'!L1241</f>
        <v>0</v>
      </c>
      <c r="M437" s="26">
        <f t="shared" si="18"/>
        <v>0.45333333333333331</v>
      </c>
      <c r="N437" s="26">
        <f t="shared" si="19"/>
        <v>0.37037037037037035</v>
      </c>
      <c r="O437" s="26">
        <f t="shared" si="20"/>
        <v>0.62962962962962965</v>
      </c>
    </row>
    <row r="438" spans="1:15" ht="21.75" hidden="1" customHeight="1">
      <c r="A438" s="17">
        <f>'GİRDİ RAPORU'!A273</f>
        <v>45407.762412615739</v>
      </c>
      <c r="B438" s="18">
        <f>'GİRDİ RAPORU'!B269</f>
        <v>2</v>
      </c>
      <c r="C438" s="18">
        <f>'GİRDİ RAPORU'!C269</f>
        <v>350</v>
      </c>
      <c r="D438" s="18">
        <f>'GİRDİ RAPORU'!D269</f>
        <v>40</v>
      </c>
      <c r="E438" s="18" t="str">
        <f>'GİRDİ RAPORU'!E269</f>
        <v>Normal Mesai</v>
      </c>
      <c r="F438" s="18">
        <f>'GİRDİ RAPORU'!F269</f>
        <v>20</v>
      </c>
      <c r="G438" s="18" t="str">
        <f>'GİRDİ RAPORU'!G269</f>
        <v>Ayar</v>
      </c>
      <c r="H438" s="18">
        <f>'GİRDİ RAPORU'!H269</f>
        <v>0</v>
      </c>
      <c r="I438" s="18" t="str">
        <f>'GİRDİ RAPORU'!I269</f>
        <v>Temizlik</v>
      </c>
      <c r="J438" s="18">
        <f>'GİRDİ RAPORU'!J1240</f>
        <v>0</v>
      </c>
      <c r="K438" s="18">
        <f>'GİRDİ RAPORU'!K1240</f>
        <v>0</v>
      </c>
      <c r="L438" s="18">
        <f>'GİRDİ RAPORU'!L1240</f>
        <v>0</v>
      </c>
      <c r="M438" s="26">
        <f t="shared" si="18"/>
        <v>0.52</v>
      </c>
      <c r="N438" s="26">
        <f t="shared" si="19"/>
        <v>3.7037037037037035E-2</v>
      </c>
      <c r="O438" s="26">
        <f t="shared" si="20"/>
        <v>0.96296296296296291</v>
      </c>
    </row>
    <row r="439" spans="1:15" ht="21.75" hidden="1" customHeight="1">
      <c r="A439" s="17">
        <f>'GİRDİ RAPORU'!A272</f>
        <v>45406.76248229167</v>
      </c>
      <c r="B439" s="18">
        <f>'GİRDİ RAPORU'!B267</f>
        <v>2</v>
      </c>
      <c r="C439" s="18">
        <f>'GİRDİ RAPORU'!C267</f>
        <v>310</v>
      </c>
      <c r="D439" s="18">
        <f>'GİRDİ RAPORU'!D267</f>
        <v>70</v>
      </c>
      <c r="E439" s="18" t="str">
        <f>'GİRDİ RAPORU'!E267</f>
        <v>Normal Mesai</v>
      </c>
      <c r="F439" s="18">
        <f>'GİRDİ RAPORU'!F267</f>
        <v>20</v>
      </c>
      <c r="G439" s="18" t="str">
        <f>'GİRDİ RAPORU'!G267</f>
        <v>Ayar</v>
      </c>
      <c r="H439" s="18">
        <f>'GİRDİ RAPORU'!H267</f>
        <v>0</v>
      </c>
      <c r="I439" s="18" t="str">
        <f>'GİRDİ RAPORU'!I267</f>
        <v>Temizlik</v>
      </c>
      <c r="J439" s="18">
        <f>'GİRDİ RAPORU'!J1239</f>
        <v>0</v>
      </c>
      <c r="K439" s="18">
        <f>'GİRDİ RAPORU'!K1239</f>
        <v>0</v>
      </c>
      <c r="L439" s="18">
        <f>'GİRDİ RAPORU'!L1239</f>
        <v>0</v>
      </c>
      <c r="M439" s="26">
        <f t="shared" si="18"/>
        <v>0.50666666666666671</v>
      </c>
      <c r="N439" s="26">
        <f t="shared" si="19"/>
        <v>3.7037037037037035E-2</v>
      </c>
      <c r="O439" s="26">
        <f t="shared" si="20"/>
        <v>0.96296296296296291</v>
      </c>
    </row>
    <row r="440" spans="1:15" ht="21.75" hidden="1" customHeight="1">
      <c r="A440" s="17">
        <f>'GİRDİ RAPORU'!A271</f>
        <v>45404.763397569448</v>
      </c>
      <c r="B440" s="18">
        <f>'GİRDİ RAPORU'!B266</f>
        <v>2</v>
      </c>
      <c r="C440" s="18">
        <f>'GİRDİ RAPORU'!C266</f>
        <v>290</v>
      </c>
      <c r="D440" s="18">
        <f>'GİRDİ RAPORU'!D266</f>
        <v>85</v>
      </c>
      <c r="E440" s="18" t="str">
        <f>'GİRDİ RAPORU'!E266</f>
        <v>Normal Mesai</v>
      </c>
      <c r="F440" s="18">
        <f>'GİRDİ RAPORU'!F266</f>
        <v>20</v>
      </c>
      <c r="G440" s="18" t="str">
        <f>'GİRDİ RAPORU'!G266</f>
        <v>Ayar</v>
      </c>
      <c r="H440" s="18">
        <f>'GİRDİ RAPORU'!H266</f>
        <v>0</v>
      </c>
      <c r="I440" s="18" t="str">
        <f>'GİRDİ RAPORU'!I266</f>
        <v>Temizlik</v>
      </c>
      <c r="J440" s="18">
        <f>'GİRDİ RAPORU'!J1238</f>
        <v>0</v>
      </c>
      <c r="K440" s="18">
        <f>'GİRDİ RAPORU'!K1238</f>
        <v>0</v>
      </c>
      <c r="L440" s="18">
        <f>'GİRDİ RAPORU'!L1238</f>
        <v>0</v>
      </c>
      <c r="M440" s="26">
        <f t="shared" si="18"/>
        <v>0.5</v>
      </c>
      <c r="N440" s="26">
        <f t="shared" si="19"/>
        <v>3.7037037037037035E-2</v>
      </c>
      <c r="O440" s="26">
        <f t="shared" si="20"/>
        <v>0.96296296296296291</v>
      </c>
    </row>
    <row r="441" spans="1:15" ht="21.75" hidden="1" customHeight="1">
      <c r="A441" s="17">
        <f>'GİRDİ RAPORU'!A270</f>
        <v>45387.706775115737</v>
      </c>
      <c r="B441" s="18">
        <f>'GİRDİ RAPORU'!B265</f>
        <v>2</v>
      </c>
      <c r="C441" s="18">
        <f>'GİRDİ RAPORU'!C265</f>
        <v>310</v>
      </c>
      <c r="D441" s="18">
        <f>'GİRDİ RAPORU'!D265</f>
        <v>70</v>
      </c>
      <c r="E441" s="18" t="str">
        <f>'GİRDİ RAPORU'!E265</f>
        <v>Normal Mesai</v>
      </c>
      <c r="F441" s="18">
        <f>'GİRDİ RAPORU'!F265</f>
        <v>20</v>
      </c>
      <c r="G441" s="18" t="str">
        <f>'GİRDİ RAPORU'!G265</f>
        <v>Ayar</v>
      </c>
      <c r="H441" s="18">
        <f>'GİRDİ RAPORU'!H265</f>
        <v>0</v>
      </c>
      <c r="I441" s="18" t="str">
        <f>'GİRDİ RAPORU'!I265</f>
        <v>Temizlik</v>
      </c>
      <c r="J441" s="18">
        <f>'GİRDİ RAPORU'!J1237</f>
        <v>0</v>
      </c>
      <c r="K441" s="18">
        <f>'GİRDİ RAPORU'!K1237</f>
        <v>0</v>
      </c>
      <c r="L441" s="18">
        <f>'GİRDİ RAPORU'!L1237</f>
        <v>0</v>
      </c>
      <c r="M441" s="26">
        <f t="shared" si="18"/>
        <v>0.50666666666666671</v>
      </c>
      <c r="N441" s="26">
        <f t="shared" si="19"/>
        <v>3.7037037037037035E-2</v>
      </c>
      <c r="O441" s="26">
        <f t="shared" si="20"/>
        <v>0.96296296296296291</v>
      </c>
    </row>
    <row r="442" spans="1:15" ht="21.75" hidden="1" customHeight="1">
      <c r="A442" s="17">
        <f>'GİRDİ RAPORU'!A269</f>
        <v>45387.706003703701</v>
      </c>
      <c r="B442" s="18">
        <f>'GİRDİ RAPORU'!B264</f>
        <v>2</v>
      </c>
      <c r="C442" s="18">
        <f>'GİRDİ RAPORU'!C264</f>
        <v>350</v>
      </c>
      <c r="D442" s="18">
        <f>'GİRDİ RAPORU'!D264</f>
        <v>80</v>
      </c>
      <c r="E442" s="18" t="str">
        <f>'GİRDİ RAPORU'!E264</f>
        <v>Normal Mesai</v>
      </c>
      <c r="F442" s="18">
        <f>'GİRDİ RAPORU'!F264</f>
        <v>20</v>
      </c>
      <c r="G442" s="18" t="str">
        <f>'GİRDİ RAPORU'!G264</f>
        <v>Ayar</v>
      </c>
      <c r="H442" s="18">
        <f>'GİRDİ RAPORU'!H264</f>
        <v>30</v>
      </c>
      <c r="I442" s="18" t="str">
        <f>'GİRDİ RAPORU'!I264</f>
        <v>Temizlik</v>
      </c>
      <c r="J442" s="18">
        <f>'GİRDİ RAPORU'!J1236</f>
        <v>0</v>
      </c>
      <c r="K442" s="18">
        <f>'GİRDİ RAPORU'!K1236</f>
        <v>0</v>
      </c>
      <c r="L442" s="18">
        <f>'GİRDİ RAPORU'!L1236</f>
        <v>0</v>
      </c>
      <c r="M442" s="26">
        <f t="shared" si="18"/>
        <v>0.57333333333333336</v>
      </c>
      <c r="N442" s="26">
        <f t="shared" si="19"/>
        <v>9.2592592592592587E-2</v>
      </c>
      <c r="O442" s="26">
        <f t="shared" si="20"/>
        <v>0.90740740740740744</v>
      </c>
    </row>
    <row r="443" spans="1:15" ht="21.75" hidden="1" customHeight="1">
      <c r="A443" s="17">
        <f>'GİRDİ RAPORU'!A267</f>
        <v>45385.710884143518</v>
      </c>
      <c r="B443" s="18">
        <f>'GİRDİ RAPORU'!B263</f>
        <v>2</v>
      </c>
      <c r="C443" s="18">
        <f>'GİRDİ RAPORU'!C263</f>
        <v>310</v>
      </c>
      <c r="D443" s="18">
        <f>'GİRDİ RAPORU'!D263</f>
        <v>50</v>
      </c>
      <c r="E443" s="18" t="str">
        <f>'GİRDİ RAPORU'!E263</f>
        <v>Normal Mesai</v>
      </c>
      <c r="F443" s="18">
        <f>'GİRDİ RAPORU'!F263</f>
        <v>20</v>
      </c>
      <c r="G443" s="18" t="str">
        <f>'GİRDİ RAPORU'!G263</f>
        <v>Ayar</v>
      </c>
      <c r="H443" s="18">
        <f>'GİRDİ RAPORU'!H263</f>
        <v>0</v>
      </c>
      <c r="I443" s="18" t="str">
        <f>'GİRDİ RAPORU'!I263</f>
        <v>Ar-ge Çalışması</v>
      </c>
      <c r="J443" s="18">
        <f>'GİRDİ RAPORU'!J1235</f>
        <v>0</v>
      </c>
      <c r="K443" s="18">
        <f>'GİRDİ RAPORU'!K1235</f>
        <v>0</v>
      </c>
      <c r="L443" s="18">
        <f>'GİRDİ RAPORU'!L1235</f>
        <v>0</v>
      </c>
      <c r="M443" s="26">
        <f t="shared" si="18"/>
        <v>0.48</v>
      </c>
      <c r="N443" s="26">
        <f t="shared" si="19"/>
        <v>3.7037037037037035E-2</v>
      </c>
      <c r="O443" s="26">
        <f t="shared" si="20"/>
        <v>0.96296296296296291</v>
      </c>
    </row>
    <row r="444" spans="1:15" ht="21.75" hidden="1" customHeight="1">
      <c r="A444" s="17">
        <f>'GİRDİ RAPORU'!A266</f>
        <v>45384.717439699074</v>
      </c>
      <c r="B444" s="18">
        <f>'GİRDİ RAPORU'!B262</f>
        <v>2</v>
      </c>
      <c r="C444" s="18">
        <f>'GİRDİ RAPORU'!C262</f>
        <v>280</v>
      </c>
      <c r="D444" s="18">
        <f>'GİRDİ RAPORU'!D262</f>
        <v>80</v>
      </c>
      <c r="E444" s="18" t="str">
        <f>'GİRDİ RAPORU'!E262</f>
        <v>Normal Mesai</v>
      </c>
      <c r="F444" s="18">
        <f>'GİRDİ RAPORU'!F262</f>
        <v>20</v>
      </c>
      <c r="G444" s="18" t="str">
        <f>'GİRDİ RAPORU'!G262</f>
        <v>Ayar</v>
      </c>
      <c r="H444" s="18">
        <f>'GİRDİ RAPORU'!H262</f>
        <v>0</v>
      </c>
      <c r="I444" s="18" t="str">
        <f>'GİRDİ RAPORU'!I262</f>
        <v>Ar-ge Çalışması</v>
      </c>
      <c r="J444" s="18">
        <f>'GİRDİ RAPORU'!J1234</f>
        <v>0</v>
      </c>
      <c r="K444" s="18">
        <f>'GİRDİ RAPORU'!K1234</f>
        <v>0</v>
      </c>
      <c r="L444" s="18">
        <f>'GİRDİ RAPORU'!L1234</f>
        <v>0</v>
      </c>
      <c r="M444" s="26">
        <f t="shared" si="18"/>
        <v>0.48</v>
      </c>
      <c r="N444" s="26">
        <f t="shared" si="19"/>
        <v>3.7037037037037035E-2</v>
      </c>
      <c r="O444" s="26">
        <f t="shared" si="20"/>
        <v>0.96296296296296291</v>
      </c>
    </row>
    <row r="445" spans="1:15" ht="21.75" hidden="1" customHeight="1">
      <c r="A445" s="17">
        <f>'GİRDİ RAPORU'!A265</f>
        <v>45383.711305208337</v>
      </c>
      <c r="B445" s="18">
        <f>'GİRDİ RAPORU'!B261</f>
        <v>2</v>
      </c>
      <c r="C445" s="18">
        <f>'GİRDİ RAPORU'!C261</f>
        <v>312</v>
      </c>
      <c r="D445" s="18">
        <f>'GİRDİ RAPORU'!D261</f>
        <v>130</v>
      </c>
      <c r="E445" s="18" t="str">
        <f>'GİRDİ RAPORU'!E261</f>
        <v>Normal Mesai</v>
      </c>
      <c r="F445" s="18">
        <f>'GİRDİ RAPORU'!F261</f>
        <v>20</v>
      </c>
      <c r="G445" s="18" t="str">
        <f>'GİRDİ RAPORU'!G261</f>
        <v>Ayar</v>
      </c>
      <c r="H445" s="18">
        <f>'GİRDİ RAPORU'!H261</f>
        <v>0</v>
      </c>
      <c r="I445" s="18" t="str">
        <f>'GİRDİ RAPORU'!I261</f>
        <v>Ar-ge Çalışması</v>
      </c>
      <c r="J445" s="18">
        <f>'GİRDİ RAPORU'!J1233</f>
        <v>0</v>
      </c>
      <c r="K445" s="18">
        <f>'GİRDİ RAPORU'!K1233</f>
        <v>0</v>
      </c>
      <c r="L445" s="18">
        <f>'GİRDİ RAPORU'!L1233</f>
        <v>0</v>
      </c>
      <c r="M445" s="26">
        <f t="shared" si="18"/>
        <v>0.58933333333333338</v>
      </c>
      <c r="N445" s="26">
        <f t="shared" si="19"/>
        <v>3.7037037037037035E-2</v>
      </c>
      <c r="O445" s="26">
        <f t="shared" si="20"/>
        <v>0.96296296296296291</v>
      </c>
    </row>
    <row r="446" spans="1:15" ht="21.75" hidden="1" customHeight="1">
      <c r="A446" s="17">
        <f>'GİRDİ RAPORU'!A264</f>
        <v>45380.712388310189</v>
      </c>
      <c r="B446" s="18">
        <f>'GİRDİ RAPORU'!B260</f>
        <v>2</v>
      </c>
      <c r="C446" s="18">
        <f>'GİRDİ RAPORU'!C260</f>
        <v>300</v>
      </c>
      <c r="D446" s="18">
        <f>'GİRDİ RAPORU'!D260</f>
        <v>90</v>
      </c>
      <c r="E446" s="18" t="str">
        <f>'GİRDİ RAPORU'!E260</f>
        <v>Normal Mesai</v>
      </c>
      <c r="F446" s="18">
        <f>'GİRDİ RAPORU'!F260</f>
        <v>20</v>
      </c>
      <c r="G446" s="18" t="str">
        <f>'GİRDİ RAPORU'!G260</f>
        <v>Ayar</v>
      </c>
      <c r="H446" s="18">
        <f>'GİRDİ RAPORU'!H260</f>
        <v>0</v>
      </c>
      <c r="I446" s="18" t="str">
        <f>'GİRDİ RAPORU'!I260</f>
        <v>Ar-ge Çalışması</v>
      </c>
      <c r="J446" s="18">
        <f>'GİRDİ RAPORU'!J1232</f>
        <v>0</v>
      </c>
      <c r="K446" s="18">
        <f>'GİRDİ RAPORU'!K1232</f>
        <v>0</v>
      </c>
      <c r="L446" s="18">
        <f>'GİRDİ RAPORU'!L1232</f>
        <v>0</v>
      </c>
      <c r="M446" s="26">
        <f t="shared" si="18"/>
        <v>0.52</v>
      </c>
      <c r="N446" s="26">
        <f t="shared" si="19"/>
        <v>3.7037037037037035E-2</v>
      </c>
      <c r="O446" s="26">
        <f t="shared" si="20"/>
        <v>0.96296296296296291</v>
      </c>
    </row>
    <row r="447" spans="1:15" ht="21.75" hidden="1" customHeight="1">
      <c r="A447" s="17">
        <f>'GİRDİ RAPORU'!A263</f>
        <v>45372.711569212966</v>
      </c>
      <c r="B447" s="18">
        <f>'GİRDİ RAPORU'!B259</f>
        <v>2</v>
      </c>
      <c r="C447" s="18">
        <f>'GİRDİ RAPORU'!C259</f>
        <v>283</v>
      </c>
      <c r="D447" s="18">
        <f>'GİRDİ RAPORU'!D259</f>
        <v>75</v>
      </c>
      <c r="E447" s="18" t="str">
        <f>'GİRDİ RAPORU'!E259</f>
        <v>Normal Mesai</v>
      </c>
      <c r="F447" s="18">
        <f>'GİRDİ RAPORU'!F259</f>
        <v>20</v>
      </c>
      <c r="G447" s="18" t="str">
        <f>'GİRDİ RAPORU'!G259</f>
        <v>Ayar</v>
      </c>
      <c r="H447" s="18">
        <f>'GİRDİ RAPORU'!H259</f>
        <v>0</v>
      </c>
      <c r="I447" s="18" t="str">
        <f>'GİRDİ RAPORU'!I259</f>
        <v>Ar-ge Çalışması</v>
      </c>
      <c r="J447" s="18">
        <f>'GİRDİ RAPORU'!J1231</f>
        <v>0</v>
      </c>
      <c r="K447" s="18">
        <f>'GİRDİ RAPORU'!K1231</f>
        <v>0</v>
      </c>
      <c r="L447" s="18">
        <f>'GİRDİ RAPORU'!L1231</f>
        <v>0</v>
      </c>
      <c r="M447" s="26">
        <f t="shared" si="18"/>
        <v>0.47733333333333333</v>
      </c>
      <c r="N447" s="26">
        <f t="shared" si="19"/>
        <v>3.7037037037037035E-2</v>
      </c>
      <c r="O447" s="26">
        <f t="shared" si="20"/>
        <v>0.96296296296296291</v>
      </c>
    </row>
    <row r="448" spans="1:15" ht="21.75" hidden="1" customHeight="1">
      <c r="A448" s="17">
        <f>'GİRDİ RAPORU'!A262</f>
        <v>45371.710810763892</v>
      </c>
      <c r="B448" s="18">
        <f>'GİRDİ RAPORU'!B258</f>
        <v>2</v>
      </c>
      <c r="C448" s="18">
        <f>'GİRDİ RAPORU'!C258</f>
        <v>350</v>
      </c>
      <c r="D448" s="18">
        <f>'GİRDİ RAPORU'!D258</f>
        <v>96</v>
      </c>
      <c r="E448" s="18" t="str">
        <f>'GİRDİ RAPORU'!E258</f>
        <v>Normal Mesai</v>
      </c>
      <c r="F448" s="18">
        <f>'GİRDİ RAPORU'!F258</f>
        <v>20</v>
      </c>
      <c r="G448" s="18" t="str">
        <f>'GİRDİ RAPORU'!G258</f>
        <v>Ayar</v>
      </c>
      <c r="H448" s="18">
        <f>'GİRDİ RAPORU'!H258</f>
        <v>0</v>
      </c>
      <c r="I448" s="18" t="str">
        <f>'GİRDİ RAPORU'!I258</f>
        <v>Ar-ge Çalışması</v>
      </c>
      <c r="J448" s="18">
        <f>'GİRDİ RAPORU'!J1230</f>
        <v>0</v>
      </c>
      <c r="K448" s="18">
        <f>'GİRDİ RAPORU'!K1230</f>
        <v>0</v>
      </c>
      <c r="L448" s="18">
        <f>'GİRDİ RAPORU'!L1230</f>
        <v>0</v>
      </c>
      <c r="M448" s="26">
        <f t="shared" si="18"/>
        <v>0.59466666666666668</v>
      </c>
      <c r="N448" s="26">
        <f t="shared" si="19"/>
        <v>3.7037037037037035E-2</v>
      </c>
      <c r="O448" s="26">
        <f t="shared" si="20"/>
        <v>0.96296296296296291</v>
      </c>
    </row>
    <row r="449" spans="1:15" ht="21.75" hidden="1" customHeight="1">
      <c r="A449" s="17">
        <f>'GİRDİ RAPORU'!A261</f>
        <v>45370.70964155093</v>
      </c>
      <c r="B449" s="18">
        <f>'GİRDİ RAPORU'!B257</f>
        <v>2</v>
      </c>
      <c r="C449" s="18">
        <f>'GİRDİ RAPORU'!C257</f>
        <v>210</v>
      </c>
      <c r="D449" s="18">
        <f>'GİRDİ RAPORU'!D257</f>
        <v>136</v>
      </c>
      <c r="E449" s="18" t="str">
        <f>'GİRDİ RAPORU'!E257</f>
        <v>Normal Mesai</v>
      </c>
      <c r="F449" s="18">
        <f>'GİRDİ RAPORU'!F257</f>
        <v>20</v>
      </c>
      <c r="G449" s="18" t="str">
        <f>'GİRDİ RAPORU'!G257</f>
        <v>Ayar</v>
      </c>
      <c r="H449" s="18">
        <f>'GİRDİ RAPORU'!H257</f>
        <v>45</v>
      </c>
      <c r="I449" s="18" t="str">
        <f>'GİRDİ RAPORU'!I257</f>
        <v>Ar-ge Çalışması</v>
      </c>
      <c r="J449" s="18">
        <f>'GİRDİ RAPORU'!J1229</f>
        <v>0</v>
      </c>
      <c r="K449" s="18">
        <f>'GİRDİ RAPORU'!K1229</f>
        <v>0</v>
      </c>
      <c r="L449" s="18">
        <f>'GİRDİ RAPORU'!L1229</f>
        <v>0</v>
      </c>
      <c r="M449" s="26">
        <f t="shared" si="18"/>
        <v>0.46133333333333332</v>
      </c>
      <c r="N449" s="26">
        <f t="shared" si="19"/>
        <v>0.12037037037037036</v>
      </c>
      <c r="O449" s="26">
        <f t="shared" si="20"/>
        <v>0.87962962962962965</v>
      </c>
    </row>
    <row r="450" spans="1:15" ht="21.75" hidden="1" customHeight="1">
      <c r="A450" s="17">
        <f>'GİRDİ RAPORU'!A260</f>
        <v>45369.712589699076</v>
      </c>
      <c r="B450" s="18">
        <f>'GİRDİ RAPORU'!B256</f>
        <v>2</v>
      </c>
      <c r="C450" s="18">
        <f>'GİRDİ RAPORU'!C256</f>
        <v>320</v>
      </c>
      <c r="D450" s="18">
        <f>'GİRDİ RAPORU'!D256</f>
        <v>50</v>
      </c>
      <c r="E450" s="18" t="str">
        <f>'GİRDİ RAPORU'!E256</f>
        <v>Normal Mesai</v>
      </c>
      <c r="F450" s="18">
        <f>'GİRDİ RAPORU'!F256</f>
        <v>20</v>
      </c>
      <c r="G450" s="18" t="str">
        <f>'GİRDİ RAPORU'!G256</f>
        <v>Ayar</v>
      </c>
      <c r="H450" s="18">
        <f>'GİRDİ RAPORU'!H256</f>
        <v>0</v>
      </c>
      <c r="I450" s="18" t="str">
        <f>'GİRDİ RAPORU'!I256</f>
        <v>Ar-ge Çalışması</v>
      </c>
      <c r="J450" s="18">
        <f>'GİRDİ RAPORU'!J1228</f>
        <v>0</v>
      </c>
      <c r="K450" s="18">
        <f>'GİRDİ RAPORU'!K1228</f>
        <v>0</v>
      </c>
      <c r="L450" s="18">
        <f>'GİRDİ RAPORU'!L1228</f>
        <v>0</v>
      </c>
      <c r="M450" s="26">
        <f t="shared" ref="M450:M513" si="21">(C450+D450)/750</f>
        <v>0.49333333333333335</v>
      </c>
      <c r="N450" s="26">
        <f t="shared" ref="N450:N513" si="22">(F450+H450+J450)/540</f>
        <v>3.7037037037037035E-2</v>
      </c>
      <c r="O450" s="26">
        <f t="shared" ref="O450:O513" si="23">(540-F450-H450-J450)/540</f>
        <v>0.96296296296296291</v>
      </c>
    </row>
    <row r="451" spans="1:15" ht="21.75" hidden="1" customHeight="1">
      <c r="A451" s="17">
        <f>'GİRDİ RAPORU'!A259</f>
        <v>45365.713410069446</v>
      </c>
      <c r="B451" s="18">
        <f>'GİRDİ RAPORU'!B255</f>
        <v>2</v>
      </c>
      <c r="C451" s="18">
        <f>'GİRDİ RAPORU'!C255</f>
        <v>250</v>
      </c>
      <c r="D451" s="18">
        <f>'GİRDİ RAPORU'!D255</f>
        <v>59</v>
      </c>
      <c r="E451" s="18" t="str">
        <f>'GİRDİ RAPORU'!E255</f>
        <v>Normal Mesai</v>
      </c>
      <c r="F451" s="18">
        <f>'GİRDİ RAPORU'!F255</f>
        <v>20</v>
      </c>
      <c r="G451" s="18" t="str">
        <f>'GİRDİ RAPORU'!G255</f>
        <v>Ayar</v>
      </c>
      <c r="H451" s="18">
        <f>'GİRDİ RAPORU'!H255</f>
        <v>0</v>
      </c>
      <c r="I451" s="18" t="str">
        <f>'GİRDİ RAPORU'!I255</f>
        <v>Ar-ge Çalışması</v>
      </c>
      <c r="J451" s="18">
        <f>'GİRDİ RAPORU'!J1227</f>
        <v>0</v>
      </c>
      <c r="K451" s="18">
        <f>'GİRDİ RAPORU'!K1227</f>
        <v>0</v>
      </c>
      <c r="L451" s="18">
        <f>'GİRDİ RAPORU'!L1227</f>
        <v>0</v>
      </c>
      <c r="M451" s="26">
        <f t="shared" si="21"/>
        <v>0.41199999999999998</v>
      </c>
      <c r="N451" s="26">
        <f t="shared" si="22"/>
        <v>3.7037037037037035E-2</v>
      </c>
      <c r="O451" s="26">
        <f t="shared" si="23"/>
        <v>0.96296296296296291</v>
      </c>
    </row>
    <row r="452" spans="1:15" ht="21.75" hidden="1" customHeight="1">
      <c r="A452" s="17">
        <f>'GİRDİ RAPORU'!A258</f>
        <v>45364.715050694445</v>
      </c>
      <c r="B452" s="18">
        <f>'GİRDİ RAPORU'!B254</f>
        <v>2</v>
      </c>
      <c r="C452" s="18">
        <f>'GİRDİ RAPORU'!C254</f>
        <v>336</v>
      </c>
      <c r="D452" s="18">
        <f>'GİRDİ RAPORU'!D254</f>
        <v>88</v>
      </c>
      <c r="E452" s="18" t="str">
        <f>'GİRDİ RAPORU'!E254</f>
        <v>Normal Mesai</v>
      </c>
      <c r="F452" s="18">
        <f>'GİRDİ RAPORU'!F254</f>
        <v>20</v>
      </c>
      <c r="G452" s="18" t="str">
        <f>'GİRDİ RAPORU'!G254</f>
        <v>Ayar</v>
      </c>
      <c r="H452" s="18">
        <f>'GİRDİ RAPORU'!H254</f>
        <v>0</v>
      </c>
      <c r="I452" s="18" t="str">
        <f>'GİRDİ RAPORU'!I254</f>
        <v>Ar-ge Çalışması</v>
      </c>
      <c r="J452" s="18">
        <f>'GİRDİ RAPORU'!J1226</f>
        <v>0</v>
      </c>
      <c r="K452" s="18">
        <f>'GİRDİ RAPORU'!K1226</f>
        <v>0</v>
      </c>
      <c r="L452" s="18">
        <f>'GİRDİ RAPORU'!L1226</f>
        <v>0</v>
      </c>
      <c r="M452" s="26">
        <f t="shared" si="21"/>
        <v>0.56533333333333335</v>
      </c>
      <c r="N452" s="26">
        <f t="shared" si="22"/>
        <v>3.7037037037037035E-2</v>
      </c>
      <c r="O452" s="26">
        <f t="shared" si="23"/>
        <v>0.96296296296296291</v>
      </c>
    </row>
    <row r="453" spans="1:15" ht="21.75" hidden="1" customHeight="1">
      <c r="A453" s="17">
        <f>'GİRDİ RAPORU'!A257</f>
        <v>45363.710881712963</v>
      </c>
      <c r="B453" s="18">
        <f>'GİRDİ RAPORU'!B253</f>
        <v>2</v>
      </c>
      <c r="C453" s="18">
        <f>'GİRDİ RAPORU'!C253</f>
        <v>196</v>
      </c>
      <c r="D453" s="18">
        <f>'GİRDİ RAPORU'!D253</f>
        <v>220</v>
      </c>
      <c r="E453" s="18" t="str">
        <f>'GİRDİ RAPORU'!E253</f>
        <v>Normal Mesai</v>
      </c>
      <c r="F453" s="18">
        <f>'GİRDİ RAPORU'!F253</f>
        <v>20</v>
      </c>
      <c r="G453" s="18" t="str">
        <f>'GİRDİ RAPORU'!G253</f>
        <v>Ayar</v>
      </c>
      <c r="H453" s="18">
        <f>'GİRDİ RAPORU'!H253</f>
        <v>0</v>
      </c>
      <c r="I453" s="18" t="str">
        <f>'GİRDİ RAPORU'!I253</f>
        <v>Bakım/Onarım</v>
      </c>
      <c r="J453" s="18">
        <f>'GİRDİ RAPORU'!J1225</f>
        <v>0</v>
      </c>
      <c r="K453" s="18">
        <f>'GİRDİ RAPORU'!K1225</f>
        <v>0</v>
      </c>
      <c r="L453" s="18">
        <f>'GİRDİ RAPORU'!L1225</f>
        <v>0</v>
      </c>
      <c r="M453" s="26">
        <f t="shared" si="21"/>
        <v>0.55466666666666664</v>
      </c>
      <c r="N453" s="26">
        <f t="shared" si="22"/>
        <v>3.7037037037037035E-2</v>
      </c>
      <c r="O453" s="26">
        <f t="shared" si="23"/>
        <v>0.96296296296296291</v>
      </c>
    </row>
    <row r="454" spans="1:15" ht="21.75" hidden="1" customHeight="1">
      <c r="A454" s="17">
        <f>'GİRDİ RAPORU'!A256</f>
        <v>45359.763915277777</v>
      </c>
      <c r="B454" s="18">
        <f>'GİRDİ RAPORU'!B252</f>
        <v>2</v>
      </c>
      <c r="C454" s="18">
        <f>'GİRDİ RAPORU'!C252</f>
        <v>311</v>
      </c>
      <c r="D454" s="18">
        <f>'GİRDİ RAPORU'!D252</f>
        <v>160</v>
      </c>
      <c r="E454" s="18" t="str">
        <f>'GİRDİ RAPORU'!E252</f>
        <v>Normal Mesai</v>
      </c>
      <c r="F454" s="18">
        <f>'GİRDİ RAPORU'!F252</f>
        <v>20</v>
      </c>
      <c r="G454" s="18" t="str">
        <f>'GİRDİ RAPORU'!G252</f>
        <v>Ayar</v>
      </c>
      <c r="H454" s="18">
        <f>'GİRDİ RAPORU'!H252</f>
        <v>0</v>
      </c>
      <c r="I454" s="18" t="str">
        <f>'GİRDİ RAPORU'!I252</f>
        <v>Bakım/Onarım</v>
      </c>
      <c r="J454" s="18">
        <f>'GİRDİ RAPORU'!J1224</f>
        <v>0</v>
      </c>
      <c r="K454" s="18">
        <f>'GİRDİ RAPORU'!K1224</f>
        <v>0</v>
      </c>
      <c r="L454" s="18">
        <f>'GİRDİ RAPORU'!L1224</f>
        <v>0</v>
      </c>
      <c r="M454" s="26">
        <f t="shared" si="21"/>
        <v>0.628</v>
      </c>
      <c r="N454" s="26">
        <f t="shared" si="22"/>
        <v>3.7037037037037035E-2</v>
      </c>
      <c r="O454" s="26">
        <f t="shared" si="23"/>
        <v>0.96296296296296291</v>
      </c>
    </row>
    <row r="455" spans="1:15" ht="21.75" hidden="1" customHeight="1">
      <c r="A455" s="17">
        <f>'GİRDİ RAPORU'!A255</f>
        <v>45358.767420370372</v>
      </c>
      <c r="B455" s="18">
        <f>'GİRDİ RAPORU'!B251</f>
        <v>2</v>
      </c>
      <c r="C455" s="18">
        <f>'GİRDİ RAPORU'!C251</f>
        <v>375</v>
      </c>
      <c r="D455" s="18">
        <f>'GİRDİ RAPORU'!D251</f>
        <v>145</v>
      </c>
      <c r="E455" s="18" t="str">
        <f>'GİRDİ RAPORU'!E251</f>
        <v>Fazla Mesai</v>
      </c>
      <c r="F455" s="18">
        <f>'GİRDİ RAPORU'!F251</f>
        <v>20</v>
      </c>
      <c r="G455" s="18" t="str">
        <f>'GİRDİ RAPORU'!G251</f>
        <v>Ayar</v>
      </c>
      <c r="H455" s="18">
        <f>'GİRDİ RAPORU'!H251</f>
        <v>0</v>
      </c>
      <c r="I455" s="18" t="str">
        <f>'GİRDİ RAPORU'!I251</f>
        <v>Bakım/Onarım</v>
      </c>
      <c r="J455" s="18">
        <f>'GİRDİ RAPORU'!J1223</f>
        <v>0</v>
      </c>
      <c r="K455" s="18">
        <f>'GİRDİ RAPORU'!K1223</f>
        <v>0</v>
      </c>
      <c r="L455" s="18">
        <f>'GİRDİ RAPORU'!L1223</f>
        <v>0</v>
      </c>
      <c r="M455" s="26">
        <f t="shared" si="21"/>
        <v>0.69333333333333336</v>
      </c>
      <c r="N455" s="26">
        <f t="shared" si="22"/>
        <v>3.7037037037037035E-2</v>
      </c>
      <c r="O455" s="26">
        <f t="shared" si="23"/>
        <v>0.96296296296296291</v>
      </c>
    </row>
    <row r="456" spans="1:15" ht="21.75" hidden="1" customHeight="1">
      <c r="A456" s="17">
        <f>'GİRDİ RAPORU'!A254</f>
        <v>45357.76563321759</v>
      </c>
      <c r="B456" s="18">
        <f>'GİRDİ RAPORU'!B250</f>
        <v>2</v>
      </c>
      <c r="C456" s="18">
        <f>'GİRDİ RAPORU'!C250</f>
        <v>396</v>
      </c>
      <c r="D456" s="18">
        <f>'GİRDİ RAPORU'!D250</f>
        <v>110</v>
      </c>
      <c r="E456" s="18" t="str">
        <f>'GİRDİ RAPORU'!E250</f>
        <v>Fazla Mesai</v>
      </c>
      <c r="F456" s="18">
        <f>'GİRDİ RAPORU'!F250</f>
        <v>20</v>
      </c>
      <c r="G456" s="18" t="str">
        <f>'GİRDİ RAPORU'!G250</f>
        <v>Ayar</v>
      </c>
      <c r="H456" s="18">
        <f>'GİRDİ RAPORU'!H250</f>
        <v>0</v>
      </c>
      <c r="I456" s="18" t="str">
        <f>'GİRDİ RAPORU'!I250</f>
        <v>Bakım/Onarım</v>
      </c>
      <c r="J456" s="18">
        <f>'GİRDİ RAPORU'!J1222</f>
        <v>0</v>
      </c>
      <c r="K456" s="18">
        <f>'GİRDİ RAPORU'!K1222</f>
        <v>0</v>
      </c>
      <c r="L456" s="18">
        <f>'GİRDİ RAPORU'!L1222</f>
        <v>0</v>
      </c>
      <c r="M456" s="26">
        <f t="shared" si="21"/>
        <v>0.67466666666666664</v>
      </c>
      <c r="N456" s="26">
        <f t="shared" si="22"/>
        <v>3.7037037037037035E-2</v>
      </c>
      <c r="O456" s="26">
        <f t="shared" si="23"/>
        <v>0.96296296296296291</v>
      </c>
    </row>
    <row r="457" spans="1:15" ht="21.75" hidden="1" customHeight="1">
      <c r="A457" s="17">
        <f>'GİRDİ RAPORU'!A253</f>
        <v>45356.762331481485</v>
      </c>
      <c r="B457" s="18">
        <f>'GİRDİ RAPORU'!B249</f>
        <v>2</v>
      </c>
      <c r="C457" s="18">
        <f>'GİRDİ RAPORU'!C249</f>
        <v>265</v>
      </c>
      <c r="D457" s="18">
        <f>'GİRDİ RAPORU'!D249</f>
        <v>55</v>
      </c>
      <c r="E457" s="18" t="str">
        <f>'GİRDİ RAPORU'!E249</f>
        <v>Normal Mesai</v>
      </c>
      <c r="F457" s="18">
        <f>'GİRDİ RAPORU'!F249</f>
        <v>20</v>
      </c>
      <c r="G457" s="18" t="str">
        <f>'GİRDİ RAPORU'!G249</f>
        <v>Ayar</v>
      </c>
      <c r="H457" s="18">
        <f>'GİRDİ RAPORU'!H249</f>
        <v>0</v>
      </c>
      <c r="I457" s="18" t="str">
        <f>'GİRDİ RAPORU'!I249</f>
        <v>Bakım/Onarım</v>
      </c>
      <c r="J457" s="18">
        <f>'GİRDİ RAPORU'!J1221</f>
        <v>0</v>
      </c>
      <c r="K457" s="18">
        <f>'GİRDİ RAPORU'!K1221</f>
        <v>0</v>
      </c>
      <c r="L457" s="18">
        <f>'GİRDİ RAPORU'!L1221</f>
        <v>0</v>
      </c>
      <c r="M457" s="26">
        <f t="shared" si="21"/>
        <v>0.42666666666666669</v>
      </c>
      <c r="N457" s="26">
        <f t="shared" si="22"/>
        <v>3.7037037037037035E-2</v>
      </c>
      <c r="O457" s="26">
        <f t="shared" si="23"/>
        <v>0.96296296296296291</v>
      </c>
    </row>
    <row r="458" spans="1:15" ht="21.75" hidden="1" customHeight="1">
      <c r="A458" s="17">
        <f>'GİRDİ RAPORU'!A252</f>
        <v>45355.763569675924</v>
      </c>
      <c r="B458" s="18">
        <f>'GİRDİ RAPORU'!B248</f>
        <v>2</v>
      </c>
      <c r="C458" s="18">
        <f>'GİRDİ RAPORU'!C248</f>
        <v>293</v>
      </c>
      <c r="D458" s="18">
        <f>'GİRDİ RAPORU'!D248</f>
        <v>116</v>
      </c>
      <c r="E458" s="18" t="str">
        <f>'GİRDİ RAPORU'!E248</f>
        <v>Normal Mesai</v>
      </c>
      <c r="F458" s="18">
        <f>'GİRDİ RAPORU'!F248</f>
        <v>20</v>
      </c>
      <c r="G458" s="18" t="str">
        <f>'GİRDİ RAPORU'!G248</f>
        <v>Ayar</v>
      </c>
      <c r="H458" s="18">
        <f>'GİRDİ RAPORU'!H248</f>
        <v>0</v>
      </c>
      <c r="I458" s="18" t="str">
        <f>'GİRDİ RAPORU'!I248</f>
        <v>Bakım/Onarım</v>
      </c>
      <c r="J458" s="18">
        <f>'GİRDİ RAPORU'!J1220</f>
        <v>0</v>
      </c>
      <c r="K458" s="18">
        <f>'GİRDİ RAPORU'!K1220</f>
        <v>0</v>
      </c>
      <c r="L458" s="18">
        <f>'GİRDİ RAPORU'!L1220</f>
        <v>0</v>
      </c>
      <c r="M458" s="26">
        <f t="shared" si="21"/>
        <v>0.54533333333333334</v>
      </c>
      <c r="N458" s="26">
        <f t="shared" si="22"/>
        <v>3.7037037037037035E-2</v>
      </c>
      <c r="O458" s="26">
        <f t="shared" si="23"/>
        <v>0.96296296296296291</v>
      </c>
    </row>
    <row r="459" spans="1:15" ht="21.75" hidden="1" customHeight="1">
      <c r="A459" s="17">
        <f>'GİRDİ RAPORU'!A251</f>
        <v>45352.89817025463</v>
      </c>
      <c r="B459" s="18">
        <f>'GİRDİ RAPORU'!B247</f>
        <v>2</v>
      </c>
      <c r="C459" s="18">
        <f>'GİRDİ RAPORU'!C247</f>
        <v>414</v>
      </c>
      <c r="D459" s="18">
        <f>'GİRDİ RAPORU'!D247</f>
        <v>76</v>
      </c>
      <c r="E459" s="18" t="str">
        <f>'GİRDİ RAPORU'!E247</f>
        <v>Normal Mesai</v>
      </c>
      <c r="F459" s="18">
        <f>'GİRDİ RAPORU'!F247</f>
        <v>20</v>
      </c>
      <c r="G459" s="18" t="str">
        <f>'GİRDİ RAPORU'!G247</f>
        <v>Ayar</v>
      </c>
      <c r="H459" s="18">
        <f>'GİRDİ RAPORU'!H247</f>
        <v>0</v>
      </c>
      <c r="I459" s="18" t="str">
        <f>'GİRDİ RAPORU'!I247</f>
        <v>Bakım/Onarım</v>
      </c>
      <c r="J459" s="18">
        <f>'GİRDİ RAPORU'!J1219</f>
        <v>0</v>
      </c>
      <c r="K459" s="18">
        <f>'GİRDİ RAPORU'!K1219</f>
        <v>0</v>
      </c>
      <c r="L459" s="18">
        <f>'GİRDİ RAPORU'!L1219</f>
        <v>0</v>
      </c>
      <c r="M459" s="26">
        <f t="shared" si="21"/>
        <v>0.65333333333333332</v>
      </c>
      <c r="N459" s="26">
        <f t="shared" si="22"/>
        <v>3.7037037037037035E-2</v>
      </c>
      <c r="O459" s="26">
        <f t="shared" si="23"/>
        <v>0.96296296296296291</v>
      </c>
    </row>
    <row r="460" spans="1:15" ht="21.75" hidden="1" customHeight="1">
      <c r="A460" s="17">
        <f>'GİRDİ RAPORU'!A250</f>
        <v>45351.901881481484</v>
      </c>
      <c r="B460" s="18">
        <f>'GİRDİ RAPORU'!B246</f>
        <v>2</v>
      </c>
      <c r="C460" s="18">
        <f>'GİRDİ RAPORU'!C246</f>
        <v>481</v>
      </c>
      <c r="D460" s="18">
        <f>'GİRDİ RAPORU'!D246</f>
        <v>82.5</v>
      </c>
      <c r="E460" s="18" t="str">
        <f>'GİRDİ RAPORU'!E246</f>
        <v>Normal Mesai</v>
      </c>
      <c r="F460" s="18">
        <f>'GİRDİ RAPORU'!F246</f>
        <v>20</v>
      </c>
      <c r="G460" s="18" t="str">
        <f>'GİRDİ RAPORU'!G246</f>
        <v>Ayar</v>
      </c>
      <c r="H460" s="18">
        <f>'GİRDİ RAPORU'!H246</f>
        <v>0</v>
      </c>
      <c r="I460" s="18" t="str">
        <f>'GİRDİ RAPORU'!I246</f>
        <v>Bakım/Onarım</v>
      </c>
      <c r="J460" s="18">
        <f>'GİRDİ RAPORU'!J1218</f>
        <v>0</v>
      </c>
      <c r="K460" s="18">
        <f>'GİRDİ RAPORU'!K1218</f>
        <v>0</v>
      </c>
      <c r="L460" s="18">
        <f>'GİRDİ RAPORU'!L1218</f>
        <v>0</v>
      </c>
      <c r="M460" s="26">
        <f t="shared" si="21"/>
        <v>0.7513333333333333</v>
      </c>
      <c r="N460" s="26">
        <f t="shared" si="22"/>
        <v>3.7037037037037035E-2</v>
      </c>
      <c r="O460" s="26">
        <f t="shared" si="23"/>
        <v>0.96296296296296291</v>
      </c>
    </row>
    <row r="461" spans="1:15" ht="21.75" hidden="1" customHeight="1">
      <c r="A461" s="17">
        <f>'GİRDİ RAPORU'!A249</f>
        <v>45350.764384259259</v>
      </c>
      <c r="B461" s="18">
        <f>'GİRDİ RAPORU'!B245</f>
        <v>2</v>
      </c>
      <c r="C461" s="18">
        <f>'GİRDİ RAPORU'!C245</f>
        <v>481</v>
      </c>
      <c r="D461" s="18">
        <f>'GİRDİ RAPORU'!D245</f>
        <v>82.5</v>
      </c>
      <c r="E461" s="18" t="str">
        <f>'GİRDİ RAPORU'!E245</f>
        <v>Normal Mesai</v>
      </c>
      <c r="F461" s="18">
        <f>'GİRDİ RAPORU'!F245</f>
        <v>20</v>
      </c>
      <c r="G461" s="18" t="str">
        <f>'GİRDİ RAPORU'!G245</f>
        <v>Ayar</v>
      </c>
      <c r="H461" s="18">
        <f>'GİRDİ RAPORU'!H245</f>
        <v>0</v>
      </c>
      <c r="I461" s="18" t="str">
        <f>'GİRDİ RAPORU'!I245</f>
        <v>Bakım/Onarım</v>
      </c>
      <c r="J461" s="18">
        <f>'GİRDİ RAPORU'!J1217</f>
        <v>0</v>
      </c>
      <c r="K461" s="18">
        <f>'GİRDİ RAPORU'!K1217</f>
        <v>0</v>
      </c>
      <c r="L461" s="18">
        <f>'GİRDİ RAPORU'!L1217</f>
        <v>0</v>
      </c>
      <c r="M461" s="26">
        <f t="shared" si="21"/>
        <v>0.7513333333333333</v>
      </c>
      <c r="N461" s="26">
        <f t="shared" si="22"/>
        <v>3.7037037037037035E-2</v>
      </c>
      <c r="O461" s="26">
        <f t="shared" si="23"/>
        <v>0.96296296296296291</v>
      </c>
    </row>
    <row r="462" spans="1:15" ht="21.75" hidden="1" customHeight="1">
      <c r="A462" s="17">
        <f>'GİRDİ RAPORU'!A248</f>
        <v>45349.76280034722</v>
      </c>
      <c r="B462" s="18">
        <f>'GİRDİ RAPORU'!B244</f>
        <v>2</v>
      </c>
      <c r="C462" s="18">
        <f>'GİRDİ RAPORU'!C244</f>
        <v>380</v>
      </c>
      <c r="D462" s="18">
        <f>'GİRDİ RAPORU'!D244</f>
        <v>64</v>
      </c>
      <c r="E462" s="18" t="str">
        <f>'GİRDİ RAPORU'!E244</f>
        <v>Normal Mesai</v>
      </c>
      <c r="F462" s="18">
        <f>'GİRDİ RAPORU'!F244</f>
        <v>20</v>
      </c>
      <c r="G462" s="18" t="str">
        <f>'GİRDİ RAPORU'!G244</f>
        <v>Ayar</v>
      </c>
      <c r="H462" s="18">
        <f>'GİRDİ RAPORU'!H244</f>
        <v>0</v>
      </c>
      <c r="I462" s="18" t="str">
        <f>'GİRDİ RAPORU'!I244</f>
        <v>Bakım/Onarım</v>
      </c>
      <c r="J462" s="18">
        <f>'GİRDİ RAPORU'!J1216</f>
        <v>0</v>
      </c>
      <c r="K462" s="18">
        <f>'GİRDİ RAPORU'!K1216</f>
        <v>0</v>
      </c>
      <c r="L462" s="18">
        <f>'GİRDİ RAPORU'!L1216</f>
        <v>0</v>
      </c>
      <c r="M462" s="26">
        <f t="shared" si="21"/>
        <v>0.59199999999999997</v>
      </c>
      <c r="N462" s="26">
        <f t="shared" si="22"/>
        <v>3.7037037037037035E-2</v>
      </c>
      <c r="O462" s="26">
        <f t="shared" si="23"/>
        <v>0.96296296296296291</v>
      </c>
    </row>
    <row r="463" spans="1:15" ht="21.75" hidden="1" customHeight="1">
      <c r="A463" s="17">
        <f>'GİRDİ RAPORU'!A247</f>
        <v>45348.76473703704</v>
      </c>
      <c r="B463" s="18">
        <f>'GİRDİ RAPORU'!B243</f>
        <v>2</v>
      </c>
      <c r="C463" s="18">
        <f>'GİRDİ RAPORU'!C243</f>
        <v>250</v>
      </c>
      <c r="D463" s="18">
        <f>'GİRDİ RAPORU'!D243</f>
        <v>70</v>
      </c>
      <c r="E463" s="18" t="str">
        <f>'GİRDİ RAPORU'!E243</f>
        <v>Normal Mesai</v>
      </c>
      <c r="F463" s="18">
        <f>'GİRDİ RAPORU'!F243</f>
        <v>20</v>
      </c>
      <c r="G463" s="18" t="str">
        <f>'GİRDİ RAPORU'!G243</f>
        <v>Ayar</v>
      </c>
      <c r="H463" s="18">
        <f>'GİRDİ RAPORU'!H243</f>
        <v>0</v>
      </c>
      <c r="I463" s="18" t="str">
        <f>'GİRDİ RAPORU'!I243</f>
        <v>Bakım/Onarım</v>
      </c>
      <c r="J463" s="18">
        <f>'GİRDİ RAPORU'!J1215</f>
        <v>0</v>
      </c>
      <c r="K463" s="18">
        <f>'GİRDİ RAPORU'!K1215</f>
        <v>0</v>
      </c>
      <c r="L463" s="18">
        <f>'GİRDİ RAPORU'!L1215</f>
        <v>0</v>
      </c>
      <c r="M463" s="26">
        <f t="shared" si="21"/>
        <v>0.42666666666666669</v>
      </c>
      <c r="N463" s="26">
        <f t="shared" si="22"/>
        <v>3.7037037037037035E-2</v>
      </c>
      <c r="O463" s="26">
        <f t="shared" si="23"/>
        <v>0.96296296296296291</v>
      </c>
    </row>
    <row r="464" spans="1:15" ht="21.75" hidden="1" customHeight="1">
      <c r="A464" s="17">
        <f>'GİRDİ RAPORU'!A246</f>
        <v>45345.852517361112</v>
      </c>
      <c r="B464" s="18">
        <f>'GİRDİ RAPORU'!B242</f>
        <v>2</v>
      </c>
      <c r="C464" s="18">
        <f>'GİRDİ RAPORU'!C242</f>
        <v>390</v>
      </c>
      <c r="D464" s="18">
        <f>'GİRDİ RAPORU'!D242</f>
        <v>80</v>
      </c>
      <c r="E464" s="18" t="str">
        <f>'GİRDİ RAPORU'!E242</f>
        <v>Fazla Mesai</v>
      </c>
      <c r="F464" s="18">
        <f>'GİRDİ RAPORU'!F242</f>
        <v>20</v>
      </c>
      <c r="G464" s="18" t="str">
        <f>'GİRDİ RAPORU'!G242</f>
        <v>Ayar</v>
      </c>
      <c r="H464" s="18">
        <f>'GİRDİ RAPORU'!H242</f>
        <v>0</v>
      </c>
      <c r="I464" s="18" t="str">
        <f>'GİRDİ RAPORU'!I242</f>
        <v>Ar-ge Çalışması</v>
      </c>
      <c r="J464" s="18">
        <f>'GİRDİ RAPORU'!J1214</f>
        <v>0</v>
      </c>
      <c r="K464" s="18">
        <f>'GİRDİ RAPORU'!K1214</f>
        <v>0</v>
      </c>
      <c r="L464" s="18">
        <f>'GİRDİ RAPORU'!L1214</f>
        <v>0</v>
      </c>
      <c r="M464" s="26">
        <f t="shared" si="21"/>
        <v>0.62666666666666671</v>
      </c>
      <c r="N464" s="26">
        <f t="shared" si="22"/>
        <v>3.7037037037037035E-2</v>
      </c>
      <c r="O464" s="26">
        <f t="shared" si="23"/>
        <v>0.96296296296296291</v>
      </c>
    </row>
    <row r="465" spans="1:15" ht="21.75" hidden="1" customHeight="1">
      <c r="A465" s="17">
        <f>'GİRDİ RAPORU'!A245</f>
        <v>45345.852483680559</v>
      </c>
      <c r="B465" s="18">
        <f>'GİRDİ RAPORU'!B241</f>
        <v>2</v>
      </c>
      <c r="C465" s="18">
        <f>'GİRDİ RAPORU'!C241</f>
        <v>258</v>
      </c>
      <c r="D465" s="18">
        <f>'GİRDİ RAPORU'!D241</f>
        <v>112</v>
      </c>
      <c r="E465" s="18" t="str">
        <f>'GİRDİ RAPORU'!E241</f>
        <v>Normal Mesai</v>
      </c>
      <c r="F465" s="18">
        <f>'GİRDİ RAPORU'!F241</f>
        <v>20</v>
      </c>
      <c r="G465" s="18" t="str">
        <f>'GİRDİ RAPORU'!G241</f>
        <v>Ayar</v>
      </c>
      <c r="H465" s="18">
        <f>'GİRDİ RAPORU'!H241</f>
        <v>0</v>
      </c>
      <c r="I465" s="18" t="str">
        <f>'GİRDİ RAPORU'!I241</f>
        <v>Ar-ge Çalışması</v>
      </c>
      <c r="J465" s="18">
        <f>'GİRDİ RAPORU'!J1213</f>
        <v>0</v>
      </c>
      <c r="K465" s="18">
        <f>'GİRDİ RAPORU'!K1213</f>
        <v>0</v>
      </c>
      <c r="L465" s="18">
        <f>'GİRDİ RAPORU'!L1213</f>
        <v>0</v>
      </c>
      <c r="M465" s="26">
        <f t="shared" si="21"/>
        <v>0.49333333333333335</v>
      </c>
      <c r="N465" s="26">
        <f t="shared" si="22"/>
        <v>3.7037037037037035E-2</v>
      </c>
      <c r="O465" s="26">
        <f t="shared" si="23"/>
        <v>0.96296296296296291</v>
      </c>
    </row>
    <row r="466" spans="1:15" ht="21.75" hidden="1" customHeight="1">
      <c r="A466" s="17">
        <f>'GİRDİ RAPORU'!A244</f>
        <v>45344.764320949071</v>
      </c>
      <c r="B466" s="18">
        <f>'GİRDİ RAPORU'!B240</f>
        <v>2</v>
      </c>
      <c r="C466" s="18">
        <f>'GİRDİ RAPORU'!C240</f>
        <v>490</v>
      </c>
      <c r="D466" s="18">
        <f>'GİRDİ RAPORU'!D240</f>
        <v>80</v>
      </c>
      <c r="E466" s="18" t="str">
        <f>'GİRDİ RAPORU'!E240</f>
        <v>Fazla Mesai</v>
      </c>
      <c r="F466" s="18">
        <f>'GİRDİ RAPORU'!F240</f>
        <v>20</v>
      </c>
      <c r="G466" s="18" t="str">
        <f>'GİRDİ RAPORU'!G240</f>
        <v>Ayar</v>
      </c>
      <c r="H466" s="18">
        <f>'GİRDİ RAPORU'!H240</f>
        <v>0</v>
      </c>
      <c r="I466" s="18" t="str">
        <f>'GİRDİ RAPORU'!I240</f>
        <v>Ar-ge Çalışması</v>
      </c>
      <c r="J466" s="18">
        <f>'GİRDİ RAPORU'!J1212</f>
        <v>0</v>
      </c>
      <c r="K466" s="18">
        <f>'GİRDİ RAPORU'!K1212</f>
        <v>0</v>
      </c>
      <c r="L466" s="18">
        <f>'GİRDİ RAPORU'!L1212</f>
        <v>0</v>
      </c>
      <c r="M466" s="26">
        <f t="shared" si="21"/>
        <v>0.76</v>
      </c>
      <c r="N466" s="26">
        <f t="shared" si="22"/>
        <v>3.7037037037037035E-2</v>
      </c>
      <c r="O466" s="26">
        <f t="shared" si="23"/>
        <v>0.96296296296296291</v>
      </c>
    </row>
    <row r="467" spans="1:15" ht="21.75" hidden="1" customHeight="1">
      <c r="A467" s="17">
        <f>'GİRDİ RAPORU'!A243</f>
        <v>45343.763245254631</v>
      </c>
      <c r="B467" s="18">
        <f>'GİRDİ RAPORU'!B239</f>
        <v>2</v>
      </c>
      <c r="C467" s="18">
        <f>'GİRDİ RAPORU'!C239</f>
        <v>370</v>
      </c>
      <c r="D467" s="18">
        <f>'GİRDİ RAPORU'!D239</f>
        <v>138</v>
      </c>
      <c r="E467" s="18" t="str">
        <f>'GİRDİ RAPORU'!E239</f>
        <v>Fazla Mesai</v>
      </c>
      <c r="F467" s="18">
        <f>'GİRDİ RAPORU'!F239</f>
        <v>20</v>
      </c>
      <c r="G467" s="18" t="str">
        <f>'GİRDİ RAPORU'!G239</f>
        <v>Ayar</v>
      </c>
      <c r="H467" s="18">
        <f>'GİRDİ RAPORU'!H239</f>
        <v>0</v>
      </c>
      <c r="I467" s="18" t="str">
        <f>'GİRDİ RAPORU'!I239</f>
        <v>Ar-ge Çalışması</v>
      </c>
      <c r="J467" s="18">
        <f>'GİRDİ RAPORU'!J1211</f>
        <v>0</v>
      </c>
      <c r="K467" s="18">
        <f>'GİRDİ RAPORU'!K1211</f>
        <v>0</v>
      </c>
      <c r="L467" s="18">
        <f>'GİRDİ RAPORU'!L1211</f>
        <v>0</v>
      </c>
      <c r="M467" s="26">
        <f t="shared" si="21"/>
        <v>0.67733333333333334</v>
      </c>
      <c r="N467" s="26">
        <f t="shared" si="22"/>
        <v>3.7037037037037035E-2</v>
      </c>
      <c r="O467" s="26">
        <f t="shared" si="23"/>
        <v>0.96296296296296291</v>
      </c>
    </row>
    <row r="468" spans="1:15" ht="21.75" hidden="1" customHeight="1">
      <c r="A468" s="17">
        <f>'GİRDİ RAPORU'!A242</f>
        <v>45342.860746296297</v>
      </c>
      <c r="B468" s="18">
        <f>'GİRDİ RAPORU'!B238</f>
        <v>2</v>
      </c>
      <c r="C468" s="18">
        <f>'GİRDİ RAPORU'!C238</f>
        <v>390</v>
      </c>
      <c r="D468" s="18">
        <f>'GİRDİ RAPORU'!D238</f>
        <v>80</v>
      </c>
      <c r="E468" s="18" t="str">
        <f>'GİRDİ RAPORU'!E238</f>
        <v>Fazla Mesai</v>
      </c>
      <c r="F468" s="18">
        <f>'GİRDİ RAPORU'!F238</f>
        <v>20</v>
      </c>
      <c r="G468" s="18" t="str">
        <f>'GİRDİ RAPORU'!G238</f>
        <v>Ayar</v>
      </c>
      <c r="H468" s="18">
        <f>'GİRDİ RAPORU'!H238</f>
        <v>0</v>
      </c>
      <c r="I468" s="18" t="str">
        <f>'GİRDİ RAPORU'!I238</f>
        <v>Ar-ge Çalışması</v>
      </c>
      <c r="J468" s="18">
        <f>'GİRDİ RAPORU'!J1210</f>
        <v>0</v>
      </c>
      <c r="K468" s="18">
        <f>'GİRDİ RAPORU'!K1210</f>
        <v>0</v>
      </c>
      <c r="L468" s="18">
        <f>'GİRDİ RAPORU'!L1210</f>
        <v>0</v>
      </c>
      <c r="M468" s="26">
        <f t="shared" si="21"/>
        <v>0.62666666666666671</v>
      </c>
      <c r="N468" s="26">
        <f t="shared" si="22"/>
        <v>3.7037037037037035E-2</v>
      </c>
      <c r="O468" s="26">
        <f t="shared" si="23"/>
        <v>0.96296296296296291</v>
      </c>
    </row>
    <row r="469" spans="1:15" ht="21.75" hidden="1" customHeight="1">
      <c r="A469" s="17">
        <f>'GİRDİ RAPORU'!A241</f>
        <v>45341.761279513892</v>
      </c>
      <c r="B469" s="18">
        <f>'GİRDİ RAPORU'!B237</f>
        <v>2</v>
      </c>
      <c r="C469" s="18">
        <f>'GİRDİ RAPORU'!C237</f>
        <v>390</v>
      </c>
      <c r="D469" s="18">
        <f>'GİRDİ RAPORU'!D237</f>
        <v>80</v>
      </c>
      <c r="E469" s="18" t="str">
        <f>'GİRDİ RAPORU'!E237</f>
        <v>Fazla Mesai</v>
      </c>
      <c r="F469" s="18">
        <f>'GİRDİ RAPORU'!F237</f>
        <v>20</v>
      </c>
      <c r="G469" s="18" t="str">
        <f>'GİRDİ RAPORU'!G237</f>
        <v>Ayar</v>
      </c>
      <c r="H469" s="18">
        <f>'GİRDİ RAPORU'!H237</f>
        <v>0</v>
      </c>
      <c r="I469" s="18" t="str">
        <f>'GİRDİ RAPORU'!I237</f>
        <v>Ar-ge Çalışması</v>
      </c>
      <c r="J469" s="18">
        <f>'GİRDİ RAPORU'!J1209</f>
        <v>0</v>
      </c>
      <c r="K469" s="18">
        <f>'GİRDİ RAPORU'!K1209</f>
        <v>0</v>
      </c>
      <c r="L469" s="18">
        <f>'GİRDİ RAPORU'!L1209</f>
        <v>0</v>
      </c>
      <c r="M469" s="26">
        <f t="shared" si="21"/>
        <v>0.62666666666666671</v>
      </c>
      <c r="N469" s="26">
        <f t="shared" si="22"/>
        <v>3.7037037037037035E-2</v>
      </c>
      <c r="O469" s="26">
        <f t="shared" si="23"/>
        <v>0.96296296296296291</v>
      </c>
    </row>
    <row r="470" spans="1:15" ht="21.75" hidden="1" customHeight="1">
      <c r="A470" s="17">
        <f>'GİRDİ RAPORU'!A240</f>
        <v>45337.861114004627</v>
      </c>
      <c r="B470" s="18">
        <f>'GİRDİ RAPORU'!B236</f>
        <v>2</v>
      </c>
      <c r="C470" s="18">
        <f>'GİRDİ RAPORU'!C236</f>
        <v>390</v>
      </c>
      <c r="D470" s="18">
        <f>'GİRDİ RAPORU'!D236</f>
        <v>80</v>
      </c>
      <c r="E470" s="18" t="str">
        <f>'GİRDİ RAPORU'!E236</f>
        <v>Fazla Mesai</v>
      </c>
      <c r="F470" s="18">
        <f>'GİRDİ RAPORU'!F236</f>
        <v>20</v>
      </c>
      <c r="G470" s="18" t="str">
        <f>'GİRDİ RAPORU'!G236</f>
        <v>Ayar</v>
      </c>
      <c r="H470" s="18">
        <f>'GİRDİ RAPORU'!H236</f>
        <v>0</v>
      </c>
      <c r="I470" s="18" t="str">
        <f>'GİRDİ RAPORU'!I236</f>
        <v>Ar-ge Çalışması</v>
      </c>
      <c r="J470" s="18">
        <f>'GİRDİ RAPORU'!J1208</f>
        <v>0</v>
      </c>
      <c r="K470" s="18">
        <f>'GİRDİ RAPORU'!K1208</f>
        <v>0</v>
      </c>
      <c r="L470" s="18">
        <f>'GİRDİ RAPORU'!L1208</f>
        <v>0</v>
      </c>
      <c r="M470" s="26">
        <f t="shared" si="21"/>
        <v>0.62666666666666671</v>
      </c>
      <c r="N470" s="26">
        <f t="shared" si="22"/>
        <v>3.7037037037037035E-2</v>
      </c>
      <c r="O470" s="26">
        <f t="shared" si="23"/>
        <v>0.96296296296296291</v>
      </c>
    </row>
    <row r="471" spans="1:15" ht="21.75" hidden="1" customHeight="1">
      <c r="A471" s="17">
        <f>'GİRDİ RAPORU'!A239</f>
        <v>45336.859281018522</v>
      </c>
      <c r="B471" s="18">
        <f>'GİRDİ RAPORU'!B235</f>
        <v>2</v>
      </c>
      <c r="C471" s="18">
        <f>'GİRDİ RAPORU'!C235</f>
        <v>360</v>
      </c>
      <c r="D471" s="18">
        <f>'GİRDİ RAPORU'!D235</f>
        <v>80</v>
      </c>
      <c r="E471" s="18" t="str">
        <f>'GİRDİ RAPORU'!E235</f>
        <v>Normal Mesai</v>
      </c>
      <c r="F471" s="18">
        <f>'GİRDİ RAPORU'!F235</f>
        <v>20</v>
      </c>
      <c r="G471" s="18" t="str">
        <f>'GİRDİ RAPORU'!G235</f>
        <v>Ayar</v>
      </c>
      <c r="H471" s="18">
        <f>'GİRDİ RAPORU'!H235</f>
        <v>0</v>
      </c>
      <c r="I471" s="18" t="str">
        <f>'GİRDİ RAPORU'!I235</f>
        <v>Bakım/Onarım</v>
      </c>
      <c r="J471" s="18">
        <f>'GİRDİ RAPORU'!J1207</f>
        <v>0</v>
      </c>
      <c r="K471" s="18">
        <f>'GİRDİ RAPORU'!K1207</f>
        <v>0</v>
      </c>
      <c r="L471" s="18">
        <f>'GİRDİ RAPORU'!L1207</f>
        <v>0</v>
      </c>
      <c r="M471" s="26">
        <f t="shared" si="21"/>
        <v>0.58666666666666667</v>
      </c>
      <c r="N471" s="26">
        <f t="shared" si="22"/>
        <v>3.7037037037037035E-2</v>
      </c>
      <c r="O471" s="26">
        <f t="shared" si="23"/>
        <v>0.96296296296296291</v>
      </c>
    </row>
    <row r="472" spans="1:15" ht="21.75" hidden="1" customHeight="1">
      <c r="A472" s="17">
        <f>'GİRDİ RAPORU'!A238</f>
        <v>45335.858785416669</v>
      </c>
      <c r="B472" s="18">
        <f>'GİRDİ RAPORU'!B234</f>
        <v>2</v>
      </c>
      <c r="C472" s="18">
        <f>'GİRDİ RAPORU'!C234</f>
        <v>290</v>
      </c>
      <c r="D472" s="18">
        <f>'GİRDİ RAPORU'!D234</f>
        <v>141</v>
      </c>
      <c r="E472" s="18" t="str">
        <f>'GİRDİ RAPORU'!E234</f>
        <v>Normal Mesai</v>
      </c>
      <c r="F472" s="18">
        <f>'GİRDİ RAPORU'!F234</f>
        <v>20</v>
      </c>
      <c r="G472" s="18" t="str">
        <f>'GİRDİ RAPORU'!G234</f>
        <v>Ayar</v>
      </c>
      <c r="H472" s="18">
        <f>'GİRDİ RAPORU'!H234</f>
        <v>0</v>
      </c>
      <c r="I472" s="18" t="str">
        <f>'GİRDİ RAPORU'!I234</f>
        <v>Ar-ge Çalışması</v>
      </c>
      <c r="J472" s="18">
        <f>'GİRDİ RAPORU'!J1206</f>
        <v>0</v>
      </c>
      <c r="K472" s="18">
        <f>'GİRDİ RAPORU'!K1206</f>
        <v>0</v>
      </c>
      <c r="L472" s="18">
        <f>'GİRDİ RAPORU'!L1206</f>
        <v>0</v>
      </c>
      <c r="M472" s="26">
        <f t="shared" si="21"/>
        <v>0.57466666666666666</v>
      </c>
      <c r="N472" s="26">
        <f t="shared" si="22"/>
        <v>3.7037037037037035E-2</v>
      </c>
      <c r="O472" s="26">
        <f t="shared" si="23"/>
        <v>0.96296296296296291</v>
      </c>
    </row>
    <row r="473" spans="1:15" ht="21.75" hidden="1" customHeight="1">
      <c r="A473" s="17">
        <f>'GİRDİ RAPORU'!A237</f>
        <v>45335.858774421293</v>
      </c>
      <c r="B473" s="18">
        <f>'GİRDİ RAPORU'!B233</f>
        <v>2</v>
      </c>
      <c r="C473" s="18">
        <f>'GİRDİ RAPORU'!C233</f>
        <v>356</v>
      </c>
      <c r="D473" s="18">
        <f>'GİRDİ RAPORU'!D233</f>
        <v>168</v>
      </c>
      <c r="E473" s="18" t="str">
        <f>'GİRDİ RAPORU'!E233</f>
        <v>Normal Mesai</v>
      </c>
      <c r="F473" s="18">
        <f>'GİRDİ RAPORU'!F233</f>
        <v>20</v>
      </c>
      <c r="G473" s="18" t="str">
        <f>'GİRDİ RAPORU'!G233</f>
        <v>Ayar</v>
      </c>
      <c r="H473" s="18">
        <f>'GİRDİ RAPORU'!H233</f>
        <v>0</v>
      </c>
      <c r="I473" s="18" t="str">
        <f>'GİRDİ RAPORU'!I233</f>
        <v>Elektrik Kesilmesi</v>
      </c>
      <c r="J473" s="18">
        <f>'GİRDİ RAPORU'!J1205</f>
        <v>0</v>
      </c>
      <c r="K473" s="18">
        <f>'GİRDİ RAPORU'!K1205</f>
        <v>0</v>
      </c>
      <c r="L473" s="18">
        <f>'GİRDİ RAPORU'!L1205</f>
        <v>0</v>
      </c>
      <c r="M473" s="26">
        <f t="shared" si="21"/>
        <v>0.69866666666666666</v>
      </c>
      <c r="N473" s="26">
        <f t="shared" si="22"/>
        <v>3.7037037037037035E-2</v>
      </c>
      <c r="O473" s="26">
        <f t="shared" si="23"/>
        <v>0.96296296296296291</v>
      </c>
    </row>
    <row r="474" spans="1:15" ht="21.75" hidden="1" customHeight="1">
      <c r="A474" s="17">
        <f>'GİRDİ RAPORU'!A236</f>
        <v>45335.858710995373</v>
      </c>
      <c r="B474" s="18">
        <f>'GİRDİ RAPORU'!B232</f>
        <v>2</v>
      </c>
      <c r="C474" s="18">
        <f>'GİRDİ RAPORU'!C232</f>
        <v>280</v>
      </c>
      <c r="D474" s="18">
        <f>'GİRDİ RAPORU'!D232</f>
        <v>95</v>
      </c>
      <c r="E474" s="18" t="str">
        <f>'GİRDİ RAPORU'!E232</f>
        <v>Normal Mesai</v>
      </c>
      <c r="F474" s="18">
        <f>'GİRDİ RAPORU'!F232</f>
        <v>20</v>
      </c>
      <c r="G474" s="18" t="str">
        <f>'GİRDİ RAPORU'!G232</f>
        <v>Ayar</v>
      </c>
      <c r="H474" s="18">
        <f>'GİRDİ RAPORU'!H232</f>
        <v>0</v>
      </c>
      <c r="I474" s="18" t="str">
        <f>'GİRDİ RAPORU'!I232</f>
        <v>Elektrik Kesilmesi</v>
      </c>
      <c r="J474" s="18">
        <f>'GİRDİ RAPORU'!J1204</f>
        <v>0</v>
      </c>
      <c r="K474" s="18">
        <f>'GİRDİ RAPORU'!K1204</f>
        <v>0</v>
      </c>
      <c r="L474" s="18">
        <f>'GİRDİ RAPORU'!L1204</f>
        <v>0</v>
      </c>
      <c r="M474" s="26">
        <f t="shared" si="21"/>
        <v>0.5</v>
      </c>
      <c r="N474" s="26">
        <f t="shared" si="22"/>
        <v>3.7037037037037035E-2</v>
      </c>
      <c r="O474" s="26">
        <f t="shared" si="23"/>
        <v>0.96296296296296291</v>
      </c>
    </row>
    <row r="475" spans="1:15" ht="21.75" hidden="1" customHeight="1">
      <c r="A475" s="17">
        <f>'GİRDİ RAPORU'!A235</f>
        <v>45334.763809143522</v>
      </c>
      <c r="B475" s="18">
        <f>'GİRDİ RAPORU'!B231</f>
        <v>2</v>
      </c>
      <c r="C475" s="18">
        <f>'GİRDİ RAPORU'!C231</f>
        <v>250</v>
      </c>
      <c r="D475" s="18">
        <f>'GİRDİ RAPORU'!D231</f>
        <v>120</v>
      </c>
      <c r="E475" s="18" t="str">
        <f>'GİRDİ RAPORU'!E231</f>
        <v>Normal Mesai</v>
      </c>
      <c r="F475" s="18">
        <f>'GİRDİ RAPORU'!F231</f>
        <v>20</v>
      </c>
      <c r="G475" s="18" t="str">
        <f>'GİRDİ RAPORU'!G231</f>
        <v>Ayar</v>
      </c>
      <c r="H475" s="18">
        <f>'GİRDİ RAPORU'!H231</f>
        <v>50</v>
      </c>
      <c r="I475" s="18" t="str">
        <f>'GİRDİ RAPORU'!I231</f>
        <v>Elektrik Kesilmesi</v>
      </c>
      <c r="J475" s="18">
        <f>'GİRDİ RAPORU'!J1203</f>
        <v>0</v>
      </c>
      <c r="K475" s="18">
        <f>'GİRDİ RAPORU'!K1203</f>
        <v>0</v>
      </c>
      <c r="L475" s="18">
        <f>'GİRDİ RAPORU'!L1203</f>
        <v>0</v>
      </c>
      <c r="M475" s="26">
        <f t="shared" si="21"/>
        <v>0.49333333333333335</v>
      </c>
      <c r="N475" s="26">
        <f t="shared" si="22"/>
        <v>0.12962962962962962</v>
      </c>
      <c r="O475" s="26">
        <f t="shared" si="23"/>
        <v>0.87037037037037035</v>
      </c>
    </row>
    <row r="476" spans="1:15" ht="21.75" hidden="1" customHeight="1">
      <c r="A476" s="17">
        <f>'GİRDİ RAPORU'!A234</f>
        <v>45331.760539699077</v>
      </c>
      <c r="B476" s="18">
        <f>'GİRDİ RAPORU'!B230</f>
        <v>2</v>
      </c>
      <c r="C476" s="18">
        <f>'GİRDİ RAPORU'!C230</f>
        <v>350</v>
      </c>
      <c r="D476" s="18">
        <f>'GİRDİ RAPORU'!D230</f>
        <v>112</v>
      </c>
      <c r="E476" s="18" t="str">
        <f>'GİRDİ RAPORU'!E230</f>
        <v>Normal Mesai</v>
      </c>
      <c r="F476" s="18">
        <f>'GİRDİ RAPORU'!F230</f>
        <v>20</v>
      </c>
      <c r="G476" s="18" t="str">
        <f>'GİRDİ RAPORU'!G230</f>
        <v>Ayar</v>
      </c>
      <c r="H476" s="18">
        <f>'GİRDİ RAPORU'!H230</f>
        <v>0</v>
      </c>
      <c r="I476" s="18" t="str">
        <f>'GİRDİ RAPORU'!I230</f>
        <v>Temizlik</v>
      </c>
      <c r="J476" s="18">
        <f>'GİRDİ RAPORU'!J1202</f>
        <v>0</v>
      </c>
      <c r="K476" s="18">
        <f>'GİRDİ RAPORU'!K1202</f>
        <v>0</v>
      </c>
      <c r="L476" s="18">
        <f>'GİRDİ RAPORU'!L1202</f>
        <v>0</v>
      </c>
      <c r="M476" s="26">
        <f t="shared" si="21"/>
        <v>0.61599999999999999</v>
      </c>
      <c r="N476" s="26">
        <f t="shared" si="22"/>
        <v>3.7037037037037035E-2</v>
      </c>
      <c r="O476" s="26">
        <f t="shared" si="23"/>
        <v>0.96296296296296291</v>
      </c>
    </row>
    <row r="477" spans="1:15" ht="21.75" hidden="1" customHeight="1">
      <c r="A477" s="17">
        <f>'GİRDİ RAPORU'!A233</f>
        <v>45330.76509050926</v>
      </c>
      <c r="B477" s="18">
        <f>'GİRDİ RAPORU'!B229</f>
        <v>2</v>
      </c>
      <c r="C477" s="18">
        <f>'GİRDİ RAPORU'!C229</f>
        <v>250</v>
      </c>
      <c r="D477" s="18">
        <f>'GİRDİ RAPORU'!D229</f>
        <v>130</v>
      </c>
      <c r="E477" s="18" t="str">
        <f>'GİRDİ RAPORU'!E229</f>
        <v>Normal Mesai</v>
      </c>
      <c r="F477" s="18">
        <f>'GİRDİ RAPORU'!F229</f>
        <v>20</v>
      </c>
      <c r="G477" s="18" t="str">
        <f>'GİRDİ RAPORU'!G229</f>
        <v>Ayar</v>
      </c>
      <c r="H477" s="18">
        <f>'GİRDİ RAPORU'!H229</f>
        <v>10</v>
      </c>
      <c r="I477" s="18" t="str">
        <f>'GİRDİ RAPORU'!I229</f>
        <v>İş bekleme</v>
      </c>
      <c r="J477" s="18">
        <f>'GİRDİ RAPORU'!J1201</f>
        <v>0</v>
      </c>
      <c r="K477" s="18">
        <f>'GİRDİ RAPORU'!K1201</f>
        <v>0</v>
      </c>
      <c r="L477" s="18">
        <f>'GİRDİ RAPORU'!L1201</f>
        <v>0</v>
      </c>
      <c r="M477" s="26">
        <f t="shared" si="21"/>
        <v>0.50666666666666671</v>
      </c>
      <c r="N477" s="26">
        <f t="shared" si="22"/>
        <v>5.5555555555555552E-2</v>
      </c>
      <c r="O477" s="26">
        <f t="shared" si="23"/>
        <v>0.94444444444444442</v>
      </c>
    </row>
    <row r="478" spans="1:15" ht="21.75" hidden="1" customHeight="1">
      <c r="A478" s="17">
        <f>'GİRDİ RAPORU'!A232</f>
        <v>45329.764465162036</v>
      </c>
      <c r="B478" s="18">
        <f>'GİRDİ RAPORU'!B228</f>
        <v>2</v>
      </c>
      <c r="C478" s="18">
        <f>'GİRDİ RAPORU'!C228</f>
        <v>290</v>
      </c>
      <c r="D478" s="18">
        <f>'GİRDİ RAPORU'!D228</f>
        <v>100</v>
      </c>
      <c r="E478" s="18" t="str">
        <f>'GİRDİ RAPORU'!E228</f>
        <v>Normal Mesai</v>
      </c>
      <c r="F478" s="18">
        <f>'GİRDİ RAPORU'!F228</f>
        <v>50</v>
      </c>
      <c r="G478" s="18" t="str">
        <f>'GİRDİ RAPORU'!G228</f>
        <v>Ayar</v>
      </c>
      <c r="H478" s="18">
        <f>'GİRDİ RAPORU'!H228</f>
        <v>90</v>
      </c>
      <c r="I478" s="18" t="str">
        <f>'GİRDİ RAPORU'!I228</f>
        <v>Bakım/Onarım</v>
      </c>
      <c r="J478" s="18">
        <f>'GİRDİ RAPORU'!J1200</f>
        <v>0</v>
      </c>
      <c r="K478" s="18">
        <f>'GİRDİ RAPORU'!K1200</f>
        <v>0</v>
      </c>
      <c r="L478" s="18">
        <f>'GİRDİ RAPORU'!L1200</f>
        <v>0</v>
      </c>
      <c r="M478" s="26">
        <f t="shared" si="21"/>
        <v>0.52</v>
      </c>
      <c r="N478" s="26">
        <f t="shared" si="22"/>
        <v>0.25925925925925924</v>
      </c>
      <c r="O478" s="26">
        <f t="shared" si="23"/>
        <v>0.7407407407407407</v>
      </c>
    </row>
    <row r="479" spans="1:15" ht="21.75" hidden="1" customHeight="1">
      <c r="A479" s="17">
        <f>'GİRDİ RAPORU'!A231</f>
        <v>45328.763298379628</v>
      </c>
      <c r="B479" s="18">
        <f>'GİRDİ RAPORU'!B227</f>
        <v>2</v>
      </c>
      <c r="C479" s="18">
        <f>'GİRDİ RAPORU'!C227</f>
        <v>200</v>
      </c>
      <c r="D479" s="18">
        <f>'GİRDİ RAPORU'!D227</f>
        <v>70</v>
      </c>
      <c r="E479" s="18" t="str">
        <f>'GİRDİ RAPORU'!E227</f>
        <v>Normal Mesai</v>
      </c>
      <c r="F479" s="18">
        <f>'GİRDİ RAPORU'!F227</f>
        <v>50</v>
      </c>
      <c r="G479" s="18" t="str">
        <f>'GİRDİ RAPORU'!G227</f>
        <v>Ayar</v>
      </c>
      <c r="H479" s="18">
        <f>'GİRDİ RAPORU'!H227</f>
        <v>90</v>
      </c>
      <c r="I479" s="18" t="str">
        <f>'GİRDİ RAPORU'!I227</f>
        <v>Bakım/Onarım</v>
      </c>
      <c r="J479" s="18">
        <f>'GİRDİ RAPORU'!J1199</f>
        <v>0</v>
      </c>
      <c r="K479" s="18">
        <f>'GİRDİ RAPORU'!K1199</f>
        <v>0</v>
      </c>
      <c r="L479" s="18">
        <f>'GİRDİ RAPORU'!L1199</f>
        <v>0</v>
      </c>
      <c r="M479" s="26">
        <f t="shared" si="21"/>
        <v>0.36</v>
      </c>
      <c r="N479" s="26">
        <f t="shared" si="22"/>
        <v>0.25925925925925924</v>
      </c>
      <c r="O479" s="26">
        <f t="shared" si="23"/>
        <v>0.7407407407407407</v>
      </c>
    </row>
    <row r="480" spans="1:15" ht="21.75" hidden="1" customHeight="1">
      <c r="A480" s="17">
        <f>'GİRDİ RAPORU'!A230</f>
        <v>45327.761151620369</v>
      </c>
      <c r="B480" s="18">
        <f>'GİRDİ RAPORU'!B226</f>
        <v>2</v>
      </c>
      <c r="C480" s="18">
        <f>'GİRDİ RAPORU'!C226</f>
        <v>260</v>
      </c>
      <c r="D480" s="18">
        <f>'GİRDİ RAPORU'!D226</f>
        <v>120</v>
      </c>
      <c r="E480" s="18" t="str">
        <f>'GİRDİ RAPORU'!E226</f>
        <v>Normal Mesai</v>
      </c>
      <c r="F480" s="18">
        <f>'GİRDİ RAPORU'!F226</f>
        <v>20</v>
      </c>
      <c r="G480" s="18" t="str">
        <f>'GİRDİ RAPORU'!G226</f>
        <v>Ayar</v>
      </c>
      <c r="H480" s="18">
        <f>'GİRDİ RAPORU'!H226</f>
        <v>60</v>
      </c>
      <c r="I480" s="18" t="str">
        <f>'GİRDİ RAPORU'!I226</f>
        <v>Temizlik</v>
      </c>
      <c r="J480" s="18">
        <f>'GİRDİ RAPORU'!J1198</f>
        <v>0</v>
      </c>
      <c r="K480" s="18">
        <f>'GİRDİ RAPORU'!K1198</f>
        <v>0</v>
      </c>
      <c r="L480" s="18">
        <f>'GİRDİ RAPORU'!L1198</f>
        <v>0</v>
      </c>
      <c r="M480" s="26">
        <f t="shared" si="21"/>
        <v>0.50666666666666671</v>
      </c>
      <c r="N480" s="26">
        <f t="shared" si="22"/>
        <v>0.14814814814814814</v>
      </c>
      <c r="O480" s="26">
        <f t="shared" si="23"/>
        <v>0.85185185185185186</v>
      </c>
    </row>
    <row r="481" spans="1:15" ht="21.75" hidden="1" customHeight="1">
      <c r="A481" s="17">
        <f>'GİRDİ RAPORU'!A229</f>
        <v>45322.763497106484</v>
      </c>
      <c r="B481" s="18">
        <f>'GİRDİ RAPORU'!B225</f>
        <v>2</v>
      </c>
      <c r="C481" s="18">
        <f>'GİRDİ RAPORU'!C225</f>
        <v>230</v>
      </c>
      <c r="D481" s="18">
        <f>'GİRDİ RAPORU'!D225</f>
        <v>150</v>
      </c>
      <c r="E481" s="18" t="str">
        <f>'GİRDİ RAPORU'!E225</f>
        <v>Normal Mesai</v>
      </c>
      <c r="F481" s="18">
        <f>'GİRDİ RAPORU'!F225</f>
        <v>20</v>
      </c>
      <c r="G481" s="18" t="str">
        <f>'GİRDİ RAPORU'!G225</f>
        <v>Ayar</v>
      </c>
      <c r="H481" s="18">
        <f>'GİRDİ RAPORU'!H225</f>
        <v>20</v>
      </c>
      <c r="I481" s="18" t="str">
        <f>'GİRDİ RAPORU'!I225</f>
        <v>İş bekleme</v>
      </c>
      <c r="J481" s="18">
        <f>'GİRDİ RAPORU'!J1197</f>
        <v>0</v>
      </c>
      <c r="K481" s="18">
        <f>'GİRDİ RAPORU'!K1197</f>
        <v>0</v>
      </c>
      <c r="L481" s="18">
        <f>'GİRDİ RAPORU'!L1197</f>
        <v>0</v>
      </c>
      <c r="M481" s="26">
        <f t="shared" si="21"/>
        <v>0.50666666666666671</v>
      </c>
      <c r="N481" s="26">
        <f t="shared" si="22"/>
        <v>7.407407407407407E-2</v>
      </c>
      <c r="O481" s="26">
        <f t="shared" si="23"/>
        <v>0.92592592592592593</v>
      </c>
    </row>
    <row r="482" spans="1:15" ht="21.75" hidden="1" customHeight="1">
      <c r="A482" s="17">
        <f>'GİRDİ RAPORU'!A228</f>
        <v>45321.858616319441</v>
      </c>
      <c r="B482" s="18">
        <f>'GİRDİ RAPORU'!B224</f>
        <v>2</v>
      </c>
      <c r="C482" s="18">
        <f>'GİRDİ RAPORU'!C224</f>
        <v>230</v>
      </c>
      <c r="D482" s="18">
        <f>'GİRDİ RAPORU'!D224</f>
        <v>130</v>
      </c>
      <c r="E482" s="18" t="str">
        <f>'GİRDİ RAPORU'!E224</f>
        <v>Normal Mesai</v>
      </c>
      <c r="F482" s="18">
        <f>'GİRDİ RAPORU'!F224</f>
        <v>20</v>
      </c>
      <c r="G482" s="18" t="str">
        <f>'GİRDİ RAPORU'!G224</f>
        <v>Ayar</v>
      </c>
      <c r="H482" s="18">
        <f>'GİRDİ RAPORU'!H224</f>
        <v>20</v>
      </c>
      <c r="I482" s="18" t="str">
        <f>'GİRDİ RAPORU'!I224</f>
        <v>Ar-ge Çalışması</v>
      </c>
      <c r="J482" s="18">
        <f>'GİRDİ RAPORU'!J1196</f>
        <v>0</v>
      </c>
      <c r="K482" s="18">
        <f>'GİRDİ RAPORU'!K1196</f>
        <v>0</v>
      </c>
      <c r="L482" s="18">
        <f>'GİRDİ RAPORU'!L1196</f>
        <v>0</v>
      </c>
      <c r="M482" s="26">
        <f t="shared" si="21"/>
        <v>0.48</v>
      </c>
      <c r="N482" s="26">
        <f t="shared" si="22"/>
        <v>7.407407407407407E-2</v>
      </c>
      <c r="O482" s="26">
        <f t="shared" si="23"/>
        <v>0.92592592592592593</v>
      </c>
    </row>
    <row r="483" spans="1:15" ht="21.75" hidden="1" customHeight="1">
      <c r="A483" s="17">
        <f>'GİRDİ RAPORU'!A227</f>
        <v>45320.761221643515</v>
      </c>
      <c r="B483" s="18">
        <f>'GİRDİ RAPORU'!B223</f>
        <v>2</v>
      </c>
      <c r="C483" s="18">
        <f>'GİRDİ RAPORU'!C223</f>
        <v>250</v>
      </c>
      <c r="D483" s="18">
        <f>'GİRDİ RAPORU'!D223</f>
        <v>150</v>
      </c>
      <c r="E483" s="18" t="str">
        <f>'GİRDİ RAPORU'!E223</f>
        <v>Normal Mesai</v>
      </c>
      <c r="F483" s="18">
        <f>'GİRDİ RAPORU'!F223</f>
        <v>20</v>
      </c>
      <c r="G483" s="18" t="str">
        <f>'GİRDİ RAPORU'!G223</f>
        <v>Ayar</v>
      </c>
      <c r="H483" s="18">
        <f>'GİRDİ RAPORU'!H223</f>
        <v>30</v>
      </c>
      <c r="I483" s="18" t="str">
        <f>'GİRDİ RAPORU'!I223</f>
        <v>Ar-ge Çalışması</v>
      </c>
      <c r="J483" s="18">
        <f>'GİRDİ RAPORU'!J1195</f>
        <v>0</v>
      </c>
      <c r="K483" s="18">
        <f>'GİRDİ RAPORU'!K1195</f>
        <v>0</v>
      </c>
      <c r="L483" s="18">
        <f>'GİRDİ RAPORU'!L1195</f>
        <v>0</v>
      </c>
      <c r="M483" s="26">
        <f t="shared" si="21"/>
        <v>0.53333333333333333</v>
      </c>
      <c r="N483" s="26">
        <f t="shared" si="22"/>
        <v>9.2592592592592587E-2</v>
      </c>
      <c r="O483" s="26">
        <f t="shared" si="23"/>
        <v>0.90740740740740744</v>
      </c>
    </row>
    <row r="484" spans="1:15" ht="21.75" hidden="1" customHeight="1">
      <c r="A484" s="17">
        <f>'GİRDİ RAPORU'!A226</f>
        <v>45317.762395833335</v>
      </c>
      <c r="B484" s="18">
        <f>'GİRDİ RAPORU'!B222</f>
        <v>2</v>
      </c>
      <c r="C484" s="18">
        <f>'GİRDİ RAPORU'!C222</f>
        <v>289</v>
      </c>
      <c r="D484" s="18">
        <f>'GİRDİ RAPORU'!D222</f>
        <v>120</v>
      </c>
      <c r="E484" s="18" t="str">
        <f>'GİRDİ RAPORU'!E222</f>
        <v>Normal Mesai</v>
      </c>
      <c r="F484" s="18">
        <f>'GİRDİ RAPORU'!F222</f>
        <v>20</v>
      </c>
      <c r="G484" s="18" t="str">
        <f>'GİRDİ RAPORU'!G222</f>
        <v>Ayar</v>
      </c>
      <c r="H484" s="18">
        <f>'GİRDİ RAPORU'!H222</f>
        <v>40</v>
      </c>
      <c r="I484" s="18" t="str">
        <f>'GİRDİ RAPORU'!I222</f>
        <v>Ar-ge Çalışması</v>
      </c>
      <c r="J484" s="18">
        <f>'GİRDİ RAPORU'!J1194</f>
        <v>0</v>
      </c>
      <c r="K484" s="18">
        <f>'GİRDİ RAPORU'!K1194</f>
        <v>0</v>
      </c>
      <c r="L484" s="18">
        <f>'GİRDİ RAPORU'!L1194</f>
        <v>0</v>
      </c>
      <c r="M484" s="26">
        <f t="shared" si="21"/>
        <v>0.54533333333333334</v>
      </c>
      <c r="N484" s="26">
        <f t="shared" si="22"/>
        <v>0.1111111111111111</v>
      </c>
      <c r="O484" s="26">
        <f t="shared" si="23"/>
        <v>0.88888888888888884</v>
      </c>
    </row>
    <row r="485" spans="1:15" ht="21.75" hidden="1" customHeight="1">
      <c r="A485" s="17">
        <f>'GİRDİ RAPORU'!A225</f>
        <v>45316.764593749998</v>
      </c>
      <c r="B485" s="18">
        <f>'GİRDİ RAPORU'!B221</f>
        <v>2</v>
      </c>
      <c r="C485" s="18">
        <f>'GİRDİ RAPORU'!C221</f>
        <v>255</v>
      </c>
      <c r="D485" s="18">
        <f>'GİRDİ RAPORU'!D221</f>
        <v>213</v>
      </c>
      <c r="E485" s="18" t="str">
        <f>'GİRDİ RAPORU'!E221</f>
        <v>Normal Mesai</v>
      </c>
      <c r="F485" s="18">
        <f>'GİRDİ RAPORU'!F221</f>
        <v>20</v>
      </c>
      <c r="G485" s="18" t="str">
        <f>'GİRDİ RAPORU'!G221</f>
        <v>Ayar</v>
      </c>
      <c r="H485" s="18">
        <f>'GİRDİ RAPORU'!H221</f>
        <v>30</v>
      </c>
      <c r="I485" s="18" t="str">
        <f>'GİRDİ RAPORU'!I221</f>
        <v>Temizlik</v>
      </c>
      <c r="J485" s="18">
        <f>'GİRDİ RAPORU'!J1193</f>
        <v>0</v>
      </c>
      <c r="K485" s="18">
        <f>'GİRDİ RAPORU'!K1193</f>
        <v>0</v>
      </c>
      <c r="L485" s="18">
        <f>'GİRDİ RAPORU'!L1193</f>
        <v>0</v>
      </c>
      <c r="M485" s="26">
        <f t="shared" si="21"/>
        <v>0.624</v>
      </c>
      <c r="N485" s="26">
        <f t="shared" si="22"/>
        <v>9.2592592592592587E-2</v>
      </c>
      <c r="O485" s="26">
        <f t="shared" si="23"/>
        <v>0.90740740740740744</v>
      </c>
    </row>
    <row r="486" spans="1:15" ht="21.75" hidden="1" customHeight="1">
      <c r="A486" s="17">
        <f>'GİRDİ RAPORU'!A224</f>
        <v>45315.761836458332</v>
      </c>
      <c r="B486" s="18">
        <f>'GİRDİ RAPORU'!B220</f>
        <v>2</v>
      </c>
      <c r="C486" s="18">
        <f>'GİRDİ RAPORU'!C220</f>
        <v>350</v>
      </c>
      <c r="D486" s="18">
        <f>'GİRDİ RAPORU'!D220</f>
        <v>90</v>
      </c>
      <c r="E486" s="18" t="str">
        <f>'GİRDİ RAPORU'!E220</f>
        <v>Normal Mesai</v>
      </c>
      <c r="F486" s="18">
        <f>'GİRDİ RAPORU'!F220</f>
        <v>20</v>
      </c>
      <c r="G486" s="18" t="str">
        <f>'GİRDİ RAPORU'!G220</f>
        <v>Ayar</v>
      </c>
      <c r="H486" s="18">
        <f>'GİRDİ RAPORU'!H220</f>
        <v>30</v>
      </c>
      <c r="I486" s="18" t="str">
        <f>'GİRDİ RAPORU'!I220</f>
        <v>İş bekleme</v>
      </c>
      <c r="J486" s="18">
        <f>'GİRDİ RAPORU'!J1192</f>
        <v>0</v>
      </c>
      <c r="K486" s="18">
        <f>'GİRDİ RAPORU'!K1192</f>
        <v>0</v>
      </c>
      <c r="L486" s="18">
        <f>'GİRDİ RAPORU'!L1192</f>
        <v>0</v>
      </c>
      <c r="M486" s="26">
        <f t="shared" si="21"/>
        <v>0.58666666666666667</v>
      </c>
      <c r="N486" s="26">
        <f t="shared" si="22"/>
        <v>9.2592592592592587E-2</v>
      </c>
      <c r="O486" s="26">
        <f t="shared" si="23"/>
        <v>0.90740740740740744</v>
      </c>
    </row>
    <row r="487" spans="1:15" ht="21.75" hidden="1" customHeight="1">
      <c r="A487" s="17">
        <f>'GİRDİ RAPORU'!A223</f>
        <v>45314.762951157405</v>
      </c>
      <c r="B487" s="18">
        <f>'GİRDİ RAPORU'!B219</f>
        <v>2</v>
      </c>
      <c r="C487" s="18">
        <f>'GİRDİ RAPORU'!C219</f>
        <v>410</v>
      </c>
      <c r="D487" s="18">
        <f>'GİRDİ RAPORU'!D219</f>
        <v>80</v>
      </c>
      <c r="E487" s="18" t="str">
        <f>'GİRDİ RAPORU'!E219</f>
        <v>Fazla Mesai</v>
      </c>
      <c r="F487" s="18">
        <f>'GİRDİ RAPORU'!F219</f>
        <v>20</v>
      </c>
      <c r="G487" s="18" t="str">
        <f>'GİRDİ RAPORU'!G219</f>
        <v>Ayar</v>
      </c>
      <c r="H487" s="18">
        <f>'GİRDİ RAPORU'!H219</f>
        <v>20</v>
      </c>
      <c r="I487" s="18" t="str">
        <f>'GİRDİ RAPORU'!I219</f>
        <v>Ar-ge Çalışması</v>
      </c>
      <c r="J487" s="18">
        <f>'GİRDİ RAPORU'!J1191</f>
        <v>0</v>
      </c>
      <c r="K487" s="18">
        <f>'GİRDİ RAPORU'!K1191</f>
        <v>0</v>
      </c>
      <c r="L487" s="18">
        <f>'GİRDİ RAPORU'!L1191</f>
        <v>0</v>
      </c>
      <c r="M487" s="26">
        <f t="shared" si="21"/>
        <v>0.65333333333333332</v>
      </c>
      <c r="N487" s="26">
        <f t="shared" si="22"/>
        <v>7.407407407407407E-2</v>
      </c>
      <c r="O487" s="26">
        <f t="shared" si="23"/>
        <v>0.92592592592592593</v>
      </c>
    </row>
    <row r="488" spans="1:15" ht="21.75" hidden="1" customHeight="1">
      <c r="A488" s="17">
        <f>'GİRDİ RAPORU'!A222</f>
        <v>45313.76209837963</v>
      </c>
      <c r="B488" s="18">
        <f>'GİRDİ RAPORU'!B218</f>
        <v>2</v>
      </c>
      <c r="C488" s="18">
        <f>'GİRDİ RAPORU'!C218</f>
        <v>290</v>
      </c>
      <c r="D488" s="18">
        <f>'GİRDİ RAPORU'!D218</f>
        <v>76</v>
      </c>
      <c r="E488" s="18" t="str">
        <f>'GİRDİ RAPORU'!E218</f>
        <v>Fazla Mesai</v>
      </c>
      <c r="F488" s="18">
        <f>'GİRDİ RAPORU'!F218</f>
        <v>20</v>
      </c>
      <c r="G488" s="18" t="str">
        <f>'GİRDİ RAPORU'!G218</f>
        <v>Ayar</v>
      </c>
      <c r="H488" s="18">
        <f>'GİRDİ RAPORU'!H218</f>
        <v>150</v>
      </c>
      <c r="I488" s="18" t="str">
        <f>'GİRDİ RAPORU'!I218</f>
        <v>Ar-ge Çalışması</v>
      </c>
      <c r="J488" s="18">
        <f>'GİRDİ RAPORU'!J1190</f>
        <v>0</v>
      </c>
      <c r="K488" s="18">
        <f>'GİRDİ RAPORU'!K1190</f>
        <v>0</v>
      </c>
      <c r="L488" s="18">
        <f>'GİRDİ RAPORU'!L1190</f>
        <v>0</v>
      </c>
      <c r="M488" s="26">
        <f t="shared" si="21"/>
        <v>0.48799999999999999</v>
      </c>
      <c r="N488" s="26">
        <f t="shared" si="22"/>
        <v>0.31481481481481483</v>
      </c>
      <c r="O488" s="26">
        <f t="shared" si="23"/>
        <v>0.68518518518518523</v>
      </c>
    </row>
    <row r="489" spans="1:15" ht="21.75" hidden="1" customHeight="1">
      <c r="A489" s="17">
        <f>'GİRDİ RAPORU'!A221</f>
        <v>45310.759826388887</v>
      </c>
      <c r="B489" s="18">
        <f>'GİRDİ RAPORU'!B217</f>
        <v>2</v>
      </c>
      <c r="C489" s="18">
        <f>'GİRDİ RAPORU'!C217</f>
        <v>320</v>
      </c>
      <c r="D489" s="18">
        <f>'GİRDİ RAPORU'!D217</f>
        <v>138</v>
      </c>
      <c r="E489" s="18" t="str">
        <f>'GİRDİ RAPORU'!E217</f>
        <v>Fazla Mesai</v>
      </c>
      <c r="F489" s="18">
        <f>'GİRDİ RAPORU'!F217</f>
        <v>20</v>
      </c>
      <c r="G489" s="18" t="str">
        <f>'GİRDİ RAPORU'!G217</f>
        <v>Ayar</v>
      </c>
      <c r="H489" s="18">
        <f>'GİRDİ RAPORU'!H217</f>
        <v>90</v>
      </c>
      <c r="I489" s="18" t="str">
        <f>'GİRDİ RAPORU'!I217</f>
        <v>Makine Arızası</v>
      </c>
      <c r="J489" s="18">
        <f>'GİRDİ RAPORU'!J1189</f>
        <v>0</v>
      </c>
      <c r="K489" s="18">
        <f>'GİRDİ RAPORU'!K1189</f>
        <v>0</v>
      </c>
      <c r="L489" s="18">
        <f>'GİRDİ RAPORU'!L1189</f>
        <v>0</v>
      </c>
      <c r="M489" s="26">
        <f t="shared" si="21"/>
        <v>0.61066666666666669</v>
      </c>
      <c r="N489" s="26">
        <f t="shared" si="22"/>
        <v>0.20370370370370369</v>
      </c>
      <c r="O489" s="26">
        <f t="shared" si="23"/>
        <v>0.79629629629629628</v>
      </c>
    </row>
    <row r="490" spans="1:15" ht="21.75" hidden="1" customHeight="1">
      <c r="A490" s="17">
        <f>'GİRDİ RAPORU'!A220</f>
        <v>45309.764119328705</v>
      </c>
      <c r="B490" s="18">
        <f>'GİRDİ RAPORU'!B216</f>
        <v>2</v>
      </c>
      <c r="C490" s="18">
        <f>'GİRDİ RAPORU'!C216</f>
        <v>250</v>
      </c>
      <c r="D490" s="18">
        <f>'GİRDİ RAPORU'!D216</f>
        <v>10</v>
      </c>
      <c r="E490" s="18" t="str">
        <f>'GİRDİ RAPORU'!E216</f>
        <v>Normal Mesai</v>
      </c>
      <c r="F490" s="18">
        <f>'GİRDİ RAPORU'!F216</f>
        <v>25</v>
      </c>
      <c r="G490" s="18" t="str">
        <f>'GİRDİ RAPORU'!G216</f>
        <v>Ayar</v>
      </c>
      <c r="H490" s="18">
        <f>'GİRDİ RAPORU'!H216</f>
        <v>0</v>
      </c>
      <c r="I490" s="18">
        <f>'GİRDİ RAPORU'!I216</f>
        <v>0</v>
      </c>
      <c r="J490" s="18">
        <f>'GİRDİ RAPORU'!J1188</f>
        <v>0</v>
      </c>
      <c r="K490" s="18">
        <f>'GİRDİ RAPORU'!K1188</f>
        <v>0</v>
      </c>
      <c r="L490" s="18">
        <f>'GİRDİ RAPORU'!L1188</f>
        <v>0</v>
      </c>
      <c r="M490" s="26">
        <f t="shared" si="21"/>
        <v>0.34666666666666668</v>
      </c>
      <c r="N490" s="26">
        <f t="shared" si="22"/>
        <v>4.6296296296296294E-2</v>
      </c>
      <c r="O490" s="26">
        <f t="shared" si="23"/>
        <v>0.95370370370370372</v>
      </c>
    </row>
    <row r="491" spans="1:15" ht="21.75" hidden="1" customHeight="1">
      <c r="A491" s="17">
        <f>'GİRDİ RAPORU'!A219</f>
        <v>45308.858019675929</v>
      </c>
      <c r="B491" s="18">
        <f>'GİRDİ RAPORU'!B215</f>
        <v>2</v>
      </c>
      <c r="C491" s="18">
        <f>'GİRDİ RAPORU'!C215</f>
        <v>150</v>
      </c>
      <c r="D491" s="18">
        <f>'GİRDİ RAPORU'!D215</f>
        <v>70</v>
      </c>
      <c r="E491" s="18" t="str">
        <f>'GİRDİ RAPORU'!E215</f>
        <v>Normal Mesai</v>
      </c>
      <c r="F491" s="18">
        <f>'GİRDİ RAPORU'!F215</f>
        <v>20</v>
      </c>
      <c r="G491" s="18" t="str">
        <f>'GİRDİ RAPORU'!G215</f>
        <v>Ayar</v>
      </c>
      <c r="H491" s="18">
        <f>'GİRDİ RAPORU'!H215</f>
        <v>240</v>
      </c>
      <c r="I491" s="18" t="str">
        <f>'GİRDİ RAPORU'!I215</f>
        <v>Ar-ge Çalışması</v>
      </c>
      <c r="J491" s="18">
        <f>'GİRDİ RAPORU'!J1187</f>
        <v>0</v>
      </c>
      <c r="K491" s="18">
        <f>'GİRDİ RAPORU'!K1187</f>
        <v>0</v>
      </c>
      <c r="L491" s="18">
        <f>'GİRDİ RAPORU'!L1187</f>
        <v>0</v>
      </c>
      <c r="M491" s="26">
        <f t="shared" si="21"/>
        <v>0.29333333333333333</v>
      </c>
      <c r="N491" s="26">
        <f t="shared" si="22"/>
        <v>0.48148148148148145</v>
      </c>
      <c r="O491" s="26">
        <f t="shared" si="23"/>
        <v>0.51851851851851849</v>
      </c>
    </row>
    <row r="492" spans="1:15" ht="21.75" hidden="1" customHeight="1">
      <c r="A492" s="17">
        <f>'GİRDİ RAPORU'!A218</f>
        <v>45307.859329629631</v>
      </c>
      <c r="B492" s="18">
        <f>'GİRDİ RAPORU'!B214</f>
        <v>2</v>
      </c>
      <c r="C492" s="18">
        <f>'GİRDİ RAPORU'!C214</f>
        <v>350</v>
      </c>
      <c r="D492" s="18">
        <f>'GİRDİ RAPORU'!D214</f>
        <v>110</v>
      </c>
      <c r="E492" s="18" t="str">
        <f>'GİRDİ RAPORU'!E214</f>
        <v>Fazla Mesai</v>
      </c>
      <c r="F492" s="18">
        <f>'GİRDİ RAPORU'!F214</f>
        <v>20</v>
      </c>
      <c r="G492" s="18" t="str">
        <f>'GİRDİ RAPORU'!G214</f>
        <v>Ayar</v>
      </c>
      <c r="H492" s="18">
        <f>'GİRDİ RAPORU'!H214</f>
        <v>30</v>
      </c>
      <c r="I492" s="18" t="str">
        <f>'GİRDİ RAPORU'!I214</f>
        <v>Ar-ge Çalışması</v>
      </c>
      <c r="J492" s="18">
        <f>'GİRDİ RAPORU'!J1186</f>
        <v>0</v>
      </c>
      <c r="K492" s="18">
        <f>'GİRDİ RAPORU'!K1186</f>
        <v>0</v>
      </c>
      <c r="L492" s="18">
        <f>'GİRDİ RAPORU'!L1186</f>
        <v>0</v>
      </c>
      <c r="M492" s="26">
        <f t="shared" si="21"/>
        <v>0.61333333333333329</v>
      </c>
      <c r="N492" s="26">
        <f t="shared" si="22"/>
        <v>9.2592592592592587E-2</v>
      </c>
      <c r="O492" s="26">
        <f t="shared" si="23"/>
        <v>0.90740740740740744</v>
      </c>
    </row>
    <row r="493" spans="1:15" ht="21.75" hidden="1" customHeight="1">
      <c r="A493" s="17">
        <f>'GİRDİ RAPORU'!A217</f>
        <v>45306.857914004628</v>
      </c>
      <c r="B493" s="18">
        <f>'GİRDİ RAPORU'!B213</f>
        <v>2</v>
      </c>
      <c r="C493" s="18">
        <f>'GİRDİ RAPORU'!C213</f>
        <v>390</v>
      </c>
      <c r="D493" s="18">
        <f>'GİRDİ RAPORU'!D213</f>
        <v>77</v>
      </c>
      <c r="E493" s="18" t="str">
        <f>'GİRDİ RAPORU'!E213</f>
        <v>Normal Mesai</v>
      </c>
      <c r="F493" s="18">
        <f>'GİRDİ RAPORU'!F213</f>
        <v>20</v>
      </c>
      <c r="G493" s="18" t="str">
        <f>'GİRDİ RAPORU'!G213</f>
        <v>Ayar</v>
      </c>
      <c r="H493" s="18">
        <f>'GİRDİ RAPORU'!H213</f>
        <v>0</v>
      </c>
      <c r="I493" s="18">
        <f>'GİRDİ RAPORU'!I213</f>
        <v>0</v>
      </c>
      <c r="J493" s="18">
        <f>'GİRDİ RAPORU'!J1185</f>
        <v>0</v>
      </c>
      <c r="K493" s="18">
        <f>'GİRDİ RAPORU'!K1185</f>
        <v>0</v>
      </c>
      <c r="L493" s="18">
        <f>'GİRDİ RAPORU'!L1185</f>
        <v>0</v>
      </c>
      <c r="M493" s="26">
        <f t="shared" si="21"/>
        <v>0.6226666666666667</v>
      </c>
      <c r="N493" s="26">
        <f t="shared" si="22"/>
        <v>3.7037037037037035E-2</v>
      </c>
      <c r="O493" s="26">
        <f t="shared" si="23"/>
        <v>0.96296296296296291</v>
      </c>
    </row>
    <row r="494" spans="1:15" ht="21.75" hidden="1" customHeight="1">
      <c r="A494" s="17">
        <f>'GİRDİ RAPORU'!A216</f>
        <v>45303.764097222222</v>
      </c>
      <c r="B494" s="18">
        <f>'GİRDİ RAPORU'!B212</f>
        <v>2</v>
      </c>
      <c r="C494" s="18">
        <f>'GİRDİ RAPORU'!C212</f>
        <v>350</v>
      </c>
      <c r="D494" s="18">
        <f>'GİRDİ RAPORU'!D212</f>
        <v>109</v>
      </c>
      <c r="E494" s="18" t="str">
        <f>'GİRDİ RAPORU'!E212</f>
        <v>Normal Mesai</v>
      </c>
      <c r="F494" s="18">
        <f>'GİRDİ RAPORU'!F212</f>
        <v>20</v>
      </c>
      <c r="G494" s="18" t="str">
        <f>'GİRDİ RAPORU'!G212</f>
        <v>Ayar</v>
      </c>
      <c r="H494" s="18">
        <f>'GİRDİ RAPORU'!H212</f>
        <v>60</v>
      </c>
      <c r="I494" s="18" t="str">
        <f>'GİRDİ RAPORU'!I212</f>
        <v>Ar-ge Çalışması</v>
      </c>
      <c r="J494" s="18">
        <f>'GİRDİ RAPORU'!J1184</f>
        <v>0</v>
      </c>
      <c r="K494" s="18">
        <f>'GİRDİ RAPORU'!K1184</f>
        <v>0</v>
      </c>
      <c r="L494" s="18">
        <f>'GİRDİ RAPORU'!L1184</f>
        <v>0</v>
      </c>
      <c r="M494" s="26">
        <f t="shared" si="21"/>
        <v>0.61199999999999999</v>
      </c>
      <c r="N494" s="26">
        <f t="shared" si="22"/>
        <v>0.14814814814814814</v>
      </c>
      <c r="O494" s="26">
        <f t="shared" si="23"/>
        <v>0.85185185185185186</v>
      </c>
    </row>
    <row r="495" spans="1:15" ht="21.75" hidden="1" customHeight="1">
      <c r="A495" s="17">
        <f>'GİRDİ RAPORU'!A215</f>
        <v>45302.762401273147</v>
      </c>
      <c r="B495" s="18">
        <f>'GİRDİ RAPORU'!B211</f>
        <v>2</v>
      </c>
      <c r="C495" s="18">
        <f>'GİRDİ RAPORU'!C211</f>
        <v>250</v>
      </c>
      <c r="D495" s="18">
        <f>'GİRDİ RAPORU'!D211</f>
        <v>139</v>
      </c>
      <c r="E495" s="18" t="str">
        <f>'GİRDİ RAPORU'!E211</f>
        <v>Normal Mesai</v>
      </c>
      <c r="F495" s="18">
        <f>'GİRDİ RAPORU'!F211</f>
        <v>20</v>
      </c>
      <c r="G495" s="18" t="str">
        <f>'GİRDİ RAPORU'!G211</f>
        <v>Ayar</v>
      </c>
      <c r="H495" s="18">
        <f>'GİRDİ RAPORU'!H211</f>
        <v>20</v>
      </c>
      <c r="I495" s="18" t="str">
        <f>'GİRDİ RAPORU'!I211</f>
        <v>Kompresör Arızası</v>
      </c>
      <c r="J495" s="18">
        <f>'GİRDİ RAPORU'!J1183</f>
        <v>0</v>
      </c>
      <c r="K495" s="18">
        <f>'GİRDİ RAPORU'!K1183</f>
        <v>0</v>
      </c>
      <c r="L495" s="18">
        <f>'GİRDİ RAPORU'!L1183</f>
        <v>0</v>
      </c>
      <c r="M495" s="26">
        <f t="shared" si="21"/>
        <v>0.51866666666666672</v>
      </c>
      <c r="N495" s="26">
        <f t="shared" si="22"/>
        <v>7.407407407407407E-2</v>
      </c>
      <c r="O495" s="26">
        <f t="shared" si="23"/>
        <v>0.92592592592592593</v>
      </c>
    </row>
    <row r="496" spans="1:15" ht="21.75" hidden="1" customHeight="1">
      <c r="A496" s="17">
        <f>'GİRDİ RAPORU'!A214</f>
        <v>45301.85592800926</v>
      </c>
      <c r="B496" s="18">
        <f>'GİRDİ RAPORU'!B210</f>
        <v>2</v>
      </c>
      <c r="C496" s="18">
        <f>'GİRDİ RAPORU'!C210</f>
        <v>175</v>
      </c>
      <c r="D496" s="18">
        <f>'GİRDİ RAPORU'!D210</f>
        <v>60</v>
      </c>
      <c r="E496" s="18" t="str">
        <f>'GİRDİ RAPORU'!E210</f>
        <v>Normal Mesai</v>
      </c>
      <c r="F496" s="18">
        <f>'GİRDİ RAPORU'!F210</f>
        <v>20</v>
      </c>
      <c r="G496" s="18" t="str">
        <f>'GİRDİ RAPORU'!G210</f>
        <v>Ayar</v>
      </c>
      <c r="H496" s="18">
        <f>'GİRDİ RAPORU'!H210</f>
        <v>250</v>
      </c>
      <c r="I496" s="18" t="str">
        <f>'GİRDİ RAPORU'!I210</f>
        <v>İş bekleme</v>
      </c>
      <c r="J496" s="18">
        <f>'GİRDİ RAPORU'!J1182</f>
        <v>0</v>
      </c>
      <c r="K496" s="18">
        <f>'GİRDİ RAPORU'!K1182</f>
        <v>0</v>
      </c>
      <c r="L496" s="18">
        <f>'GİRDİ RAPORU'!L1182</f>
        <v>0</v>
      </c>
      <c r="M496" s="26">
        <f t="shared" si="21"/>
        <v>0.31333333333333335</v>
      </c>
      <c r="N496" s="26">
        <f t="shared" si="22"/>
        <v>0.5</v>
      </c>
      <c r="O496" s="26">
        <f t="shared" si="23"/>
        <v>0.5</v>
      </c>
    </row>
    <row r="497" spans="1:15" ht="21.75" hidden="1" customHeight="1">
      <c r="A497" s="17">
        <f>'GİRDİ RAPORU'!A213</f>
        <v>45300.861385763892</v>
      </c>
      <c r="B497" s="18">
        <f>'GİRDİ RAPORU'!B209</f>
        <v>2</v>
      </c>
      <c r="C497" s="18">
        <f>'GİRDİ RAPORU'!C209</f>
        <v>273</v>
      </c>
      <c r="D497" s="18">
        <f>'GİRDİ RAPORU'!D209</f>
        <v>95</v>
      </c>
      <c r="E497" s="18" t="str">
        <f>'GİRDİ RAPORU'!E209</f>
        <v>Normal Mesai</v>
      </c>
      <c r="F497" s="18">
        <f>'GİRDİ RAPORU'!F209</f>
        <v>20</v>
      </c>
      <c r="G497" s="18" t="str">
        <f>'GİRDİ RAPORU'!G209</f>
        <v>Ayar</v>
      </c>
      <c r="H497" s="18">
        <f>'GİRDİ RAPORU'!H209</f>
        <v>180</v>
      </c>
      <c r="I497" s="18" t="str">
        <f>'GİRDİ RAPORU'!I209</f>
        <v>Ar-ge Çalışması</v>
      </c>
      <c r="J497" s="18">
        <f>'GİRDİ RAPORU'!J1181</f>
        <v>0</v>
      </c>
      <c r="K497" s="18">
        <f>'GİRDİ RAPORU'!K1181</f>
        <v>0</v>
      </c>
      <c r="L497" s="18">
        <f>'GİRDİ RAPORU'!L1181</f>
        <v>0</v>
      </c>
      <c r="M497" s="26">
        <f t="shared" si="21"/>
        <v>0.49066666666666664</v>
      </c>
      <c r="N497" s="26">
        <f t="shared" si="22"/>
        <v>0.37037037037037035</v>
      </c>
      <c r="O497" s="26">
        <f t="shared" si="23"/>
        <v>0.62962962962962965</v>
      </c>
    </row>
    <row r="498" spans="1:15" ht="21.75" hidden="1" customHeight="1">
      <c r="A498" s="17">
        <f>'GİRDİ RAPORU'!A212</f>
        <v>45299.855790624999</v>
      </c>
      <c r="B498" s="18">
        <f>'GİRDİ RAPORU'!B208</f>
        <v>2</v>
      </c>
      <c r="C498" s="18">
        <f>'GİRDİ RAPORU'!C208</f>
        <v>150</v>
      </c>
      <c r="D498" s="18">
        <f>'GİRDİ RAPORU'!D208</f>
        <v>250</v>
      </c>
      <c r="E498" s="18" t="str">
        <f>'GİRDİ RAPORU'!E208</f>
        <v>Normal Mesai</v>
      </c>
      <c r="F498" s="18">
        <f>'GİRDİ RAPORU'!F208</f>
        <v>20</v>
      </c>
      <c r="G498" s="18" t="str">
        <f>'GİRDİ RAPORU'!G208</f>
        <v>Ayar</v>
      </c>
      <c r="H498" s="18">
        <f>'GİRDİ RAPORU'!H208</f>
        <v>60</v>
      </c>
      <c r="I498" s="18" t="str">
        <f>'GİRDİ RAPORU'!I208</f>
        <v>Ar-ge Çalışması</v>
      </c>
      <c r="J498" s="18">
        <f>'GİRDİ RAPORU'!J1180</f>
        <v>0</v>
      </c>
      <c r="K498" s="18">
        <f>'GİRDİ RAPORU'!K1180</f>
        <v>0</v>
      </c>
      <c r="L498" s="18">
        <f>'GİRDİ RAPORU'!L1180</f>
        <v>0</v>
      </c>
      <c r="M498" s="26">
        <f t="shared" si="21"/>
        <v>0.53333333333333333</v>
      </c>
      <c r="N498" s="26">
        <f t="shared" si="22"/>
        <v>0.14814814814814814</v>
      </c>
      <c r="O498" s="26">
        <f t="shared" si="23"/>
        <v>0.85185185185185186</v>
      </c>
    </row>
    <row r="499" spans="1:15" ht="21.75" hidden="1" customHeight="1">
      <c r="A499" s="17">
        <f>'GİRDİ RAPORU'!A211</f>
        <v>45297.725113541666</v>
      </c>
      <c r="B499" s="18">
        <f>'GİRDİ RAPORU'!B207</f>
        <v>2</v>
      </c>
      <c r="C499" s="18">
        <f>'GİRDİ RAPORU'!C207</f>
        <v>360</v>
      </c>
      <c r="D499" s="18">
        <f>'GİRDİ RAPORU'!D207</f>
        <v>145</v>
      </c>
      <c r="E499" s="18" t="str">
        <f>'GİRDİ RAPORU'!E207</f>
        <v>Normal Mesai</v>
      </c>
      <c r="F499" s="18">
        <f>'GİRDİ RAPORU'!F207</f>
        <v>20</v>
      </c>
      <c r="G499" s="18" t="str">
        <f>'GİRDİ RAPORU'!G207</f>
        <v>Ayar</v>
      </c>
      <c r="H499" s="18">
        <f>'GİRDİ RAPORU'!H207</f>
        <v>45</v>
      </c>
      <c r="I499" s="18" t="str">
        <f>'GİRDİ RAPORU'!I207</f>
        <v>Ar-ge Çalışması</v>
      </c>
      <c r="J499" s="18">
        <f>'GİRDİ RAPORU'!J1179</f>
        <v>0</v>
      </c>
      <c r="K499" s="18">
        <f>'GİRDİ RAPORU'!K1179</f>
        <v>0</v>
      </c>
      <c r="L499" s="18">
        <f>'GİRDİ RAPORU'!L1179</f>
        <v>0</v>
      </c>
      <c r="M499" s="26">
        <f t="shared" si="21"/>
        <v>0.67333333333333334</v>
      </c>
      <c r="N499" s="26">
        <f t="shared" si="22"/>
        <v>0.12037037037037036</v>
      </c>
      <c r="O499" s="26">
        <f t="shared" si="23"/>
        <v>0.87962962962962965</v>
      </c>
    </row>
    <row r="500" spans="1:15" ht="21.75" hidden="1" customHeight="1">
      <c r="A500" s="17">
        <f>'GİRDİ RAPORU'!A210</f>
        <v>45296.853845717589</v>
      </c>
      <c r="B500" s="18">
        <f>'GİRDİ RAPORU'!B206</f>
        <v>2</v>
      </c>
      <c r="C500" s="18">
        <f>'GİRDİ RAPORU'!C206</f>
        <v>290</v>
      </c>
      <c r="D500" s="18">
        <f>'GİRDİ RAPORU'!D206</f>
        <v>85</v>
      </c>
      <c r="E500" s="18" t="str">
        <f>'GİRDİ RAPORU'!E206</f>
        <v>Normal Mesai</v>
      </c>
      <c r="F500" s="18">
        <f>'GİRDİ RAPORU'!F206</f>
        <v>20</v>
      </c>
      <c r="G500" s="18" t="str">
        <f>'GİRDİ RAPORU'!G206</f>
        <v>Ayar</v>
      </c>
      <c r="H500" s="18">
        <f>'GİRDİ RAPORU'!H206</f>
        <v>60</v>
      </c>
      <c r="I500" s="18" t="str">
        <f>'GİRDİ RAPORU'!I206</f>
        <v>Ar-ge Çalışması</v>
      </c>
      <c r="J500" s="18">
        <f>'GİRDİ RAPORU'!J1178</f>
        <v>0</v>
      </c>
      <c r="K500" s="18">
        <f>'GİRDİ RAPORU'!K1178</f>
        <v>0</v>
      </c>
      <c r="L500" s="18">
        <f>'GİRDİ RAPORU'!L1178</f>
        <v>0</v>
      </c>
      <c r="M500" s="26">
        <f t="shared" si="21"/>
        <v>0.5</v>
      </c>
      <c r="N500" s="26">
        <f t="shared" si="22"/>
        <v>0.14814814814814814</v>
      </c>
      <c r="O500" s="26">
        <f t="shared" si="23"/>
        <v>0.85185185185185186</v>
      </c>
    </row>
    <row r="501" spans="1:15" ht="21.75" hidden="1" customHeight="1">
      <c r="A501" s="17">
        <f>'GİRDİ RAPORU'!A209</f>
        <v>45295.856416435185</v>
      </c>
      <c r="B501" s="18">
        <f>'GİRDİ RAPORU'!B205</f>
        <v>2</v>
      </c>
      <c r="C501" s="18">
        <f>'GİRDİ RAPORU'!C205</f>
        <v>235</v>
      </c>
      <c r="D501" s="18">
        <f>'GİRDİ RAPORU'!D205</f>
        <v>120</v>
      </c>
      <c r="E501" s="18" t="str">
        <f>'GİRDİ RAPORU'!E205</f>
        <v>Normal Mesai</v>
      </c>
      <c r="F501" s="18">
        <f>'GİRDİ RAPORU'!F205</f>
        <v>20</v>
      </c>
      <c r="G501" s="18" t="str">
        <f>'GİRDİ RAPORU'!G205</f>
        <v>Ayar</v>
      </c>
      <c r="H501" s="18">
        <f>'GİRDİ RAPORU'!H205</f>
        <v>60</v>
      </c>
      <c r="I501" s="18" t="str">
        <f>'GİRDİ RAPORU'!I205</f>
        <v>Ar-ge Çalışması</v>
      </c>
      <c r="J501" s="18">
        <f>'GİRDİ RAPORU'!J1177</f>
        <v>0</v>
      </c>
      <c r="K501" s="18">
        <f>'GİRDİ RAPORU'!K1177</f>
        <v>0</v>
      </c>
      <c r="L501" s="18">
        <f>'GİRDİ RAPORU'!L1177</f>
        <v>0</v>
      </c>
      <c r="M501" s="26">
        <f t="shared" si="21"/>
        <v>0.47333333333333333</v>
      </c>
      <c r="N501" s="26">
        <f t="shared" si="22"/>
        <v>0.14814814814814814</v>
      </c>
      <c r="O501" s="26">
        <f t="shared" si="23"/>
        <v>0.85185185185185186</v>
      </c>
    </row>
    <row r="502" spans="1:15" ht="21.75" hidden="1" customHeight="1">
      <c r="A502" s="17">
        <f>'GİRDİ RAPORU'!A208</f>
        <v>45294.856875925929</v>
      </c>
      <c r="B502" s="18">
        <f>'GİRDİ RAPORU'!B204</f>
        <v>2</v>
      </c>
      <c r="C502" s="18">
        <f>'GİRDİ RAPORU'!C204</f>
        <v>215</v>
      </c>
      <c r="D502" s="18">
        <f>'GİRDİ RAPORU'!D204</f>
        <v>130</v>
      </c>
      <c r="E502" s="18" t="str">
        <f>'GİRDİ RAPORU'!E204</f>
        <v>Normal Mesai</v>
      </c>
      <c r="F502" s="18">
        <f>'GİRDİ RAPORU'!F204</f>
        <v>20</v>
      </c>
      <c r="G502" s="18" t="str">
        <f>'GİRDİ RAPORU'!G204</f>
        <v>Ayar</v>
      </c>
      <c r="H502" s="18">
        <f>'GİRDİ RAPORU'!H204</f>
        <v>120</v>
      </c>
      <c r="I502" s="18" t="str">
        <f>'GİRDİ RAPORU'!I204</f>
        <v>Ar-ge Çalışması</v>
      </c>
      <c r="J502" s="18">
        <f>'GİRDİ RAPORU'!J1176</f>
        <v>0</v>
      </c>
      <c r="K502" s="18">
        <f>'GİRDİ RAPORU'!K1176</f>
        <v>0</v>
      </c>
      <c r="L502" s="18">
        <f>'GİRDİ RAPORU'!L1176</f>
        <v>0</v>
      </c>
      <c r="M502" s="26">
        <f t="shared" si="21"/>
        <v>0.46</v>
      </c>
      <c r="N502" s="26">
        <f t="shared" si="22"/>
        <v>0.25925925925925924</v>
      </c>
      <c r="O502" s="26">
        <f t="shared" si="23"/>
        <v>0.7407407407407407</v>
      </c>
    </row>
    <row r="503" spans="1:15" ht="21.75" hidden="1" customHeight="1">
      <c r="A503" s="17">
        <f>'GİRDİ RAPORU'!A207</f>
        <v>45293.855243634258</v>
      </c>
      <c r="B503" s="18">
        <f>'GİRDİ RAPORU'!B203</f>
        <v>2</v>
      </c>
      <c r="C503" s="18">
        <f>'GİRDİ RAPORU'!C203</f>
        <v>253</v>
      </c>
      <c r="D503" s="18">
        <f>'GİRDİ RAPORU'!D203</f>
        <v>116</v>
      </c>
      <c r="E503" s="18" t="str">
        <f>'GİRDİ RAPORU'!E203</f>
        <v>Normal Mesai</v>
      </c>
      <c r="F503" s="18">
        <f>'GİRDİ RAPORU'!F203</f>
        <v>20</v>
      </c>
      <c r="G503" s="18" t="str">
        <f>'GİRDİ RAPORU'!G203</f>
        <v>Ayar</v>
      </c>
      <c r="H503" s="18">
        <f>'GİRDİ RAPORU'!H203</f>
        <v>0</v>
      </c>
      <c r="I503" s="18">
        <f>'GİRDİ RAPORU'!I203</f>
        <v>0</v>
      </c>
      <c r="J503" s="18">
        <f>'GİRDİ RAPORU'!J1175</f>
        <v>0</v>
      </c>
      <c r="K503" s="18">
        <f>'GİRDİ RAPORU'!K1175</f>
        <v>0</v>
      </c>
      <c r="L503" s="18">
        <f>'GİRDİ RAPORU'!L1175</f>
        <v>0</v>
      </c>
      <c r="M503" s="26">
        <f t="shared" si="21"/>
        <v>0.49199999999999999</v>
      </c>
      <c r="N503" s="26">
        <f t="shared" si="22"/>
        <v>3.7037037037037035E-2</v>
      </c>
      <c r="O503" s="26">
        <f t="shared" si="23"/>
        <v>0.96296296296296291</v>
      </c>
    </row>
    <row r="504" spans="1:15" ht="21.75" hidden="1" customHeight="1">
      <c r="A504" s="17">
        <f>'GİRDİ RAPORU'!A206</f>
        <v>45289.757746875002</v>
      </c>
      <c r="B504" s="18">
        <f>'GİRDİ RAPORU'!B202</f>
        <v>2</v>
      </c>
      <c r="C504" s="18">
        <f>'GİRDİ RAPORU'!C202</f>
        <v>278</v>
      </c>
      <c r="D504" s="18">
        <f>'GİRDİ RAPORU'!D202</f>
        <v>125</v>
      </c>
      <c r="E504" s="18" t="str">
        <f>'GİRDİ RAPORU'!E202</f>
        <v>Normal Mesai</v>
      </c>
      <c r="F504" s="18">
        <f>'GİRDİ RAPORU'!F202</f>
        <v>20</v>
      </c>
      <c r="G504" s="18" t="str">
        <f>'GİRDİ RAPORU'!G202</f>
        <v>Ayar</v>
      </c>
      <c r="H504" s="18">
        <f>'GİRDİ RAPORU'!H202</f>
        <v>60</v>
      </c>
      <c r="I504" s="18" t="str">
        <f>'GİRDİ RAPORU'!I202</f>
        <v>Ar-ge Çalışması</v>
      </c>
      <c r="J504" s="18">
        <f>'GİRDİ RAPORU'!J1174</f>
        <v>0</v>
      </c>
      <c r="K504" s="18">
        <f>'GİRDİ RAPORU'!K1174</f>
        <v>0</v>
      </c>
      <c r="L504" s="18">
        <f>'GİRDİ RAPORU'!L1174</f>
        <v>0</v>
      </c>
      <c r="M504" s="26">
        <f t="shared" si="21"/>
        <v>0.53733333333333333</v>
      </c>
      <c r="N504" s="26">
        <f t="shared" si="22"/>
        <v>0.14814814814814814</v>
      </c>
      <c r="O504" s="26">
        <f t="shared" si="23"/>
        <v>0.85185185185185186</v>
      </c>
    </row>
    <row r="505" spans="1:15" ht="21.75" hidden="1" customHeight="1">
      <c r="A505" s="17">
        <f>'GİRDİ RAPORU'!A205</f>
        <v>45288.749514814815</v>
      </c>
      <c r="B505" s="18">
        <f>'GİRDİ RAPORU'!B201</f>
        <v>2</v>
      </c>
      <c r="C505" s="18">
        <f>'GİRDİ RAPORU'!C201</f>
        <v>356</v>
      </c>
      <c r="D505" s="18">
        <f>'GİRDİ RAPORU'!D201</f>
        <v>148</v>
      </c>
      <c r="E505" s="18" t="str">
        <f>'GİRDİ RAPORU'!E201</f>
        <v>Normal Mesai</v>
      </c>
      <c r="F505" s="18">
        <f>'GİRDİ RAPORU'!F201</f>
        <v>20</v>
      </c>
      <c r="G505" s="18" t="str">
        <f>'GİRDİ RAPORU'!G201</f>
        <v>Ayar</v>
      </c>
      <c r="H505" s="18">
        <f>'GİRDİ RAPORU'!H201</f>
        <v>0</v>
      </c>
      <c r="I505" s="18">
        <f>'GİRDİ RAPORU'!I201</f>
        <v>0</v>
      </c>
      <c r="J505" s="18">
        <f>'GİRDİ RAPORU'!J1173</f>
        <v>0</v>
      </c>
      <c r="K505" s="18">
        <f>'GİRDİ RAPORU'!K1173</f>
        <v>0</v>
      </c>
      <c r="L505" s="18">
        <f>'GİRDİ RAPORU'!L1173</f>
        <v>0</v>
      </c>
      <c r="M505" s="26">
        <f t="shared" si="21"/>
        <v>0.67200000000000004</v>
      </c>
      <c r="N505" s="26">
        <f t="shared" si="22"/>
        <v>3.7037037037037035E-2</v>
      </c>
      <c r="O505" s="26">
        <f t="shared" si="23"/>
        <v>0.96296296296296291</v>
      </c>
    </row>
    <row r="506" spans="1:15" ht="21.75" hidden="1" customHeight="1">
      <c r="A506" s="17">
        <f>'GİRDİ RAPORU'!A204</f>
        <v>45287.757710763886</v>
      </c>
      <c r="B506" s="18">
        <f>'GİRDİ RAPORU'!B200</f>
        <v>2</v>
      </c>
      <c r="C506" s="18">
        <f>'GİRDİ RAPORU'!C200</f>
        <v>267</v>
      </c>
      <c r="D506" s="18">
        <f>'GİRDİ RAPORU'!D200</f>
        <v>109</v>
      </c>
      <c r="E506" s="18" t="str">
        <f>'GİRDİ RAPORU'!E200</f>
        <v>Normal Mesai</v>
      </c>
      <c r="F506" s="18">
        <f>'GİRDİ RAPORU'!F200</f>
        <v>20</v>
      </c>
      <c r="G506" s="18" t="str">
        <f>'GİRDİ RAPORU'!G200</f>
        <v>Ayar</v>
      </c>
      <c r="H506" s="18">
        <f>'GİRDİ RAPORU'!H200</f>
        <v>0</v>
      </c>
      <c r="I506" s="18">
        <f>'GİRDİ RAPORU'!I200</f>
        <v>0</v>
      </c>
      <c r="J506" s="18">
        <f>'GİRDİ RAPORU'!J1172</f>
        <v>0</v>
      </c>
      <c r="K506" s="18">
        <f>'GİRDİ RAPORU'!K1172</f>
        <v>0</v>
      </c>
      <c r="L506" s="18">
        <f>'GİRDİ RAPORU'!L1172</f>
        <v>0</v>
      </c>
      <c r="M506" s="26">
        <f t="shared" si="21"/>
        <v>0.5013333333333333</v>
      </c>
      <c r="N506" s="26">
        <f t="shared" si="22"/>
        <v>3.7037037037037035E-2</v>
      </c>
      <c r="O506" s="26">
        <f t="shared" si="23"/>
        <v>0.96296296296296291</v>
      </c>
    </row>
    <row r="507" spans="1:15" ht="21.75" hidden="1" customHeight="1">
      <c r="A507" s="17">
        <f>'GİRDİ RAPORU'!A203</f>
        <v>45286.76353009259</v>
      </c>
      <c r="B507" s="18">
        <f>'GİRDİ RAPORU'!B199</f>
        <v>2</v>
      </c>
      <c r="C507" s="18">
        <f>'GİRDİ RAPORU'!C199</f>
        <v>450</v>
      </c>
      <c r="D507" s="18">
        <f>'GİRDİ RAPORU'!D199</f>
        <v>80</v>
      </c>
      <c r="E507" s="18" t="str">
        <f>'GİRDİ RAPORU'!E199</f>
        <v>Normal Mesai</v>
      </c>
      <c r="F507" s="18">
        <f>'GİRDİ RAPORU'!F199</f>
        <v>20</v>
      </c>
      <c r="G507" s="18" t="str">
        <f>'GİRDİ RAPORU'!G199</f>
        <v>Ayar</v>
      </c>
      <c r="H507" s="18">
        <f>'GİRDİ RAPORU'!H199</f>
        <v>10</v>
      </c>
      <c r="I507" s="18" t="str">
        <f>'GİRDİ RAPORU'!I199</f>
        <v>Temizlik</v>
      </c>
      <c r="J507" s="18">
        <f>'GİRDİ RAPORU'!J1171</f>
        <v>0</v>
      </c>
      <c r="K507" s="18">
        <f>'GİRDİ RAPORU'!K1171</f>
        <v>0</v>
      </c>
      <c r="L507" s="18">
        <f>'GİRDİ RAPORU'!L1171</f>
        <v>0</v>
      </c>
      <c r="M507" s="26">
        <f t="shared" si="21"/>
        <v>0.70666666666666667</v>
      </c>
      <c r="N507" s="26">
        <f t="shared" si="22"/>
        <v>5.5555555555555552E-2</v>
      </c>
      <c r="O507" s="26">
        <f t="shared" si="23"/>
        <v>0.94444444444444442</v>
      </c>
    </row>
    <row r="508" spans="1:15" ht="21.75" hidden="1" customHeight="1">
      <c r="A508" s="17">
        <f>'GİRDİ RAPORU'!A202</f>
        <v>45285.765259490741</v>
      </c>
      <c r="B508" s="18">
        <f>'GİRDİ RAPORU'!B198</f>
        <v>2</v>
      </c>
      <c r="C508" s="18">
        <f>'GİRDİ RAPORU'!C198</f>
        <v>75</v>
      </c>
      <c r="D508" s="18">
        <f>'GİRDİ RAPORU'!D198</f>
        <v>153</v>
      </c>
      <c r="E508" s="18" t="str">
        <f>'GİRDİ RAPORU'!E198</f>
        <v>Normal Mesai</v>
      </c>
      <c r="F508" s="18">
        <f>'GİRDİ RAPORU'!F198</f>
        <v>20</v>
      </c>
      <c r="G508" s="18" t="str">
        <f>'GİRDİ RAPORU'!G198</f>
        <v>Ayar</v>
      </c>
      <c r="H508" s="18">
        <f>'GİRDİ RAPORU'!H198</f>
        <v>10</v>
      </c>
      <c r="I508" s="18" t="str">
        <f>'GİRDİ RAPORU'!I198</f>
        <v>Temizlik</v>
      </c>
      <c r="J508" s="18">
        <f>'GİRDİ RAPORU'!J1170</f>
        <v>0</v>
      </c>
      <c r="K508" s="18">
        <f>'GİRDİ RAPORU'!K1170</f>
        <v>0</v>
      </c>
      <c r="L508" s="18">
        <f>'GİRDİ RAPORU'!L1170</f>
        <v>0</v>
      </c>
      <c r="M508" s="26">
        <f t="shared" si="21"/>
        <v>0.30399999999999999</v>
      </c>
      <c r="N508" s="26">
        <f t="shared" si="22"/>
        <v>5.5555555555555552E-2</v>
      </c>
      <c r="O508" s="26">
        <f t="shared" si="23"/>
        <v>0.94444444444444442</v>
      </c>
    </row>
    <row r="509" spans="1:15" ht="21.75" hidden="1" customHeight="1">
      <c r="A509" s="17">
        <f>'GİRDİ RAPORU'!A201</f>
        <v>45282.757002314815</v>
      </c>
      <c r="B509" s="18">
        <f>'GİRDİ RAPORU'!B197</f>
        <v>2</v>
      </c>
      <c r="C509" s="18">
        <f>'GİRDİ RAPORU'!C197</f>
        <v>200</v>
      </c>
      <c r="D509" s="18">
        <f>'GİRDİ RAPORU'!D197</f>
        <v>200</v>
      </c>
      <c r="E509" s="18" t="str">
        <f>'GİRDİ RAPORU'!E197</f>
        <v>Normal Mesai</v>
      </c>
      <c r="F509" s="18">
        <f>'GİRDİ RAPORU'!F197</f>
        <v>20</v>
      </c>
      <c r="G509" s="18" t="str">
        <f>'GİRDİ RAPORU'!G197</f>
        <v>Ayar</v>
      </c>
      <c r="H509" s="18">
        <f>'GİRDİ RAPORU'!H197</f>
        <v>10</v>
      </c>
      <c r="I509" s="18" t="str">
        <f>'GİRDİ RAPORU'!I197</f>
        <v>Temizlik</v>
      </c>
      <c r="J509" s="18">
        <f>'GİRDİ RAPORU'!J1169</f>
        <v>0</v>
      </c>
      <c r="K509" s="18">
        <f>'GİRDİ RAPORU'!K1169</f>
        <v>0</v>
      </c>
      <c r="L509" s="18">
        <f>'GİRDİ RAPORU'!L1169</f>
        <v>0</v>
      </c>
      <c r="M509" s="26">
        <f t="shared" si="21"/>
        <v>0.53333333333333333</v>
      </c>
      <c r="N509" s="26">
        <f t="shared" si="22"/>
        <v>5.5555555555555552E-2</v>
      </c>
      <c r="O509" s="26">
        <f t="shared" si="23"/>
        <v>0.94444444444444442</v>
      </c>
    </row>
    <row r="510" spans="1:15" ht="21.75" hidden="1" customHeight="1">
      <c r="A510" s="17">
        <f>'GİRDİ RAPORU'!A200</f>
        <v>45281.751575115741</v>
      </c>
      <c r="B510" s="18">
        <f>'GİRDİ RAPORU'!B196</f>
        <v>2</v>
      </c>
      <c r="C510" s="18">
        <f>'GİRDİ RAPORU'!C196</f>
        <v>200</v>
      </c>
      <c r="D510" s="18">
        <f>'GİRDİ RAPORU'!D196</f>
        <v>200</v>
      </c>
      <c r="E510" s="18" t="str">
        <f>'GİRDİ RAPORU'!E196</f>
        <v>Normal Mesai</v>
      </c>
      <c r="F510" s="18">
        <f>'GİRDİ RAPORU'!F196</f>
        <v>20</v>
      </c>
      <c r="G510" s="18" t="str">
        <f>'GİRDİ RAPORU'!G196</f>
        <v>Ayar</v>
      </c>
      <c r="H510" s="18">
        <f>'GİRDİ RAPORU'!H196</f>
        <v>60</v>
      </c>
      <c r="I510" s="18" t="str">
        <f>'GİRDİ RAPORU'!I196</f>
        <v>Temizlik</v>
      </c>
      <c r="J510" s="18">
        <f>'GİRDİ RAPORU'!J1168</f>
        <v>0</v>
      </c>
      <c r="K510" s="18">
        <f>'GİRDİ RAPORU'!K1168</f>
        <v>0</v>
      </c>
      <c r="L510" s="18">
        <f>'GİRDİ RAPORU'!L1168</f>
        <v>0</v>
      </c>
      <c r="M510" s="26">
        <f t="shared" si="21"/>
        <v>0.53333333333333333</v>
      </c>
      <c r="N510" s="26">
        <f t="shared" si="22"/>
        <v>0.14814814814814814</v>
      </c>
      <c r="O510" s="26">
        <f t="shared" si="23"/>
        <v>0.85185185185185186</v>
      </c>
    </row>
    <row r="511" spans="1:15" ht="21.75" hidden="1" customHeight="1">
      <c r="A511" s="17">
        <f>'GİRDİ RAPORU'!A199</f>
        <v>45280.861787731483</v>
      </c>
      <c r="B511" s="18">
        <f>'GİRDİ RAPORU'!B195</f>
        <v>2</v>
      </c>
      <c r="C511" s="18">
        <f>'GİRDİ RAPORU'!C195</f>
        <v>68</v>
      </c>
      <c r="D511" s="18">
        <f>'GİRDİ RAPORU'!D195</f>
        <v>286</v>
      </c>
      <c r="E511" s="18" t="str">
        <f>'GİRDİ RAPORU'!E195</f>
        <v>Normal Mesai</v>
      </c>
      <c r="F511" s="18">
        <f>'GİRDİ RAPORU'!F195</f>
        <v>20</v>
      </c>
      <c r="G511" s="18" t="str">
        <f>'GİRDİ RAPORU'!G195</f>
        <v>Ayar</v>
      </c>
      <c r="H511" s="18">
        <f>'GİRDİ RAPORU'!H195</f>
        <v>20</v>
      </c>
      <c r="I511" s="18" t="str">
        <f>'GİRDİ RAPORU'!I195</f>
        <v>Temizlik</v>
      </c>
      <c r="J511" s="18">
        <f>'GİRDİ RAPORU'!J1167</f>
        <v>0</v>
      </c>
      <c r="K511" s="18">
        <f>'GİRDİ RAPORU'!K1167</f>
        <v>0</v>
      </c>
      <c r="L511" s="18">
        <f>'GİRDİ RAPORU'!L1167</f>
        <v>0</v>
      </c>
      <c r="M511" s="26">
        <f t="shared" si="21"/>
        <v>0.47199999999999998</v>
      </c>
      <c r="N511" s="26">
        <f t="shared" si="22"/>
        <v>7.407407407407407E-2</v>
      </c>
      <c r="O511" s="26">
        <f t="shared" si="23"/>
        <v>0.92592592592592593</v>
      </c>
    </row>
    <row r="512" spans="1:15" ht="21.75" hidden="1" customHeight="1">
      <c r="A512" s="17">
        <f>'GİRDİ RAPORU'!A198</f>
        <v>45279.763993055552</v>
      </c>
      <c r="B512" s="18">
        <f>'GİRDİ RAPORU'!B194</f>
        <v>2</v>
      </c>
      <c r="C512" s="18">
        <f>'GİRDİ RAPORU'!C194</f>
        <v>73</v>
      </c>
      <c r="D512" s="18">
        <f>'GİRDİ RAPORU'!D194</f>
        <v>251</v>
      </c>
      <c r="E512" s="18" t="str">
        <f>'GİRDİ RAPORU'!E194</f>
        <v>Normal Mesai</v>
      </c>
      <c r="F512" s="18">
        <f>'GİRDİ RAPORU'!F194</f>
        <v>20</v>
      </c>
      <c r="G512" s="18" t="str">
        <f>'GİRDİ RAPORU'!G194</f>
        <v>Ayar</v>
      </c>
      <c r="H512" s="18">
        <f>'GİRDİ RAPORU'!H194</f>
        <v>20</v>
      </c>
      <c r="I512" s="18" t="str">
        <f>'GİRDİ RAPORU'!I194</f>
        <v>Temizlik</v>
      </c>
      <c r="J512" s="18">
        <f>'GİRDİ RAPORU'!J1166</f>
        <v>0</v>
      </c>
      <c r="K512" s="18">
        <f>'GİRDİ RAPORU'!K1166</f>
        <v>0</v>
      </c>
      <c r="L512" s="18">
        <f>'GİRDİ RAPORU'!L1166</f>
        <v>0</v>
      </c>
      <c r="M512" s="26">
        <f t="shared" si="21"/>
        <v>0.432</v>
      </c>
      <c r="N512" s="26">
        <f t="shared" si="22"/>
        <v>7.407407407407407E-2</v>
      </c>
      <c r="O512" s="26">
        <f t="shared" si="23"/>
        <v>0.92592592592592593</v>
      </c>
    </row>
    <row r="513" spans="1:15" ht="21.75" hidden="1" customHeight="1">
      <c r="A513" s="17">
        <f>'GİRDİ RAPORU'!A197</f>
        <v>45278.759641203702</v>
      </c>
      <c r="B513" s="18">
        <f>'GİRDİ RAPORU'!B193</f>
        <v>2</v>
      </c>
      <c r="C513" s="18">
        <f>'GİRDİ RAPORU'!C193</f>
        <v>84</v>
      </c>
      <c r="D513" s="18">
        <f>'GİRDİ RAPORU'!D193</f>
        <v>195</v>
      </c>
      <c r="E513" s="18" t="str">
        <f>'GİRDİ RAPORU'!E193</f>
        <v>Normal Mesai</v>
      </c>
      <c r="F513" s="18">
        <f>'GİRDİ RAPORU'!F193</f>
        <v>20</v>
      </c>
      <c r="G513" s="18" t="str">
        <f>'GİRDİ RAPORU'!G193</f>
        <v>Ayar</v>
      </c>
      <c r="H513" s="18">
        <f>'GİRDİ RAPORU'!H193</f>
        <v>150</v>
      </c>
      <c r="I513" s="18" t="str">
        <f>'GİRDİ RAPORU'!I193</f>
        <v>Ar-ge Çalışması</v>
      </c>
      <c r="J513" s="18">
        <f>'GİRDİ RAPORU'!J1165</f>
        <v>0</v>
      </c>
      <c r="K513" s="18">
        <f>'GİRDİ RAPORU'!K1165</f>
        <v>0</v>
      </c>
      <c r="L513" s="18">
        <f>'GİRDİ RAPORU'!L1165</f>
        <v>0</v>
      </c>
      <c r="M513" s="26">
        <f t="shared" si="21"/>
        <v>0.372</v>
      </c>
      <c r="N513" s="26">
        <f t="shared" si="22"/>
        <v>0.31481481481481483</v>
      </c>
      <c r="O513" s="26">
        <f t="shared" si="23"/>
        <v>0.68518518518518523</v>
      </c>
    </row>
    <row r="514" spans="1:15" ht="21.75" hidden="1" customHeight="1">
      <c r="A514" s="17">
        <f>'GİRDİ RAPORU'!A196</f>
        <v>45275.766226851854</v>
      </c>
      <c r="B514" s="18">
        <f>'GİRDİ RAPORU'!B192</f>
        <v>2</v>
      </c>
      <c r="C514" s="18">
        <f>'GİRDİ RAPORU'!C192</f>
        <v>301</v>
      </c>
      <c r="D514" s="18">
        <f>'GİRDİ RAPORU'!D192</f>
        <v>160</v>
      </c>
      <c r="E514" s="18" t="str">
        <f>'GİRDİ RAPORU'!E192</f>
        <v>Normal Mesai</v>
      </c>
      <c r="F514" s="18">
        <f>'GİRDİ RAPORU'!F192</f>
        <v>20</v>
      </c>
      <c r="G514" s="18" t="str">
        <f>'GİRDİ RAPORU'!G192</f>
        <v>Ayar</v>
      </c>
      <c r="H514" s="18">
        <f>'GİRDİ RAPORU'!H192</f>
        <v>50</v>
      </c>
      <c r="I514" s="18" t="str">
        <f>'GİRDİ RAPORU'!I192</f>
        <v>Ar-ge Çalışması</v>
      </c>
      <c r="J514" s="18">
        <f>'GİRDİ RAPORU'!J1164</f>
        <v>0</v>
      </c>
      <c r="K514" s="18">
        <f>'GİRDİ RAPORU'!K1164</f>
        <v>0</v>
      </c>
      <c r="L514" s="18">
        <f>'GİRDİ RAPORU'!L1164</f>
        <v>0</v>
      </c>
      <c r="M514" s="26">
        <f t="shared" ref="M514:M577" si="24">(C514+D514)/750</f>
        <v>0.61466666666666669</v>
      </c>
      <c r="N514" s="26">
        <f t="shared" ref="N514:N577" si="25">(F514+H514+J514)/540</f>
        <v>0.12962962962962962</v>
      </c>
      <c r="O514" s="26">
        <f t="shared" ref="O514:O577" si="26">(540-F514-H514-J514)/540</f>
        <v>0.87037037037037035</v>
      </c>
    </row>
    <row r="515" spans="1:15" ht="21.75" hidden="1" customHeight="1">
      <c r="A515" s="17">
        <f>'GİRDİ RAPORU'!A195</f>
        <v>45274.76939814815</v>
      </c>
      <c r="B515" s="18">
        <f>'GİRDİ RAPORU'!B191</f>
        <v>2</v>
      </c>
      <c r="C515" s="18">
        <f>'GİRDİ RAPORU'!C191</f>
        <v>194</v>
      </c>
      <c r="D515" s="18">
        <f>'GİRDİ RAPORU'!D191</f>
        <v>87</v>
      </c>
      <c r="E515" s="18" t="str">
        <f>'GİRDİ RAPORU'!E191</f>
        <v>Normal Mesai</v>
      </c>
      <c r="F515" s="18">
        <f>'GİRDİ RAPORU'!F191</f>
        <v>20</v>
      </c>
      <c r="G515" s="18" t="str">
        <f>'GİRDİ RAPORU'!G191</f>
        <v>Ayar</v>
      </c>
      <c r="H515" s="18">
        <f>'GİRDİ RAPORU'!H191</f>
        <v>60</v>
      </c>
      <c r="I515" s="18" t="str">
        <f>'GİRDİ RAPORU'!I191</f>
        <v>Temizlik</v>
      </c>
      <c r="J515" s="18">
        <f>'GİRDİ RAPORU'!J1163</f>
        <v>0</v>
      </c>
      <c r="K515" s="18">
        <f>'GİRDİ RAPORU'!K1163</f>
        <v>0</v>
      </c>
      <c r="L515" s="18">
        <f>'GİRDİ RAPORU'!L1163</f>
        <v>0</v>
      </c>
      <c r="M515" s="26">
        <f t="shared" si="24"/>
        <v>0.37466666666666665</v>
      </c>
      <c r="N515" s="26">
        <f t="shared" si="25"/>
        <v>0.14814814814814814</v>
      </c>
      <c r="O515" s="26">
        <f t="shared" si="26"/>
        <v>0.85185185185185186</v>
      </c>
    </row>
    <row r="516" spans="1:15" ht="21.75" hidden="1" customHeight="1">
      <c r="A516" s="17">
        <f>'GİRDİ RAPORU'!A194</f>
        <v>45273.767500000002</v>
      </c>
      <c r="B516" s="18">
        <f>'GİRDİ RAPORU'!B190</f>
        <v>2</v>
      </c>
      <c r="C516" s="18">
        <f>'GİRDİ RAPORU'!C190</f>
        <v>263</v>
      </c>
      <c r="D516" s="18">
        <f>'GİRDİ RAPORU'!D190</f>
        <v>188</v>
      </c>
      <c r="E516" s="18" t="str">
        <f>'GİRDİ RAPORU'!E190</f>
        <v>Normal Mesai</v>
      </c>
      <c r="F516" s="18">
        <f>'GİRDİ RAPORU'!F190</f>
        <v>20</v>
      </c>
      <c r="G516" s="18" t="str">
        <f>'GİRDİ RAPORU'!G190</f>
        <v>Ayar</v>
      </c>
      <c r="H516" s="18">
        <f>'GİRDİ RAPORU'!H190</f>
        <v>30</v>
      </c>
      <c r="I516" s="18" t="str">
        <f>'GİRDİ RAPORU'!I190</f>
        <v>Ar-ge Çalışması</v>
      </c>
      <c r="J516" s="18">
        <f>'GİRDİ RAPORU'!J1162</f>
        <v>0</v>
      </c>
      <c r="K516" s="18">
        <f>'GİRDİ RAPORU'!K1162</f>
        <v>0</v>
      </c>
      <c r="L516" s="18">
        <f>'GİRDİ RAPORU'!L1162</f>
        <v>0</v>
      </c>
      <c r="M516" s="26">
        <f t="shared" si="24"/>
        <v>0.60133333333333339</v>
      </c>
      <c r="N516" s="26">
        <f t="shared" si="25"/>
        <v>9.2592592592592587E-2</v>
      </c>
      <c r="O516" s="26">
        <f t="shared" si="26"/>
        <v>0.90740740740740744</v>
      </c>
    </row>
    <row r="517" spans="1:15" ht="21.75" hidden="1" customHeight="1">
      <c r="A517" s="17">
        <f>'GİRDİ RAPORU'!A193</f>
        <v>45272.762086458337</v>
      </c>
      <c r="B517" s="18">
        <f>'GİRDİ RAPORU'!B189</f>
        <v>2</v>
      </c>
      <c r="C517" s="18">
        <f>'GİRDİ RAPORU'!C189</f>
        <v>185</v>
      </c>
      <c r="D517" s="18">
        <f>'GİRDİ RAPORU'!D189</f>
        <v>126</v>
      </c>
      <c r="E517" s="18" t="str">
        <f>'GİRDİ RAPORU'!E189</f>
        <v>Normal Mesai</v>
      </c>
      <c r="F517" s="18">
        <f>'GİRDİ RAPORU'!F189</f>
        <v>20</v>
      </c>
      <c r="G517" s="18" t="str">
        <f>'GİRDİ RAPORU'!G189</f>
        <v>Ayar</v>
      </c>
      <c r="H517" s="18">
        <f>'GİRDİ RAPORU'!H189</f>
        <v>30</v>
      </c>
      <c r="I517" s="18" t="str">
        <f>'GİRDİ RAPORU'!I189</f>
        <v>Ar-ge Çalışması</v>
      </c>
      <c r="J517" s="18">
        <f>'GİRDİ RAPORU'!J1161</f>
        <v>0</v>
      </c>
      <c r="K517" s="18">
        <f>'GİRDİ RAPORU'!K1161</f>
        <v>0</v>
      </c>
      <c r="L517" s="18">
        <f>'GİRDİ RAPORU'!L1161</f>
        <v>0</v>
      </c>
      <c r="M517" s="26">
        <f t="shared" si="24"/>
        <v>0.41466666666666668</v>
      </c>
      <c r="N517" s="26">
        <f t="shared" si="25"/>
        <v>9.2592592592592587E-2</v>
      </c>
      <c r="O517" s="26">
        <f t="shared" si="26"/>
        <v>0.90740740740740744</v>
      </c>
    </row>
    <row r="518" spans="1:15" ht="21.75" hidden="1" customHeight="1">
      <c r="A518" s="17">
        <f>'GİRDİ RAPORU'!A192</f>
        <v>45271.761483680559</v>
      </c>
      <c r="B518" s="18">
        <f>'GİRDİ RAPORU'!B188</f>
        <v>2</v>
      </c>
      <c r="C518" s="18">
        <f>'GİRDİ RAPORU'!C188</f>
        <v>171</v>
      </c>
      <c r="D518" s="18">
        <f>'GİRDİ RAPORU'!D188</f>
        <v>98</v>
      </c>
      <c r="E518" s="18" t="str">
        <f>'GİRDİ RAPORU'!E188</f>
        <v>Normal Mesai</v>
      </c>
      <c r="F518" s="18">
        <f>'GİRDİ RAPORU'!F188</f>
        <v>30</v>
      </c>
      <c r="G518" s="18" t="str">
        <f>'GİRDİ RAPORU'!G188</f>
        <v>Ayar</v>
      </c>
      <c r="H518" s="18">
        <f>'GİRDİ RAPORU'!H188</f>
        <v>20</v>
      </c>
      <c r="I518" s="18" t="str">
        <f>'GİRDİ RAPORU'!I188</f>
        <v>Kompresör Arızası</v>
      </c>
      <c r="J518" s="18">
        <f>'GİRDİ RAPORU'!J1160</f>
        <v>0</v>
      </c>
      <c r="K518" s="18">
        <f>'GİRDİ RAPORU'!K1160</f>
        <v>0</v>
      </c>
      <c r="L518" s="18">
        <f>'GİRDİ RAPORU'!L1160</f>
        <v>0</v>
      </c>
      <c r="M518" s="26">
        <f t="shared" si="24"/>
        <v>0.35866666666666669</v>
      </c>
      <c r="N518" s="26">
        <f t="shared" si="25"/>
        <v>9.2592592592592587E-2</v>
      </c>
      <c r="O518" s="26">
        <f t="shared" si="26"/>
        <v>0.90740740740740744</v>
      </c>
    </row>
    <row r="519" spans="1:15" ht="21.75" hidden="1" customHeight="1">
      <c r="A519" s="17">
        <f>'GİRDİ RAPORU'!A191</f>
        <v>45268.764027777775</v>
      </c>
      <c r="B519" s="18">
        <f>'GİRDİ RAPORU'!B187</f>
        <v>2</v>
      </c>
      <c r="C519" s="18">
        <f>'GİRDİ RAPORU'!C187</f>
        <v>256</v>
      </c>
      <c r="D519" s="18">
        <f>'GİRDİ RAPORU'!D187</f>
        <v>89</v>
      </c>
      <c r="E519" s="18" t="str">
        <f>'GİRDİ RAPORU'!E187</f>
        <v>Normal Mesai</v>
      </c>
      <c r="F519" s="18">
        <f>'GİRDİ RAPORU'!F187</f>
        <v>30</v>
      </c>
      <c r="G519" s="18" t="str">
        <f>'GİRDİ RAPORU'!G187</f>
        <v>Ayar</v>
      </c>
      <c r="H519" s="18">
        <f>'GİRDİ RAPORU'!H187</f>
        <v>0</v>
      </c>
      <c r="I519" s="18">
        <f>'GİRDİ RAPORU'!I187</f>
        <v>0</v>
      </c>
      <c r="J519" s="18">
        <f>'GİRDİ RAPORU'!J1159</f>
        <v>0</v>
      </c>
      <c r="K519" s="18">
        <f>'GİRDİ RAPORU'!K1159</f>
        <v>0</v>
      </c>
      <c r="L519" s="18">
        <f>'GİRDİ RAPORU'!L1159</f>
        <v>0</v>
      </c>
      <c r="M519" s="26">
        <f t="shared" si="24"/>
        <v>0.46</v>
      </c>
      <c r="N519" s="26">
        <f t="shared" si="25"/>
        <v>5.5555555555555552E-2</v>
      </c>
      <c r="O519" s="26">
        <f t="shared" si="26"/>
        <v>0.94444444444444442</v>
      </c>
    </row>
    <row r="520" spans="1:15" ht="21.75" hidden="1" customHeight="1">
      <c r="A520" s="17">
        <f>'GİRDİ RAPORU'!A190</f>
        <v>45267.761157407411</v>
      </c>
      <c r="B520" s="18">
        <f>'GİRDİ RAPORU'!B186</f>
        <v>2</v>
      </c>
      <c r="C520" s="18">
        <f>'GİRDİ RAPORU'!C186</f>
        <v>273</v>
      </c>
      <c r="D520" s="18">
        <f>'GİRDİ RAPORU'!D186</f>
        <v>46</v>
      </c>
      <c r="E520" s="18" t="str">
        <f>'GİRDİ RAPORU'!E186</f>
        <v>Normal Mesai</v>
      </c>
      <c r="F520" s="18">
        <f>'GİRDİ RAPORU'!F186</f>
        <v>20</v>
      </c>
      <c r="G520" s="18" t="str">
        <f>'GİRDİ RAPORU'!G186</f>
        <v>Ayar</v>
      </c>
      <c r="H520" s="18">
        <f>'GİRDİ RAPORU'!H186</f>
        <v>60</v>
      </c>
      <c r="I520" s="18" t="str">
        <f>'GİRDİ RAPORU'!I186</f>
        <v>Temizlik</v>
      </c>
      <c r="J520" s="18">
        <f>'GİRDİ RAPORU'!J1158</f>
        <v>0</v>
      </c>
      <c r="K520" s="18">
        <f>'GİRDİ RAPORU'!K1158</f>
        <v>0</v>
      </c>
      <c r="L520" s="18">
        <f>'GİRDİ RAPORU'!L1158</f>
        <v>0</v>
      </c>
      <c r="M520" s="26">
        <f t="shared" si="24"/>
        <v>0.42533333333333334</v>
      </c>
      <c r="N520" s="26">
        <f t="shared" si="25"/>
        <v>0.14814814814814814</v>
      </c>
      <c r="O520" s="26">
        <f t="shared" si="26"/>
        <v>0.85185185185185186</v>
      </c>
    </row>
    <row r="521" spans="1:15" ht="21.75" hidden="1" customHeight="1">
      <c r="A521" s="17">
        <f>'GİRDİ RAPORU'!A189</f>
        <v>45266.744212152778</v>
      </c>
      <c r="B521" s="18">
        <f>'GİRDİ RAPORU'!B185</f>
        <v>2</v>
      </c>
      <c r="C521" s="18">
        <f>'GİRDİ RAPORU'!C185</f>
        <v>216</v>
      </c>
      <c r="D521" s="18">
        <f>'GİRDİ RAPORU'!D185</f>
        <v>79</v>
      </c>
      <c r="E521" s="18" t="str">
        <f>'GİRDİ RAPORU'!E185</f>
        <v>Normal Mesai</v>
      </c>
      <c r="F521" s="18">
        <f>'GİRDİ RAPORU'!F185</f>
        <v>20</v>
      </c>
      <c r="G521" s="18" t="str">
        <f>'GİRDİ RAPORU'!G185</f>
        <v>Ayar</v>
      </c>
      <c r="H521" s="18">
        <f>'GİRDİ RAPORU'!H185</f>
        <v>60</v>
      </c>
      <c r="I521" s="18" t="str">
        <f>'GİRDİ RAPORU'!I185</f>
        <v>Ar-ge Çalışması</v>
      </c>
      <c r="J521" s="18">
        <f>'GİRDİ RAPORU'!J1157</f>
        <v>0</v>
      </c>
      <c r="K521" s="18">
        <f>'GİRDİ RAPORU'!K1157</f>
        <v>0</v>
      </c>
      <c r="L521" s="18">
        <f>'GİRDİ RAPORU'!L1157</f>
        <v>0</v>
      </c>
      <c r="M521" s="26">
        <f t="shared" si="24"/>
        <v>0.39333333333333331</v>
      </c>
      <c r="N521" s="26">
        <f t="shared" si="25"/>
        <v>0.14814814814814814</v>
      </c>
      <c r="O521" s="26">
        <f t="shared" si="26"/>
        <v>0.85185185185185186</v>
      </c>
    </row>
    <row r="522" spans="1:15" ht="21.75" hidden="1" customHeight="1">
      <c r="A522" s="17">
        <f>'GİRDİ RAPORU'!A188</f>
        <v>45265.764795138886</v>
      </c>
      <c r="B522" s="18">
        <f>'GİRDİ RAPORU'!B184</f>
        <v>2</v>
      </c>
      <c r="C522" s="18">
        <f>'GİRDİ RAPORU'!C184</f>
        <v>362</v>
      </c>
      <c r="D522" s="18">
        <f>'GİRDİ RAPORU'!D184</f>
        <v>113</v>
      </c>
      <c r="E522" s="18" t="str">
        <f>'GİRDİ RAPORU'!E184</f>
        <v>Normal Mesai</v>
      </c>
      <c r="F522" s="18">
        <f>'GİRDİ RAPORU'!F184</f>
        <v>20</v>
      </c>
      <c r="G522" s="18" t="str">
        <f>'GİRDİ RAPORU'!G184</f>
        <v>Ayar</v>
      </c>
      <c r="H522" s="18">
        <f>'GİRDİ RAPORU'!H184</f>
        <v>40</v>
      </c>
      <c r="I522" s="18" t="str">
        <f>'GİRDİ RAPORU'!I184</f>
        <v>Elektrik Kesilmesi</v>
      </c>
      <c r="J522" s="18">
        <f>'GİRDİ RAPORU'!J1156</f>
        <v>0</v>
      </c>
      <c r="K522" s="18">
        <f>'GİRDİ RAPORU'!K1156</f>
        <v>0</v>
      </c>
      <c r="L522" s="18">
        <f>'GİRDİ RAPORU'!L1156</f>
        <v>0</v>
      </c>
      <c r="M522" s="26">
        <f t="shared" si="24"/>
        <v>0.6333333333333333</v>
      </c>
      <c r="N522" s="26">
        <f t="shared" si="25"/>
        <v>0.1111111111111111</v>
      </c>
      <c r="O522" s="26">
        <f t="shared" si="26"/>
        <v>0.88888888888888884</v>
      </c>
    </row>
    <row r="523" spans="1:15" ht="21.75" hidden="1" customHeight="1">
      <c r="A523" s="17">
        <f>'GİRDİ RAPORU'!A187</f>
        <v>45264.763009259259</v>
      </c>
      <c r="B523" s="18">
        <f>'GİRDİ RAPORU'!B183</f>
        <v>2</v>
      </c>
      <c r="C523" s="18">
        <f>'GİRDİ RAPORU'!C183</f>
        <v>345</v>
      </c>
      <c r="D523" s="18">
        <f>'GİRDİ RAPORU'!D183</f>
        <v>61</v>
      </c>
      <c r="E523" s="18" t="str">
        <f>'GİRDİ RAPORU'!E183</f>
        <v>Normal Mesai</v>
      </c>
      <c r="F523" s="18">
        <f>'GİRDİ RAPORU'!F183</f>
        <v>20</v>
      </c>
      <c r="G523" s="18" t="str">
        <f>'GİRDİ RAPORU'!G183</f>
        <v>Ayar</v>
      </c>
      <c r="H523" s="18">
        <f>'GİRDİ RAPORU'!H183</f>
        <v>0</v>
      </c>
      <c r="I523" s="18">
        <f>'GİRDİ RAPORU'!I183</f>
        <v>0</v>
      </c>
      <c r="J523" s="18">
        <f>'GİRDİ RAPORU'!J1155</f>
        <v>0</v>
      </c>
      <c r="K523" s="18">
        <f>'GİRDİ RAPORU'!K1155</f>
        <v>0</v>
      </c>
      <c r="L523" s="18">
        <f>'GİRDİ RAPORU'!L1155</f>
        <v>0</v>
      </c>
      <c r="M523" s="26">
        <f t="shared" si="24"/>
        <v>0.54133333333333333</v>
      </c>
      <c r="N523" s="26">
        <f t="shared" si="25"/>
        <v>3.7037037037037035E-2</v>
      </c>
      <c r="O523" s="26">
        <f t="shared" si="26"/>
        <v>0.96296296296296291</v>
      </c>
    </row>
    <row r="524" spans="1:15" ht="21.75" hidden="1" customHeight="1">
      <c r="A524" s="17">
        <f>'GİRDİ RAPORU'!A186</f>
        <v>45261.760995370372</v>
      </c>
      <c r="B524" s="18">
        <f>'GİRDİ RAPORU'!B182</f>
        <v>2</v>
      </c>
      <c r="C524" s="18">
        <f>'GİRDİ RAPORU'!C182</f>
        <v>194</v>
      </c>
      <c r="D524" s="18">
        <f>'GİRDİ RAPORU'!D182</f>
        <v>94</v>
      </c>
      <c r="E524" s="18" t="str">
        <f>'GİRDİ RAPORU'!E182</f>
        <v>Normal Mesai</v>
      </c>
      <c r="F524" s="18">
        <f>'GİRDİ RAPORU'!F182</f>
        <v>30</v>
      </c>
      <c r="G524" s="18" t="str">
        <f>'GİRDİ RAPORU'!G182</f>
        <v>Ayar</v>
      </c>
      <c r="H524" s="18">
        <f>'GİRDİ RAPORU'!H182</f>
        <v>0</v>
      </c>
      <c r="I524" s="18">
        <f>'GİRDİ RAPORU'!I182</f>
        <v>0</v>
      </c>
      <c r="J524" s="18">
        <f>'GİRDİ RAPORU'!J1154</f>
        <v>0</v>
      </c>
      <c r="K524" s="18">
        <f>'GİRDİ RAPORU'!K1154</f>
        <v>0</v>
      </c>
      <c r="L524" s="18">
        <f>'GİRDİ RAPORU'!L1154</f>
        <v>0</v>
      </c>
      <c r="M524" s="26">
        <f t="shared" si="24"/>
        <v>0.38400000000000001</v>
      </c>
      <c r="N524" s="26">
        <f t="shared" si="25"/>
        <v>5.5555555555555552E-2</v>
      </c>
      <c r="O524" s="26">
        <f t="shared" si="26"/>
        <v>0.94444444444444442</v>
      </c>
    </row>
    <row r="525" spans="1:15" ht="21.75" hidden="1" customHeight="1">
      <c r="A525" s="17">
        <f>'GİRDİ RAPORU'!A185</f>
        <v>45260.764502314814</v>
      </c>
      <c r="B525" s="18">
        <f>'GİRDİ RAPORU'!B181</f>
        <v>2</v>
      </c>
      <c r="C525" s="18">
        <f>'GİRDİ RAPORU'!C181</f>
        <v>138</v>
      </c>
      <c r="D525" s="18">
        <f>'GİRDİ RAPORU'!D181</f>
        <v>118</v>
      </c>
      <c r="E525" s="18" t="str">
        <f>'GİRDİ RAPORU'!E181</f>
        <v>Normal Mesai</v>
      </c>
      <c r="F525" s="18">
        <f>'GİRDİ RAPORU'!F181</f>
        <v>30</v>
      </c>
      <c r="G525" s="18" t="str">
        <f>'GİRDİ RAPORU'!G181</f>
        <v>Ayar</v>
      </c>
      <c r="H525" s="18">
        <f>'GİRDİ RAPORU'!H181</f>
        <v>20</v>
      </c>
      <c r="I525" s="18" t="str">
        <f>'GİRDİ RAPORU'!I181</f>
        <v>Elektrik Kesilmesi</v>
      </c>
      <c r="J525" s="18">
        <f>'GİRDİ RAPORU'!J1153</f>
        <v>0</v>
      </c>
      <c r="K525" s="18">
        <f>'GİRDİ RAPORU'!K1153</f>
        <v>0</v>
      </c>
      <c r="L525" s="18">
        <f>'GİRDİ RAPORU'!L1153</f>
        <v>0</v>
      </c>
      <c r="M525" s="26">
        <f t="shared" si="24"/>
        <v>0.34133333333333332</v>
      </c>
      <c r="N525" s="26">
        <f t="shared" si="25"/>
        <v>9.2592592592592587E-2</v>
      </c>
      <c r="O525" s="26">
        <f t="shared" si="26"/>
        <v>0.90740740740740744</v>
      </c>
    </row>
    <row r="526" spans="1:15" ht="21.75" hidden="1" customHeight="1">
      <c r="A526" s="17">
        <f>'GİRDİ RAPORU'!A184</f>
        <v>45259.764872685184</v>
      </c>
      <c r="B526" s="18">
        <f>'GİRDİ RAPORU'!B180</f>
        <v>2</v>
      </c>
      <c r="C526" s="18">
        <f>'GİRDİ RAPORU'!C180</f>
        <v>245</v>
      </c>
      <c r="D526" s="18">
        <f>'GİRDİ RAPORU'!D180</f>
        <v>133</v>
      </c>
      <c r="E526" s="18" t="str">
        <f>'GİRDİ RAPORU'!E180</f>
        <v>Normal Mesai</v>
      </c>
      <c r="F526" s="18">
        <f>'GİRDİ RAPORU'!F180</f>
        <v>20</v>
      </c>
      <c r="G526" s="18" t="str">
        <f>'GİRDİ RAPORU'!G180</f>
        <v>Ayar</v>
      </c>
      <c r="H526" s="18">
        <f>'GİRDİ RAPORU'!H180</f>
        <v>45</v>
      </c>
      <c r="I526" s="18" t="str">
        <f>'GİRDİ RAPORU'!I180</f>
        <v>Ar-ge Çalışması</v>
      </c>
      <c r="J526" s="18">
        <f>'GİRDİ RAPORU'!J1152</f>
        <v>0</v>
      </c>
      <c r="K526" s="18">
        <f>'GİRDİ RAPORU'!K1152</f>
        <v>0</v>
      </c>
      <c r="L526" s="18">
        <f>'GİRDİ RAPORU'!L1152</f>
        <v>0</v>
      </c>
      <c r="M526" s="26">
        <f t="shared" si="24"/>
        <v>0.504</v>
      </c>
      <c r="N526" s="26">
        <f t="shared" si="25"/>
        <v>0.12037037037037036</v>
      </c>
      <c r="O526" s="26">
        <f t="shared" si="26"/>
        <v>0.87962962962962965</v>
      </c>
    </row>
    <row r="527" spans="1:15" ht="21.75" hidden="1" customHeight="1">
      <c r="A527" s="17">
        <f>'GİRDİ RAPORU'!A183</f>
        <v>45258.75488414352</v>
      </c>
      <c r="B527" s="18">
        <f>'GİRDİ RAPORU'!B179</f>
        <v>2</v>
      </c>
      <c r="C527" s="18">
        <f>'GİRDİ RAPORU'!C179</f>
        <v>274</v>
      </c>
      <c r="D527" s="18">
        <f>'GİRDİ RAPORU'!D179</f>
        <v>118</v>
      </c>
      <c r="E527" s="18" t="str">
        <f>'GİRDİ RAPORU'!E179</f>
        <v>Normal Mesai</v>
      </c>
      <c r="F527" s="18">
        <f>'GİRDİ RAPORU'!F179</f>
        <v>20</v>
      </c>
      <c r="G527" s="18" t="str">
        <f>'GİRDİ RAPORU'!G179</f>
        <v>Ayar</v>
      </c>
      <c r="H527" s="18">
        <f>'GİRDİ RAPORU'!H179</f>
        <v>30</v>
      </c>
      <c r="I527" s="18" t="str">
        <f>'GİRDİ RAPORU'!I179</f>
        <v>Ar-ge Çalışması</v>
      </c>
      <c r="J527" s="18">
        <f>'GİRDİ RAPORU'!J1151</f>
        <v>0</v>
      </c>
      <c r="K527" s="18">
        <f>'GİRDİ RAPORU'!K1151</f>
        <v>0</v>
      </c>
      <c r="L527" s="18">
        <f>'GİRDİ RAPORU'!L1151</f>
        <v>0</v>
      </c>
      <c r="M527" s="26">
        <f t="shared" si="24"/>
        <v>0.52266666666666661</v>
      </c>
      <c r="N527" s="26">
        <f t="shared" si="25"/>
        <v>9.2592592592592587E-2</v>
      </c>
      <c r="O527" s="26">
        <f t="shared" si="26"/>
        <v>0.90740740740740744</v>
      </c>
    </row>
    <row r="528" spans="1:15" ht="21.75" hidden="1" customHeight="1">
      <c r="A528" s="17">
        <f>'GİRDİ RAPORU'!A182</f>
        <v>45257.763439930553</v>
      </c>
      <c r="B528" s="18">
        <f>'GİRDİ RAPORU'!B178</f>
        <v>2</v>
      </c>
      <c r="C528" s="18">
        <f>'GİRDİ RAPORU'!C178</f>
        <v>275</v>
      </c>
      <c r="D528" s="18">
        <f>'GİRDİ RAPORU'!D178</f>
        <v>168</v>
      </c>
      <c r="E528" s="18" t="str">
        <f>'GİRDİ RAPORU'!E178</f>
        <v>Normal Mesai</v>
      </c>
      <c r="F528" s="18">
        <f>'GİRDİ RAPORU'!F178</f>
        <v>25</v>
      </c>
      <c r="G528" s="18" t="str">
        <f>'GİRDİ RAPORU'!G178</f>
        <v>Ayar</v>
      </c>
      <c r="H528" s="18">
        <f>'GİRDİ RAPORU'!H178</f>
        <v>45</v>
      </c>
      <c r="I528" s="18" t="str">
        <f>'GİRDİ RAPORU'!I178</f>
        <v>Ar-ge Çalışması</v>
      </c>
      <c r="J528" s="18">
        <f>'GİRDİ RAPORU'!J1150</f>
        <v>0</v>
      </c>
      <c r="K528" s="18">
        <f>'GİRDİ RAPORU'!K1150</f>
        <v>0</v>
      </c>
      <c r="L528" s="18">
        <f>'GİRDİ RAPORU'!L1150</f>
        <v>0</v>
      </c>
      <c r="M528" s="26">
        <f t="shared" si="24"/>
        <v>0.59066666666666667</v>
      </c>
      <c r="N528" s="26">
        <f t="shared" si="25"/>
        <v>0.12962962962962962</v>
      </c>
      <c r="O528" s="26">
        <f t="shared" si="26"/>
        <v>0.87037037037037035</v>
      </c>
    </row>
    <row r="529" spans="1:15" ht="21.75" hidden="1" customHeight="1">
      <c r="A529" s="17">
        <f>'GİRDİ RAPORU'!A181</f>
        <v>45254.751217939818</v>
      </c>
      <c r="B529" s="18">
        <f>'GİRDİ RAPORU'!B177</f>
        <v>2</v>
      </c>
      <c r="C529" s="18">
        <f>'GİRDİ RAPORU'!C177</f>
        <v>370</v>
      </c>
      <c r="D529" s="18">
        <f>'GİRDİ RAPORU'!D177</f>
        <v>154</v>
      </c>
      <c r="E529" s="18" t="str">
        <f>'GİRDİ RAPORU'!E177</f>
        <v>Normal Mesai</v>
      </c>
      <c r="F529" s="18">
        <f>'GİRDİ RAPORU'!F177</f>
        <v>20</v>
      </c>
      <c r="G529" s="18" t="str">
        <f>'GİRDİ RAPORU'!G177</f>
        <v>Ayar</v>
      </c>
      <c r="H529" s="18">
        <f>'GİRDİ RAPORU'!H177</f>
        <v>30</v>
      </c>
      <c r="I529" s="18" t="str">
        <f>'GİRDİ RAPORU'!I177</f>
        <v>Ar-ge Çalışması</v>
      </c>
      <c r="J529" s="18">
        <f>'GİRDİ RAPORU'!J1149</f>
        <v>0</v>
      </c>
      <c r="K529" s="18">
        <f>'GİRDİ RAPORU'!K1149</f>
        <v>0</v>
      </c>
      <c r="L529" s="18">
        <f>'GİRDİ RAPORU'!L1149</f>
        <v>0</v>
      </c>
      <c r="M529" s="26">
        <f t="shared" si="24"/>
        <v>0.69866666666666666</v>
      </c>
      <c r="N529" s="26">
        <f t="shared" si="25"/>
        <v>9.2592592592592587E-2</v>
      </c>
      <c r="O529" s="26">
        <f t="shared" si="26"/>
        <v>0.90740740740740744</v>
      </c>
    </row>
    <row r="530" spans="1:15" ht="21.75" hidden="1" customHeight="1">
      <c r="A530" s="17">
        <f>'GİRDİ RAPORU'!A180</f>
        <v>45253.762766203705</v>
      </c>
      <c r="B530" s="18">
        <f>'GİRDİ RAPORU'!B176</f>
        <v>2</v>
      </c>
      <c r="C530" s="18">
        <f>'GİRDİ RAPORU'!C176</f>
        <v>249</v>
      </c>
      <c r="D530" s="18">
        <f>'GİRDİ RAPORU'!D176</f>
        <v>12</v>
      </c>
      <c r="E530" s="18" t="str">
        <f>'GİRDİ RAPORU'!E176</f>
        <v>Normal Mesai</v>
      </c>
      <c r="F530" s="18">
        <f>'GİRDİ RAPORU'!F176</f>
        <v>20</v>
      </c>
      <c r="G530" s="18" t="str">
        <f>'GİRDİ RAPORU'!G176</f>
        <v>Ayar</v>
      </c>
      <c r="H530" s="18">
        <f>'GİRDİ RAPORU'!H176</f>
        <v>60</v>
      </c>
      <c r="I530" s="18" t="str">
        <f>'GİRDİ RAPORU'!I176</f>
        <v>Temizlik</v>
      </c>
      <c r="J530" s="18">
        <f>'GİRDİ RAPORU'!J1148</f>
        <v>0</v>
      </c>
      <c r="K530" s="18">
        <f>'GİRDİ RAPORU'!K1148</f>
        <v>0</v>
      </c>
      <c r="L530" s="18">
        <f>'GİRDİ RAPORU'!L1148</f>
        <v>0</v>
      </c>
      <c r="M530" s="26">
        <f t="shared" si="24"/>
        <v>0.34799999999999998</v>
      </c>
      <c r="N530" s="26">
        <f t="shared" si="25"/>
        <v>0.14814814814814814</v>
      </c>
      <c r="O530" s="26">
        <f t="shared" si="26"/>
        <v>0.85185185185185186</v>
      </c>
    </row>
    <row r="531" spans="1:15" ht="21.75" hidden="1" customHeight="1">
      <c r="A531" s="17">
        <f>'GİRDİ RAPORU'!A179</f>
        <v>45252.764872685184</v>
      </c>
      <c r="B531" s="18">
        <f>'GİRDİ RAPORU'!B175</f>
        <v>2</v>
      </c>
      <c r="C531" s="18">
        <f>'GİRDİ RAPORU'!C175</f>
        <v>280</v>
      </c>
      <c r="D531" s="18">
        <f>'GİRDİ RAPORU'!D175</f>
        <v>20</v>
      </c>
      <c r="E531" s="18" t="str">
        <f>'GİRDİ RAPORU'!E175</f>
        <v>Normal Mesai</v>
      </c>
      <c r="F531" s="18">
        <f>'GİRDİ RAPORU'!F175</f>
        <v>20</v>
      </c>
      <c r="G531" s="18" t="str">
        <f>'GİRDİ RAPORU'!G175</f>
        <v>Ayar</v>
      </c>
      <c r="H531" s="18">
        <f>'GİRDİ RAPORU'!H175</f>
        <v>0</v>
      </c>
      <c r="I531" s="18">
        <f>'GİRDİ RAPORU'!I175</f>
        <v>0</v>
      </c>
      <c r="J531" s="18">
        <f>'GİRDİ RAPORU'!J1147</f>
        <v>0</v>
      </c>
      <c r="K531" s="18">
        <f>'GİRDİ RAPORU'!K1147</f>
        <v>0</v>
      </c>
      <c r="L531" s="18">
        <f>'GİRDİ RAPORU'!L1147</f>
        <v>0</v>
      </c>
      <c r="M531" s="26">
        <f t="shared" si="24"/>
        <v>0.4</v>
      </c>
      <c r="N531" s="26">
        <f t="shared" si="25"/>
        <v>3.7037037037037035E-2</v>
      </c>
      <c r="O531" s="26">
        <f t="shared" si="26"/>
        <v>0.96296296296296291</v>
      </c>
    </row>
    <row r="532" spans="1:15" ht="21.75" hidden="1" customHeight="1">
      <c r="A532" s="17">
        <f>'GİRDİ RAPORU'!A178</f>
        <v>45251.759745370371</v>
      </c>
      <c r="B532" s="18">
        <f>'GİRDİ RAPORU'!B174</f>
        <v>2</v>
      </c>
      <c r="C532" s="18">
        <f>'GİRDİ RAPORU'!C174</f>
        <v>250</v>
      </c>
      <c r="D532" s="18">
        <f>'GİRDİ RAPORU'!D174</f>
        <v>12</v>
      </c>
      <c r="E532" s="18" t="str">
        <f>'GİRDİ RAPORU'!E174</f>
        <v>Normal Mesai</v>
      </c>
      <c r="F532" s="18">
        <f>'GİRDİ RAPORU'!F174</f>
        <v>20</v>
      </c>
      <c r="G532" s="18" t="str">
        <f>'GİRDİ RAPORU'!G174</f>
        <v>Ayar</v>
      </c>
      <c r="H532" s="18">
        <f>'GİRDİ RAPORU'!H174</f>
        <v>0</v>
      </c>
      <c r="I532" s="18">
        <f>'GİRDİ RAPORU'!I174</f>
        <v>0</v>
      </c>
      <c r="J532" s="18">
        <f>'GİRDİ RAPORU'!J1146</f>
        <v>0</v>
      </c>
      <c r="K532" s="18">
        <f>'GİRDİ RAPORU'!K1146</f>
        <v>0</v>
      </c>
      <c r="L532" s="18">
        <f>'GİRDİ RAPORU'!L1146</f>
        <v>0</v>
      </c>
      <c r="M532" s="26">
        <f t="shared" si="24"/>
        <v>0.34933333333333333</v>
      </c>
      <c r="N532" s="26">
        <f t="shared" si="25"/>
        <v>3.7037037037037035E-2</v>
      </c>
      <c r="O532" s="26">
        <f t="shared" si="26"/>
        <v>0.96296296296296291</v>
      </c>
    </row>
    <row r="533" spans="1:15" ht="21.75" hidden="1" customHeight="1">
      <c r="A533" s="17">
        <f>'GİRDİ RAPORU'!A177</f>
        <v>45250.759698379632</v>
      </c>
      <c r="B533" s="18">
        <f>'GİRDİ RAPORU'!B173</f>
        <v>2</v>
      </c>
      <c r="C533" s="18">
        <f>'GİRDİ RAPORU'!C173</f>
        <v>239</v>
      </c>
      <c r="D533" s="18">
        <f>'GİRDİ RAPORU'!D173</f>
        <v>15</v>
      </c>
      <c r="E533" s="18" t="str">
        <f>'GİRDİ RAPORU'!E173</f>
        <v>Normal Mesai</v>
      </c>
      <c r="F533" s="18">
        <f>'GİRDİ RAPORU'!F173</f>
        <v>20</v>
      </c>
      <c r="G533" s="18" t="str">
        <f>'GİRDİ RAPORU'!G173</f>
        <v>Ayar</v>
      </c>
      <c r="H533" s="18">
        <f>'GİRDİ RAPORU'!H173</f>
        <v>0</v>
      </c>
      <c r="I533" s="18">
        <f>'GİRDİ RAPORU'!I173</f>
        <v>0</v>
      </c>
      <c r="J533" s="18">
        <f>'GİRDİ RAPORU'!J1145</f>
        <v>0</v>
      </c>
      <c r="K533" s="18">
        <f>'GİRDİ RAPORU'!K1145</f>
        <v>0</v>
      </c>
      <c r="L533" s="18">
        <f>'GİRDİ RAPORU'!L1145</f>
        <v>0</v>
      </c>
      <c r="M533" s="26">
        <f t="shared" si="24"/>
        <v>0.33866666666666667</v>
      </c>
      <c r="N533" s="26">
        <f t="shared" si="25"/>
        <v>3.7037037037037035E-2</v>
      </c>
      <c r="O533" s="26">
        <f t="shared" si="26"/>
        <v>0.96296296296296291</v>
      </c>
    </row>
    <row r="534" spans="1:15" ht="21.75" hidden="1" customHeight="1">
      <c r="A534" s="17">
        <f>'GİRDİ RAPORU'!A176</f>
        <v>45247.765821759262</v>
      </c>
      <c r="B534" s="18">
        <f>'GİRDİ RAPORU'!B172</f>
        <v>2</v>
      </c>
      <c r="C534" s="18">
        <f>'GİRDİ RAPORU'!C172</f>
        <v>326</v>
      </c>
      <c r="D534" s="18">
        <f>'GİRDİ RAPORU'!D172</f>
        <v>65</v>
      </c>
      <c r="E534" s="18" t="str">
        <f>'GİRDİ RAPORU'!E172</f>
        <v>Normal Mesai</v>
      </c>
      <c r="F534" s="18">
        <f>'GİRDİ RAPORU'!F172</f>
        <v>30</v>
      </c>
      <c r="G534" s="18" t="str">
        <f>'GİRDİ RAPORU'!G172</f>
        <v>Ayar</v>
      </c>
      <c r="H534" s="18">
        <f>'GİRDİ RAPORU'!H172</f>
        <v>0</v>
      </c>
      <c r="I534" s="18">
        <f>'GİRDİ RAPORU'!I172</f>
        <v>0</v>
      </c>
      <c r="J534" s="18">
        <f>'GİRDİ RAPORU'!J1144</f>
        <v>0</v>
      </c>
      <c r="K534" s="18">
        <f>'GİRDİ RAPORU'!K1144</f>
        <v>0</v>
      </c>
      <c r="L534" s="18">
        <f>'GİRDİ RAPORU'!L1144</f>
        <v>0</v>
      </c>
      <c r="M534" s="26">
        <f t="shared" si="24"/>
        <v>0.52133333333333332</v>
      </c>
      <c r="N534" s="26">
        <f t="shared" si="25"/>
        <v>5.5555555555555552E-2</v>
      </c>
      <c r="O534" s="26">
        <f t="shared" si="26"/>
        <v>0.94444444444444442</v>
      </c>
    </row>
    <row r="535" spans="1:15" ht="21.75" hidden="1" customHeight="1">
      <c r="A535" s="17">
        <f>'GİRDİ RAPORU'!A175</f>
        <v>45246.769108796296</v>
      </c>
      <c r="B535" s="18">
        <f>'GİRDİ RAPORU'!B171</f>
        <v>2</v>
      </c>
      <c r="C535" s="18">
        <f>'GİRDİ RAPORU'!C171</f>
        <v>400</v>
      </c>
      <c r="D535" s="18">
        <f>'GİRDİ RAPORU'!D171</f>
        <v>28</v>
      </c>
      <c r="E535" s="18" t="str">
        <f>'GİRDİ RAPORU'!E171</f>
        <v>Normal Mesai</v>
      </c>
      <c r="F535" s="18">
        <f>'GİRDİ RAPORU'!F171</f>
        <v>60</v>
      </c>
      <c r="G535" s="18" t="str">
        <f>'GİRDİ RAPORU'!G171</f>
        <v>Ayar</v>
      </c>
      <c r="H535" s="18">
        <f>'GİRDİ RAPORU'!H171</f>
        <v>15</v>
      </c>
      <c r="I535" s="18" t="str">
        <f>'GİRDİ RAPORU'!I171</f>
        <v>Ar-ge Çalışması</v>
      </c>
      <c r="J535" s="18">
        <f>'GİRDİ RAPORU'!J1143</f>
        <v>0</v>
      </c>
      <c r="K535" s="18">
        <f>'GİRDİ RAPORU'!K1143</f>
        <v>0</v>
      </c>
      <c r="L535" s="18">
        <f>'GİRDİ RAPORU'!L1143</f>
        <v>0</v>
      </c>
      <c r="M535" s="26">
        <f t="shared" si="24"/>
        <v>0.57066666666666666</v>
      </c>
      <c r="N535" s="26">
        <f t="shared" si="25"/>
        <v>0.1388888888888889</v>
      </c>
      <c r="O535" s="26">
        <f t="shared" si="26"/>
        <v>0.86111111111111116</v>
      </c>
    </row>
    <row r="536" spans="1:15" ht="21.75" hidden="1" customHeight="1">
      <c r="A536" s="17">
        <f>'GİRDİ RAPORU'!A174</f>
        <v>45245.768125000002</v>
      </c>
      <c r="B536" s="18">
        <f>'GİRDİ RAPORU'!B170</f>
        <v>2</v>
      </c>
      <c r="C536" s="18">
        <f>'GİRDİ RAPORU'!C170</f>
        <v>300</v>
      </c>
      <c r="D536" s="18">
        <f>'GİRDİ RAPORU'!D170</f>
        <v>12</v>
      </c>
      <c r="E536" s="18" t="str">
        <f>'GİRDİ RAPORU'!E170</f>
        <v>Normal Mesai</v>
      </c>
      <c r="F536" s="18">
        <f>'GİRDİ RAPORU'!F170</f>
        <v>20</v>
      </c>
      <c r="G536" s="18" t="str">
        <f>'GİRDİ RAPORU'!G170</f>
        <v>Ayar</v>
      </c>
      <c r="H536" s="18">
        <f>'GİRDİ RAPORU'!H170</f>
        <v>0</v>
      </c>
      <c r="I536" s="18">
        <f>'GİRDİ RAPORU'!I170</f>
        <v>0</v>
      </c>
      <c r="J536" s="18">
        <f>'GİRDİ RAPORU'!J1142</f>
        <v>0</v>
      </c>
      <c r="K536" s="18">
        <f>'GİRDİ RAPORU'!K1142</f>
        <v>0</v>
      </c>
      <c r="L536" s="18">
        <f>'GİRDİ RAPORU'!L1142</f>
        <v>0</v>
      </c>
      <c r="M536" s="26">
        <f t="shared" si="24"/>
        <v>0.41599999999999998</v>
      </c>
      <c r="N536" s="26">
        <f t="shared" si="25"/>
        <v>3.7037037037037035E-2</v>
      </c>
      <c r="O536" s="26">
        <f t="shared" si="26"/>
        <v>0.96296296296296291</v>
      </c>
    </row>
    <row r="537" spans="1:15" ht="21.75" hidden="1" customHeight="1">
      <c r="A537" s="17">
        <f>'GİRDİ RAPORU'!A173</f>
        <v>45244.752905092595</v>
      </c>
      <c r="B537" s="18">
        <f>'GİRDİ RAPORU'!B169</f>
        <v>2</v>
      </c>
      <c r="C537" s="18">
        <f>'GİRDİ RAPORU'!C169</f>
        <v>278</v>
      </c>
      <c r="D537" s="18">
        <f>'GİRDİ RAPORU'!D169</f>
        <v>113</v>
      </c>
      <c r="E537" s="18" t="str">
        <f>'GİRDİ RAPORU'!E169</f>
        <v>Normal Mesai</v>
      </c>
      <c r="F537" s="18">
        <f>'GİRDİ RAPORU'!F169</f>
        <v>20</v>
      </c>
      <c r="G537" s="18" t="str">
        <f>'GİRDİ RAPORU'!G169</f>
        <v>Ayar</v>
      </c>
      <c r="H537" s="18">
        <f>'GİRDİ RAPORU'!H169</f>
        <v>45</v>
      </c>
      <c r="I537" s="18" t="str">
        <f>'GİRDİ RAPORU'!I169</f>
        <v>Ar-ge Çalışması</v>
      </c>
      <c r="J537" s="18">
        <f>'GİRDİ RAPORU'!J1141</f>
        <v>0</v>
      </c>
      <c r="K537" s="18">
        <f>'GİRDİ RAPORU'!K1141</f>
        <v>0</v>
      </c>
      <c r="L537" s="18">
        <f>'GİRDİ RAPORU'!L1141</f>
        <v>0</v>
      </c>
      <c r="M537" s="26">
        <f t="shared" si="24"/>
        <v>0.52133333333333332</v>
      </c>
      <c r="N537" s="26">
        <f t="shared" si="25"/>
        <v>0.12037037037037036</v>
      </c>
      <c r="O537" s="26">
        <f t="shared" si="26"/>
        <v>0.87962962962962965</v>
      </c>
    </row>
    <row r="538" spans="1:15" ht="21.75" hidden="1" customHeight="1">
      <c r="A538" s="17">
        <f>'GİRDİ RAPORU'!A172</f>
        <v>45243.762880787035</v>
      </c>
      <c r="B538" s="18">
        <f>'GİRDİ RAPORU'!B168</f>
        <v>2</v>
      </c>
      <c r="C538" s="18">
        <f>'GİRDİ RAPORU'!C168</f>
        <v>342</v>
      </c>
      <c r="D538" s="18">
        <f>'GİRDİ RAPORU'!D168</f>
        <v>55</v>
      </c>
      <c r="E538" s="18" t="str">
        <f>'GİRDİ RAPORU'!E168</f>
        <v>Normal Mesai</v>
      </c>
      <c r="F538" s="18">
        <f>'GİRDİ RAPORU'!F168</f>
        <v>20</v>
      </c>
      <c r="G538" s="18" t="str">
        <f>'GİRDİ RAPORU'!G168</f>
        <v>Ayar</v>
      </c>
      <c r="H538" s="18">
        <f>'GİRDİ RAPORU'!H168</f>
        <v>0</v>
      </c>
      <c r="I538" s="18">
        <f>'GİRDİ RAPORU'!I168</f>
        <v>0</v>
      </c>
      <c r="J538" s="18">
        <f>'GİRDİ RAPORU'!J1140</f>
        <v>0</v>
      </c>
      <c r="K538" s="18">
        <f>'GİRDİ RAPORU'!K1140</f>
        <v>0</v>
      </c>
      <c r="L538" s="18">
        <f>'GİRDİ RAPORU'!L1140</f>
        <v>0</v>
      </c>
      <c r="M538" s="26">
        <f t="shared" si="24"/>
        <v>0.52933333333333332</v>
      </c>
      <c r="N538" s="26">
        <f t="shared" si="25"/>
        <v>3.7037037037037035E-2</v>
      </c>
      <c r="O538" s="26">
        <f t="shared" si="26"/>
        <v>0.96296296296296291</v>
      </c>
    </row>
    <row r="539" spans="1:15" ht="21.75" hidden="1" customHeight="1">
      <c r="A539" s="17">
        <f>'GİRDİ RAPORU'!A171</f>
        <v>45240.769687499997</v>
      </c>
      <c r="B539" s="18">
        <f>'GİRDİ RAPORU'!B167</f>
        <v>2</v>
      </c>
      <c r="C539" s="18">
        <f>'GİRDİ RAPORU'!C167</f>
        <v>155</v>
      </c>
      <c r="D539" s="18">
        <f>'GİRDİ RAPORU'!D167</f>
        <v>57</v>
      </c>
      <c r="E539" s="18" t="str">
        <f>'GİRDİ RAPORU'!E167</f>
        <v>Normal Mesai</v>
      </c>
      <c r="F539" s="18">
        <f>'GİRDİ RAPORU'!F167</f>
        <v>20</v>
      </c>
      <c r="G539" s="18" t="str">
        <f>'GİRDİ RAPORU'!G167</f>
        <v>Ayar</v>
      </c>
      <c r="H539" s="18">
        <f>'GİRDİ RAPORU'!H167</f>
        <v>15</v>
      </c>
      <c r="I539" s="18" t="str">
        <f>'GİRDİ RAPORU'!I167</f>
        <v>Ar-ge Çalışması</v>
      </c>
      <c r="J539" s="18">
        <f>'GİRDİ RAPORU'!J1139</f>
        <v>0</v>
      </c>
      <c r="K539" s="18">
        <f>'GİRDİ RAPORU'!K1139</f>
        <v>0</v>
      </c>
      <c r="L539" s="18">
        <f>'GİRDİ RAPORU'!L1139</f>
        <v>0</v>
      </c>
      <c r="M539" s="26">
        <f t="shared" si="24"/>
        <v>0.28266666666666668</v>
      </c>
      <c r="N539" s="26">
        <f t="shared" si="25"/>
        <v>6.4814814814814811E-2</v>
      </c>
      <c r="O539" s="26">
        <f t="shared" si="26"/>
        <v>0.93518518518518523</v>
      </c>
    </row>
    <row r="540" spans="1:15" ht="21.75" hidden="1" customHeight="1">
      <c r="A540" s="17">
        <f>'GİRDİ RAPORU'!A170</f>
        <v>45239.766805555555</v>
      </c>
      <c r="B540" s="18">
        <f>'GİRDİ RAPORU'!B166</f>
        <v>2</v>
      </c>
      <c r="C540" s="18">
        <f>'GİRDİ RAPORU'!C166</f>
        <v>152</v>
      </c>
      <c r="D540" s="18">
        <f>'GİRDİ RAPORU'!D166</f>
        <v>74</v>
      </c>
      <c r="E540" s="18" t="str">
        <f>'GİRDİ RAPORU'!E166</f>
        <v>Normal Mesai</v>
      </c>
      <c r="F540" s="18">
        <f>'GİRDİ RAPORU'!F166</f>
        <v>40</v>
      </c>
      <c r="G540" s="18" t="str">
        <f>'GİRDİ RAPORU'!G166</f>
        <v>Ayar</v>
      </c>
      <c r="H540" s="18">
        <f>'GİRDİ RAPORU'!H166</f>
        <v>45</v>
      </c>
      <c r="I540" s="18" t="str">
        <f>'GİRDİ RAPORU'!I166</f>
        <v>Ar-ge Çalışması</v>
      </c>
      <c r="J540" s="18">
        <f>'GİRDİ RAPORU'!J1138</f>
        <v>0</v>
      </c>
      <c r="K540" s="18">
        <f>'GİRDİ RAPORU'!K1138</f>
        <v>0</v>
      </c>
      <c r="L540" s="18">
        <f>'GİRDİ RAPORU'!L1138</f>
        <v>0</v>
      </c>
      <c r="M540" s="26">
        <f t="shared" si="24"/>
        <v>0.30133333333333334</v>
      </c>
      <c r="N540" s="26">
        <f t="shared" si="25"/>
        <v>0.15740740740740741</v>
      </c>
      <c r="O540" s="26">
        <f t="shared" si="26"/>
        <v>0.84259259259259256</v>
      </c>
    </row>
    <row r="541" spans="1:15" ht="21.75" hidden="1" customHeight="1">
      <c r="A541" s="17">
        <f>'GİRDİ RAPORU'!A169</f>
        <v>45238.762729050926</v>
      </c>
      <c r="B541" s="18">
        <f>'GİRDİ RAPORU'!B165</f>
        <v>2</v>
      </c>
      <c r="C541" s="18">
        <f>'GİRDİ RAPORU'!C165</f>
        <v>185</v>
      </c>
      <c r="D541" s="18">
        <f>'GİRDİ RAPORU'!D165</f>
        <v>116</v>
      </c>
      <c r="E541" s="18" t="str">
        <f>'GİRDİ RAPORU'!E165</f>
        <v>Normal Mesai</v>
      </c>
      <c r="F541" s="18">
        <f>'GİRDİ RAPORU'!F165</f>
        <v>20</v>
      </c>
      <c r="G541" s="18" t="str">
        <f>'GİRDİ RAPORU'!G165</f>
        <v>Ayar</v>
      </c>
      <c r="H541" s="18">
        <f>'GİRDİ RAPORU'!H165</f>
        <v>35</v>
      </c>
      <c r="I541" s="18" t="str">
        <f>'GİRDİ RAPORU'!I165</f>
        <v>Ar-ge Çalışması</v>
      </c>
      <c r="J541" s="18">
        <f>'GİRDİ RAPORU'!J1137</f>
        <v>0</v>
      </c>
      <c r="K541" s="18">
        <f>'GİRDİ RAPORU'!K1137</f>
        <v>0</v>
      </c>
      <c r="L541" s="18">
        <f>'GİRDİ RAPORU'!L1137</f>
        <v>0</v>
      </c>
      <c r="M541" s="26">
        <f t="shared" si="24"/>
        <v>0.40133333333333332</v>
      </c>
      <c r="N541" s="26">
        <f t="shared" si="25"/>
        <v>0.10185185185185185</v>
      </c>
      <c r="O541" s="26">
        <f t="shared" si="26"/>
        <v>0.89814814814814814</v>
      </c>
    </row>
    <row r="542" spans="1:15" ht="21.75" hidden="1" customHeight="1">
      <c r="A542" s="17">
        <f>'GİRDİ RAPORU'!A168</f>
        <v>45237.761704745368</v>
      </c>
      <c r="B542" s="18">
        <f>'GİRDİ RAPORU'!B164</f>
        <v>2</v>
      </c>
      <c r="C542" s="18">
        <f>'GİRDİ RAPORU'!C164</f>
        <v>250</v>
      </c>
      <c r="D542" s="18">
        <f>'GİRDİ RAPORU'!D164</f>
        <v>80</v>
      </c>
      <c r="E542" s="18" t="str">
        <f>'GİRDİ RAPORU'!E164</f>
        <v>Normal Mesai</v>
      </c>
      <c r="F542" s="18">
        <f>'GİRDİ RAPORU'!F164</f>
        <v>20</v>
      </c>
      <c r="G542" s="18" t="str">
        <f>'GİRDİ RAPORU'!G164</f>
        <v>Ayar</v>
      </c>
      <c r="H542" s="18">
        <f>'GİRDİ RAPORU'!H164</f>
        <v>30</v>
      </c>
      <c r="I542" s="18" t="str">
        <f>'GİRDİ RAPORU'!I164</f>
        <v>Ar-ge Çalışması</v>
      </c>
      <c r="J542" s="18">
        <f>'GİRDİ RAPORU'!J1136</f>
        <v>0</v>
      </c>
      <c r="K542" s="18">
        <f>'GİRDİ RAPORU'!K1136</f>
        <v>0</v>
      </c>
      <c r="L542" s="18">
        <f>'GİRDİ RAPORU'!L1136</f>
        <v>0</v>
      </c>
      <c r="M542" s="26">
        <f t="shared" si="24"/>
        <v>0.44</v>
      </c>
      <c r="N542" s="26">
        <f t="shared" si="25"/>
        <v>9.2592592592592587E-2</v>
      </c>
      <c r="O542" s="26">
        <f t="shared" si="26"/>
        <v>0.90740740740740744</v>
      </c>
    </row>
    <row r="543" spans="1:15" ht="21.75" hidden="1" customHeight="1">
      <c r="A543" s="17">
        <f>'GİRDİ RAPORU'!A167</f>
        <v>45236.766474768519</v>
      </c>
      <c r="B543" s="18">
        <f>'GİRDİ RAPORU'!B163</f>
        <v>2</v>
      </c>
      <c r="C543" s="18">
        <f>'GİRDİ RAPORU'!C163</f>
        <v>200</v>
      </c>
      <c r="D543" s="18">
        <f>'GİRDİ RAPORU'!D163</f>
        <v>10</v>
      </c>
      <c r="E543" s="18" t="str">
        <f>'GİRDİ RAPORU'!E163</f>
        <v>Normal Mesai</v>
      </c>
      <c r="F543" s="18">
        <f>'GİRDİ RAPORU'!F163</f>
        <v>30</v>
      </c>
      <c r="G543" s="18" t="str">
        <f>'GİRDİ RAPORU'!G163</f>
        <v>Ayar</v>
      </c>
      <c r="H543" s="18">
        <f>'GİRDİ RAPORU'!H163</f>
        <v>0</v>
      </c>
      <c r="I543" s="18">
        <f>'GİRDİ RAPORU'!I163</f>
        <v>0</v>
      </c>
      <c r="J543" s="18">
        <f>'GİRDİ RAPORU'!J1135</f>
        <v>0</v>
      </c>
      <c r="K543" s="18">
        <f>'GİRDİ RAPORU'!K1135</f>
        <v>0</v>
      </c>
      <c r="L543" s="18">
        <f>'GİRDİ RAPORU'!L1135</f>
        <v>0</v>
      </c>
      <c r="M543" s="26">
        <f t="shared" si="24"/>
        <v>0.28000000000000003</v>
      </c>
      <c r="N543" s="26">
        <f t="shared" si="25"/>
        <v>5.5555555555555552E-2</v>
      </c>
      <c r="O543" s="26">
        <f t="shared" si="26"/>
        <v>0.94444444444444442</v>
      </c>
    </row>
    <row r="544" spans="1:15" ht="21.75" hidden="1" customHeight="1">
      <c r="A544" s="17">
        <f>'GİRDİ RAPORU'!A166</f>
        <v>45233.75195810185</v>
      </c>
      <c r="B544" s="18">
        <f>'GİRDİ RAPORU'!B162</f>
        <v>2</v>
      </c>
      <c r="C544" s="18">
        <f>'GİRDİ RAPORU'!C162</f>
        <v>100</v>
      </c>
      <c r="D544" s="18">
        <f>'GİRDİ RAPORU'!D162</f>
        <v>10</v>
      </c>
      <c r="E544" s="18" t="str">
        <f>'GİRDİ RAPORU'!E162</f>
        <v>Normal Mesai</v>
      </c>
      <c r="F544" s="18">
        <f>'GİRDİ RAPORU'!F162</f>
        <v>60</v>
      </c>
      <c r="G544" s="18" t="str">
        <f>'GİRDİ RAPORU'!G162</f>
        <v>Ayar</v>
      </c>
      <c r="H544" s="18">
        <f>'GİRDİ RAPORU'!H162</f>
        <v>0</v>
      </c>
      <c r="I544" s="18">
        <f>'GİRDİ RAPORU'!I162</f>
        <v>0</v>
      </c>
      <c r="J544" s="18">
        <f>'GİRDİ RAPORU'!J1134</f>
        <v>0</v>
      </c>
      <c r="K544" s="18">
        <f>'GİRDİ RAPORU'!K1134</f>
        <v>0</v>
      </c>
      <c r="L544" s="18">
        <f>'GİRDİ RAPORU'!L1134</f>
        <v>0</v>
      </c>
      <c r="M544" s="26">
        <f t="shared" si="24"/>
        <v>0.14666666666666667</v>
      </c>
      <c r="N544" s="26">
        <f t="shared" si="25"/>
        <v>0.1111111111111111</v>
      </c>
      <c r="O544" s="26">
        <f t="shared" si="26"/>
        <v>0.88888888888888884</v>
      </c>
    </row>
    <row r="545" spans="1:15" ht="21.75" hidden="1" customHeight="1">
      <c r="A545" s="17">
        <f>'GİRDİ RAPORU'!A165</f>
        <v>45232.763194444444</v>
      </c>
      <c r="B545" s="18">
        <f>'GİRDİ RAPORU'!B161</f>
        <v>2</v>
      </c>
      <c r="C545" s="18">
        <f>'GİRDİ RAPORU'!C161</f>
        <v>257</v>
      </c>
      <c r="D545" s="18">
        <f>'GİRDİ RAPORU'!D161</f>
        <v>55</v>
      </c>
      <c r="E545" s="18" t="str">
        <f>'GİRDİ RAPORU'!E161</f>
        <v>Normal Mesai</v>
      </c>
      <c r="F545" s="18">
        <f>'GİRDİ RAPORU'!F161</f>
        <v>20</v>
      </c>
      <c r="G545" s="18" t="str">
        <f>'GİRDİ RAPORU'!G161</f>
        <v>Ayar</v>
      </c>
      <c r="H545" s="18">
        <f>'GİRDİ RAPORU'!H161</f>
        <v>60</v>
      </c>
      <c r="I545" s="18" t="str">
        <f>'GİRDİ RAPORU'!I161</f>
        <v>Ar-ge Çalışması</v>
      </c>
      <c r="J545" s="18">
        <f>'GİRDİ RAPORU'!J1133</f>
        <v>0</v>
      </c>
      <c r="K545" s="18">
        <f>'GİRDİ RAPORU'!K1133</f>
        <v>0</v>
      </c>
      <c r="L545" s="18">
        <f>'GİRDİ RAPORU'!L1133</f>
        <v>0</v>
      </c>
      <c r="M545" s="26">
        <f t="shared" si="24"/>
        <v>0.41599999999999998</v>
      </c>
      <c r="N545" s="26">
        <f t="shared" si="25"/>
        <v>0.14814814814814814</v>
      </c>
      <c r="O545" s="26">
        <f t="shared" si="26"/>
        <v>0.85185185185185186</v>
      </c>
    </row>
    <row r="546" spans="1:15" ht="21.75" hidden="1" customHeight="1">
      <c r="A546" s="17">
        <f>'GİRDİ RAPORU'!A164</f>
        <v>45231.763372222224</v>
      </c>
      <c r="B546" s="18">
        <f>'GİRDİ RAPORU'!B160</f>
        <v>2</v>
      </c>
      <c r="C546" s="18">
        <f>'GİRDİ RAPORU'!C160</f>
        <v>274</v>
      </c>
      <c r="D546" s="18">
        <f>'GİRDİ RAPORU'!D160</f>
        <v>116</v>
      </c>
      <c r="E546" s="18" t="str">
        <f>'GİRDİ RAPORU'!E160</f>
        <v>Normal Mesai</v>
      </c>
      <c r="F546" s="18">
        <f>'GİRDİ RAPORU'!F160</f>
        <v>20</v>
      </c>
      <c r="G546" s="18" t="str">
        <f>'GİRDİ RAPORU'!G160</f>
        <v>Ayar</v>
      </c>
      <c r="H546" s="18">
        <f>'GİRDİ RAPORU'!H160</f>
        <v>65</v>
      </c>
      <c r="I546" s="18" t="str">
        <f>'GİRDİ RAPORU'!I160</f>
        <v>Ar-ge Çalışması</v>
      </c>
      <c r="J546" s="18">
        <f>'GİRDİ RAPORU'!J1132</f>
        <v>0</v>
      </c>
      <c r="K546" s="18">
        <f>'GİRDİ RAPORU'!K1132</f>
        <v>0</v>
      </c>
      <c r="L546" s="18">
        <f>'GİRDİ RAPORU'!L1132</f>
        <v>0</v>
      </c>
      <c r="M546" s="26">
        <f t="shared" si="24"/>
        <v>0.52</v>
      </c>
      <c r="N546" s="26">
        <f t="shared" si="25"/>
        <v>0.15740740740740741</v>
      </c>
      <c r="O546" s="26">
        <f t="shared" si="26"/>
        <v>0.84259259259259256</v>
      </c>
    </row>
    <row r="547" spans="1:15" ht="21.75" hidden="1" customHeight="1">
      <c r="A547" s="17">
        <f>'GİRDİ RAPORU'!A163</f>
        <v>45230.769502314812</v>
      </c>
      <c r="B547" s="18">
        <f>'GİRDİ RAPORU'!B159</f>
        <v>2</v>
      </c>
      <c r="C547" s="18">
        <f>'GİRDİ RAPORU'!C159</f>
        <v>224</v>
      </c>
      <c r="D547" s="18">
        <f>'GİRDİ RAPORU'!D159</f>
        <v>105</v>
      </c>
      <c r="E547" s="18" t="str">
        <f>'GİRDİ RAPORU'!E159</f>
        <v>Normal Mesai</v>
      </c>
      <c r="F547" s="18">
        <f>'GİRDİ RAPORU'!F159</f>
        <v>20</v>
      </c>
      <c r="G547" s="18" t="str">
        <f>'GİRDİ RAPORU'!G159</f>
        <v>Ayar</v>
      </c>
      <c r="H547" s="18">
        <f>'GİRDİ RAPORU'!H159</f>
        <v>20</v>
      </c>
      <c r="I547" s="18" t="str">
        <f>'GİRDİ RAPORU'!I159</f>
        <v>Ar-ge Çalışması</v>
      </c>
      <c r="J547" s="18">
        <f>'GİRDİ RAPORU'!J1131</f>
        <v>0</v>
      </c>
      <c r="K547" s="18">
        <f>'GİRDİ RAPORU'!K1131</f>
        <v>0</v>
      </c>
      <c r="L547" s="18">
        <f>'GİRDİ RAPORU'!L1131</f>
        <v>0</v>
      </c>
      <c r="M547" s="26">
        <f t="shared" si="24"/>
        <v>0.43866666666666665</v>
      </c>
      <c r="N547" s="26">
        <f t="shared" si="25"/>
        <v>7.407407407407407E-2</v>
      </c>
      <c r="O547" s="26">
        <f t="shared" si="26"/>
        <v>0.92592592592592593</v>
      </c>
    </row>
    <row r="548" spans="1:15" ht="21.75" hidden="1" customHeight="1">
      <c r="A548" s="17">
        <f>'GİRDİ RAPORU'!A162</f>
        <v>45229.767361111109</v>
      </c>
      <c r="B548" s="18">
        <f>'GİRDİ RAPORU'!B158</f>
        <v>2</v>
      </c>
      <c r="C548" s="18">
        <f>'GİRDİ RAPORU'!C158</f>
        <v>247</v>
      </c>
      <c r="D548" s="18">
        <f>'GİRDİ RAPORU'!D158</f>
        <v>76</v>
      </c>
      <c r="E548" s="18" t="str">
        <f>'GİRDİ RAPORU'!E158</f>
        <v>Normal Mesai</v>
      </c>
      <c r="F548" s="18">
        <f>'GİRDİ RAPORU'!F158</f>
        <v>20</v>
      </c>
      <c r="G548" s="18" t="str">
        <f>'GİRDİ RAPORU'!G158</f>
        <v>Ayar</v>
      </c>
      <c r="H548" s="18">
        <f>'GİRDİ RAPORU'!H158</f>
        <v>60</v>
      </c>
      <c r="I548" s="18" t="str">
        <f>'GİRDİ RAPORU'!I158</f>
        <v>Ar-ge Çalışması</v>
      </c>
      <c r="J548" s="18">
        <f>'GİRDİ RAPORU'!J1130</f>
        <v>0</v>
      </c>
      <c r="K548" s="18">
        <f>'GİRDİ RAPORU'!K1130</f>
        <v>0</v>
      </c>
      <c r="L548" s="18">
        <f>'GİRDİ RAPORU'!L1130</f>
        <v>0</v>
      </c>
      <c r="M548" s="26">
        <f t="shared" si="24"/>
        <v>0.43066666666666664</v>
      </c>
      <c r="N548" s="26">
        <f t="shared" si="25"/>
        <v>0.14814814814814814</v>
      </c>
      <c r="O548" s="26">
        <f t="shared" si="26"/>
        <v>0.85185185185185186</v>
      </c>
    </row>
    <row r="549" spans="1:15" ht="21.75" hidden="1" customHeight="1">
      <c r="A549" s="17">
        <f>'GİRDİ RAPORU'!A161</f>
        <v>45226.76711458333</v>
      </c>
      <c r="B549" s="18">
        <f>'GİRDİ RAPORU'!B157</f>
        <v>2</v>
      </c>
      <c r="C549" s="18">
        <f>'GİRDİ RAPORU'!C157</f>
        <v>274</v>
      </c>
      <c r="D549" s="18">
        <f>'GİRDİ RAPORU'!D157</f>
        <v>35</v>
      </c>
      <c r="E549" s="18" t="str">
        <f>'GİRDİ RAPORU'!E157</f>
        <v>Normal Mesai</v>
      </c>
      <c r="F549" s="18">
        <f>'GİRDİ RAPORU'!F157</f>
        <v>20</v>
      </c>
      <c r="G549" s="18" t="str">
        <f>'GİRDİ RAPORU'!G157</f>
        <v>Ayar</v>
      </c>
      <c r="H549" s="18">
        <f>'GİRDİ RAPORU'!H157</f>
        <v>60</v>
      </c>
      <c r="I549" s="18" t="str">
        <f>'GİRDİ RAPORU'!I157</f>
        <v>Ar-ge Çalışması</v>
      </c>
      <c r="J549" s="18">
        <f>'GİRDİ RAPORU'!J1129</f>
        <v>0</v>
      </c>
      <c r="K549" s="18">
        <f>'GİRDİ RAPORU'!K1129</f>
        <v>0</v>
      </c>
      <c r="L549" s="18">
        <f>'GİRDİ RAPORU'!L1129</f>
        <v>0</v>
      </c>
      <c r="M549" s="26">
        <f t="shared" si="24"/>
        <v>0.41199999999999998</v>
      </c>
      <c r="N549" s="26">
        <f t="shared" si="25"/>
        <v>0.14814814814814814</v>
      </c>
      <c r="O549" s="26">
        <f t="shared" si="26"/>
        <v>0.85185185185185186</v>
      </c>
    </row>
    <row r="550" spans="1:15" ht="21.75" hidden="1" customHeight="1">
      <c r="A550" s="17">
        <f>'GİRDİ RAPORU'!A160</f>
        <v>45225.766597222224</v>
      </c>
      <c r="B550" s="18">
        <f>'GİRDİ RAPORU'!B156</f>
        <v>2</v>
      </c>
      <c r="C550" s="18">
        <f>'GİRDİ RAPORU'!C156</f>
        <v>233</v>
      </c>
      <c r="D550" s="18">
        <f>'GİRDİ RAPORU'!D156</f>
        <v>38</v>
      </c>
      <c r="E550" s="18" t="str">
        <f>'GİRDİ RAPORU'!E156</f>
        <v>Normal Mesai</v>
      </c>
      <c r="F550" s="18">
        <f>'GİRDİ RAPORU'!F156</f>
        <v>20</v>
      </c>
      <c r="G550" s="18" t="str">
        <f>'GİRDİ RAPORU'!G156</f>
        <v>Ayar</v>
      </c>
      <c r="H550" s="18">
        <f>'GİRDİ RAPORU'!H156</f>
        <v>60</v>
      </c>
      <c r="I550" s="18" t="str">
        <f>'GİRDİ RAPORU'!I156</f>
        <v>Temizlik</v>
      </c>
      <c r="J550" s="18">
        <f>'GİRDİ RAPORU'!J1128</f>
        <v>0</v>
      </c>
      <c r="K550" s="18">
        <f>'GİRDİ RAPORU'!K1128</f>
        <v>0</v>
      </c>
      <c r="L550" s="18">
        <f>'GİRDİ RAPORU'!L1128</f>
        <v>0</v>
      </c>
      <c r="M550" s="26">
        <f t="shared" si="24"/>
        <v>0.36133333333333334</v>
      </c>
      <c r="N550" s="26">
        <f t="shared" si="25"/>
        <v>0.14814814814814814</v>
      </c>
      <c r="O550" s="26">
        <f t="shared" si="26"/>
        <v>0.85185185185185186</v>
      </c>
    </row>
    <row r="551" spans="1:15" ht="21.75" hidden="1" customHeight="1">
      <c r="A551" s="17">
        <f>'GİRDİ RAPORU'!A159</f>
        <v>45224.763731250001</v>
      </c>
      <c r="B551" s="18">
        <f>'GİRDİ RAPORU'!B155</f>
        <v>2</v>
      </c>
      <c r="C551" s="18">
        <f>'GİRDİ RAPORU'!C155</f>
        <v>249</v>
      </c>
      <c r="D551" s="18">
        <f>'GİRDİ RAPORU'!D155</f>
        <v>69</v>
      </c>
      <c r="E551" s="18" t="str">
        <f>'GİRDİ RAPORU'!E155</f>
        <v>Normal Mesai</v>
      </c>
      <c r="F551" s="18">
        <f>'GİRDİ RAPORU'!F155</f>
        <v>20</v>
      </c>
      <c r="G551" s="18" t="str">
        <f>'GİRDİ RAPORU'!G155</f>
        <v>Ayar</v>
      </c>
      <c r="H551" s="18">
        <f>'GİRDİ RAPORU'!H155</f>
        <v>80</v>
      </c>
      <c r="I551" s="18" t="str">
        <f>'GİRDİ RAPORU'!I155</f>
        <v>Ar-ge Çalışması</v>
      </c>
      <c r="J551" s="18">
        <f>'GİRDİ RAPORU'!J1127</f>
        <v>0</v>
      </c>
      <c r="K551" s="18">
        <f>'GİRDİ RAPORU'!K1127</f>
        <v>0</v>
      </c>
      <c r="L551" s="18">
        <f>'GİRDİ RAPORU'!L1127</f>
        <v>0</v>
      </c>
      <c r="M551" s="26">
        <f t="shared" si="24"/>
        <v>0.42399999999999999</v>
      </c>
      <c r="N551" s="26">
        <f t="shared" si="25"/>
        <v>0.18518518518518517</v>
      </c>
      <c r="O551" s="26">
        <f t="shared" si="26"/>
        <v>0.81481481481481477</v>
      </c>
    </row>
    <row r="552" spans="1:15" ht="21.75" hidden="1" customHeight="1">
      <c r="A552" s="17">
        <f>'GİRDİ RAPORU'!A158</f>
        <v>45223.763791087964</v>
      </c>
      <c r="B552" s="18">
        <f>'GİRDİ RAPORU'!B154</f>
        <v>2</v>
      </c>
      <c r="C552" s="18">
        <f>'GİRDİ RAPORU'!C154</f>
        <v>367</v>
      </c>
      <c r="D552" s="18">
        <f>'GİRDİ RAPORU'!D154</f>
        <v>40</v>
      </c>
      <c r="E552" s="18" t="str">
        <f>'GİRDİ RAPORU'!E154</f>
        <v>Normal Mesai</v>
      </c>
      <c r="F552" s="18">
        <f>'GİRDİ RAPORU'!F154</f>
        <v>20</v>
      </c>
      <c r="G552" s="18" t="str">
        <f>'GİRDİ RAPORU'!G154</f>
        <v>Ayar</v>
      </c>
      <c r="H552" s="18">
        <f>'GİRDİ RAPORU'!H154</f>
        <v>20</v>
      </c>
      <c r="I552" s="18" t="str">
        <f>'GİRDİ RAPORU'!I154</f>
        <v>Ar-ge Çalışması</v>
      </c>
      <c r="J552" s="18">
        <f>'GİRDİ RAPORU'!J1126</f>
        <v>0</v>
      </c>
      <c r="K552" s="18">
        <f>'GİRDİ RAPORU'!K1126</f>
        <v>0</v>
      </c>
      <c r="L552" s="18">
        <f>'GİRDİ RAPORU'!L1126</f>
        <v>0</v>
      </c>
      <c r="M552" s="26">
        <f t="shared" si="24"/>
        <v>0.54266666666666663</v>
      </c>
      <c r="N552" s="26">
        <f t="shared" si="25"/>
        <v>7.407407407407407E-2</v>
      </c>
      <c r="O552" s="26">
        <f t="shared" si="26"/>
        <v>0.92592592592592593</v>
      </c>
    </row>
    <row r="553" spans="1:15" ht="21.75" hidden="1" customHeight="1">
      <c r="A553" s="17">
        <f>'GİRDİ RAPORU'!A157</f>
        <v>45222.766232638889</v>
      </c>
      <c r="B553" s="18">
        <f>'GİRDİ RAPORU'!B153</f>
        <v>2</v>
      </c>
      <c r="C553" s="18">
        <f>'GİRDİ RAPORU'!C153</f>
        <v>135</v>
      </c>
      <c r="D553" s="18">
        <f>'GİRDİ RAPORU'!D153</f>
        <v>110</v>
      </c>
      <c r="E553" s="18" t="str">
        <f>'GİRDİ RAPORU'!E153</f>
        <v>Normal Mesai</v>
      </c>
      <c r="F553" s="18">
        <f>'GİRDİ RAPORU'!F153</f>
        <v>20</v>
      </c>
      <c r="G553" s="18" t="str">
        <f>'GİRDİ RAPORU'!G153</f>
        <v>Ayar</v>
      </c>
      <c r="H553" s="18">
        <f>'GİRDİ RAPORU'!H153</f>
        <v>90</v>
      </c>
      <c r="I553" s="18" t="str">
        <f>'GİRDİ RAPORU'!I153</f>
        <v>Ar-ge Çalışması</v>
      </c>
      <c r="J553" s="18">
        <f>'GİRDİ RAPORU'!J1125</f>
        <v>0</v>
      </c>
      <c r="K553" s="18">
        <f>'GİRDİ RAPORU'!K1125</f>
        <v>0</v>
      </c>
      <c r="L553" s="18">
        <f>'GİRDİ RAPORU'!L1125</f>
        <v>0</v>
      </c>
      <c r="M553" s="26">
        <f t="shared" si="24"/>
        <v>0.32666666666666666</v>
      </c>
      <c r="N553" s="26">
        <f t="shared" si="25"/>
        <v>0.20370370370370369</v>
      </c>
      <c r="O553" s="26">
        <f t="shared" si="26"/>
        <v>0.79629629629629628</v>
      </c>
    </row>
    <row r="554" spans="1:15" ht="21.75" hidden="1" customHeight="1">
      <c r="A554" s="17">
        <f>'GİRDİ RAPORU'!A156</f>
        <v>45219.766377314816</v>
      </c>
      <c r="B554" s="18">
        <f>'GİRDİ RAPORU'!B152</f>
        <v>2</v>
      </c>
      <c r="C554" s="18">
        <f>'GİRDİ RAPORU'!C152</f>
        <v>172</v>
      </c>
      <c r="D554" s="18">
        <f>'GİRDİ RAPORU'!D152</f>
        <v>79</v>
      </c>
      <c r="E554" s="18" t="str">
        <f>'GİRDİ RAPORU'!E152</f>
        <v>Normal Mesai</v>
      </c>
      <c r="F554" s="18">
        <f>'GİRDİ RAPORU'!F152</f>
        <v>20</v>
      </c>
      <c r="G554" s="18" t="str">
        <f>'GİRDİ RAPORU'!G152</f>
        <v>Ayar</v>
      </c>
      <c r="H554" s="18">
        <f>'GİRDİ RAPORU'!H152</f>
        <v>180</v>
      </c>
      <c r="I554" s="18" t="str">
        <f>'GİRDİ RAPORU'!I152</f>
        <v>Ar-ge Çalışması</v>
      </c>
      <c r="J554" s="18">
        <f>'GİRDİ RAPORU'!J1124</f>
        <v>0</v>
      </c>
      <c r="K554" s="18">
        <f>'GİRDİ RAPORU'!K1124</f>
        <v>0</v>
      </c>
      <c r="L554" s="18">
        <f>'GİRDİ RAPORU'!L1124</f>
        <v>0</v>
      </c>
      <c r="M554" s="26">
        <f t="shared" si="24"/>
        <v>0.33466666666666667</v>
      </c>
      <c r="N554" s="26">
        <f t="shared" si="25"/>
        <v>0.37037037037037035</v>
      </c>
      <c r="O554" s="26">
        <f t="shared" si="26"/>
        <v>0.62962962962962965</v>
      </c>
    </row>
    <row r="555" spans="1:15" ht="21.75" hidden="1" customHeight="1">
      <c r="A555" s="17">
        <f>'GİRDİ RAPORU'!A155</f>
        <v>45218.754837962966</v>
      </c>
      <c r="B555" s="18">
        <f>'GİRDİ RAPORU'!B151</f>
        <v>2</v>
      </c>
      <c r="C555" s="18">
        <f>'GİRDİ RAPORU'!C151</f>
        <v>245</v>
      </c>
      <c r="D555" s="18">
        <f>'GİRDİ RAPORU'!D151</f>
        <v>37</v>
      </c>
      <c r="E555" s="18" t="str">
        <f>'GİRDİ RAPORU'!E151</f>
        <v>Normal Mesai</v>
      </c>
      <c r="F555" s="18">
        <f>'GİRDİ RAPORU'!F151</f>
        <v>20</v>
      </c>
      <c r="G555" s="18" t="str">
        <f>'GİRDİ RAPORU'!G151</f>
        <v>Ayar</v>
      </c>
      <c r="H555" s="18">
        <f>'GİRDİ RAPORU'!H151</f>
        <v>60</v>
      </c>
      <c r="I555" s="18" t="str">
        <f>'GİRDİ RAPORU'!I151</f>
        <v>Temizlik</v>
      </c>
      <c r="J555" s="18">
        <f>'GİRDİ RAPORU'!J1123</f>
        <v>0</v>
      </c>
      <c r="K555" s="18">
        <f>'GİRDİ RAPORU'!K1123</f>
        <v>0</v>
      </c>
      <c r="L555" s="18">
        <f>'GİRDİ RAPORU'!L1123</f>
        <v>0</v>
      </c>
      <c r="M555" s="26">
        <f t="shared" si="24"/>
        <v>0.376</v>
      </c>
      <c r="N555" s="26">
        <f t="shared" si="25"/>
        <v>0.14814814814814814</v>
      </c>
      <c r="O555" s="26">
        <f t="shared" si="26"/>
        <v>0.85185185185185186</v>
      </c>
    </row>
    <row r="556" spans="1:15" ht="21.75" hidden="1" customHeight="1">
      <c r="A556" s="17">
        <f>'GİRDİ RAPORU'!A154</f>
        <v>45217.760103587963</v>
      </c>
      <c r="B556" s="18">
        <f>'GİRDİ RAPORU'!B150</f>
        <v>2</v>
      </c>
      <c r="C556" s="18">
        <f>'GİRDİ RAPORU'!C150</f>
        <v>234</v>
      </c>
      <c r="D556" s="18">
        <f>'GİRDİ RAPORU'!D150</f>
        <v>59</v>
      </c>
      <c r="E556" s="18" t="str">
        <f>'GİRDİ RAPORU'!E150</f>
        <v>Normal Mesai</v>
      </c>
      <c r="F556" s="18">
        <f>'GİRDİ RAPORU'!F150</f>
        <v>20</v>
      </c>
      <c r="G556" s="18" t="str">
        <f>'GİRDİ RAPORU'!G150</f>
        <v>Ayar</v>
      </c>
      <c r="H556" s="18">
        <f>'GİRDİ RAPORU'!H150</f>
        <v>15</v>
      </c>
      <c r="I556" s="18" t="str">
        <f>'GİRDİ RAPORU'!I150</f>
        <v>Ar-ge Çalışması</v>
      </c>
      <c r="J556" s="18">
        <f>'GİRDİ RAPORU'!J1122</f>
        <v>0</v>
      </c>
      <c r="K556" s="18">
        <f>'GİRDİ RAPORU'!K1122</f>
        <v>0</v>
      </c>
      <c r="L556" s="18">
        <f>'GİRDİ RAPORU'!L1122</f>
        <v>0</v>
      </c>
      <c r="M556" s="26">
        <f t="shared" si="24"/>
        <v>0.39066666666666666</v>
      </c>
      <c r="N556" s="26">
        <f t="shared" si="25"/>
        <v>6.4814814814814811E-2</v>
      </c>
      <c r="O556" s="26">
        <f t="shared" si="26"/>
        <v>0.93518518518518523</v>
      </c>
    </row>
    <row r="557" spans="1:15" ht="21.75" hidden="1" customHeight="1">
      <c r="A557" s="17">
        <f>'GİRDİ RAPORU'!A153</f>
        <v>45216.769178240742</v>
      </c>
      <c r="B557" s="18">
        <f>'GİRDİ RAPORU'!B149</f>
        <v>2</v>
      </c>
      <c r="C557" s="18">
        <f>'GİRDİ RAPORU'!C149</f>
        <v>130</v>
      </c>
      <c r="D557" s="18">
        <f>'GİRDİ RAPORU'!D149</f>
        <v>50</v>
      </c>
      <c r="E557" s="18" t="str">
        <f>'GİRDİ RAPORU'!E149</f>
        <v>Normal Mesai</v>
      </c>
      <c r="F557" s="18">
        <f>'GİRDİ RAPORU'!F149</f>
        <v>20</v>
      </c>
      <c r="G557" s="18" t="str">
        <f>'GİRDİ RAPORU'!G149</f>
        <v>Ayar</v>
      </c>
      <c r="H557" s="18">
        <f>'GİRDİ RAPORU'!H149</f>
        <v>0</v>
      </c>
      <c r="I557" s="18">
        <f>'GİRDİ RAPORU'!I149</f>
        <v>0</v>
      </c>
      <c r="J557" s="18">
        <f>'GİRDİ RAPORU'!J1121</f>
        <v>0</v>
      </c>
      <c r="K557" s="18">
        <f>'GİRDİ RAPORU'!K1121</f>
        <v>0</v>
      </c>
      <c r="L557" s="18">
        <f>'GİRDİ RAPORU'!L1121</f>
        <v>0</v>
      </c>
      <c r="M557" s="26">
        <f t="shared" si="24"/>
        <v>0.24</v>
      </c>
      <c r="N557" s="26">
        <f t="shared" si="25"/>
        <v>3.7037037037037035E-2</v>
      </c>
      <c r="O557" s="26">
        <f t="shared" si="26"/>
        <v>0.96296296296296291</v>
      </c>
    </row>
    <row r="558" spans="1:15" ht="21.75" hidden="1" customHeight="1">
      <c r="A558" s="17">
        <f>'GİRDİ RAPORU'!A152</f>
        <v>45215.765023495369</v>
      </c>
      <c r="B558" s="18">
        <f>'GİRDİ RAPORU'!B148</f>
        <v>2</v>
      </c>
      <c r="C558" s="18">
        <f>'GİRDİ RAPORU'!C148</f>
        <v>380</v>
      </c>
      <c r="D558" s="18">
        <f>'GİRDİ RAPORU'!D148</f>
        <v>50</v>
      </c>
      <c r="E558" s="18" t="str">
        <f>'GİRDİ RAPORU'!E148</f>
        <v>Normal Mesai</v>
      </c>
      <c r="F558" s="18">
        <f>'GİRDİ RAPORU'!F148</f>
        <v>20</v>
      </c>
      <c r="G558" s="18" t="str">
        <f>'GİRDİ RAPORU'!G148</f>
        <v>Ayar</v>
      </c>
      <c r="H558" s="18">
        <f>'GİRDİ RAPORU'!H148</f>
        <v>20</v>
      </c>
      <c r="I558" s="18" t="str">
        <f>'GİRDİ RAPORU'!I148</f>
        <v>Ar-ge Çalışması</v>
      </c>
      <c r="J558" s="18">
        <f>'GİRDİ RAPORU'!J1120</f>
        <v>0</v>
      </c>
      <c r="K558" s="18">
        <f>'GİRDİ RAPORU'!K1120</f>
        <v>0</v>
      </c>
      <c r="L558" s="18">
        <f>'GİRDİ RAPORU'!L1120</f>
        <v>0</v>
      </c>
      <c r="M558" s="26">
        <f t="shared" si="24"/>
        <v>0.57333333333333336</v>
      </c>
      <c r="N558" s="26">
        <f t="shared" si="25"/>
        <v>7.407407407407407E-2</v>
      </c>
      <c r="O558" s="26">
        <f t="shared" si="26"/>
        <v>0.92592592592592593</v>
      </c>
    </row>
    <row r="559" spans="1:15" ht="21.75" hidden="1" customHeight="1">
      <c r="A559" s="17">
        <f>'GİRDİ RAPORU'!A151</f>
        <v>45212.752199074072</v>
      </c>
      <c r="B559" s="18">
        <f>'GİRDİ RAPORU'!B147</f>
        <v>2</v>
      </c>
      <c r="C559" s="18">
        <f>'GİRDİ RAPORU'!C147</f>
        <v>313</v>
      </c>
      <c r="D559" s="18">
        <f>'GİRDİ RAPORU'!D147</f>
        <v>18</v>
      </c>
      <c r="E559" s="18" t="str">
        <f>'GİRDİ RAPORU'!E147</f>
        <v>Normal Mesai</v>
      </c>
      <c r="F559" s="18">
        <f>'GİRDİ RAPORU'!F147</f>
        <v>20</v>
      </c>
      <c r="G559" s="18" t="str">
        <f>'GİRDİ RAPORU'!G147</f>
        <v>Ayar</v>
      </c>
      <c r="H559" s="18">
        <f>'GİRDİ RAPORU'!H147</f>
        <v>20</v>
      </c>
      <c r="I559" s="18" t="str">
        <f>'GİRDİ RAPORU'!I147</f>
        <v>Ar-ge Çalışması</v>
      </c>
      <c r="J559" s="18">
        <f>'GİRDİ RAPORU'!J1119</f>
        <v>0</v>
      </c>
      <c r="K559" s="18">
        <f>'GİRDİ RAPORU'!K1119</f>
        <v>0</v>
      </c>
      <c r="L559" s="18">
        <f>'GİRDİ RAPORU'!L1119</f>
        <v>0</v>
      </c>
      <c r="M559" s="26">
        <f t="shared" si="24"/>
        <v>0.44133333333333336</v>
      </c>
      <c r="N559" s="26">
        <f t="shared" si="25"/>
        <v>7.407407407407407E-2</v>
      </c>
      <c r="O559" s="26">
        <f t="shared" si="26"/>
        <v>0.92592592592592593</v>
      </c>
    </row>
    <row r="560" spans="1:15" ht="21.75" hidden="1" customHeight="1">
      <c r="A560" s="17">
        <f>'GİRDİ RAPORU'!A150</f>
        <v>45211.767713425928</v>
      </c>
      <c r="B560" s="18">
        <f>'GİRDİ RAPORU'!B146</f>
        <v>2</v>
      </c>
      <c r="C560" s="18">
        <f>'GİRDİ RAPORU'!C146</f>
        <v>375</v>
      </c>
      <c r="D560" s="18">
        <f>'GİRDİ RAPORU'!D146</f>
        <v>0</v>
      </c>
      <c r="E560" s="18" t="str">
        <f>'GİRDİ RAPORU'!E146</f>
        <v>Normal Mesai</v>
      </c>
      <c r="F560" s="18">
        <f>'GİRDİ RAPORU'!F146</f>
        <v>20</v>
      </c>
      <c r="G560" s="18" t="str">
        <f>'GİRDİ RAPORU'!G146</f>
        <v>Ayar</v>
      </c>
      <c r="H560" s="18">
        <f>'GİRDİ RAPORU'!H146</f>
        <v>60</v>
      </c>
      <c r="I560" s="18" t="str">
        <f>'GİRDİ RAPORU'!I146</f>
        <v>Temizlik</v>
      </c>
      <c r="J560" s="18">
        <f>'GİRDİ RAPORU'!J1118</f>
        <v>0</v>
      </c>
      <c r="K560" s="18">
        <f>'GİRDİ RAPORU'!K1118</f>
        <v>0</v>
      </c>
      <c r="L560" s="18">
        <f>'GİRDİ RAPORU'!L1118</f>
        <v>0</v>
      </c>
      <c r="M560" s="26">
        <f t="shared" si="24"/>
        <v>0.5</v>
      </c>
      <c r="N560" s="26">
        <f t="shared" si="25"/>
        <v>0.14814814814814814</v>
      </c>
      <c r="O560" s="26">
        <f t="shared" si="26"/>
        <v>0.85185185185185186</v>
      </c>
    </row>
    <row r="561" spans="1:15" ht="21.75" hidden="1" customHeight="1">
      <c r="A561" s="17">
        <f>'GİRDİ RAPORU'!A149</f>
        <v>45210.765138888892</v>
      </c>
      <c r="B561" s="18">
        <f>'GİRDİ RAPORU'!B145</f>
        <v>2</v>
      </c>
      <c r="C561" s="18">
        <f>'GİRDİ RAPORU'!C145</f>
        <v>274</v>
      </c>
      <c r="D561" s="18">
        <f>'GİRDİ RAPORU'!D145</f>
        <v>35</v>
      </c>
      <c r="E561" s="18" t="str">
        <f>'GİRDİ RAPORU'!E145</f>
        <v>Normal Mesai</v>
      </c>
      <c r="F561" s="18">
        <f>'GİRDİ RAPORU'!F145</f>
        <v>20</v>
      </c>
      <c r="G561" s="18" t="str">
        <f>'GİRDİ RAPORU'!G145</f>
        <v>Ayar</v>
      </c>
      <c r="H561" s="18">
        <f>'GİRDİ RAPORU'!H145</f>
        <v>0</v>
      </c>
      <c r="I561" s="18">
        <f>'GİRDİ RAPORU'!I145</f>
        <v>0</v>
      </c>
      <c r="J561" s="18">
        <f>'GİRDİ RAPORU'!J1117</f>
        <v>0</v>
      </c>
      <c r="K561" s="18">
        <f>'GİRDİ RAPORU'!K1117</f>
        <v>0</v>
      </c>
      <c r="L561" s="18">
        <f>'GİRDİ RAPORU'!L1117</f>
        <v>0</v>
      </c>
      <c r="M561" s="26">
        <f t="shared" si="24"/>
        <v>0.41199999999999998</v>
      </c>
      <c r="N561" s="26">
        <f t="shared" si="25"/>
        <v>3.7037037037037035E-2</v>
      </c>
      <c r="O561" s="26">
        <f t="shared" si="26"/>
        <v>0.96296296296296291</v>
      </c>
    </row>
    <row r="562" spans="1:15" ht="21.75" hidden="1" customHeight="1">
      <c r="A562" s="17">
        <f>'GİRDİ RAPORU'!A148</f>
        <v>45209.764869791667</v>
      </c>
      <c r="B562" s="18">
        <f>'GİRDİ RAPORU'!B144</f>
        <v>2</v>
      </c>
      <c r="C562" s="18">
        <f>'GİRDİ RAPORU'!C144</f>
        <v>212</v>
      </c>
      <c r="D562" s="18">
        <f>'GİRDİ RAPORU'!D144</f>
        <v>15</v>
      </c>
      <c r="E562" s="18" t="str">
        <f>'GİRDİ RAPORU'!E144</f>
        <v>Normal Mesai</v>
      </c>
      <c r="F562" s="18">
        <f>'GİRDİ RAPORU'!F144</f>
        <v>20</v>
      </c>
      <c r="G562" s="18" t="str">
        <f>'GİRDİ RAPORU'!G144</f>
        <v>Ayar</v>
      </c>
      <c r="H562" s="18">
        <f>'GİRDİ RAPORU'!H144</f>
        <v>0</v>
      </c>
      <c r="I562" s="18">
        <f>'GİRDİ RAPORU'!I144</f>
        <v>0</v>
      </c>
      <c r="J562" s="18">
        <f>'GİRDİ RAPORU'!J1116</f>
        <v>0</v>
      </c>
      <c r="K562" s="18">
        <f>'GİRDİ RAPORU'!K1116</f>
        <v>0</v>
      </c>
      <c r="L562" s="18">
        <f>'GİRDİ RAPORU'!L1116</f>
        <v>0</v>
      </c>
      <c r="M562" s="26">
        <f t="shared" si="24"/>
        <v>0.30266666666666664</v>
      </c>
      <c r="N562" s="26">
        <f t="shared" si="25"/>
        <v>3.7037037037037035E-2</v>
      </c>
      <c r="O562" s="26">
        <f t="shared" si="26"/>
        <v>0.96296296296296291</v>
      </c>
    </row>
    <row r="563" spans="1:15" ht="21.75" hidden="1" customHeight="1">
      <c r="A563" s="17">
        <f>'GİRDİ RAPORU'!A147</f>
        <v>45208.76965509259</v>
      </c>
      <c r="B563" s="18">
        <f>'GİRDİ RAPORU'!B143</f>
        <v>2</v>
      </c>
      <c r="C563" s="18">
        <f>'GİRDİ RAPORU'!C143</f>
        <v>200</v>
      </c>
      <c r="D563" s="18">
        <f>'GİRDİ RAPORU'!D143</f>
        <v>0</v>
      </c>
      <c r="E563" s="18" t="str">
        <f>'GİRDİ RAPORU'!E143</f>
        <v>Normal Mesai</v>
      </c>
      <c r="F563" s="18">
        <f>'GİRDİ RAPORU'!F143</f>
        <v>20</v>
      </c>
      <c r="G563" s="18" t="str">
        <f>'GİRDİ RAPORU'!G143</f>
        <v>Ayar</v>
      </c>
      <c r="H563" s="18">
        <f>'GİRDİ RAPORU'!H143</f>
        <v>0</v>
      </c>
      <c r="I563" s="18">
        <f>'GİRDİ RAPORU'!I143</f>
        <v>0</v>
      </c>
      <c r="J563" s="18">
        <f>'GİRDİ RAPORU'!J1115</f>
        <v>0</v>
      </c>
      <c r="K563" s="18">
        <f>'GİRDİ RAPORU'!K1115</f>
        <v>0</v>
      </c>
      <c r="L563" s="18">
        <f>'GİRDİ RAPORU'!L1115</f>
        <v>0</v>
      </c>
      <c r="M563" s="26">
        <f t="shared" si="24"/>
        <v>0.26666666666666666</v>
      </c>
      <c r="N563" s="26">
        <f t="shared" si="25"/>
        <v>3.7037037037037035E-2</v>
      </c>
      <c r="O563" s="26">
        <f t="shared" si="26"/>
        <v>0.96296296296296291</v>
      </c>
    </row>
    <row r="564" spans="1:15" ht="21.75" hidden="1" customHeight="1">
      <c r="A564" s="17">
        <f>'GİRDİ RAPORU'!A146</f>
        <v>45205.764641203707</v>
      </c>
      <c r="B564" s="18">
        <f>'GİRDİ RAPORU'!B142</f>
        <v>2</v>
      </c>
      <c r="C564" s="18">
        <f>'GİRDİ RAPORU'!C142</f>
        <v>180</v>
      </c>
      <c r="D564" s="18">
        <f>'GİRDİ RAPORU'!D142</f>
        <v>5</v>
      </c>
      <c r="E564" s="18" t="str">
        <f>'GİRDİ RAPORU'!E142</f>
        <v>Normal Mesai</v>
      </c>
      <c r="F564" s="18">
        <f>'GİRDİ RAPORU'!F142</f>
        <v>20</v>
      </c>
      <c r="G564" s="18" t="str">
        <f>'GİRDİ RAPORU'!G142</f>
        <v>Ayar</v>
      </c>
      <c r="H564" s="18">
        <f>'GİRDİ RAPORU'!H142</f>
        <v>0</v>
      </c>
      <c r="I564" s="18">
        <f>'GİRDİ RAPORU'!I142</f>
        <v>0</v>
      </c>
      <c r="J564" s="18">
        <f>'GİRDİ RAPORU'!J1114</f>
        <v>0</v>
      </c>
      <c r="K564" s="18">
        <f>'GİRDİ RAPORU'!K1114</f>
        <v>0</v>
      </c>
      <c r="L564" s="18">
        <f>'GİRDİ RAPORU'!L1114</f>
        <v>0</v>
      </c>
      <c r="M564" s="26">
        <f t="shared" si="24"/>
        <v>0.24666666666666667</v>
      </c>
      <c r="N564" s="26">
        <f t="shared" si="25"/>
        <v>3.7037037037037035E-2</v>
      </c>
      <c r="O564" s="26">
        <f t="shared" si="26"/>
        <v>0.96296296296296291</v>
      </c>
    </row>
    <row r="565" spans="1:15" ht="21.75" hidden="1" customHeight="1">
      <c r="A565" s="17">
        <f>'GİRDİ RAPORU'!A145</f>
        <v>45204.754791666666</v>
      </c>
      <c r="B565" s="18">
        <f>'GİRDİ RAPORU'!B141</f>
        <v>2</v>
      </c>
      <c r="C565" s="18">
        <f>'GİRDİ RAPORU'!C141</f>
        <v>225</v>
      </c>
      <c r="D565" s="18">
        <f>'GİRDİ RAPORU'!D141</f>
        <v>13</v>
      </c>
      <c r="E565" s="18" t="str">
        <f>'GİRDİ RAPORU'!E141</f>
        <v>Normal Mesai</v>
      </c>
      <c r="F565" s="18">
        <f>'GİRDİ RAPORU'!F141</f>
        <v>20</v>
      </c>
      <c r="G565" s="18" t="str">
        <f>'GİRDİ RAPORU'!G141</f>
        <v>Ayar</v>
      </c>
      <c r="H565" s="18">
        <f>'GİRDİ RAPORU'!H141</f>
        <v>0</v>
      </c>
      <c r="I565" s="18">
        <f>'GİRDİ RAPORU'!I141</f>
        <v>0</v>
      </c>
      <c r="J565" s="18">
        <f>'GİRDİ RAPORU'!J1113</f>
        <v>0</v>
      </c>
      <c r="K565" s="18">
        <f>'GİRDİ RAPORU'!K1113</f>
        <v>0</v>
      </c>
      <c r="L565" s="18">
        <f>'GİRDİ RAPORU'!L1113</f>
        <v>0</v>
      </c>
      <c r="M565" s="26">
        <f t="shared" si="24"/>
        <v>0.31733333333333336</v>
      </c>
      <c r="N565" s="26">
        <f t="shared" si="25"/>
        <v>3.7037037037037035E-2</v>
      </c>
      <c r="O565" s="26">
        <f t="shared" si="26"/>
        <v>0.96296296296296291</v>
      </c>
    </row>
    <row r="566" spans="1:15" ht="21.75" hidden="1" customHeight="1">
      <c r="A566" s="17">
        <f>'GİRDİ RAPORU'!A144</f>
        <v>45203.75953703704</v>
      </c>
      <c r="B566" s="18">
        <f>'GİRDİ RAPORU'!B140</f>
        <v>2</v>
      </c>
      <c r="C566" s="18">
        <f>'GİRDİ RAPORU'!C140</f>
        <v>452</v>
      </c>
      <c r="D566" s="18">
        <f>'GİRDİ RAPORU'!D140</f>
        <v>18</v>
      </c>
      <c r="E566" s="18" t="str">
        <f>'GİRDİ RAPORU'!E140</f>
        <v>Normal Mesai</v>
      </c>
      <c r="F566" s="18">
        <f>'GİRDİ RAPORU'!F140</f>
        <v>20</v>
      </c>
      <c r="G566" s="18" t="str">
        <f>'GİRDİ RAPORU'!G140</f>
        <v>Ayar</v>
      </c>
      <c r="H566" s="18">
        <f>'GİRDİ RAPORU'!H140</f>
        <v>0</v>
      </c>
      <c r="I566" s="18">
        <f>'GİRDİ RAPORU'!I140</f>
        <v>0</v>
      </c>
      <c r="J566" s="18">
        <f>'GİRDİ RAPORU'!J1112</f>
        <v>0</v>
      </c>
      <c r="K566" s="18">
        <f>'GİRDİ RAPORU'!K1112</f>
        <v>0</v>
      </c>
      <c r="L566" s="18">
        <f>'GİRDİ RAPORU'!L1112</f>
        <v>0</v>
      </c>
      <c r="M566" s="26">
        <f t="shared" si="24"/>
        <v>0.62666666666666671</v>
      </c>
      <c r="N566" s="26">
        <f t="shared" si="25"/>
        <v>3.7037037037037035E-2</v>
      </c>
      <c r="O566" s="26">
        <f t="shared" si="26"/>
        <v>0.96296296296296291</v>
      </c>
    </row>
    <row r="567" spans="1:15" ht="21.75" hidden="1" customHeight="1">
      <c r="A567" s="17">
        <f>'GİRDİ RAPORU'!A143</f>
        <v>45202.754074074073</v>
      </c>
      <c r="B567" s="18">
        <f>'GİRDİ RAPORU'!B139</f>
        <v>2</v>
      </c>
      <c r="C567" s="18">
        <f>'GİRDİ RAPORU'!C139</f>
        <v>411</v>
      </c>
      <c r="D567" s="18">
        <f>'GİRDİ RAPORU'!D139</f>
        <v>19</v>
      </c>
      <c r="E567" s="18" t="str">
        <f>'GİRDİ RAPORU'!E139</f>
        <v>Normal Mesai</v>
      </c>
      <c r="F567" s="18">
        <f>'GİRDİ RAPORU'!F139</f>
        <v>26</v>
      </c>
      <c r="G567" s="18" t="str">
        <f>'GİRDİ RAPORU'!G139</f>
        <v>Ayar</v>
      </c>
      <c r="H567" s="18">
        <f>'GİRDİ RAPORU'!H139</f>
        <v>0</v>
      </c>
      <c r="I567" s="18">
        <f>'GİRDİ RAPORU'!I139</f>
        <v>0</v>
      </c>
      <c r="J567" s="18">
        <f>'GİRDİ RAPORU'!J1111</f>
        <v>0</v>
      </c>
      <c r="K567" s="18">
        <f>'GİRDİ RAPORU'!K1111</f>
        <v>0</v>
      </c>
      <c r="L567" s="18">
        <f>'GİRDİ RAPORU'!L1111</f>
        <v>0</v>
      </c>
      <c r="M567" s="26">
        <f t="shared" si="24"/>
        <v>0.57333333333333336</v>
      </c>
      <c r="N567" s="26">
        <f t="shared" si="25"/>
        <v>4.8148148148148148E-2</v>
      </c>
      <c r="O567" s="26">
        <f t="shared" si="26"/>
        <v>0.95185185185185184</v>
      </c>
    </row>
    <row r="568" spans="1:15" ht="21.75" hidden="1" customHeight="1">
      <c r="A568" s="17">
        <f>'GİRDİ RAPORU'!A142</f>
        <v>45201.763668981483</v>
      </c>
      <c r="B568" s="18">
        <f>'GİRDİ RAPORU'!B138</f>
        <v>2</v>
      </c>
      <c r="C568" s="18">
        <f>'GİRDİ RAPORU'!C138</f>
        <v>482</v>
      </c>
      <c r="D568" s="18">
        <f>'GİRDİ RAPORU'!D138</f>
        <v>28</v>
      </c>
      <c r="E568" s="18" t="str">
        <f>'GİRDİ RAPORU'!E138</f>
        <v>Normal Mesai</v>
      </c>
      <c r="F568" s="18">
        <f>'GİRDİ RAPORU'!F138</f>
        <v>20</v>
      </c>
      <c r="G568" s="18" t="str">
        <f>'GİRDİ RAPORU'!G138</f>
        <v>Ayar</v>
      </c>
      <c r="H568" s="18">
        <f>'GİRDİ RAPORU'!H138</f>
        <v>0</v>
      </c>
      <c r="I568" s="18">
        <f>'GİRDİ RAPORU'!I138</f>
        <v>0</v>
      </c>
      <c r="J568" s="18">
        <f>'GİRDİ RAPORU'!J1110</f>
        <v>0</v>
      </c>
      <c r="K568" s="18">
        <f>'GİRDİ RAPORU'!K1110</f>
        <v>0</v>
      </c>
      <c r="L568" s="18">
        <f>'GİRDİ RAPORU'!L1110</f>
        <v>0</v>
      </c>
      <c r="M568" s="26">
        <f t="shared" si="24"/>
        <v>0.68</v>
      </c>
      <c r="N568" s="26">
        <f t="shared" si="25"/>
        <v>3.7037037037037035E-2</v>
      </c>
      <c r="O568" s="26">
        <f t="shared" si="26"/>
        <v>0.96296296296296291</v>
      </c>
    </row>
    <row r="569" spans="1:15" ht="21.75" hidden="1" customHeight="1">
      <c r="A569" s="17">
        <f>'GİRDİ RAPORU'!A141</f>
        <v>45198.767685185187</v>
      </c>
      <c r="B569" s="18">
        <f>'GİRDİ RAPORU'!B137</f>
        <v>2</v>
      </c>
      <c r="C569" s="18">
        <f>'GİRDİ RAPORU'!C137</f>
        <v>520</v>
      </c>
      <c r="D569" s="18">
        <f>'GİRDİ RAPORU'!D137</f>
        <v>12</v>
      </c>
      <c r="E569" s="18" t="str">
        <f>'GİRDİ RAPORU'!E137</f>
        <v>Normal Mesai</v>
      </c>
      <c r="F569" s="18">
        <f>'GİRDİ RAPORU'!F137</f>
        <v>20</v>
      </c>
      <c r="G569" s="18" t="str">
        <f>'GİRDİ RAPORU'!G137</f>
        <v>Ayar</v>
      </c>
      <c r="H569" s="18">
        <f>'GİRDİ RAPORU'!H137</f>
        <v>0</v>
      </c>
      <c r="I569" s="18">
        <f>'GİRDİ RAPORU'!I137</f>
        <v>0</v>
      </c>
      <c r="J569" s="18">
        <f>'GİRDİ RAPORU'!J1109</f>
        <v>0</v>
      </c>
      <c r="K569" s="18">
        <f>'GİRDİ RAPORU'!K1109</f>
        <v>0</v>
      </c>
      <c r="L569" s="18">
        <f>'GİRDİ RAPORU'!L1109</f>
        <v>0</v>
      </c>
      <c r="M569" s="26">
        <f t="shared" si="24"/>
        <v>0.70933333333333337</v>
      </c>
      <c r="N569" s="26">
        <f t="shared" si="25"/>
        <v>3.7037037037037035E-2</v>
      </c>
      <c r="O569" s="26">
        <f t="shared" si="26"/>
        <v>0.96296296296296291</v>
      </c>
    </row>
    <row r="570" spans="1:15" ht="21.75" hidden="1" customHeight="1">
      <c r="A570" s="17">
        <f>'GİRDİ RAPORU'!A140</f>
        <v>45197.753692129627</v>
      </c>
      <c r="B570" s="18">
        <f>'GİRDİ RAPORU'!B136</f>
        <v>2</v>
      </c>
      <c r="C570" s="18">
        <f>'GİRDİ RAPORU'!C136</f>
        <v>428</v>
      </c>
      <c r="D570" s="18">
        <f>'GİRDİ RAPORU'!D136</f>
        <v>20</v>
      </c>
      <c r="E570" s="18" t="str">
        <f>'GİRDİ RAPORU'!E136</f>
        <v>Normal Mesai</v>
      </c>
      <c r="F570" s="18">
        <f>'GİRDİ RAPORU'!F136</f>
        <v>20</v>
      </c>
      <c r="G570" s="18" t="str">
        <f>'GİRDİ RAPORU'!G136</f>
        <v>Ayar</v>
      </c>
      <c r="H570" s="18">
        <f>'GİRDİ RAPORU'!H136</f>
        <v>50</v>
      </c>
      <c r="I570" s="18" t="str">
        <f>'GİRDİ RAPORU'!I136</f>
        <v>Temizlik</v>
      </c>
      <c r="J570" s="18">
        <f>'GİRDİ RAPORU'!J1108</f>
        <v>0</v>
      </c>
      <c r="K570" s="18">
        <f>'GİRDİ RAPORU'!K1108</f>
        <v>0</v>
      </c>
      <c r="L570" s="18">
        <f>'GİRDİ RAPORU'!L1108</f>
        <v>0</v>
      </c>
      <c r="M570" s="26">
        <f t="shared" si="24"/>
        <v>0.59733333333333338</v>
      </c>
      <c r="N570" s="26">
        <f t="shared" si="25"/>
        <v>0.12962962962962962</v>
      </c>
      <c r="O570" s="26">
        <f t="shared" si="26"/>
        <v>0.87037037037037035</v>
      </c>
    </row>
    <row r="571" spans="1:15" ht="21.75" hidden="1" customHeight="1">
      <c r="A571" s="17">
        <f>'GİRDİ RAPORU'!A139</f>
        <v>45196.751793981479</v>
      </c>
      <c r="B571" s="18">
        <f>'GİRDİ RAPORU'!B135</f>
        <v>2</v>
      </c>
      <c r="C571" s="18">
        <f>'GİRDİ RAPORU'!C135</f>
        <v>510</v>
      </c>
      <c r="D571" s="18">
        <f>'GİRDİ RAPORU'!D135</f>
        <v>2</v>
      </c>
      <c r="E571" s="18" t="str">
        <f>'GİRDİ RAPORU'!E135</f>
        <v>Normal Mesai</v>
      </c>
      <c r="F571" s="18">
        <f>'GİRDİ RAPORU'!F135</f>
        <v>20</v>
      </c>
      <c r="G571" s="18" t="str">
        <f>'GİRDİ RAPORU'!G135</f>
        <v>Ayar</v>
      </c>
      <c r="H571" s="18">
        <f>'GİRDİ RAPORU'!H135</f>
        <v>0</v>
      </c>
      <c r="I571" s="18">
        <f>'GİRDİ RAPORU'!I135</f>
        <v>0</v>
      </c>
      <c r="J571" s="18">
        <f>'GİRDİ RAPORU'!J1107</f>
        <v>0</v>
      </c>
      <c r="K571" s="18">
        <f>'GİRDİ RAPORU'!K1107</f>
        <v>0</v>
      </c>
      <c r="L571" s="18">
        <f>'GİRDİ RAPORU'!L1107</f>
        <v>0</v>
      </c>
      <c r="M571" s="26">
        <f t="shared" si="24"/>
        <v>0.68266666666666664</v>
      </c>
      <c r="N571" s="26">
        <f t="shared" si="25"/>
        <v>3.7037037037037035E-2</v>
      </c>
      <c r="O571" s="26">
        <f t="shared" si="26"/>
        <v>0.96296296296296291</v>
      </c>
    </row>
    <row r="572" spans="1:15" ht="21.75" hidden="1" customHeight="1">
      <c r="A572" s="17">
        <f>'GİRDİ RAPORU'!A138</f>
        <v>45195.753796296296</v>
      </c>
      <c r="B572" s="18">
        <f>'GİRDİ RAPORU'!B134</f>
        <v>2</v>
      </c>
      <c r="C572" s="18">
        <f>'GİRDİ RAPORU'!C134</f>
        <v>520</v>
      </c>
      <c r="D572" s="18">
        <f>'GİRDİ RAPORU'!D134</f>
        <v>0</v>
      </c>
      <c r="E572" s="18" t="str">
        <f>'GİRDİ RAPORU'!E134</f>
        <v>Normal Mesai</v>
      </c>
      <c r="F572" s="18">
        <f>'GİRDİ RAPORU'!F134</f>
        <v>25</v>
      </c>
      <c r="G572" s="18" t="str">
        <f>'GİRDİ RAPORU'!G134</f>
        <v>Ayar</v>
      </c>
      <c r="H572" s="18">
        <f>'GİRDİ RAPORU'!H134</f>
        <v>0</v>
      </c>
      <c r="I572" s="18">
        <f>'GİRDİ RAPORU'!I134</f>
        <v>0</v>
      </c>
      <c r="J572" s="18">
        <f>'GİRDİ RAPORU'!J1106</f>
        <v>0</v>
      </c>
      <c r="K572" s="18">
        <f>'GİRDİ RAPORU'!K1106</f>
        <v>0</v>
      </c>
      <c r="L572" s="18">
        <f>'GİRDİ RAPORU'!L1106</f>
        <v>0</v>
      </c>
      <c r="M572" s="26">
        <f t="shared" si="24"/>
        <v>0.69333333333333336</v>
      </c>
      <c r="N572" s="26">
        <f t="shared" si="25"/>
        <v>4.6296296296296294E-2</v>
      </c>
      <c r="O572" s="26">
        <f t="shared" si="26"/>
        <v>0.95370370370370372</v>
      </c>
    </row>
    <row r="573" spans="1:15" ht="21.75" hidden="1" customHeight="1">
      <c r="A573" s="17">
        <f>'GİRDİ RAPORU'!A137</f>
        <v>45194.750659722224</v>
      </c>
      <c r="B573" s="18">
        <f>'GİRDİ RAPORU'!B133</f>
        <v>2</v>
      </c>
      <c r="C573" s="18">
        <f>'GİRDİ RAPORU'!C133</f>
        <v>540</v>
      </c>
      <c r="D573" s="18">
        <f>'GİRDİ RAPORU'!D133</f>
        <v>25</v>
      </c>
      <c r="E573" s="18" t="str">
        <f>'GİRDİ RAPORU'!E133</f>
        <v>Normal Mesai</v>
      </c>
      <c r="F573" s="18">
        <f>'GİRDİ RAPORU'!F133</f>
        <v>20</v>
      </c>
      <c r="G573" s="18" t="str">
        <f>'GİRDİ RAPORU'!G133</f>
        <v>Ayar</v>
      </c>
      <c r="H573" s="18">
        <f>'GİRDİ RAPORU'!H133</f>
        <v>0</v>
      </c>
      <c r="I573" s="18">
        <f>'GİRDİ RAPORU'!I133</f>
        <v>0</v>
      </c>
      <c r="J573" s="18">
        <f>'GİRDİ RAPORU'!J1105</f>
        <v>0</v>
      </c>
      <c r="K573" s="18">
        <f>'GİRDİ RAPORU'!K1105</f>
        <v>0</v>
      </c>
      <c r="L573" s="18">
        <f>'GİRDİ RAPORU'!L1105</f>
        <v>0</v>
      </c>
      <c r="M573" s="26">
        <f t="shared" si="24"/>
        <v>0.7533333333333333</v>
      </c>
      <c r="N573" s="26">
        <f t="shared" si="25"/>
        <v>3.7037037037037035E-2</v>
      </c>
      <c r="O573" s="26">
        <f t="shared" si="26"/>
        <v>0.96296296296296291</v>
      </c>
    </row>
    <row r="574" spans="1:15" ht="21.75" hidden="1" customHeight="1">
      <c r="A574" s="17">
        <f>'GİRDİ RAPORU'!A136</f>
        <v>45191.751736111109</v>
      </c>
      <c r="B574" s="18">
        <f>'GİRDİ RAPORU'!B132</f>
        <v>2</v>
      </c>
      <c r="C574" s="18">
        <f>'GİRDİ RAPORU'!C132</f>
        <v>260</v>
      </c>
      <c r="D574" s="18">
        <f>'GİRDİ RAPORU'!D132</f>
        <v>43</v>
      </c>
      <c r="E574" s="18" t="str">
        <f>'GİRDİ RAPORU'!E132</f>
        <v>Normal Mesai</v>
      </c>
      <c r="F574" s="18">
        <f>'GİRDİ RAPORU'!F132</f>
        <v>20</v>
      </c>
      <c r="G574" s="18" t="str">
        <f>'GİRDİ RAPORU'!G132</f>
        <v>Ayar</v>
      </c>
      <c r="H574" s="18">
        <f>'GİRDİ RAPORU'!H132</f>
        <v>10</v>
      </c>
      <c r="I574" s="18" t="str">
        <f>'GİRDİ RAPORU'!I132</f>
        <v>Temizlik</v>
      </c>
      <c r="J574" s="18">
        <f>'GİRDİ RAPORU'!J1104</f>
        <v>0</v>
      </c>
      <c r="K574" s="18">
        <f>'GİRDİ RAPORU'!K1104</f>
        <v>0</v>
      </c>
      <c r="L574" s="18">
        <f>'GİRDİ RAPORU'!L1104</f>
        <v>0</v>
      </c>
      <c r="M574" s="26">
        <f t="shared" si="24"/>
        <v>0.40400000000000003</v>
      </c>
      <c r="N574" s="26">
        <f t="shared" si="25"/>
        <v>5.5555555555555552E-2</v>
      </c>
      <c r="O574" s="26">
        <f t="shared" si="26"/>
        <v>0.94444444444444442</v>
      </c>
    </row>
    <row r="575" spans="1:15" ht="21.75" hidden="1" customHeight="1">
      <c r="A575" s="17">
        <f>'GİRDİ RAPORU'!A135</f>
        <v>45190.765787037039</v>
      </c>
      <c r="B575" s="18">
        <f>'GİRDİ RAPORU'!B131</f>
        <v>2</v>
      </c>
      <c r="C575" s="18">
        <f>'GİRDİ RAPORU'!C131</f>
        <v>500</v>
      </c>
      <c r="D575" s="18">
        <f>'GİRDİ RAPORU'!D131</f>
        <v>18</v>
      </c>
      <c r="E575" s="18" t="str">
        <f>'GİRDİ RAPORU'!E131</f>
        <v>Fazla Mesai</v>
      </c>
      <c r="F575" s="18">
        <f>'GİRDİ RAPORU'!F131</f>
        <v>25</v>
      </c>
      <c r="G575" s="18" t="str">
        <f>'GİRDİ RAPORU'!G131</f>
        <v>Ayar</v>
      </c>
      <c r="H575" s="18">
        <f>'GİRDİ RAPORU'!H131</f>
        <v>0</v>
      </c>
      <c r="I575" s="18">
        <f>'GİRDİ RAPORU'!I131</f>
        <v>0</v>
      </c>
      <c r="J575" s="18">
        <f>'GİRDİ RAPORU'!J1103</f>
        <v>0</v>
      </c>
      <c r="K575" s="18">
        <f>'GİRDİ RAPORU'!K1103</f>
        <v>0</v>
      </c>
      <c r="L575" s="18">
        <f>'GİRDİ RAPORU'!L1103</f>
        <v>0</v>
      </c>
      <c r="M575" s="26">
        <f t="shared" si="24"/>
        <v>0.69066666666666665</v>
      </c>
      <c r="N575" s="26">
        <f t="shared" si="25"/>
        <v>4.6296296296296294E-2</v>
      </c>
      <c r="O575" s="26">
        <f t="shared" si="26"/>
        <v>0.95370370370370372</v>
      </c>
    </row>
    <row r="576" spans="1:15" ht="21.75" hidden="1" customHeight="1">
      <c r="A576" s="17">
        <f>'GİRDİ RAPORU'!A134</f>
        <v>45189.762592592589</v>
      </c>
      <c r="B576" s="18">
        <f>'GİRDİ RAPORU'!B130</f>
        <v>2</v>
      </c>
      <c r="C576" s="18">
        <f>'GİRDİ RAPORU'!C130</f>
        <v>400</v>
      </c>
      <c r="D576" s="18">
        <f>'GİRDİ RAPORU'!D130</f>
        <v>10</v>
      </c>
      <c r="E576" s="18" t="str">
        <f>'GİRDİ RAPORU'!E130</f>
        <v>Fazla Mesai</v>
      </c>
      <c r="F576" s="18">
        <f>'GİRDİ RAPORU'!F130</f>
        <v>20</v>
      </c>
      <c r="G576" s="18" t="str">
        <f>'GİRDİ RAPORU'!G130</f>
        <v>Ayar</v>
      </c>
      <c r="H576" s="18">
        <f>'GİRDİ RAPORU'!H130</f>
        <v>0</v>
      </c>
      <c r="I576" s="18">
        <f>'GİRDİ RAPORU'!I130</f>
        <v>0</v>
      </c>
      <c r="J576" s="18">
        <f>'GİRDİ RAPORU'!J1102</f>
        <v>0</v>
      </c>
      <c r="K576" s="18">
        <f>'GİRDİ RAPORU'!K1102</f>
        <v>0</v>
      </c>
      <c r="L576" s="18">
        <f>'GİRDİ RAPORU'!L1102</f>
        <v>0</v>
      </c>
      <c r="M576" s="26">
        <f t="shared" si="24"/>
        <v>0.54666666666666663</v>
      </c>
      <c r="N576" s="26">
        <f t="shared" si="25"/>
        <v>3.7037037037037035E-2</v>
      </c>
      <c r="O576" s="26">
        <f t="shared" si="26"/>
        <v>0.96296296296296291</v>
      </c>
    </row>
    <row r="577" spans="1:15" ht="21.75" hidden="1" customHeight="1">
      <c r="A577" s="17">
        <f>'GİRDİ RAPORU'!A133</f>
        <v>45188.767893518518</v>
      </c>
      <c r="B577" s="18">
        <f>'GİRDİ RAPORU'!B129</f>
        <v>2</v>
      </c>
      <c r="C577" s="18">
        <f>'GİRDİ RAPORU'!C129</f>
        <v>310</v>
      </c>
      <c r="D577" s="18">
        <f>'GİRDİ RAPORU'!D129</f>
        <v>10</v>
      </c>
      <c r="E577" s="18" t="str">
        <f>'GİRDİ RAPORU'!E129</f>
        <v>Normal Mesai</v>
      </c>
      <c r="F577" s="18">
        <f>'GİRDİ RAPORU'!F129</f>
        <v>20</v>
      </c>
      <c r="G577" s="18" t="str">
        <f>'GİRDİ RAPORU'!G129</f>
        <v>Ayar</v>
      </c>
      <c r="H577" s="18">
        <f>'GİRDİ RAPORU'!H129</f>
        <v>0</v>
      </c>
      <c r="I577" s="18">
        <f>'GİRDİ RAPORU'!I129</f>
        <v>0</v>
      </c>
      <c r="J577" s="18">
        <f>'GİRDİ RAPORU'!J1101</f>
        <v>0</v>
      </c>
      <c r="K577" s="18">
        <f>'GİRDİ RAPORU'!K1101</f>
        <v>0</v>
      </c>
      <c r="L577" s="18">
        <f>'GİRDİ RAPORU'!L1101</f>
        <v>0</v>
      </c>
      <c r="M577" s="26">
        <f t="shared" si="24"/>
        <v>0.42666666666666669</v>
      </c>
      <c r="N577" s="26">
        <f t="shared" si="25"/>
        <v>3.7037037037037035E-2</v>
      </c>
      <c r="O577" s="26">
        <f t="shared" si="26"/>
        <v>0.96296296296296291</v>
      </c>
    </row>
    <row r="578" spans="1:15" ht="21.75" hidden="1" customHeight="1">
      <c r="A578" s="17">
        <f>'GİRDİ RAPORU'!A132</f>
        <v>45187.768645833334</v>
      </c>
      <c r="B578" s="18">
        <f>'GİRDİ RAPORU'!B128</f>
        <v>2</v>
      </c>
      <c r="C578" s="18">
        <f>'GİRDİ RAPORU'!C128</f>
        <v>290</v>
      </c>
      <c r="D578" s="18">
        <f>'GİRDİ RAPORU'!D128</f>
        <v>23</v>
      </c>
      <c r="E578" s="18" t="str">
        <f>'GİRDİ RAPORU'!E128</f>
        <v>Normal Mesai</v>
      </c>
      <c r="F578" s="18">
        <f>'GİRDİ RAPORU'!F128</f>
        <v>20</v>
      </c>
      <c r="G578" s="18" t="str">
        <f>'GİRDİ RAPORU'!G128</f>
        <v>Ayar</v>
      </c>
      <c r="H578" s="18">
        <f>'GİRDİ RAPORU'!H128</f>
        <v>10</v>
      </c>
      <c r="I578" s="18" t="str">
        <f>'GİRDİ RAPORU'!I128</f>
        <v>Temizlik</v>
      </c>
      <c r="J578" s="18">
        <f>'GİRDİ RAPORU'!J1100</f>
        <v>0</v>
      </c>
      <c r="K578" s="18">
        <f>'GİRDİ RAPORU'!K1100</f>
        <v>0</v>
      </c>
      <c r="L578" s="18">
        <f>'GİRDİ RAPORU'!L1100</f>
        <v>0</v>
      </c>
      <c r="M578" s="26">
        <f t="shared" ref="M578:M641" si="27">(C578+D578)/750</f>
        <v>0.41733333333333333</v>
      </c>
      <c r="N578" s="26">
        <f t="shared" ref="N578:N641" si="28">(F578+H578+J578)/540</f>
        <v>5.5555555555555552E-2</v>
      </c>
      <c r="O578" s="26">
        <f t="shared" ref="O578:O641" si="29">(540-F578-H578-J578)/540</f>
        <v>0.94444444444444442</v>
      </c>
    </row>
    <row r="579" spans="1:15" ht="21.75" hidden="1" customHeight="1">
      <c r="A579" s="17">
        <f>'GİRDİ RAPORU'!A131</f>
        <v>45184.858182870368</v>
      </c>
      <c r="B579" s="18">
        <f>'GİRDİ RAPORU'!B127</f>
        <v>2</v>
      </c>
      <c r="C579" s="18">
        <f>'GİRDİ RAPORU'!C127</f>
        <v>100</v>
      </c>
      <c r="D579" s="18">
        <f>'GİRDİ RAPORU'!D127</f>
        <v>0</v>
      </c>
      <c r="E579" s="18" t="str">
        <f>'GİRDİ RAPORU'!E127</f>
        <v>Fazla Mesai</v>
      </c>
      <c r="F579" s="18">
        <f>'GİRDİ RAPORU'!F127</f>
        <v>10</v>
      </c>
      <c r="G579" s="18" t="str">
        <f>'GİRDİ RAPORU'!G127</f>
        <v>Temizlik</v>
      </c>
      <c r="H579" s="18">
        <f>'GİRDİ RAPORU'!H127</f>
        <v>0</v>
      </c>
      <c r="I579" s="18">
        <f>'GİRDİ RAPORU'!I127</f>
        <v>0</v>
      </c>
      <c r="J579" s="18">
        <f>'GİRDİ RAPORU'!J1099</f>
        <v>0</v>
      </c>
      <c r="K579" s="18">
        <f>'GİRDİ RAPORU'!K1099</f>
        <v>0</v>
      </c>
      <c r="L579" s="18">
        <f>'GİRDİ RAPORU'!L1099</f>
        <v>0</v>
      </c>
      <c r="M579" s="26">
        <f t="shared" si="27"/>
        <v>0.13333333333333333</v>
      </c>
      <c r="N579" s="26">
        <f t="shared" si="28"/>
        <v>1.8518518518518517E-2</v>
      </c>
      <c r="O579" s="26">
        <f t="shared" si="29"/>
        <v>0.98148148148148151</v>
      </c>
    </row>
    <row r="580" spans="1:15" ht="21.75" hidden="1" customHeight="1">
      <c r="A580" s="17">
        <f>'GİRDİ RAPORU'!A130</f>
        <v>45183.853263888886</v>
      </c>
      <c r="B580" s="18">
        <f>'GİRDİ RAPORU'!B126</f>
        <v>2</v>
      </c>
      <c r="C580" s="18">
        <f>'GİRDİ RAPORU'!C126</f>
        <v>310</v>
      </c>
      <c r="D580" s="18">
        <f>'GİRDİ RAPORU'!D126</f>
        <v>10</v>
      </c>
      <c r="E580" s="18" t="str">
        <f>'GİRDİ RAPORU'!E126</f>
        <v>Normal Mesai</v>
      </c>
      <c r="F580" s="18">
        <f>'GİRDİ RAPORU'!F126</f>
        <v>20</v>
      </c>
      <c r="G580" s="18" t="str">
        <f>'GİRDİ RAPORU'!G126</f>
        <v>Ayar</v>
      </c>
      <c r="H580" s="18">
        <f>'GİRDİ RAPORU'!H126</f>
        <v>0</v>
      </c>
      <c r="I580" s="18">
        <f>'GİRDİ RAPORU'!I126</f>
        <v>0</v>
      </c>
      <c r="J580" s="18">
        <f>'GİRDİ RAPORU'!J1098</f>
        <v>0</v>
      </c>
      <c r="K580" s="18">
        <f>'GİRDİ RAPORU'!K1098</f>
        <v>0</v>
      </c>
      <c r="L580" s="18">
        <f>'GİRDİ RAPORU'!L1098</f>
        <v>0</v>
      </c>
      <c r="M580" s="26">
        <f t="shared" si="27"/>
        <v>0.42666666666666669</v>
      </c>
      <c r="N580" s="26">
        <f t="shared" si="28"/>
        <v>3.7037037037037035E-2</v>
      </c>
      <c r="O580" s="26">
        <f t="shared" si="29"/>
        <v>0.96296296296296291</v>
      </c>
    </row>
    <row r="581" spans="1:15" ht="21.75" hidden="1" customHeight="1">
      <c r="A581" s="17">
        <f>'GİRDİ RAPORU'!A129</f>
        <v>45182.76599537037</v>
      </c>
      <c r="B581" s="18">
        <f>'GİRDİ RAPORU'!B125</f>
        <v>2</v>
      </c>
      <c r="C581" s="18">
        <f>'GİRDİ RAPORU'!C125</f>
        <v>350</v>
      </c>
      <c r="D581" s="18">
        <f>'GİRDİ RAPORU'!D125</f>
        <v>19</v>
      </c>
      <c r="E581" s="18" t="str">
        <f>'GİRDİ RAPORU'!E125</f>
        <v>Normal Mesai</v>
      </c>
      <c r="F581" s="18">
        <f>'GİRDİ RAPORU'!F125</f>
        <v>20</v>
      </c>
      <c r="G581" s="18" t="str">
        <f>'GİRDİ RAPORU'!G125</f>
        <v>Ayar</v>
      </c>
      <c r="H581" s="18">
        <f>'GİRDİ RAPORU'!H125</f>
        <v>0</v>
      </c>
      <c r="I581" s="18">
        <f>'GİRDİ RAPORU'!I125</f>
        <v>0</v>
      </c>
      <c r="J581" s="18">
        <f>'GİRDİ RAPORU'!J1097</f>
        <v>0</v>
      </c>
      <c r="K581" s="18">
        <f>'GİRDİ RAPORU'!K1097</f>
        <v>0</v>
      </c>
      <c r="L581" s="18">
        <f>'GİRDİ RAPORU'!L1097</f>
        <v>0</v>
      </c>
      <c r="M581" s="26">
        <f t="shared" si="27"/>
        <v>0.49199999999999999</v>
      </c>
      <c r="N581" s="26">
        <f t="shared" si="28"/>
        <v>3.7037037037037035E-2</v>
      </c>
      <c r="O581" s="26">
        <f t="shared" si="29"/>
        <v>0.96296296296296291</v>
      </c>
    </row>
    <row r="582" spans="1:15" ht="21.75" hidden="1" customHeight="1">
      <c r="A582" s="17">
        <f>'GİRDİ RAPORU'!A128</f>
        <v>45181.764456018522</v>
      </c>
      <c r="B582" s="18">
        <f>'GİRDİ RAPORU'!B124</f>
        <v>2</v>
      </c>
      <c r="C582" s="18">
        <f>'GİRDİ RAPORU'!C124</f>
        <v>256</v>
      </c>
      <c r="D582" s="18">
        <f>'GİRDİ RAPORU'!D124</f>
        <v>0</v>
      </c>
      <c r="E582" s="18" t="str">
        <f>'GİRDİ RAPORU'!E124</f>
        <v>Normal Mesai</v>
      </c>
      <c r="F582" s="18">
        <f>'GİRDİ RAPORU'!F124</f>
        <v>20</v>
      </c>
      <c r="G582" s="18" t="str">
        <f>'GİRDİ RAPORU'!G124</f>
        <v>Ayar</v>
      </c>
      <c r="H582" s="18">
        <f>'GİRDİ RAPORU'!H124</f>
        <v>10</v>
      </c>
      <c r="I582" s="18" t="str">
        <f>'GİRDİ RAPORU'!I124</f>
        <v>Temizlik</v>
      </c>
      <c r="J582" s="18">
        <f>'GİRDİ RAPORU'!J1096</f>
        <v>0</v>
      </c>
      <c r="K582" s="18">
        <f>'GİRDİ RAPORU'!K1096</f>
        <v>0</v>
      </c>
      <c r="L582" s="18">
        <f>'GİRDİ RAPORU'!L1096</f>
        <v>0</v>
      </c>
      <c r="M582" s="26">
        <f t="shared" si="27"/>
        <v>0.34133333333333332</v>
      </c>
      <c r="N582" s="26">
        <f t="shared" si="28"/>
        <v>5.5555555555555552E-2</v>
      </c>
      <c r="O582" s="26">
        <f t="shared" si="29"/>
        <v>0.94444444444444442</v>
      </c>
    </row>
    <row r="583" spans="1:15" ht="21.75" hidden="1" customHeight="1">
      <c r="A583" s="17">
        <f>'GİRDİ RAPORU'!A127</f>
        <v>45180.859537037039</v>
      </c>
      <c r="B583" s="18">
        <f>'GİRDİ RAPORU'!B123</f>
        <v>2</v>
      </c>
      <c r="C583" s="18">
        <f>'GİRDİ RAPORU'!C123</f>
        <v>290</v>
      </c>
      <c r="D583" s="18">
        <f>'GİRDİ RAPORU'!D123</f>
        <v>20</v>
      </c>
      <c r="E583" s="18" t="str">
        <f>'GİRDİ RAPORU'!E123</f>
        <v>Normal Mesai</v>
      </c>
      <c r="F583" s="18">
        <f>'GİRDİ RAPORU'!F123</f>
        <v>20</v>
      </c>
      <c r="G583" s="18" t="str">
        <f>'GİRDİ RAPORU'!G123</f>
        <v>Ayar</v>
      </c>
      <c r="H583" s="18">
        <f>'GİRDİ RAPORU'!H123</f>
        <v>10</v>
      </c>
      <c r="I583" s="18" t="str">
        <f>'GİRDİ RAPORU'!I123</f>
        <v>Temizlik</v>
      </c>
      <c r="J583" s="18">
        <f>'GİRDİ RAPORU'!J1095</f>
        <v>0</v>
      </c>
      <c r="K583" s="18">
        <f>'GİRDİ RAPORU'!K1095</f>
        <v>0</v>
      </c>
      <c r="L583" s="18">
        <f>'GİRDİ RAPORU'!L1095</f>
        <v>0</v>
      </c>
      <c r="M583" s="26">
        <f t="shared" si="27"/>
        <v>0.41333333333333333</v>
      </c>
      <c r="N583" s="26">
        <f t="shared" si="28"/>
        <v>5.5555555555555552E-2</v>
      </c>
      <c r="O583" s="26">
        <f t="shared" si="29"/>
        <v>0.94444444444444442</v>
      </c>
    </row>
    <row r="584" spans="1:15" ht="21.75" hidden="1" customHeight="1">
      <c r="A584" s="17">
        <f>'GİRDİ RAPORU'!A126</f>
        <v>45180.769907407404</v>
      </c>
      <c r="B584" s="18">
        <f>'GİRDİ RAPORU'!B122</f>
        <v>2</v>
      </c>
      <c r="C584" s="18">
        <f>'GİRDİ RAPORU'!C122</f>
        <v>232</v>
      </c>
      <c r="D584" s="18">
        <f>'GİRDİ RAPORU'!D122</f>
        <v>12</v>
      </c>
      <c r="E584" s="18" t="str">
        <f>'GİRDİ RAPORU'!E122</f>
        <v>Normal Mesai</v>
      </c>
      <c r="F584" s="18">
        <f>'GİRDİ RAPORU'!F122</f>
        <v>22</v>
      </c>
      <c r="G584" s="18" t="str">
        <f>'GİRDİ RAPORU'!G122</f>
        <v>Ayar</v>
      </c>
      <c r="H584" s="18">
        <f>'GİRDİ RAPORU'!H122</f>
        <v>0</v>
      </c>
      <c r="I584" s="18">
        <f>'GİRDİ RAPORU'!I122</f>
        <v>0</v>
      </c>
      <c r="J584" s="18">
        <f>'GİRDİ RAPORU'!J1094</f>
        <v>0</v>
      </c>
      <c r="K584" s="18">
        <f>'GİRDİ RAPORU'!K1094</f>
        <v>0</v>
      </c>
      <c r="L584" s="18">
        <f>'GİRDİ RAPORU'!L1094</f>
        <v>0</v>
      </c>
      <c r="M584" s="26">
        <f t="shared" si="27"/>
        <v>0.32533333333333331</v>
      </c>
      <c r="N584" s="26">
        <f t="shared" si="28"/>
        <v>4.0740740740740744E-2</v>
      </c>
      <c r="O584" s="26">
        <f t="shared" si="29"/>
        <v>0.95925925925925926</v>
      </c>
    </row>
    <row r="585" spans="1:15" ht="21.75" hidden="1" customHeight="1">
      <c r="A585" s="17">
        <f>'GİRDİ RAPORU'!A125</f>
        <v>45177.758379629631</v>
      </c>
      <c r="B585" s="18">
        <f>'GİRDİ RAPORU'!B121</f>
        <v>2</v>
      </c>
      <c r="C585" s="18">
        <f>'GİRDİ RAPORU'!C121</f>
        <v>180</v>
      </c>
      <c r="D585" s="18">
        <f>'GİRDİ RAPORU'!D121</f>
        <v>10</v>
      </c>
      <c r="E585" s="18" t="str">
        <f>'GİRDİ RAPORU'!E121</f>
        <v>Normal Mesai</v>
      </c>
      <c r="F585" s="18">
        <f>'GİRDİ RAPORU'!F121</f>
        <v>20</v>
      </c>
      <c r="G585" s="18" t="str">
        <f>'GİRDİ RAPORU'!G121</f>
        <v>Ayar</v>
      </c>
      <c r="H585" s="18">
        <f>'GİRDİ RAPORU'!H121</f>
        <v>10</v>
      </c>
      <c r="I585" s="18" t="str">
        <f>'GİRDİ RAPORU'!I121</f>
        <v>Temizlik</v>
      </c>
      <c r="J585" s="18">
        <f>'GİRDİ RAPORU'!J1093</f>
        <v>0</v>
      </c>
      <c r="K585" s="18">
        <f>'GİRDİ RAPORU'!K1093</f>
        <v>0</v>
      </c>
      <c r="L585" s="18">
        <f>'GİRDİ RAPORU'!L1093</f>
        <v>0</v>
      </c>
      <c r="M585" s="26">
        <f t="shared" si="27"/>
        <v>0.25333333333333335</v>
      </c>
      <c r="N585" s="26">
        <f t="shared" si="28"/>
        <v>5.5555555555555552E-2</v>
      </c>
      <c r="O585" s="26">
        <f t="shared" si="29"/>
        <v>0.94444444444444442</v>
      </c>
    </row>
    <row r="586" spans="1:15" ht="21.75" hidden="1" customHeight="1">
      <c r="A586" s="17">
        <f>'GİRDİ RAPORU'!A124</f>
        <v>45176.764340277776</v>
      </c>
      <c r="B586" s="18">
        <f>'GİRDİ RAPORU'!B120</f>
        <v>2</v>
      </c>
      <c r="C586" s="18">
        <f>'GİRDİ RAPORU'!C120</f>
        <v>120</v>
      </c>
      <c r="D586" s="18">
        <f>'GİRDİ RAPORU'!D120</f>
        <v>0</v>
      </c>
      <c r="E586" s="18" t="str">
        <f>'GİRDİ RAPORU'!E120</f>
        <v>Normal Mesai</v>
      </c>
      <c r="F586" s="18">
        <f>'GİRDİ RAPORU'!F120</f>
        <v>20</v>
      </c>
      <c r="G586" s="18" t="str">
        <f>'GİRDİ RAPORU'!G120</f>
        <v>Ayar</v>
      </c>
      <c r="H586" s="18">
        <f>'GİRDİ RAPORU'!H120</f>
        <v>60</v>
      </c>
      <c r="I586" s="18" t="str">
        <f>'GİRDİ RAPORU'!I120</f>
        <v>Temizlik</v>
      </c>
      <c r="J586" s="18">
        <f>'GİRDİ RAPORU'!J1092</f>
        <v>0</v>
      </c>
      <c r="K586" s="18">
        <f>'GİRDİ RAPORU'!K1092</f>
        <v>0</v>
      </c>
      <c r="L586" s="18">
        <f>'GİRDİ RAPORU'!L1092</f>
        <v>0</v>
      </c>
      <c r="M586" s="26">
        <f t="shared" si="27"/>
        <v>0.16</v>
      </c>
      <c r="N586" s="26">
        <f t="shared" si="28"/>
        <v>0.14814814814814814</v>
      </c>
      <c r="O586" s="26">
        <f t="shared" si="29"/>
        <v>0.85185185185185186</v>
      </c>
    </row>
    <row r="587" spans="1:15" ht="21.75" hidden="1" customHeight="1">
      <c r="A587" s="17">
        <f>'GİRDİ RAPORU'!A123</f>
        <v>45175.763645833336</v>
      </c>
      <c r="B587" s="18">
        <f>'GİRDİ RAPORU'!B119</f>
        <v>2</v>
      </c>
      <c r="C587" s="18">
        <f>'GİRDİ RAPORU'!C119</f>
        <v>110</v>
      </c>
      <c r="D587" s="18">
        <f>'GİRDİ RAPORU'!D119</f>
        <v>0</v>
      </c>
      <c r="E587" s="18" t="str">
        <f>'GİRDİ RAPORU'!E119</f>
        <v>Normal Mesai</v>
      </c>
      <c r="F587" s="18">
        <f>'GİRDİ RAPORU'!F119</f>
        <v>20</v>
      </c>
      <c r="G587" s="18" t="str">
        <f>'GİRDİ RAPORU'!G119</f>
        <v>Ayar</v>
      </c>
      <c r="H587" s="18">
        <f>'GİRDİ RAPORU'!H119</f>
        <v>0</v>
      </c>
      <c r="I587" s="18">
        <f>'GİRDİ RAPORU'!I119</f>
        <v>0</v>
      </c>
      <c r="J587" s="18">
        <f>'GİRDİ RAPORU'!J1091</f>
        <v>0</v>
      </c>
      <c r="K587" s="18">
        <f>'GİRDİ RAPORU'!K1091</f>
        <v>0</v>
      </c>
      <c r="L587" s="18">
        <f>'GİRDİ RAPORU'!L1091</f>
        <v>0</v>
      </c>
      <c r="M587" s="26">
        <f t="shared" si="27"/>
        <v>0.14666666666666667</v>
      </c>
      <c r="N587" s="26">
        <f t="shared" si="28"/>
        <v>3.7037037037037035E-2</v>
      </c>
      <c r="O587" s="26">
        <f t="shared" si="29"/>
        <v>0.96296296296296291</v>
      </c>
    </row>
    <row r="588" spans="1:15" ht="21.75" hidden="1" customHeight="1">
      <c r="A588" s="17">
        <f>'GİRDİ RAPORU'!A122</f>
        <v>45174.761516203704</v>
      </c>
      <c r="B588" s="18">
        <f>'GİRDİ RAPORU'!B118</f>
        <v>2</v>
      </c>
      <c r="C588" s="18">
        <f>'GİRDİ RAPORU'!C118</f>
        <v>260</v>
      </c>
      <c r="D588" s="18">
        <f>'GİRDİ RAPORU'!D118</f>
        <v>58</v>
      </c>
      <c r="E588" s="18" t="str">
        <f>'GİRDİ RAPORU'!E118</f>
        <v>Normal Mesai</v>
      </c>
      <c r="F588" s="18">
        <f>'GİRDİ RAPORU'!F118</f>
        <v>20</v>
      </c>
      <c r="G588" s="18" t="str">
        <f>'GİRDİ RAPORU'!G118</f>
        <v>Ayar</v>
      </c>
      <c r="H588" s="18">
        <f>'GİRDİ RAPORU'!H118</f>
        <v>0</v>
      </c>
      <c r="I588" s="18">
        <f>'GİRDİ RAPORU'!I118</f>
        <v>0</v>
      </c>
      <c r="J588" s="18">
        <f>'GİRDİ RAPORU'!J1090</f>
        <v>0</v>
      </c>
      <c r="K588" s="18">
        <f>'GİRDİ RAPORU'!K1090</f>
        <v>0</v>
      </c>
      <c r="L588" s="18">
        <f>'GİRDİ RAPORU'!L1090</f>
        <v>0</v>
      </c>
      <c r="M588" s="26">
        <f t="shared" si="27"/>
        <v>0.42399999999999999</v>
      </c>
      <c r="N588" s="26">
        <f t="shared" si="28"/>
        <v>3.7037037037037035E-2</v>
      </c>
      <c r="O588" s="26">
        <f t="shared" si="29"/>
        <v>0.96296296296296291</v>
      </c>
    </row>
    <row r="589" spans="1:15" ht="21.75" hidden="1" customHeight="1">
      <c r="A589" s="17">
        <f>'GİRDİ RAPORU'!A121</f>
        <v>45173.770266203705</v>
      </c>
      <c r="B589" s="18">
        <f>'GİRDİ RAPORU'!B117</f>
        <v>2</v>
      </c>
      <c r="C589" s="18">
        <f>'GİRDİ RAPORU'!C117</f>
        <v>310</v>
      </c>
      <c r="D589" s="18">
        <f>'GİRDİ RAPORU'!D117</f>
        <v>0</v>
      </c>
      <c r="E589" s="18" t="str">
        <f>'GİRDİ RAPORU'!E117</f>
        <v>Normal Mesai</v>
      </c>
      <c r="F589" s="18">
        <f>'GİRDİ RAPORU'!F117</f>
        <v>20</v>
      </c>
      <c r="G589" s="18" t="str">
        <f>'GİRDİ RAPORU'!G117</f>
        <v>Ayar</v>
      </c>
      <c r="H589" s="18">
        <f>'GİRDİ RAPORU'!H117</f>
        <v>10</v>
      </c>
      <c r="I589" s="18" t="str">
        <f>'GİRDİ RAPORU'!I117</f>
        <v>Temizlik</v>
      </c>
      <c r="J589" s="18">
        <f>'GİRDİ RAPORU'!J1089</f>
        <v>0</v>
      </c>
      <c r="K589" s="18">
        <f>'GİRDİ RAPORU'!K1089</f>
        <v>0</v>
      </c>
      <c r="L589" s="18">
        <f>'GİRDİ RAPORU'!L1089</f>
        <v>0</v>
      </c>
      <c r="M589" s="26">
        <f t="shared" si="27"/>
        <v>0.41333333333333333</v>
      </c>
      <c r="N589" s="26">
        <f t="shared" si="28"/>
        <v>5.5555555555555552E-2</v>
      </c>
      <c r="O589" s="26">
        <f t="shared" si="29"/>
        <v>0.94444444444444442</v>
      </c>
    </row>
    <row r="590" spans="1:15" ht="21.75" hidden="1" customHeight="1">
      <c r="A590" s="17">
        <f>'GİRDİ RAPORU'!A120</f>
        <v>45170.764421296299</v>
      </c>
      <c r="B590" s="18">
        <f>'GİRDİ RAPORU'!B116</f>
        <v>2</v>
      </c>
      <c r="C590" s="18">
        <f>'GİRDİ RAPORU'!C116</f>
        <v>280</v>
      </c>
      <c r="D590" s="18">
        <f>'GİRDİ RAPORU'!D116</f>
        <v>50</v>
      </c>
      <c r="E590" s="18" t="str">
        <f>'GİRDİ RAPORU'!E116</f>
        <v>Normal Mesai</v>
      </c>
      <c r="F590" s="18">
        <f>'GİRDİ RAPORU'!F116</f>
        <v>20</v>
      </c>
      <c r="G590" s="18" t="str">
        <f>'GİRDİ RAPORU'!G116</f>
        <v>Ayar</v>
      </c>
      <c r="H590" s="18">
        <f>'GİRDİ RAPORU'!H116</f>
        <v>60</v>
      </c>
      <c r="I590" s="18" t="str">
        <f>'GİRDİ RAPORU'!I116</f>
        <v>Temizlik</v>
      </c>
      <c r="J590" s="18">
        <f>'GİRDİ RAPORU'!J1088</f>
        <v>0</v>
      </c>
      <c r="K590" s="18">
        <f>'GİRDİ RAPORU'!K1088</f>
        <v>0</v>
      </c>
      <c r="L590" s="18">
        <f>'GİRDİ RAPORU'!L1088</f>
        <v>0</v>
      </c>
      <c r="M590" s="26">
        <f t="shared" si="27"/>
        <v>0.44</v>
      </c>
      <c r="N590" s="26">
        <f t="shared" si="28"/>
        <v>0.14814814814814814</v>
      </c>
      <c r="O590" s="26">
        <f t="shared" si="29"/>
        <v>0.85185185185185186</v>
      </c>
    </row>
    <row r="591" spans="1:15" ht="21.75" hidden="1" customHeight="1">
      <c r="A591" s="17">
        <f>'GİRDİ RAPORU'!A119</f>
        <v>45169.760289351849</v>
      </c>
      <c r="B591" s="18">
        <f>'GİRDİ RAPORU'!B115</f>
        <v>2</v>
      </c>
      <c r="C591" s="18">
        <f>'GİRDİ RAPORU'!C115</f>
        <v>260</v>
      </c>
      <c r="D591" s="18">
        <f>'GİRDİ RAPORU'!D115</f>
        <v>35</v>
      </c>
      <c r="E591" s="18" t="str">
        <f>'GİRDİ RAPORU'!E115</f>
        <v>Normal Mesai</v>
      </c>
      <c r="F591" s="18">
        <f>'GİRDİ RAPORU'!F115</f>
        <v>25</v>
      </c>
      <c r="G591" s="18" t="str">
        <f>'GİRDİ RAPORU'!G115</f>
        <v>Ayar</v>
      </c>
      <c r="H591" s="18">
        <f>'GİRDİ RAPORU'!H115</f>
        <v>0</v>
      </c>
      <c r="I591" s="18">
        <f>'GİRDİ RAPORU'!I115</f>
        <v>0</v>
      </c>
      <c r="J591" s="18">
        <f>'GİRDİ RAPORU'!J1087</f>
        <v>0</v>
      </c>
      <c r="K591" s="18">
        <f>'GİRDİ RAPORU'!K1087</f>
        <v>0</v>
      </c>
      <c r="L591" s="18">
        <f>'GİRDİ RAPORU'!L1087</f>
        <v>0</v>
      </c>
      <c r="M591" s="26">
        <f t="shared" si="27"/>
        <v>0.39333333333333331</v>
      </c>
      <c r="N591" s="26">
        <f t="shared" si="28"/>
        <v>4.6296296296296294E-2</v>
      </c>
      <c r="O591" s="26">
        <f t="shared" si="29"/>
        <v>0.95370370370370372</v>
      </c>
    </row>
    <row r="592" spans="1:15" ht="21.75" hidden="1" customHeight="1">
      <c r="A592" s="17">
        <f>'GİRDİ RAPORU'!A118</f>
        <v>45167.769456018519</v>
      </c>
      <c r="B592" s="18">
        <f>'GİRDİ RAPORU'!B114</f>
        <v>2</v>
      </c>
      <c r="C592" s="18">
        <f>'GİRDİ RAPORU'!C114</f>
        <v>285</v>
      </c>
      <c r="D592" s="18">
        <f>'GİRDİ RAPORU'!D114</f>
        <v>50</v>
      </c>
      <c r="E592" s="18" t="str">
        <f>'GİRDİ RAPORU'!E114</f>
        <v>Normal Mesai</v>
      </c>
      <c r="F592" s="18">
        <f>'GİRDİ RAPORU'!F114</f>
        <v>20</v>
      </c>
      <c r="G592" s="18" t="str">
        <f>'GİRDİ RAPORU'!G114</f>
        <v>Ayar</v>
      </c>
      <c r="H592" s="18">
        <f>'GİRDİ RAPORU'!H114</f>
        <v>60</v>
      </c>
      <c r="I592" s="18" t="str">
        <f>'GİRDİ RAPORU'!I114</f>
        <v>Kompresör Arızası</v>
      </c>
      <c r="J592" s="18">
        <f>'GİRDİ RAPORU'!J1086</f>
        <v>0</v>
      </c>
      <c r="K592" s="18">
        <f>'GİRDİ RAPORU'!K1086</f>
        <v>0</v>
      </c>
      <c r="L592" s="18">
        <f>'GİRDİ RAPORU'!L1086</f>
        <v>0</v>
      </c>
      <c r="M592" s="26">
        <f t="shared" si="27"/>
        <v>0.44666666666666666</v>
      </c>
      <c r="N592" s="26">
        <f t="shared" si="28"/>
        <v>0.14814814814814814</v>
      </c>
      <c r="O592" s="26">
        <f t="shared" si="29"/>
        <v>0.85185185185185186</v>
      </c>
    </row>
    <row r="593" spans="1:15" ht="21.75" hidden="1" customHeight="1">
      <c r="A593" s="17">
        <f>'GİRDİ RAPORU'!A117</f>
        <v>45166.765115740738</v>
      </c>
      <c r="B593" s="18">
        <f>'GİRDİ RAPORU'!B113</f>
        <v>2</v>
      </c>
      <c r="C593" s="18">
        <f>'GİRDİ RAPORU'!C113</f>
        <v>310</v>
      </c>
      <c r="D593" s="18">
        <f>'GİRDİ RAPORU'!D113</f>
        <v>25</v>
      </c>
      <c r="E593" s="18" t="str">
        <f>'GİRDİ RAPORU'!E113</f>
        <v>Normal Mesai</v>
      </c>
      <c r="F593" s="18">
        <f>'GİRDİ RAPORU'!F113</f>
        <v>20</v>
      </c>
      <c r="G593" s="18" t="str">
        <f>'GİRDİ RAPORU'!G113</f>
        <v>Ayar</v>
      </c>
      <c r="H593" s="18">
        <f>'GİRDİ RAPORU'!H113</f>
        <v>10</v>
      </c>
      <c r="I593" s="18" t="str">
        <f>'GİRDİ RAPORU'!I113</f>
        <v>Temizlik</v>
      </c>
      <c r="J593" s="18">
        <f>'GİRDİ RAPORU'!J1085</f>
        <v>0</v>
      </c>
      <c r="K593" s="18">
        <f>'GİRDİ RAPORU'!K1085</f>
        <v>0</v>
      </c>
      <c r="L593" s="18">
        <f>'GİRDİ RAPORU'!L1085</f>
        <v>0</v>
      </c>
      <c r="M593" s="26">
        <f t="shared" si="27"/>
        <v>0.44666666666666666</v>
      </c>
      <c r="N593" s="26">
        <f t="shared" si="28"/>
        <v>5.5555555555555552E-2</v>
      </c>
      <c r="O593" s="26">
        <f t="shared" si="29"/>
        <v>0.94444444444444442</v>
      </c>
    </row>
    <row r="594" spans="1:15" ht="21.75" hidden="1" customHeight="1">
      <c r="A594" s="17">
        <f>'GİRDİ RAPORU'!A116</f>
        <v>45163.766597222224</v>
      </c>
      <c r="B594" s="18">
        <f>'GİRDİ RAPORU'!B112</f>
        <v>2</v>
      </c>
      <c r="C594" s="18">
        <f>'GİRDİ RAPORU'!C112</f>
        <v>275</v>
      </c>
      <c r="D594" s="18">
        <f>'GİRDİ RAPORU'!D112</f>
        <v>50</v>
      </c>
      <c r="E594" s="18" t="str">
        <f>'GİRDİ RAPORU'!E112</f>
        <v>Normal Mesai</v>
      </c>
      <c r="F594" s="18">
        <f>'GİRDİ RAPORU'!F112</f>
        <v>20</v>
      </c>
      <c r="G594" s="18" t="str">
        <f>'GİRDİ RAPORU'!G112</f>
        <v>Ayar</v>
      </c>
      <c r="H594" s="18">
        <f>'GİRDİ RAPORU'!H112</f>
        <v>10</v>
      </c>
      <c r="I594" s="18" t="str">
        <f>'GİRDİ RAPORU'!I112</f>
        <v>Temizlik</v>
      </c>
      <c r="J594" s="18">
        <f>'GİRDİ RAPORU'!J1084</f>
        <v>0</v>
      </c>
      <c r="K594" s="18">
        <f>'GİRDİ RAPORU'!K1084</f>
        <v>0</v>
      </c>
      <c r="L594" s="18">
        <f>'GİRDİ RAPORU'!L1084</f>
        <v>0</v>
      </c>
      <c r="M594" s="26">
        <f t="shared" si="27"/>
        <v>0.43333333333333335</v>
      </c>
      <c r="N594" s="26">
        <f t="shared" si="28"/>
        <v>5.5555555555555552E-2</v>
      </c>
      <c r="O594" s="26">
        <f t="shared" si="29"/>
        <v>0.94444444444444442</v>
      </c>
    </row>
    <row r="595" spans="1:15" ht="21.75" hidden="1" customHeight="1">
      <c r="A595" s="17">
        <f>'GİRDİ RAPORU'!A115</f>
        <v>45162.762199074074</v>
      </c>
      <c r="B595" s="18">
        <f>'GİRDİ RAPORU'!B111</f>
        <v>2</v>
      </c>
      <c r="C595" s="18">
        <f>'GİRDİ RAPORU'!C111</f>
        <v>273</v>
      </c>
      <c r="D595" s="18">
        <f>'GİRDİ RAPORU'!D111</f>
        <v>34</v>
      </c>
      <c r="E595" s="18" t="str">
        <f>'GİRDİ RAPORU'!E111</f>
        <v>Normal Mesai</v>
      </c>
      <c r="F595" s="18">
        <f>'GİRDİ RAPORU'!F111</f>
        <v>20</v>
      </c>
      <c r="G595" s="18" t="str">
        <f>'GİRDİ RAPORU'!G111</f>
        <v>Ayar</v>
      </c>
      <c r="H595" s="18">
        <f>'GİRDİ RAPORU'!H111</f>
        <v>60</v>
      </c>
      <c r="I595" s="18" t="str">
        <f>'GİRDİ RAPORU'!I111</f>
        <v>Temizlik</v>
      </c>
      <c r="J595" s="18">
        <f>'GİRDİ RAPORU'!J1083</f>
        <v>0</v>
      </c>
      <c r="K595" s="18">
        <f>'GİRDİ RAPORU'!K1083</f>
        <v>0</v>
      </c>
      <c r="L595" s="18">
        <f>'GİRDİ RAPORU'!L1083</f>
        <v>0</v>
      </c>
      <c r="M595" s="26">
        <f t="shared" si="27"/>
        <v>0.40933333333333333</v>
      </c>
      <c r="N595" s="26">
        <f t="shared" si="28"/>
        <v>0.14814814814814814</v>
      </c>
      <c r="O595" s="26">
        <f t="shared" si="29"/>
        <v>0.85185185185185186</v>
      </c>
    </row>
    <row r="596" spans="1:15" ht="21.75" hidden="1" customHeight="1">
      <c r="A596" s="17">
        <f>'GİRDİ RAPORU'!A114</f>
        <v>45161.765763888892</v>
      </c>
      <c r="B596" s="18">
        <f>'GİRDİ RAPORU'!B110</f>
        <v>2</v>
      </c>
      <c r="C596" s="18">
        <f>'GİRDİ RAPORU'!C110</f>
        <v>40</v>
      </c>
      <c r="D596" s="18">
        <f>'GİRDİ RAPORU'!D110</f>
        <v>10</v>
      </c>
      <c r="E596" s="18" t="str">
        <f>'GİRDİ RAPORU'!E110</f>
        <v>Fazla Mesai</v>
      </c>
      <c r="F596" s="18">
        <f>'GİRDİ RAPORU'!F110</f>
        <v>10</v>
      </c>
      <c r="G596" s="18" t="str">
        <f>'GİRDİ RAPORU'!G110</f>
        <v>Temizlik</v>
      </c>
      <c r="H596" s="18">
        <f>'GİRDİ RAPORU'!H110</f>
        <v>0</v>
      </c>
      <c r="I596" s="18">
        <f>'GİRDİ RAPORU'!I110</f>
        <v>0</v>
      </c>
      <c r="J596" s="18">
        <f>'GİRDİ RAPORU'!J1082</f>
        <v>0</v>
      </c>
      <c r="K596" s="18">
        <f>'GİRDİ RAPORU'!K1082</f>
        <v>0</v>
      </c>
      <c r="L596" s="18">
        <f>'GİRDİ RAPORU'!L1082</f>
        <v>0</v>
      </c>
      <c r="M596" s="26">
        <f t="shared" si="27"/>
        <v>6.6666666666666666E-2</v>
      </c>
      <c r="N596" s="26">
        <f t="shared" si="28"/>
        <v>1.8518518518518517E-2</v>
      </c>
      <c r="O596" s="26">
        <f t="shared" si="29"/>
        <v>0.98148148148148151</v>
      </c>
    </row>
    <row r="597" spans="1:15" ht="21.75" hidden="1" customHeight="1">
      <c r="A597" s="17">
        <f>'GİRDİ RAPORU'!A113</f>
        <v>45160.759479166663</v>
      </c>
      <c r="B597" s="18">
        <f>'GİRDİ RAPORU'!B109</f>
        <v>2</v>
      </c>
      <c r="C597" s="18">
        <f>'GİRDİ RAPORU'!C109</f>
        <v>250</v>
      </c>
      <c r="D597" s="18">
        <f>'GİRDİ RAPORU'!D109</f>
        <v>40</v>
      </c>
      <c r="E597" s="18" t="str">
        <f>'GİRDİ RAPORU'!E109</f>
        <v>Normal Mesai</v>
      </c>
      <c r="F597" s="18">
        <f>'GİRDİ RAPORU'!F109</f>
        <v>20</v>
      </c>
      <c r="G597" s="18" t="str">
        <f>'GİRDİ RAPORU'!G109</f>
        <v>Hazırlık/İlk Isınma</v>
      </c>
      <c r="H597" s="18">
        <f>'GİRDİ RAPORU'!H109</f>
        <v>100</v>
      </c>
      <c r="I597" s="18" t="str">
        <f>'GİRDİ RAPORU'!I109</f>
        <v>Ayar</v>
      </c>
      <c r="J597" s="18">
        <f>'GİRDİ RAPORU'!J1081</f>
        <v>0</v>
      </c>
      <c r="K597" s="18">
        <f>'GİRDİ RAPORU'!K1081</f>
        <v>0</v>
      </c>
      <c r="L597" s="18">
        <f>'GİRDİ RAPORU'!L1081</f>
        <v>0</v>
      </c>
      <c r="M597" s="26">
        <f t="shared" si="27"/>
        <v>0.38666666666666666</v>
      </c>
      <c r="N597" s="26">
        <f t="shared" si="28"/>
        <v>0.22222222222222221</v>
      </c>
      <c r="O597" s="26">
        <f t="shared" si="29"/>
        <v>0.77777777777777779</v>
      </c>
    </row>
    <row r="598" spans="1:15" ht="21.75" hidden="1" customHeight="1">
      <c r="A598" s="17">
        <f>'GİRDİ RAPORU'!A112</f>
        <v>45159.769849537035</v>
      </c>
      <c r="B598" s="18">
        <f>'GİRDİ RAPORU'!B108</f>
        <v>2</v>
      </c>
      <c r="C598" s="18">
        <f>'GİRDİ RAPORU'!C108</f>
        <v>280</v>
      </c>
      <c r="D598" s="18">
        <f>'GİRDİ RAPORU'!D108</f>
        <v>25</v>
      </c>
      <c r="E598" s="18" t="str">
        <f>'GİRDİ RAPORU'!E108</f>
        <v>Normal Mesai</v>
      </c>
      <c r="F598" s="18">
        <f>'GİRDİ RAPORU'!F108</f>
        <v>25</v>
      </c>
      <c r="G598" s="18" t="str">
        <f>'GİRDİ RAPORU'!G108</f>
        <v>Ayar</v>
      </c>
      <c r="H598" s="18">
        <f>'GİRDİ RAPORU'!H108</f>
        <v>72</v>
      </c>
      <c r="I598" s="18" t="str">
        <f>'GİRDİ RAPORU'!I108</f>
        <v>Ar-ge Çalışması</v>
      </c>
      <c r="J598" s="18">
        <f>'GİRDİ RAPORU'!J1080</f>
        <v>0</v>
      </c>
      <c r="K598" s="18">
        <f>'GİRDİ RAPORU'!K1080</f>
        <v>0</v>
      </c>
      <c r="L598" s="18">
        <f>'GİRDİ RAPORU'!L1080</f>
        <v>0</v>
      </c>
      <c r="M598" s="26">
        <f t="shared" si="27"/>
        <v>0.40666666666666668</v>
      </c>
      <c r="N598" s="26">
        <f t="shared" si="28"/>
        <v>0.17962962962962964</v>
      </c>
      <c r="O598" s="26">
        <f t="shared" si="29"/>
        <v>0.82037037037037042</v>
      </c>
    </row>
    <row r="599" spans="1:15" ht="21.75" hidden="1" customHeight="1">
      <c r="A599" s="17">
        <f>'GİRDİ RAPORU'!A111</f>
        <v>45156.763483796298</v>
      </c>
      <c r="B599" s="18">
        <f>'GİRDİ RAPORU'!B107</f>
        <v>2</v>
      </c>
      <c r="C599" s="18">
        <f>'GİRDİ RAPORU'!C107</f>
        <v>210</v>
      </c>
      <c r="D599" s="18">
        <f>'GİRDİ RAPORU'!D107</f>
        <v>59</v>
      </c>
      <c r="E599" s="18" t="str">
        <f>'GİRDİ RAPORU'!E107</f>
        <v>Normal Mesai</v>
      </c>
      <c r="F599" s="18">
        <f>'GİRDİ RAPORU'!F107</f>
        <v>20</v>
      </c>
      <c r="G599" s="18" t="str">
        <f>'GİRDİ RAPORU'!G107</f>
        <v>Ayar</v>
      </c>
      <c r="H599" s="18">
        <f>'GİRDİ RAPORU'!H107</f>
        <v>60</v>
      </c>
      <c r="I599" s="18" t="str">
        <f>'GİRDİ RAPORU'!I107</f>
        <v>Elektrik Kesilmesi</v>
      </c>
      <c r="J599" s="18">
        <f>'GİRDİ RAPORU'!J1079</f>
        <v>0</v>
      </c>
      <c r="K599" s="18">
        <f>'GİRDİ RAPORU'!K1079</f>
        <v>0</v>
      </c>
      <c r="L599" s="18">
        <f>'GİRDİ RAPORU'!L1079</f>
        <v>0</v>
      </c>
      <c r="M599" s="26">
        <f t="shared" si="27"/>
        <v>0.35866666666666669</v>
      </c>
      <c r="N599" s="26">
        <f t="shared" si="28"/>
        <v>0.14814814814814814</v>
      </c>
      <c r="O599" s="26">
        <f t="shared" si="29"/>
        <v>0.85185185185185186</v>
      </c>
    </row>
    <row r="600" spans="1:15" ht="21.75" hidden="1" customHeight="1">
      <c r="A600" s="17">
        <f>'GİRDİ RAPORU'!A110</f>
        <v>45155.861319444448</v>
      </c>
      <c r="B600" s="18">
        <f>'GİRDİ RAPORU'!B106</f>
        <v>2</v>
      </c>
      <c r="C600" s="18">
        <f>'GİRDİ RAPORU'!C106</f>
        <v>380</v>
      </c>
      <c r="D600" s="18">
        <f>'GİRDİ RAPORU'!D106</f>
        <v>0</v>
      </c>
      <c r="E600" s="18" t="str">
        <f>'GİRDİ RAPORU'!E106</f>
        <v>Normal Mesai</v>
      </c>
      <c r="F600" s="18">
        <f>'GİRDİ RAPORU'!F106</f>
        <v>20</v>
      </c>
      <c r="G600" s="18" t="str">
        <f>'GİRDİ RAPORU'!G106</f>
        <v>Ayar</v>
      </c>
      <c r="H600" s="18">
        <f>'GİRDİ RAPORU'!H106</f>
        <v>10</v>
      </c>
      <c r="I600" s="18" t="str">
        <f>'GİRDİ RAPORU'!I106</f>
        <v>Temizlik</v>
      </c>
      <c r="J600" s="18">
        <f>'GİRDİ RAPORU'!J1078</f>
        <v>0</v>
      </c>
      <c r="K600" s="18">
        <f>'GİRDİ RAPORU'!K1078</f>
        <v>0</v>
      </c>
      <c r="L600" s="18">
        <f>'GİRDİ RAPORU'!L1078</f>
        <v>0</v>
      </c>
      <c r="M600" s="26">
        <f t="shared" si="27"/>
        <v>0.50666666666666671</v>
      </c>
      <c r="N600" s="26">
        <f t="shared" si="28"/>
        <v>5.5555555555555552E-2</v>
      </c>
      <c r="O600" s="26">
        <f t="shared" si="29"/>
        <v>0.94444444444444442</v>
      </c>
    </row>
    <row r="601" spans="1:15" ht="21.75" hidden="1" customHeight="1">
      <c r="A601" s="17">
        <f>'GİRDİ RAPORU'!A109</f>
        <v>45155.767546296294</v>
      </c>
      <c r="B601" s="18">
        <f>'GİRDİ RAPORU'!B105</f>
        <v>2</v>
      </c>
      <c r="C601" s="18">
        <f>'GİRDİ RAPORU'!C105</f>
        <v>210</v>
      </c>
      <c r="D601" s="18">
        <f>'GİRDİ RAPORU'!D105</f>
        <v>50</v>
      </c>
      <c r="E601" s="18" t="str">
        <f>'GİRDİ RAPORU'!E105</f>
        <v>Normal Mesai</v>
      </c>
      <c r="F601" s="18">
        <f>'GİRDİ RAPORU'!F105</f>
        <v>20</v>
      </c>
      <c r="G601" s="18" t="str">
        <f>'GİRDİ RAPORU'!G105</f>
        <v>Ayar</v>
      </c>
      <c r="H601" s="18">
        <f>'GİRDİ RAPORU'!H105</f>
        <v>60</v>
      </c>
      <c r="I601" s="18" t="str">
        <f>'GİRDİ RAPORU'!I105</f>
        <v>Temizlik</v>
      </c>
      <c r="J601" s="18">
        <f>'GİRDİ RAPORU'!J1077</f>
        <v>0</v>
      </c>
      <c r="K601" s="18">
        <f>'GİRDİ RAPORU'!K1077</f>
        <v>0</v>
      </c>
      <c r="L601" s="18">
        <f>'GİRDİ RAPORU'!L1077</f>
        <v>0</v>
      </c>
      <c r="M601" s="26">
        <f t="shared" si="27"/>
        <v>0.34666666666666668</v>
      </c>
      <c r="N601" s="26">
        <f t="shared" si="28"/>
        <v>0.14814814814814814</v>
      </c>
      <c r="O601" s="26">
        <f t="shared" si="29"/>
        <v>0.85185185185185186</v>
      </c>
    </row>
    <row r="602" spans="1:15" ht="21.75" hidden="1" customHeight="1">
      <c r="A602" s="17">
        <f>'GİRDİ RAPORU'!A108</f>
        <v>45154.769178240742</v>
      </c>
      <c r="B602" s="18">
        <f>'GİRDİ RAPORU'!B104</f>
        <v>2</v>
      </c>
      <c r="C602" s="18">
        <f>'GİRDİ RAPORU'!C104</f>
        <v>210</v>
      </c>
      <c r="D602" s="18">
        <f>'GİRDİ RAPORU'!D104</f>
        <v>0</v>
      </c>
      <c r="E602" s="18" t="str">
        <f>'GİRDİ RAPORU'!E104</f>
        <v>Normal Mesai</v>
      </c>
      <c r="F602" s="18">
        <f>'GİRDİ RAPORU'!F104</f>
        <v>20</v>
      </c>
      <c r="G602" s="18" t="str">
        <f>'GİRDİ RAPORU'!G104</f>
        <v>Ayar</v>
      </c>
      <c r="H602" s="18">
        <f>'GİRDİ RAPORU'!H104</f>
        <v>10</v>
      </c>
      <c r="I602" s="18" t="str">
        <f>'GİRDİ RAPORU'!I104</f>
        <v>Temizlik</v>
      </c>
      <c r="J602" s="18">
        <f>'GİRDİ RAPORU'!J1076</f>
        <v>0</v>
      </c>
      <c r="K602" s="18">
        <f>'GİRDİ RAPORU'!K1076</f>
        <v>0</v>
      </c>
      <c r="L602" s="18">
        <f>'GİRDİ RAPORU'!L1076</f>
        <v>0</v>
      </c>
      <c r="M602" s="26">
        <f t="shared" si="27"/>
        <v>0.28000000000000003</v>
      </c>
      <c r="N602" s="26">
        <f t="shared" si="28"/>
        <v>5.5555555555555552E-2</v>
      </c>
      <c r="O602" s="26">
        <f t="shared" si="29"/>
        <v>0.94444444444444442</v>
      </c>
    </row>
    <row r="603" spans="1:15" ht="21.75" hidden="1" customHeight="1">
      <c r="A603" s="17">
        <f>'GİRDİ RAPORU'!A107</f>
        <v>45153.76771990741</v>
      </c>
      <c r="B603" s="18">
        <f>'GİRDİ RAPORU'!B103</f>
        <v>2</v>
      </c>
      <c r="C603" s="18">
        <f>'GİRDİ RAPORU'!C103</f>
        <v>310</v>
      </c>
      <c r="D603" s="18">
        <f>'GİRDİ RAPORU'!D103</f>
        <v>0</v>
      </c>
      <c r="E603" s="18" t="str">
        <f>'GİRDİ RAPORU'!E103</f>
        <v>Normal Mesai</v>
      </c>
      <c r="F603" s="18">
        <f>'GİRDİ RAPORU'!F103</f>
        <v>20</v>
      </c>
      <c r="G603" s="18" t="str">
        <f>'GİRDİ RAPORU'!G103</f>
        <v>Ayar</v>
      </c>
      <c r="H603" s="18">
        <f>'GİRDİ RAPORU'!H103</f>
        <v>10</v>
      </c>
      <c r="I603" s="18" t="str">
        <f>'GİRDİ RAPORU'!I103</f>
        <v>Temizlik</v>
      </c>
      <c r="J603" s="18">
        <f>'GİRDİ RAPORU'!J1075</f>
        <v>0</v>
      </c>
      <c r="K603" s="18">
        <f>'GİRDİ RAPORU'!K1075</f>
        <v>0</v>
      </c>
      <c r="L603" s="18">
        <f>'GİRDİ RAPORU'!L1075</f>
        <v>0</v>
      </c>
      <c r="M603" s="26">
        <f t="shared" si="27"/>
        <v>0.41333333333333333</v>
      </c>
      <c r="N603" s="26">
        <f t="shared" si="28"/>
        <v>5.5555555555555552E-2</v>
      </c>
      <c r="O603" s="26">
        <f t="shared" si="29"/>
        <v>0.94444444444444442</v>
      </c>
    </row>
    <row r="604" spans="1:15" ht="21.75" hidden="1" customHeight="1">
      <c r="A604" s="17">
        <f>'GİRDİ RAPORU'!A106</f>
        <v>45152.763067129628</v>
      </c>
      <c r="B604" s="18">
        <f>'GİRDİ RAPORU'!B102</f>
        <v>2</v>
      </c>
      <c r="C604" s="18">
        <f>'GİRDİ RAPORU'!C102</f>
        <v>262</v>
      </c>
      <c r="D604" s="18">
        <f>'GİRDİ RAPORU'!D102</f>
        <v>0</v>
      </c>
      <c r="E604" s="18" t="str">
        <f>'GİRDİ RAPORU'!E102</f>
        <v>Normal Mesai</v>
      </c>
      <c r="F604" s="18">
        <f>'GİRDİ RAPORU'!F102</f>
        <v>20</v>
      </c>
      <c r="G604" s="18" t="str">
        <f>'GİRDİ RAPORU'!G102</f>
        <v>Ayar</v>
      </c>
      <c r="H604" s="18">
        <f>'GİRDİ RAPORU'!H102</f>
        <v>0</v>
      </c>
      <c r="I604" s="18">
        <f>'GİRDİ RAPORU'!I102</f>
        <v>0</v>
      </c>
      <c r="J604" s="18">
        <f>'GİRDİ RAPORU'!J1074</f>
        <v>0</v>
      </c>
      <c r="K604" s="18">
        <f>'GİRDİ RAPORU'!K1074</f>
        <v>0</v>
      </c>
      <c r="L604" s="18">
        <f>'GİRDİ RAPORU'!L1074</f>
        <v>0</v>
      </c>
      <c r="M604" s="26">
        <f t="shared" si="27"/>
        <v>0.34933333333333333</v>
      </c>
      <c r="N604" s="26">
        <f t="shared" si="28"/>
        <v>3.7037037037037035E-2</v>
      </c>
      <c r="O604" s="26">
        <f t="shared" si="29"/>
        <v>0.96296296296296291</v>
      </c>
    </row>
    <row r="605" spans="1:15" ht="21.75" hidden="1" customHeight="1">
      <c r="A605" s="17">
        <f>'GİRDİ RAPORU'!A105</f>
        <v>45149.769050925926</v>
      </c>
      <c r="B605" s="18">
        <f>'GİRDİ RAPORU'!B101</f>
        <v>2</v>
      </c>
      <c r="C605" s="18">
        <f>'GİRDİ RAPORU'!C101</f>
        <v>250</v>
      </c>
      <c r="D605" s="18">
        <f>'GİRDİ RAPORU'!D101</f>
        <v>23</v>
      </c>
      <c r="E605" s="18" t="str">
        <f>'GİRDİ RAPORU'!E101</f>
        <v>Normal Mesai</v>
      </c>
      <c r="F605" s="18">
        <f>'GİRDİ RAPORU'!F101</f>
        <v>20</v>
      </c>
      <c r="G605" s="18" t="str">
        <f>'GİRDİ RAPORU'!G101</f>
        <v>Ayar</v>
      </c>
      <c r="H605" s="18">
        <f>'GİRDİ RAPORU'!H101</f>
        <v>0</v>
      </c>
      <c r="I605" s="18">
        <f>'GİRDİ RAPORU'!I101</f>
        <v>0</v>
      </c>
      <c r="J605" s="18">
        <f>'GİRDİ RAPORU'!J1073</f>
        <v>0</v>
      </c>
      <c r="K605" s="18">
        <f>'GİRDİ RAPORU'!K1073</f>
        <v>0</v>
      </c>
      <c r="L605" s="18">
        <f>'GİRDİ RAPORU'!L1073</f>
        <v>0</v>
      </c>
      <c r="M605" s="26">
        <f t="shared" si="27"/>
        <v>0.36399999999999999</v>
      </c>
      <c r="N605" s="26">
        <f t="shared" si="28"/>
        <v>3.7037037037037035E-2</v>
      </c>
      <c r="O605" s="26">
        <f t="shared" si="29"/>
        <v>0.96296296296296291</v>
      </c>
    </row>
    <row r="606" spans="1:15" ht="21.75" hidden="1" customHeight="1">
      <c r="A606" s="17">
        <f>'GİRDİ RAPORU'!A104</f>
        <v>45148.764016203706</v>
      </c>
      <c r="B606" s="18">
        <f>'GİRDİ RAPORU'!B100</f>
        <v>2</v>
      </c>
      <c r="C606" s="18">
        <f>'GİRDİ RAPORU'!C100</f>
        <v>245</v>
      </c>
      <c r="D606" s="18">
        <f>'GİRDİ RAPORU'!D100</f>
        <v>80</v>
      </c>
      <c r="E606" s="18" t="str">
        <f>'GİRDİ RAPORU'!E100</f>
        <v>Normal Mesai</v>
      </c>
      <c r="F606" s="18">
        <f>'GİRDİ RAPORU'!F100</f>
        <v>28</v>
      </c>
      <c r="G606" s="18" t="str">
        <f>'GİRDİ RAPORU'!G100</f>
        <v>Ayar</v>
      </c>
      <c r="H606" s="18">
        <f>'GİRDİ RAPORU'!H100</f>
        <v>0</v>
      </c>
      <c r="I606" s="18">
        <f>'GİRDİ RAPORU'!I100</f>
        <v>0</v>
      </c>
      <c r="J606" s="18">
        <f>'GİRDİ RAPORU'!J1072</f>
        <v>0</v>
      </c>
      <c r="K606" s="18">
        <f>'GİRDİ RAPORU'!K1072</f>
        <v>0</v>
      </c>
      <c r="L606" s="18">
        <f>'GİRDİ RAPORU'!L1072</f>
        <v>0</v>
      </c>
      <c r="M606" s="26">
        <f t="shared" si="27"/>
        <v>0.43333333333333335</v>
      </c>
      <c r="N606" s="26">
        <f t="shared" si="28"/>
        <v>5.185185185185185E-2</v>
      </c>
      <c r="O606" s="26">
        <f t="shared" si="29"/>
        <v>0.94814814814814818</v>
      </c>
    </row>
    <row r="607" spans="1:15" ht="21.75" hidden="1" customHeight="1">
      <c r="A607" s="17">
        <f>'GİRDİ RAPORU'!A103</f>
        <v>45147.767372685186</v>
      </c>
      <c r="B607" s="18">
        <f>'GİRDİ RAPORU'!B99</f>
        <v>2</v>
      </c>
      <c r="C607" s="18">
        <f>'GİRDİ RAPORU'!C99</f>
        <v>310</v>
      </c>
      <c r="D607" s="18">
        <f>'GİRDİ RAPORU'!D99</f>
        <v>0</v>
      </c>
      <c r="E607" s="18" t="str">
        <f>'GİRDİ RAPORU'!E99</f>
        <v>Normal Mesai</v>
      </c>
      <c r="F607" s="18">
        <f>'GİRDİ RAPORU'!F99</f>
        <v>20</v>
      </c>
      <c r="G607" s="18" t="str">
        <f>'GİRDİ RAPORU'!G99</f>
        <v>Ayar</v>
      </c>
      <c r="H607" s="18">
        <f>'GİRDİ RAPORU'!H99</f>
        <v>0</v>
      </c>
      <c r="I607" s="18">
        <f>'GİRDİ RAPORU'!I99</f>
        <v>0</v>
      </c>
      <c r="J607" s="18">
        <f>'GİRDİ RAPORU'!J1071</f>
        <v>0</v>
      </c>
      <c r="K607" s="18">
        <f>'GİRDİ RAPORU'!K1071</f>
        <v>0</v>
      </c>
      <c r="L607" s="18">
        <f>'GİRDİ RAPORU'!L1071</f>
        <v>0</v>
      </c>
      <c r="M607" s="26">
        <f t="shared" si="27"/>
        <v>0.41333333333333333</v>
      </c>
      <c r="N607" s="26">
        <f t="shared" si="28"/>
        <v>3.7037037037037035E-2</v>
      </c>
      <c r="O607" s="26">
        <f t="shared" si="29"/>
        <v>0.96296296296296291</v>
      </c>
    </row>
    <row r="608" spans="1:15" ht="21.75" hidden="1" customHeight="1">
      <c r="A608" s="17">
        <f>'GİRDİ RAPORU'!A102</f>
        <v>45146.762094907404</v>
      </c>
      <c r="B608" s="18">
        <f>'GİRDİ RAPORU'!B98</f>
        <v>2</v>
      </c>
      <c r="C608" s="18">
        <f>'GİRDİ RAPORU'!C98</f>
        <v>302</v>
      </c>
      <c r="D608" s="18">
        <f>'GİRDİ RAPORU'!D98</f>
        <v>0</v>
      </c>
      <c r="E608" s="18" t="str">
        <f>'GİRDİ RAPORU'!E98</f>
        <v>Normal Mesai</v>
      </c>
      <c r="F608" s="18">
        <f>'GİRDİ RAPORU'!F98</f>
        <v>30</v>
      </c>
      <c r="G608" s="18" t="str">
        <f>'GİRDİ RAPORU'!G98</f>
        <v>Ayar</v>
      </c>
      <c r="H608" s="18">
        <f>'GİRDİ RAPORU'!H98</f>
        <v>0</v>
      </c>
      <c r="I608" s="18">
        <f>'GİRDİ RAPORU'!I98</f>
        <v>0</v>
      </c>
      <c r="J608" s="18">
        <f>'GİRDİ RAPORU'!J1070</f>
        <v>0</v>
      </c>
      <c r="K608" s="18">
        <f>'GİRDİ RAPORU'!K1070</f>
        <v>0</v>
      </c>
      <c r="L608" s="18">
        <f>'GİRDİ RAPORU'!L1070</f>
        <v>0</v>
      </c>
      <c r="M608" s="26">
        <f t="shared" si="27"/>
        <v>0.40266666666666667</v>
      </c>
      <c r="N608" s="26">
        <f t="shared" si="28"/>
        <v>5.5555555555555552E-2</v>
      </c>
      <c r="O608" s="26">
        <f t="shared" si="29"/>
        <v>0.94444444444444442</v>
      </c>
    </row>
    <row r="609" spans="1:15" ht="21.75" hidden="1" customHeight="1">
      <c r="A609" s="17">
        <f>'GİRDİ RAPORU'!A101</f>
        <v>45145.770277777781</v>
      </c>
      <c r="B609" s="18">
        <f>'GİRDİ RAPORU'!B97</f>
        <v>2</v>
      </c>
      <c r="C609" s="18">
        <f>'GİRDİ RAPORU'!C97</f>
        <v>292</v>
      </c>
      <c r="D609" s="18">
        <f>'GİRDİ RAPORU'!D97</f>
        <v>0</v>
      </c>
      <c r="E609" s="18" t="str">
        <f>'GİRDİ RAPORU'!E97</f>
        <v>Normal Mesai</v>
      </c>
      <c r="F609" s="18">
        <f>'GİRDİ RAPORU'!F97</f>
        <v>20</v>
      </c>
      <c r="G609" s="18" t="str">
        <f>'GİRDİ RAPORU'!G97</f>
        <v>Ayar</v>
      </c>
      <c r="H609" s="18">
        <f>'GİRDİ RAPORU'!H97</f>
        <v>0</v>
      </c>
      <c r="I609" s="18">
        <f>'GİRDİ RAPORU'!I97</f>
        <v>0</v>
      </c>
      <c r="J609" s="18">
        <f>'GİRDİ RAPORU'!J1069</f>
        <v>0</v>
      </c>
      <c r="K609" s="18">
        <f>'GİRDİ RAPORU'!K1069</f>
        <v>0</v>
      </c>
      <c r="L609" s="18">
        <f>'GİRDİ RAPORU'!L1069</f>
        <v>0</v>
      </c>
      <c r="M609" s="26">
        <f t="shared" si="27"/>
        <v>0.38933333333333331</v>
      </c>
      <c r="N609" s="26">
        <f t="shared" si="28"/>
        <v>3.7037037037037035E-2</v>
      </c>
      <c r="O609" s="26">
        <f t="shared" si="29"/>
        <v>0.96296296296296291</v>
      </c>
    </row>
    <row r="610" spans="1:15" ht="21.75" hidden="1" customHeight="1">
      <c r="A610" s="17">
        <f>'GİRDİ RAPORU'!A100</f>
        <v>45142.768865740742</v>
      </c>
      <c r="B610" s="18">
        <f>'GİRDİ RAPORU'!B96</f>
        <v>2</v>
      </c>
      <c r="C610" s="18">
        <f>'GİRDİ RAPORU'!C96</f>
        <v>295</v>
      </c>
      <c r="D610" s="18">
        <f>'GİRDİ RAPORU'!D96</f>
        <v>28</v>
      </c>
      <c r="E610" s="18" t="str">
        <f>'GİRDİ RAPORU'!E96</f>
        <v>Normal Mesai</v>
      </c>
      <c r="F610" s="18">
        <f>'GİRDİ RAPORU'!F96</f>
        <v>28</v>
      </c>
      <c r="G610" s="18" t="str">
        <f>'GİRDİ RAPORU'!G96</f>
        <v>Ayar</v>
      </c>
      <c r="H610" s="18">
        <f>'GİRDİ RAPORU'!H96</f>
        <v>0</v>
      </c>
      <c r="I610" s="18">
        <f>'GİRDİ RAPORU'!I96</f>
        <v>0</v>
      </c>
      <c r="J610" s="18">
        <f>'GİRDİ RAPORU'!J1068</f>
        <v>0</v>
      </c>
      <c r="K610" s="18">
        <f>'GİRDİ RAPORU'!K1068</f>
        <v>0</v>
      </c>
      <c r="L610" s="18">
        <f>'GİRDİ RAPORU'!L1068</f>
        <v>0</v>
      </c>
      <c r="M610" s="26">
        <f t="shared" si="27"/>
        <v>0.43066666666666664</v>
      </c>
      <c r="N610" s="26">
        <f t="shared" si="28"/>
        <v>5.185185185185185E-2</v>
      </c>
      <c r="O610" s="26">
        <f t="shared" si="29"/>
        <v>0.94814814814814818</v>
      </c>
    </row>
    <row r="611" spans="1:15" ht="21.75" hidden="1" customHeight="1">
      <c r="A611" s="17">
        <f>'GİRDİ RAPORU'!A99</f>
        <v>45141.764131944445</v>
      </c>
      <c r="B611" s="18">
        <f>'GİRDİ RAPORU'!B95</f>
        <v>2</v>
      </c>
      <c r="C611" s="18">
        <f>'GİRDİ RAPORU'!C95</f>
        <v>220</v>
      </c>
      <c r="D611" s="18">
        <f>'GİRDİ RAPORU'!D95</f>
        <v>50</v>
      </c>
      <c r="E611" s="18" t="str">
        <f>'GİRDİ RAPORU'!E95</f>
        <v>Normal Mesai</v>
      </c>
      <c r="F611" s="18">
        <f>'GİRDİ RAPORU'!F95</f>
        <v>25</v>
      </c>
      <c r="G611" s="18" t="str">
        <f>'GİRDİ RAPORU'!G95</f>
        <v>Ayar</v>
      </c>
      <c r="H611" s="18">
        <f>'GİRDİ RAPORU'!H95</f>
        <v>0</v>
      </c>
      <c r="I611" s="18">
        <f>'GİRDİ RAPORU'!I95</f>
        <v>0</v>
      </c>
      <c r="J611" s="18">
        <f>'GİRDİ RAPORU'!J1067</f>
        <v>0</v>
      </c>
      <c r="K611" s="18">
        <f>'GİRDİ RAPORU'!K1067</f>
        <v>0</v>
      </c>
      <c r="L611" s="18">
        <f>'GİRDİ RAPORU'!L1067</f>
        <v>0</v>
      </c>
      <c r="M611" s="26">
        <f t="shared" si="27"/>
        <v>0.36</v>
      </c>
      <c r="N611" s="26">
        <f t="shared" si="28"/>
        <v>4.6296296296296294E-2</v>
      </c>
      <c r="O611" s="26">
        <f t="shared" si="29"/>
        <v>0.95370370370370372</v>
      </c>
    </row>
    <row r="612" spans="1:15" ht="21.75" hidden="1" customHeight="1">
      <c r="A612" s="17">
        <f>'GİRDİ RAPORU'!A98</f>
        <v>45140.766527777778</v>
      </c>
      <c r="B612" s="18">
        <f>'GİRDİ RAPORU'!B94</f>
        <v>2</v>
      </c>
      <c r="C612" s="18">
        <f>'GİRDİ RAPORU'!C94</f>
        <v>250</v>
      </c>
      <c r="D612" s="18">
        <f>'GİRDİ RAPORU'!D94</f>
        <v>100</v>
      </c>
      <c r="E612" s="18" t="str">
        <f>'GİRDİ RAPORU'!E94</f>
        <v>Normal Mesai</v>
      </c>
      <c r="F612" s="18">
        <f>'GİRDİ RAPORU'!F94</f>
        <v>20</v>
      </c>
      <c r="G612" s="18" t="str">
        <f>'GİRDİ RAPORU'!G94</f>
        <v>Ayar</v>
      </c>
      <c r="H612" s="18">
        <f>'GİRDİ RAPORU'!H94</f>
        <v>0</v>
      </c>
      <c r="I612" s="18">
        <f>'GİRDİ RAPORU'!I94</f>
        <v>0</v>
      </c>
      <c r="J612" s="18">
        <f>'GİRDİ RAPORU'!J1066</f>
        <v>0</v>
      </c>
      <c r="K612" s="18">
        <f>'GİRDİ RAPORU'!K1066</f>
        <v>0</v>
      </c>
      <c r="L612" s="18">
        <f>'GİRDİ RAPORU'!L1066</f>
        <v>0</v>
      </c>
      <c r="M612" s="26">
        <f t="shared" si="27"/>
        <v>0.46666666666666667</v>
      </c>
      <c r="N612" s="26">
        <f t="shared" si="28"/>
        <v>3.7037037037037035E-2</v>
      </c>
      <c r="O612" s="26">
        <f t="shared" si="29"/>
        <v>0.96296296296296291</v>
      </c>
    </row>
    <row r="613" spans="1:15" ht="21.75" hidden="1" customHeight="1">
      <c r="A613" s="17">
        <f>'GİRDİ RAPORU'!A97</f>
        <v>45139.766932870371</v>
      </c>
      <c r="B613" s="18">
        <f>'GİRDİ RAPORU'!B93</f>
        <v>2</v>
      </c>
      <c r="C613" s="18">
        <f>'GİRDİ RAPORU'!C93</f>
        <v>320</v>
      </c>
      <c r="D613" s="18">
        <f>'GİRDİ RAPORU'!D93</f>
        <v>20</v>
      </c>
      <c r="E613" s="18" t="str">
        <f>'GİRDİ RAPORU'!E93</f>
        <v>Normal Mesai</v>
      </c>
      <c r="F613" s="18">
        <f>'GİRDİ RAPORU'!F93</f>
        <v>20</v>
      </c>
      <c r="G613" s="18" t="str">
        <f>'GİRDİ RAPORU'!G93</f>
        <v>Ayar</v>
      </c>
      <c r="H613" s="18">
        <f>'GİRDİ RAPORU'!H93</f>
        <v>0</v>
      </c>
      <c r="I613" s="18">
        <f>'GİRDİ RAPORU'!I93</f>
        <v>0</v>
      </c>
      <c r="J613" s="18">
        <f>'GİRDİ RAPORU'!J1065</f>
        <v>0</v>
      </c>
      <c r="K613" s="18">
        <f>'GİRDİ RAPORU'!K1065</f>
        <v>0</v>
      </c>
      <c r="L613" s="18">
        <f>'GİRDİ RAPORU'!L1065</f>
        <v>0</v>
      </c>
      <c r="M613" s="26">
        <f t="shared" si="27"/>
        <v>0.45333333333333331</v>
      </c>
      <c r="N613" s="26">
        <f t="shared" si="28"/>
        <v>3.7037037037037035E-2</v>
      </c>
      <c r="O613" s="26">
        <f t="shared" si="29"/>
        <v>0.96296296296296291</v>
      </c>
    </row>
    <row r="614" spans="1:15" ht="21.75" hidden="1" customHeight="1">
      <c r="A614" s="17">
        <f>'GİRDİ RAPORU'!A96</f>
        <v>45138.761817129627</v>
      </c>
      <c r="B614" s="18">
        <f>'GİRDİ RAPORU'!B92</f>
        <v>2</v>
      </c>
      <c r="C614" s="18">
        <f>'GİRDİ RAPORU'!C92</f>
        <v>200</v>
      </c>
      <c r="D614" s="18">
        <f>'GİRDİ RAPORU'!D92</f>
        <v>85</v>
      </c>
      <c r="E614" s="18" t="str">
        <f>'GİRDİ RAPORU'!E92</f>
        <v>Normal Mesai</v>
      </c>
      <c r="F614" s="18">
        <f>'GİRDİ RAPORU'!F92</f>
        <v>20</v>
      </c>
      <c r="G614" s="18" t="str">
        <f>'GİRDİ RAPORU'!G92</f>
        <v>Ayar</v>
      </c>
      <c r="H614" s="18">
        <f>'GİRDİ RAPORU'!H92</f>
        <v>0</v>
      </c>
      <c r="I614" s="18">
        <f>'GİRDİ RAPORU'!I92</f>
        <v>0</v>
      </c>
      <c r="J614" s="18">
        <f>'GİRDİ RAPORU'!J1064</f>
        <v>0</v>
      </c>
      <c r="K614" s="18">
        <f>'GİRDİ RAPORU'!K1064</f>
        <v>0</v>
      </c>
      <c r="L614" s="18">
        <f>'GİRDİ RAPORU'!L1064</f>
        <v>0</v>
      </c>
      <c r="M614" s="26">
        <f t="shared" si="27"/>
        <v>0.38</v>
      </c>
      <c r="N614" s="26">
        <f t="shared" si="28"/>
        <v>3.7037037037037035E-2</v>
      </c>
      <c r="O614" s="26">
        <f t="shared" si="29"/>
        <v>0.96296296296296291</v>
      </c>
    </row>
    <row r="615" spans="1:15" ht="21.75" hidden="1" customHeight="1">
      <c r="A615" s="17">
        <f>'GİRDİ RAPORU'!A95</f>
        <v>45135.749673842591</v>
      </c>
      <c r="B615" s="18">
        <f>'GİRDİ RAPORU'!B91</f>
        <v>2</v>
      </c>
      <c r="C615" s="18">
        <f>'GİRDİ RAPORU'!C91</f>
        <v>282</v>
      </c>
      <c r="D615" s="18">
        <f>'GİRDİ RAPORU'!D91</f>
        <v>0</v>
      </c>
      <c r="E615" s="18" t="str">
        <f>'GİRDİ RAPORU'!E91</f>
        <v>Normal Mesai</v>
      </c>
      <c r="F615" s="18">
        <f>'GİRDİ RAPORU'!F91</f>
        <v>22</v>
      </c>
      <c r="G615" s="18" t="str">
        <f>'GİRDİ RAPORU'!G91</f>
        <v>Ayar</v>
      </c>
      <c r="H615" s="18">
        <f>'GİRDİ RAPORU'!H91</f>
        <v>0</v>
      </c>
      <c r="I615" s="18">
        <f>'GİRDİ RAPORU'!I91</f>
        <v>0</v>
      </c>
      <c r="J615" s="18">
        <f>'GİRDİ RAPORU'!J1063</f>
        <v>0</v>
      </c>
      <c r="K615" s="18">
        <f>'GİRDİ RAPORU'!K1063</f>
        <v>0</v>
      </c>
      <c r="L615" s="18">
        <f>'GİRDİ RAPORU'!L1063</f>
        <v>0</v>
      </c>
      <c r="M615" s="26">
        <f t="shared" si="27"/>
        <v>0.376</v>
      </c>
      <c r="N615" s="26">
        <f t="shared" si="28"/>
        <v>4.0740740740740744E-2</v>
      </c>
      <c r="O615" s="26">
        <f t="shared" si="29"/>
        <v>0.95925925925925926</v>
      </c>
    </row>
    <row r="616" spans="1:15" ht="21.75" hidden="1" customHeight="1">
      <c r="A616" s="17">
        <f>'GİRDİ RAPORU'!A94</f>
        <v>45134.753946759258</v>
      </c>
      <c r="B616" s="18">
        <f>'GİRDİ RAPORU'!B90</f>
        <v>2</v>
      </c>
      <c r="C616" s="18">
        <f>'GİRDİ RAPORU'!C90</f>
        <v>255</v>
      </c>
      <c r="D616" s="18">
        <f>'GİRDİ RAPORU'!D90</f>
        <v>12</v>
      </c>
      <c r="E616" s="18" t="str">
        <f>'GİRDİ RAPORU'!E90</f>
        <v>Normal Mesai</v>
      </c>
      <c r="F616" s="18">
        <f>'GİRDİ RAPORU'!F90</f>
        <v>22</v>
      </c>
      <c r="G616" s="18" t="str">
        <f>'GİRDİ RAPORU'!G90</f>
        <v>Ayar</v>
      </c>
      <c r="H616" s="18">
        <f>'GİRDİ RAPORU'!H90</f>
        <v>0</v>
      </c>
      <c r="I616" s="18">
        <f>'GİRDİ RAPORU'!I90</f>
        <v>0</v>
      </c>
      <c r="J616" s="18">
        <f>'GİRDİ RAPORU'!J1062</f>
        <v>0</v>
      </c>
      <c r="K616" s="18">
        <f>'GİRDİ RAPORU'!K1062</f>
        <v>0</v>
      </c>
      <c r="L616" s="18">
        <f>'GİRDİ RAPORU'!L1062</f>
        <v>0</v>
      </c>
      <c r="M616" s="26">
        <f t="shared" si="27"/>
        <v>0.35599999999999998</v>
      </c>
      <c r="N616" s="26">
        <f t="shared" si="28"/>
        <v>4.0740740740740744E-2</v>
      </c>
      <c r="O616" s="26">
        <f t="shared" si="29"/>
        <v>0.95925925925925926</v>
      </c>
    </row>
    <row r="617" spans="1:15" ht="21.75" hidden="1" customHeight="1">
      <c r="A617" s="17">
        <f>'GİRDİ RAPORU'!A93</f>
        <v>45133.747052199076</v>
      </c>
      <c r="B617" s="18">
        <f>'GİRDİ RAPORU'!B89</f>
        <v>2</v>
      </c>
      <c r="C617" s="18">
        <f>'GİRDİ RAPORU'!C89</f>
        <v>0</v>
      </c>
      <c r="D617" s="18">
        <f>'GİRDİ RAPORU'!D89</f>
        <v>380</v>
      </c>
      <c r="E617" s="18" t="str">
        <f>'GİRDİ RAPORU'!E89</f>
        <v>Normal Mesai</v>
      </c>
      <c r="F617" s="18">
        <f>'GİRDİ RAPORU'!F89</f>
        <v>20</v>
      </c>
      <c r="G617" s="18" t="str">
        <f>'GİRDİ RAPORU'!G89</f>
        <v>Ayar</v>
      </c>
      <c r="H617" s="18">
        <f>'GİRDİ RAPORU'!H89</f>
        <v>0</v>
      </c>
      <c r="I617" s="18">
        <f>'GİRDİ RAPORU'!I89</f>
        <v>0</v>
      </c>
      <c r="J617" s="18">
        <f>'GİRDİ RAPORU'!J1061</f>
        <v>0</v>
      </c>
      <c r="K617" s="18">
        <f>'GİRDİ RAPORU'!K1061</f>
        <v>0</v>
      </c>
      <c r="L617" s="18">
        <f>'GİRDİ RAPORU'!L1061</f>
        <v>0</v>
      </c>
      <c r="M617" s="26">
        <f t="shared" si="27"/>
        <v>0.50666666666666671</v>
      </c>
      <c r="N617" s="26">
        <f t="shared" si="28"/>
        <v>3.7037037037037035E-2</v>
      </c>
      <c r="O617" s="26">
        <f t="shared" si="29"/>
        <v>0.96296296296296291</v>
      </c>
    </row>
    <row r="618" spans="1:15" ht="21.75" hidden="1" customHeight="1">
      <c r="A618" s="17">
        <f>'GİRDİ RAPORU'!A92</f>
        <v>45132.764699074076</v>
      </c>
      <c r="B618" s="18">
        <f>'GİRDİ RAPORU'!B88</f>
        <v>2</v>
      </c>
      <c r="C618" s="18">
        <f>'GİRDİ RAPORU'!C88</f>
        <v>250</v>
      </c>
      <c r="D618" s="18">
        <f>'GİRDİ RAPORU'!D88</f>
        <v>22</v>
      </c>
      <c r="E618" s="18" t="str">
        <f>'GİRDİ RAPORU'!E88</f>
        <v>Normal Mesai</v>
      </c>
      <c r="F618" s="18">
        <f>'GİRDİ RAPORU'!F88</f>
        <v>25</v>
      </c>
      <c r="G618" s="18" t="str">
        <f>'GİRDİ RAPORU'!G88</f>
        <v>Ayar</v>
      </c>
      <c r="H618" s="18">
        <f>'GİRDİ RAPORU'!H88</f>
        <v>0</v>
      </c>
      <c r="I618" s="18">
        <f>'GİRDİ RAPORU'!I88</f>
        <v>0</v>
      </c>
      <c r="J618" s="18">
        <f>'GİRDİ RAPORU'!J1060</f>
        <v>0</v>
      </c>
      <c r="K618" s="18">
        <f>'GİRDİ RAPORU'!K1060</f>
        <v>0</v>
      </c>
      <c r="L618" s="18">
        <f>'GİRDİ RAPORU'!L1060</f>
        <v>0</v>
      </c>
      <c r="M618" s="26">
        <f t="shared" si="27"/>
        <v>0.36266666666666669</v>
      </c>
      <c r="N618" s="26">
        <f t="shared" si="28"/>
        <v>4.6296296296296294E-2</v>
      </c>
      <c r="O618" s="26">
        <f t="shared" si="29"/>
        <v>0.95370370370370372</v>
      </c>
    </row>
    <row r="619" spans="1:15" ht="21.75" hidden="1" customHeight="1">
      <c r="A619" s="17">
        <f>'GİRDİ RAPORU'!A91</f>
        <v>45131.764178240737</v>
      </c>
      <c r="B619" s="18">
        <f>'GİRDİ RAPORU'!B87</f>
        <v>2</v>
      </c>
      <c r="C619" s="18">
        <f>'GİRDİ RAPORU'!C87</f>
        <v>286</v>
      </c>
      <c r="D619" s="18">
        <f>'GİRDİ RAPORU'!D87</f>
        <v>30</v>
      </c>
      <c r="E619" s="18" t="str">
        <f>'GİRDİ RAPORU'!E87</f>
        <v>Normal Mesai</v>
      </c>
      <c r="F619" s="18">
        <f>'GİRDİ RAPORU'!F87</f>
        <v>25</v>
      </c>
      <c r="G619" s="18" t="str">
        <f>'GİRDİ RAPORU'!G87</f>
        <v>Ayar</v>
      </c>
      <c r="H619" s="18">
        <f>'GİRDİ RAPORU'!H87</f>
        <v>0</v>
      </c>
      <c r="I619" s="18">
        <f>'GİRDİ RAPORU'!I87</f>
        <v>0</v>
      </c>
      <c r="J619" s="18">
        <f>'GİRDİ RAPORU'!J1059</f>
        <v>0</v>
      </c>
      <c r="K619" s="18">
        <f>'GİRDİ RAPORU'!K1059</f>
        <v>0</v>
      </c>
      <c r="L619" s="18">
        <f>'GİRDİ RAPORU'!L1059</f>
        <v>0</v>
      </c>
      <c r="M619" s="26">
        <f t="shared" si="27"/>
        <v>0.42133333333333334</v>
      </c>
      <c r="N619" s="26">
        <f t="shared" si="28"/>
        <v>4.6296296296296294E-2</v>
      </c>
      <c r="O619" s="26">
        <f t="shared" si="29"/>
        <v>0.95370370370370372</v>
      </c>
    </row>
    <row r="620" spans="1:15" ht="21.75" hidden="1" customHeight="1">
      <c r="A620" s="17">
        <f>'GİRDİ RAPORU'!A90</f>
        <v>45129.683379629627</v>
      </c>
      <c r="B620" s="18">
        <f>'GİRDİ RAPORU'!B86</f>
        <v>2</v>
      </c>
      <c r="C620" s="18">
        <f>'GİRDİ RAPORU'!C86</f>
        <v>289</v>
      </c>
      <c r="D620" s="18">
        <f>'GİRDİ RAPORU'!D86</f>
        <v>23</v>
      </c>
      <c r="E620" s="18" t="str">
        <f>'GİRDİ RAPORU'!E86</f>
        <v>Normal Mesai</v>
      </c>
      <c r="F620" s="18">
        <f>'GİRDİ RAPORU'!F86</f>
        <v>25</v>
      </c>
      <c r="G620" s="18" t="str">
        <f>'GİRDİ RAPORU'!G86</f>
        <v>Ayar</v>
      </c>
      <c r="H620" s="18">
        <f>'GİRDİ RAPORU'!H86</f>
        <v>0</v>
      </c>
      <c r="I620" s="18">
        <f>'GİRDİ RAPORU'!I86</f>
        <v>0</v>
      </c>
      <c r="J620" s="18">
        <f>'GİRDİ RAPORU'!J1058</f>
        <v>0</v>
      </c>
      <c r="K620" s="18">
        <f>'GİRDİ RAPORU'!K1058</f>
        <v>0</v>
      </c>
      <c r="L620" s="18">
        <f>'GİRDİ RAPORU'!L1058</f>
        <v>0</v>
      </c>
      <c r="M620" s="26">
        <f t="shared" si="27"/>
        <v>0.41599999999999998</v>
      </c>
      <c r="N620" s="26">
        <f t="shared" si="28"/>
        <v>4.6296296296296294E-2</v>
      </c>
      <c r="O620" s="26">
        <f t="shared" si="29"/>
        <v>0.95370370370370372</v>
      </c>
    </row>
    <row r="621" spans="1:15" ht="21.75" hidden="1" customHeight="1">
      <c r="A621" s="17">
        <f>'GİRDİ RAPORU'!A89</f>
        <v>45128.77008101852</v>
      </c>
      <c r="B621" s="18">
        <f>'GİRDİ RAPORU'!B85</f>
        <v>2</v>
      </c>
      <c r="C621" s="18">
        <f>'GİRDİ RAPORU'!C85</f>
        <v>0</v>
      </c>
      <c r="D621" s="18">
        <f>'GİRDİ RAPORU'!D85</f>
        <v>0</v>
      </c>
      <c r="E621" s="18" t="str">
        <f>'GİRDİ RAPORU'!E85</f>
        <v>Normal Mesai</v>
      </c>
      <c r="F621" s="18">
        <f>'GİRDİ RAPORU'!F85</f>
        <v>540</v>
      </c>
      <c r="G621" s="18" t="str">
        <f>'GİRDİ RAPORU'!G85</f>
        <v>Makine Arızası</v>
      </c>
      <c r="H621" s="18">
        <f>'GİRDİ RAPORU'!H85</f>
        <v>0</v>
      </c>
      <c r="I621" s="18">
        <f>'GİRDİ RAPORU'!I85</f>
        <v>0</v>
      </c>
      <c r="J621" s="18">
        <f>'GİRDİ RAPORU'!J1057</f>
        <v>0</v>
      </c>
      <c r="K621" s="18">
        <f>'GİRDİ RAPORU'!K1057</f>
        <v>0</v>
      </c>
      <c r="L621" s="18">
        <f>'GİRDİ RAPORU'!L1057</f>
        <v>0</v>
      </c>
      <c r="M621" s="26">
        <f t="shared" si="27"/>
        <v>0</v>
      </c>
      <c r="N621" s="26">
        <f t="shared" si="28"/>
        <v>1</v>
      </c>
      <c r="O621" s="26">
        <f t="shared" si="29"/>
        <v>0</v>
      </c>
    </row>
    <row r="622" spans="1:15" ht="21.75" hidden="1" customHeight="1">
      <c r="A622" s="17">
        <f>'GİRDİ RAPORU'!A88</f>
        <v>45127.760740740741</v>
      </c>
      <c r="B622" s="18">
        <f>'GİRDİ RAPORU'!B84</f>
        <v>2</v>
      </c>
      <c r="C622" s="18">
        <f>'GİRDİ RAPORU'!C84</f>
        <v>345</v>
      </c>
      <c r="D622" s="18">
        <f>'GİRDİ RAPORU'!D84</f>
        <v>0</v>
      </c>
      <c r="E622" s="18" t="str">
        <f>'GİRDİ RAPORU'!E84</f>
        <v>Normal Mesai</v>
      </c>
      <c r="F622" s="18">
        <f>'GİRDİ RAPORU'!F84</f>
        <v>30</v>
      </c>
      <c r="G622" s="18" t="str">
        <f>'GİRDİ RAPORU'!G84</f>
        <v>Ayar</v>
      </c>
      <c r="H622" s="18">
        <f>'GİRDİ RAPORU'!H84</f>
        <v>0</v>
      </c>
      <c r="I622" s="18">
        <f>'GİRDİ RAPORU'!I84</f>
        <v>0</v>
      </c>
      <c r="J622" s="18">
        <f>'GİRDİ RAPORU'!J1056</f>
        <v>0</v>
      </c>
      <c r="K622" s="18">
        <f>'GİRDİ RAPORU'!K1056</f>
        <v>0</v>
      </c>
      <c r="L622" s="18">
        <f>'GİRDİ RAPORU'!L1056</f>
        <v>0</v>
      </c>
      <c r="M622" s="26">
        <f t="shared" si="27"/>
        <v>0.46</v>
      </c>
      <c r="N622" s="26">
        <f t="shared" si="28"/>
        <v>5.5555555555555552E-2</v>
      </c>
      <c r="O622" s="26">
        <f t="shared" si="29"/>
        <v>0.94444444444444442</v>
      </c>
    </row>
    <row r="623" spans="1:15" ht="21.75" hidden="1" customHeight="1">
      <c r="A623" s="17">
        <f>'GİRDİ RAPORU'!A87</f>
        <v>45126.767442129632</v>
      </c>
      <c r="B623" s="18">
        <f>'GİRDİ RAPORU'!B83</f>
        <v>2</v>
      </c>
      <c r="C623" s="18">
        <f>'GİRDİ RAPORU'!C83</f>
        <v>2</v>
      </c>
      <c r="D623" s="18">
        <f>'GİRDİ RAPORU'!D83</f>
        <v>256</v>
      </c>
      <c r="E623" s="18" t="str">
        <f>'GİRDİ RAPORU'!E83</f>
        <v>Normal Mesai</v>
      </c>
      <c r="F623" s="18">
        <f>'GİRDİ RAPORU'!F83</f>
        <v>20</v>
      </c>
      <c r="G623" s="18" t="str">
        <f>'GİRDİ RAPORU'!G83</f>
        <v>Ayar</v>
      </c>
      <c r="H623" s="18">
        <f>'GİRDİ RAPORU'!H83</f>
        <v>0</v>
      </c>
      <c r="I623" s="18">
        <f>'GİRDİ RAPORU'!I83</f>
        <v>0</v>
      </c>
      <c r="J623" s="18">
        <f>'GİRDİ RAPORU'!J1055</f>
        <v>0</v>
      </c>
      <c r="K623" s="18">
        <f>'GİRDİ RAPORU'!K1055</f>
        <v>0</v>
      </c>
      <c r="L623" s="18">
        <f>'GİRDİ RAPORU'!L1055</f>
        <v>0</v>
      </c>
      <c r="M623" s="26">
        <f t="shared" si="27"/>
        <v>0.34399999999999997</v>
      </c>
      <c r="N623" s="26">
        <f t="shared" si="28"/>
        <v>3.7037037037037035E-2</v>
      </c>
      <c r="O623" s="26">
        <f t="shared" si="29"/>
        <v>0.96296296296296291</v>
      </c>
    </row>
    <row r="624" spans="1:15" ht="21.75" hidden="1" customHeight="1">
      <c r="A624" s="17">
        <f>'GİRDİ RAPORU'!A86</f>
        <v>45125.754930555559</v>
      </c>
      <c r="B624" s="18">
        <f>'GİRDİ RAPORU'!B82</f>
        <v>2</v>
      </c>
      <c r="C624" s="18">
        <f>'GİRDİ RAPORU'!C82</f>
        <v>0</v>
      </c>
      <c r="D624" s="18">
        <f>'GİRDİ RAPORU'!D82</f>
        <v>0</v>
      </c>
      <c r="E624" s="18" t="str">
        <f>'GİRDİ RAPORU'!E82</f>
        <v>Normal Mesai</v>
      </c>
      <c r="F624" s="18">
        <f>'GİRDİ RAPORU'!F82</f>
        <v>540</v>
      </c>
      <c r="G624" s="18" t="str">
        <f>'GİRDİ RAPORU'!G82</f>
        <v>Makine Arızası</v>
      </c>
      <c r="H624" s="18">
        <f>'GİRDİ RAPORU'!H82</f>
        <v>0</v>
      </c>
      <c r="I624" s="18">
        <f>'GİRDİ RAPORU'!I82</f>
        <v>0</v>
      </c>
      <c r="J624" s="18">
        <f>'GİRDİ RAPORU'!J1054</f>
        <v>0</v>
      </c>
      <c r="K624" s="18">
        <f>'GİRDİ RAPORU'!K1054</f>
        <v>0</v>
      </c>
      <c r="L624" s="18">
        <f>'GİRDİ RAPORU'!L1054</f>
        <v>0</v>
      </c>
      <c r="M624" s="26">
        <f t="shared" si="27"/>
        <v>0</v>
      </c>
      <c r="N624" s="26">
        <f t="shared" si="28"/>
        <v>1</v>
      </c>
      <c r="O624" s="26">
        <f t="shared" si="29"/>
        <v>0</v>
      </c>
    </row>
    <row r="625" spans="1:15" ht="21.75" hidden="1" customHeight="1">
      <c r="A625" s="17">
        <f>'GİRDİ RAPORU'!A85</f>
        <v>45124.75675925926</v>
      </c>
      <c r="B625" s="18">
        <f>'GİRDİ RAPORU'!B81</f>
        <v>2</v>
      </c>
      <c r="C625" s="18">
        <f>'GİRDİ RAPORU'!C81</f>
        <v>200</v>
      </c>
      <c r="D625" s="18">
        <f>'GİRDİ RAPORU'!D81</f>
        <v>10</v>
      </c>
      <c r="E625" s="18" t="str">
        <f>'GİRDİ RAPORU'!E81</f>
        <v>Normal Mesai</v>
      </c>
      <c r="F625" s="18">
        <f>'GİRDİ RAPORU'!F81</f>
        <v>12</v>
      </c>
      <c r="G625" s="18" t="str">
        <f>'GİRDİ RAPORU'!G81</f>
        <v>Ayar</v>
      </c>
      <c r="H625" s="18">
        <f>'GİRDİ RAPORU'!H81</f>
        <v>0</v>
      </c>
      <c r="I625" s="18">
        <f>'GİRDİ RAPORU'!I81</f>
        <v>0</v>
      </c>
      <c r="J625" s="18">
        <f>'GİRDİ RAPORU'!J1053</f>
        <v>0</v>
      </c>
      <c r="K625" s="18">
        <f>'GİRDİ RAPORU'!K1053</f>
        <v>0</v>
      </c>
      <c r="L625" s="18">
        <f>'GİRDİ RAPORU'!L1053</f>
        <v>0</v>
      </c>
      <c r="M625" s="26">
        <f t="shared" si="27"/>
        <v>0.28000000000000003</v>
      </c>
      <c r="N625" s="26">
        <f t="shared" si="28"/>
        <v>2.2222222222222223E-2</v>
      </c>
      <c r="O625" s="26">
        <f t="shared" si="29"/>
        <v>0.97777777777777775</v>
      </c>
    </row>
    <row r="626" spans="1:15" ht="21.75" hidden="1" customHeight="1">
      <c r="A626" s="17">
        <f>'GİRDİ RAPORU'!A84</f>
        <v>45121.75885416667</v>
      </c>
      <c r="B626" s="18">
        <f>'GİRDİ RAPORU'!B80</f>
        <v>2</v>
      </c>
      <c r="C626" s="18">
        <f>'GİRDİ RAPORU'!C80</f>
        <v>230</v>
      </c>
      <c r="D626" s="18">
        <f>'GİRDİ RAPORU'!D80</f>
        <v>1</v>
      </c>
      <c r="E626" s="18" t="str">
        <f>'GİRDİ RAPORU'!E80</f>
        <v>Normal Mesai</v>
      </c>
      <c r="F626" s="18">
        <f>'GİRDİ RAPORU'!F80</f>
        <v>12</v>
      </c>
      <c r="G626" s="18" t="str">
        <f>'GİRDİ RAPORU'!G80</f>
        <v>Ayar</v>
      </c>
      <c r="H626" s="18">
        <f>'GİRDİ RAPORU'!H80</f>
        <v>0</v>
      </c>
      <c r="I626" s="18">
        <f>'GİRDİ RAPORU'!I80</f>
        <v>0</v>
      </c>
      <c r="J626" s="18">
        <f>'GİRDİ RAPORU'!J1052</f>
        <v>0</v>
      </c>
      <c r="K626" s="18">
        <f>'GİRDİ RAPORU'!K1052</f>
        <v>0</v>
      </c>
      <c r="L626" s="18">
        <f>'GİRDİ RAPORU'!L1052</f>
        <v>0</v>
      </c>
      <c r="M626" s="26">
        <f t="shared" si="27"/>
        <v>0.308</v>
      </c>
      <c r="N626" s="26">
        <f t="shared" si="28"/>
        <v>2.2222222222222223E-2</v>
      </c>
      <c r="O626" s="26">
        <f t="shared" si="29"/>
        <v>0.97777777777777775</v>
      </c>
    </row>
    <row r="627" spans="1:15" ht="21.75" hidden="1" customHeight="1">
      <c r="A627" s="17">
        <f>'GİRDİ RAPORU'!A83</f>
        <v>45120.75818287037</v>
      </c>
      <c r="B627" s="18">
        <f>'GİRDİ RAPORU'!B79</f>
        <v>2</v>
      </c>
      <c r="C627" s="18">
        <f>'GİRDİ RAPORU'!C79</f>
        <v>120</v>
      </c>
      <c r="D627" s="18">
        <f>'GİRDİ RAPORU'!D79</f>
        <v>10</v>
      </c>
      <c r="E627" s="18" t="str">
        <f>'GİRDİ RAPORU'!E79</f>
        <v>Normal Mesai</v>
      </c>
      <c r="F627" s="18">
        <f>'GİRDİ RAPORU'!F79</f>
        <v>20</v>
      </c>
      <c r="G627" s="18" t="str">
        <f>'GİRDİ RAPORU'!G79</f>
        <v>Ayar</v>
      </c>
      <c r="H627" s="18">
        <f>'GİRDİ RAPORU'!H79</f>
        <v>0</v>
      </c>
      <c r="I627" s="18">
        <f>'GİRDİ RAPORU'!I79</f>
        <v>0</v>
      </c>
      <c r="J627" s="18">
        <f>'GİRDİ RAPORU'!J1051</f>
        <v>0</v>
      </c>
      <c r="K627" s="18">
        <f>'GİRDİ RAPORU'!K1051</f>
        <v>0</v>
      </c>
      <c r="L627" s="18">
        <f>'GİRDİ RAPORU'!L1051</f>
        <v>0</v>
      </c>
      <c r="M627" s="26">
        <f t="shared" si="27"/>
        <v>0.17333333333333334</v>
      </c>
      <c r="N627" s="26">
        <f t="shared" si="28"/>
        <v>3.7037037037037035E-2</v>
      </c>
      <c r="O627" s="26">
        <f t="shared" si="29"/>
        <v>0.96296296296296291</v>
      </c>
    </row>
    <row r="628" spans="1:15" ht="21.75" hidden="1" customHeight="1">
      <c r="A628" s="17">
        <f>'GİRDİ RAPORU'!A82</f>
        <v>45119.770694444444</v>
      </c>
      <c r="B628" s="18">
        <f>'GİRDİ RAPORU'!B78</f>
        <v>2</v>
      </c>
      <c r="C628" s="18">
        <f>'GİRDİ RAPORU'!C78</f>
        <v>263</v>
      </c>
      <c r="D628" s="18">
        <f>'GİRDİ RAPORU'!D78</f>
        <v>12</v>
      </c>
      <c r="E628" s="18" t="str">
        <f>'GİRDİ RAPORU'!E78</f>
        <v>Normal Mesai</v>
      </c>
      <c r="F628" s="18">
        <f>'GİRDİ RAPORU'!F78</f>
        <v>21</v>
      </c>
      <c r="G628" s="18" t="str">
        <f>'GİRDİ RAPORU'!G78</f>
        <v>Ayar</v>
      </c>
      <c r="H628" s="18">
        <f>'GİRDİ RAPORU'!H78</f>
        <v>0</v>
      </c>
      <c r="I628" s="18">
        <f>'GİRDİ RAPORU'!I78</f>
        <v>0</v>
      </c>
      <c r="J628" s="18">
        <f>'GİRDİ RAPORU'!J1050</f>
        <v>0</v>
      </c>
      <c r="K628" s="18">
        <f>'GİRDİ RAPORU'!K1050</f>
        <v>0</v>
      </c>
      <c r="L628" s="18">
        <f>'GİRDİ RAPORU'!L1050</f>
        <v>0</v>
      </c>
      <c r="M628" s="26">
        <f t="shared" si="27"/>
        <v>0.36666666666666664</v>
      </c>
      <c r="N628" s="26">
        <f t="shared" si="28"/>
        <v>3.888888888888889E-2</v>
      </c>
      <c r="O628" s="26">
        <f t="shared" si="29"/>
        <v>0.96111111111111114</v>
      </c>
    </row>
    <row r="629" spans="1:15" ht="21.75" hidden="1" customHeight="1">
      <c r="A629" s="17">
        <f>'GİRDİ RAPORU'!A81</f>
        <v>45118.750659722224</v>
      </c>
      <c r="B629" s="18">
        <f>'GİRDİ RAPORU'!B77</f>
        <v>2</v>
      </c>
      <c r="C629" s="18">
        <f>'GİRDİ RAPORU'!C77</f>
        <v>242</v>
      </c>
      <c r="D629" s="18">
        <f>'GİRDİ RAPORU'!D77</f>
        <v>50</v>
      </c>
      <c r="E629" s="18" t="str">
        <f>'GİRDİ RAPORU'!E77</f>
        <v>Normal Mesai</v>
      </c>
      <c r="F629" s="18">
        <f>'GİRDİ RAPORU'!F77</f>
        <v>23</v>
      </c>
      <c r="G629" s="18" t="str">
        <f>'GİRDİ RAPORU'!G77</f>
        <v>Ayar</v>
      </c>
      <c r="H629" s="18">
        <f>'GİRDİ RAPORU'!H77</f>
        <v>0</v>
      </c>
      <c r="I629" s="18">
        <f>'GİRDİ RAPORU'!I77</f>
        <v>0</v>
      </c>
      <c r="J629" s="18">
        <f>'GİRDİ RAPORU'!J1049</f>
        <v>0</v>
      </c>
      <c r="K629" s="18">
        <f>'GİRDİ RAPORU'!K1049</f>
        <v>0</v>
      </c>
      <c r="L629" s="18">
        <f>'GİRDİ RAPORU'!L1049</f>
        <v>0</v>
      </c>
      <c r="M629" s="26">
        <f t="shared" si="27"/>
        <v>0.38933333333333331</v>
      </c>
      <c r="N629" s="26">
        <f t="shared" si="28"/>
        <v>4.2592592592592592E-2</v>
      </c>
      <c r="O629" s="26">
        <f t="shared" si="29"/>
        <v>0.95740740740740737</v>
      </c>
    </row>
    <row r="630" spans="1:15" ht="21.75" hidden="1" customHeight="1">
      <c r="A630" s="17">
        <f>'GİRDİ RAPORU'!A80</f>
        <v>45117.84689270833</v>
      </c>
      <c r="B630" s="18">
        <f>'GİRDİ RAPORU'!B76</f>
        <v>2</v>
      </c>
      <c r="C630" s="18">
        <f>'GİRDİ RAPORU'!C76</f>
        <v>242</v>
      </c>
      <c r="D630" s="18">
        <f>'GİRDİ RAPORU'!D76</f>
        <v>23</v>
      </c>
      <c r="E630" s="18" t="str">
        <f>'GİRDİ RAPORU'!E76</f>
        <v>Normal Mesai</v>
      </c>
      <c r="F630" s="18">
        <f>'GİRDİ RAPORU'!F76</f>
        <v>20</v>
      </c>
      <c r="G630" s="18" t="str">
        <f>'GİRDİ RAPORU'!G76</f>
        <v>Ayar</v>
      </c>
      <c r="H630" s="18">
        <f>'GİRDİ RAPORU'!H76</f>
        <v>0</v>
      </c>
      <c r="I630" s="18">
        <f>'GİRDİ RAPORU'!I76</f>
        <v>0</v>
      </c>
      <c r="J630" s="18">
        <f>'GİRDİ RAPORU'!J1048</f>
        <v>0</v>
      </c>
      <c r="K630" s="18">
        <f>'GİRDİ RAPORU'!K1048</f>
        <v>0</v>
      </c>
      <c r="L630" s="18">
        <f>'GİRDİ RAPORU'!L1048</f>
        <v>0</v>
      </c>
      <c r="M630" s="26">
        <f t="shared" si="27"/>
        <v>0.35333333333333333</v>
      </c>
      <c r="N630" s="26">
        <f t="shared" si="28"/>
        <v>3.7037037037037035E-2</v>
      </c>
      <c r="O630" s="26">
        <f t="shared" si="29"/>
        <v>0.96296296296296291</v>
      </c>
    </row>
    <row r="631" spans="1:15" ht="21.75" hidden="1" customHeight="1">
      <c r="A631" s="17">
        <f>'GİRDİ RAPORU'!A79</f>
        <v>45114.765289351853</v>
      </c>
      <c r="B631" s="18">
        <f>'GİRDİ RAPORU'!B75</f>
        <v>2</v>
      </c>
      <c r="C631" s="18">
        <f>'GİRDİ RAPORU'!C75</f>
        <v>230</v>
      </c>
      <c r="D631" s="18">
        <f>'GİRDİ RAPORU'!D75</f>
        <v>54</v>
      </c>
      <c r="E631" s="18" t="str">
        <f>'GİRDİ RAPORU'!E75</f>
        <v>Normal Mesai</v>
      </c>
      <c r="F631" s="18">
        <f>'GİRDİ RAPORU'!F75</f>
        <v>20</v>
      </c>
      <c r="G631" s="18" t="str">
        <f>'GİRDİ RAPORU'!G75</f>
        <v>Ayar</v>
      </c>
      <c r="H631" s="18">
        <f>'GİRDİ RAPORU'!H75</f>
        <v>10</v>
      </c>
      <c r="I631" s="18" t="str">
        <f>'GİRDİ RAPORU'!I75</f>
        <v>Temizlik</v>
      </c>
      <c r="J631" s="18">
        <f>'GİRDİ RAPORU'!J1047</f>
        <v>0</v>
      </c>
      <c r="K631" s="18">
        <f>'GİRDİ RAPORU'!K1047</f>
        <v>0</v>
      </c>
      <c r="L631" s="18">
        <f>'GİRDİ RAPORU'!L1047</f>
        <v>0</v>
      </c>
      <c r="M631" s="26">
        <f t="shared" si="27"/>
        <v>0.37866666666666665</v>
      </c>
      <c r="N631" s="26">
        <f t="shared" si="28"/>
        <v>5.5555555555555552E-2</v>
      </c>
      <c r="O631" s="26">
        <f t="shared" si="29"/>
        <v>0.94444444444444442</v>
      </c>
    </row>
    <row r="632" spans="1:15" ht="21.75" hidden="1" customHeight="1">
      <c r="A632" s="17">
        <f>'GİRDİ RAPORU'!A78</f>
        <v>45113.761111111111</v>
      </c>
      <c r="B632" s="18">
        <f>'GİRDİ RAPORU'!B74</f>
        <v>2</v>
      </c>
      <c r="C632" s="18">
        <f>'GİRDİ RAPORU'!C74</f>
        <v>210</v>
      </c>
      <c r="D632" s="18">
        <f>'GİRDİ RAPORU'!D74</f>
        <v>52</v>
      </c>
      <c r="E632" s="18" t="str">
        <f>'GİRDİ RAPORU'!E74</f>
        <v>Normal Mesai</v>
      </c>
      <c r="F632" s="18">
        <f>'GİRDİ RAPORU'!F74</f>
        <v>12</v>
      </c>
      <c r="G632" s="18" t="str">
        <f>'GİRDİ RAPORU'!G74</f>
        <v>Ayar</v>
      </c>
      <c r="H632" s="18">
        <f>'GİRDİ RAPORU'!H74</f>
        <v>120</v>
      </c>
      <c r="I632" s="18" t="str">
        <f>'GİRDİ RAPORU'!I74</f>
        <v>Temizlik</v>
      </c>
      <c r="J632" s="18">
        <f>'GİRDİ RAPORU'!J1046</f>
        <v>0</v>
      </c>
      <c r="K632" s="18">
        <f>'GİRDİ RAPORU'!K1046</f>
        <v>0</v>
      </c>
      <c r="L632" s="18">
        <f>'GİRDİ RAPORU'!L1046</f>
        <v>0</v>
      </c>
      <c r="M632" s="26">
        <f t="shared" si="27"/>
        <v>0.34933333333333333</v>
      </c>
      <c r="N632" s="26">
        <f t="shared" si="28"/>
        <v>0.24444444444444444</v>
      </c>
      <c r="O632" s="26">
        <f t="shared" si="29"/>
        <v>0.75555555555555554</v>
      </c>
    </row>
    <row r="633" spans="1:15" ht="21.75" hidden="1" customHeight="1">
      <c r="A633" s="17">
        <f>'GİRDİ RAPORU'!A77</f>
        <v>45112.756805555553</v>
      </c>
      <c r="B633" s="18">
        <f>'GİRDİ RAPORU'!B73</f>
        <v>2</v>
      </c>
      <c r="C633" s="18">
        <f>'GİRDİ RAPORU'!C73</f>
        <v>210</v>
      </c>
      <c r="D633" s="18">
        <f>'GİRDİ RAPORU'!D73</f>
        <v>100</v>
      </c>
      <c r="E633" s="18" t="str">
        <f>'GİRDİ RAPORU'!E73</f>
        <v>Normal Mesai</v>
      </c>
      <c r="F633" s="18">
        <f>'GİRDİ RAPORU'!F73</f>
        <v>20</v>
      </c>
      <c r="G633" s="18" t="str">
        <f>'GİRDİ RAPORU'!G73</f>
        <v>Ayar</v>
      </c>
      <c r="H633" s="18">
        <f>'GİRDİ RAPORU'!H73</f>
        <v>0</v>
      </c>
      <c r="I633" s="18">
        <f>'GİRDİ RAPORU'!I73</f>
        <v>0</v>
      </c>
      <c r="J633" s="18">
        <f>'GİRDİ RAPORU'!J1045</f>
        <v>0</v>
      </c>
      <c r="K633" s="18">
        <f>'GİRDİ RAPORU'!K1045</f>
        <v>0</v>
      </c>
      <c r="L633" s="18">
        <f>'GİRDİ RAPORU'!L1045</f>
        <v>0</v>
      </c>
      <c r="M633" s="26">
        <f t="shared" si="27"/>
        <v>0.41333333333333333</v>
      </c>
      <c r="N633" s="26">
        <f t="shared" si="28"/>
        <v>3.7037037037037035E-2</v>
      </c>
      <c r="O633" s="26">
        <f t="shared" si="29"/>
        <v>0.96296296296296291</v>
      </c>
    </row>
    <row r="634" spans="1:15" ht="21.75" hidden="1" customHeight="1">
      <c r="A634" s="17">
        <f>'GİRDİ RAPORU'!A76</f>
        <v>45111.757453703707</v>
      </c>
      <c r="B634" s="18">
        <f>'GİRDİ RAPORU'!B72</f>
        <v>2</v>
      </c>
      <c r="C634" s="18">
        <f>'GİRDİ RAPORU'!C72</f>
        <v>210</v>
      </c>
      <c r="D634" s="18">
        <f>'GİRDİ RAPORU'!D72</f>
        <v>100</v>
      </c>
      <c r="E634" s="18" t="str">
        <f>'GİRDİ RAPORU'!E72</f>
        <v>Normal Mesai</v>
      </c>
      <c r="F634" s="18">
        <f>'GİRDİ RAPORU'!F72</f>
        <v>20</v>
      </c>
      <c r="G634" s="18" t="str">
        <f>'GİRDİ RAPORU'!G72</f>
        <v>Ayar</v>
      </c>
      <c r="H634" s="18">
        <f>'GİRDİ RAPORU'!H72</f>
        <v>0</v>
      </c>
      <c r="I634" s="18">
        <f>'GİRDİ RAPORU'!I72</f>
        <v>0</v>
      </c>
      <c r="J634" s="18">
        <f>'GİRDİ RAPORU'!J1044</f>
        <v>0</v>
      </c>
      <c r="K634" s="18">
        <f>'GİRDİ RAPORU'!K1044</f>
        <v>0</v>
      </c>
      <c r="L634" s="18">
        <f>'GİRDİ RAPORU'!L1044</f>
        <v>0</v>
      </c>
      <c r="M634" s="26">
        <f t="shared" si="27"/>
        <v>0.41333333333333333</v>
      </c>
      <c r="N634" s="26">
        <f t="shared" si="28"/>
        <v>3.7037037037037035E-2</v>
      </c>
      <c r="O634" s="26">
        <f t="shared" si="29"/>
        <v>0.96296296296296291</v>
      </c>
    </row>
    <row r="635" spans="1:15" ht="21.75" hidden="1" customHeight="1">
      <c r="A635" s="17">
        <f>'GİRDİ RAPORU'!A75</f>
        <v>45110.766539351855</v>
      </c>
      <c r="B635" s="18">
        <f>'GİRDİ RAPORU'!B71</f>
        <v>2</v>
      </c>
      <c r="C635" s="18">
        <f>'GİRDİ RAPORU'!C71</f>
        <v>380</v>
      </c>
      <c r="D635" s="18">
        <f>'GİRDİ RAPORU'!D71</f>
        <v>20</v>
      </c>
      <c r="E635" s="18" t="str">
        <f>'GİRDİ RAPORU'!E71</f>
        <v>Normal Mesai</v>
      </c>
      <c r="F635" s="18">
        <f>'GİRDİ RAPORU'!F71</f>
        <v>23</v>
      </c>
      <c r="G635" s="18" t="str">
        <f>'GİRDİ RAPORU'!G71</f>
        <v>Ayar</v>
      </c>
      <c r="H635" s="18">
        <f>'GİRDİ RAPORU'!H71</f>
        <v>0</v>
      </c>
      <c r="I635" s="18">
        <f>'GİRDİ RAPORU'!I71</f>
        <v>0</v>
      </c>
      <c r="J635" s="18">
        <f>'GİRDİ RAPORU'!J1043</f>
        <v>0</v>
      </c>
      <c r="K635" s="18">
        <f>'GİRDİ RAPORU'!K1043</f>
        <v>0</v>
      </c>
      <c r="L635" s="18">
        <f>'GİRDİ RAPORU'!L1043</f>
        <v>0</v>
      </c>
      <c r="M635" s="26">
        <f t="shared" si="27"/>
        <v>0.53333333333333333</v>
      </c>
      <c r="N635" s="26">
        <f t="shared" si="28"/>
        <v>4.2592592592592592E-2</v>
      </c>
      <c r="O635" s="26">
        <f t="shared" si="29"/>
        <v>0.95740740740740737</v>
      </c>
    </row>
    <row r="636" spans="1:15" ht="21.75" hidden="1" customHeight="1">
      <c r="A636" s="17">
        <f>'GİRDİ RAPORU'!A74</f>
        <v>45101.755196759259</v>
      </c>
      <c r="B636" s="18">
        <f>'GİRDİ RAPORU'!B70</f>
        <v>2</v>
      </c>
      <c r="C636" s="18">
        <f>'GİRDİ RAPORU'!C70</f>
        <v>420</v>
      </c>
      <c r="D636" s="18">
        <f>'GİRDİ RAPORU'!D70</f>
        <v>20</v>
      </c>
      <c r="E636" s="18" t="str">
        <f>'GİRDİ RAPORU'!E70</f>
        <v>Normal Mesai</v>
      </c>
      <c r="F636" s="18">
        <f>'GİRDİ RAPORU'!F70</f>
        <v>20</v>
      </c>
      <c r="G636" s="18" t="str">
        <f>'GİRDİ RAPORU'!G70</f>
        <v>Ayar</v>
      </c>
      <c r="H636" s="18">
        <f>'GİRDİ RAPORU'!H70</f>
        <v>0</v>
      </c>
      <c r="I636" s="18">
        <f>'GİRDİ RAPORU'!I70</f>
        <v>0</v>
      </c>
      <c r="J636" s="18">
        <f>'GİRDİ RAPORU'!J1042</f>
        <v>0</v>
      </c>
      <c r="K636" s="18">
        <f>'GİRDİ RAPORU'!K1042</f>
        <v>0</v>
      </c>
      <c r="L636" s="18">
        <f>'GİRDİ RAPORU'!L1042</f>
        <v>0</v>
      </c>
      <c r="M636" s="26">
        <f t="shared" si="27"/>
        <v>0.58666666666666667</v>
      </c>
      <c r="N636" s="26">
        <f t="shared" si="28"/>
        <v>3.7037037037037035E-2</v>
      </c>
      <c r="O636" s="26">
        <f t="shared" si="29"/>
        <v>0.96296296296296291</v>
      </c>
    </row>
    <row r="637" spans="1:15" ht="21.75" hidden="1" customHeight="1">
      <c r="A637" s="17">
        <f>'GİRDİ RAPORU'!A73</f>
        <v>45100.76761574074</v>
      </c>
      <c r="B637" s="18">
        <f>'GİRDİ RAPORU'!B69</f>
        <v>2</v>
      </c>
      <c r="C637" s="18">
        <f>'GİRDİ RAPORU'!C69</f>
        <v>0</v>
      </c>
      <c r="D637" s="18">
        <f>'GİRDİ RAPORU'!D69</f>
        <v>0</v>
      </c>
      <c r="E637" s="18" t="str">
        <f>'GİRDİ RAPORU'!E69</f>
        <v>Normal Mesai</v>
      </c>
      <c r="F637" s="18">
        <f>'GİRDİ RAPORU'!F69</f>
        <v>540</v>
      </c>
      <c r="G637" s="18" t="str">
        <f>'GİRDİ RAPORU'!G69</f>
        <v>Makine Arızası</v>
      </c>
      <c r="H637" s="18">
        <f>'GİRDİ RAPORU'!H69</f>
        <v>0</v>
      </c>
      <c r="I637" s="18">
        <f>'GİRDİ RAPORU'!I69</f>
        <v>0</v>
      </c>
      <c r="J637" s="18">
        <f>'GİRDİ RAPORU'!J1041</f>
        <v>0</v>
      </c>
      <c r="K637" s="18">
        <f>'GİRDİ RAPORU'!K1041</f>
        <v>0</v>
      </c>
      <c r="L637" s="18">
        <f>'GİRDİ RAPORU'!L1041</f>
        <v>0</v>
      </c>
      <c r="M637" s="26">
        <f t="shared" si="27"/>
        <v>0</v>
      </c>
      <c r="N637" s="26">
        <f t="shared" si="28"/>
        <v>1</v>
      </c>
      <c r="O637" s="26">
        <f t="shared" si="29"/>
        <v>0</v>
      </c>
    </row>
    <row r="638" spans="1:15" ht="21.75" hidden="1" customHeight="1">
      <c r="A638" s="17">
        <f>'GİRDİ RAPORU'!A72</f>
        <v>45099.766956018517</v>
      </c>
      <c r="B638" s="18">
        <f>'GİRDİ RAPORU'!B68</f>
        <v>2</v>
      </c>
      <c r="C638" s="18">
        <f>'GİRDİ RAPORU'!C68</f>
        <v>310</v>
      </c>
      <c r="D638" s="18">
        <f>'GİRDİ RAPORU'!D68</f>
        <v>40</v>
      </c>
      <c r="E638" s="18" t="str">
        <f>'GİRDİ RAPORU'!E68</f>
        <v>Normal Mesai</v>
      </c>
      <c r="F638" s="18">
        <f>'GİRDİ RAPORU'!F68</f>
        <v>20</v>
      </c>
      <c r="G638" s="18" t="str">
        <f>'GİRDİ RAPORU'!G68</f>
        <v>Ayar</v>
      </c>
      <c r="H638" s="18">
        <f>'GİRDİ RAPORU'!H68</f>
        <v>0</v>
      </c>
      <c r="I638" s="18">
        <f>'GİRDİ RAPORU'!I68</f>
        <v>0</v>
      </c>
      <c r="J638" s="18">
        <f>'GİRDİ RAPORU'!J1040</f>
        <v>0</v>
      </c>
      <c r="K638" s="18">
        <f>'GİRDİ RAPORU'!K1040</f>
        <v>0</v>
      </c>
      <c r="L638" s="18">
        <f>'GİRDİ RAPORU'!L1040</f>
        <v>0</v>
      </c>
      <c r="M638" s="26">
        <f t="shared" si="27"/>
        <v>0.46666666666666667</v>
      </c>
      <c r="N638" s="26">
        <f t="shared" si="28"/>
        <v>3.7037037037037035E-2</v>
      </c>
      <c r="O638" s="26">
        <f t="shared" si="29"/>
        <v>0.96296296296296291</v>
      </c>
    </row>
    <row r="639" spans="1:15" ht="21.75" hidden="1" customHeight="1">
      <c r="A639" s="17">
        <f>'GİRDİ RAPORU'!A71</f>
        <v>45098.768645833334</v>
      </c>
      <c r="B639" s="18">
        <f>'GİRDİ RAPORU'!B67</f>
        <v>2</v>
      </c>
      <c r="C639" s="18">
        <f>'GİRDİ RAPORU'!C67</f>
        <v>295</v>
      </c>
      <c r="D639" s="18">
        <f>'GİRDİ RAPORU'!D67</f>
        <v>50</v>
      </c>
      <c r="E639" s="18" t="str">
        <f>'GİRDİ RAPORU'!E67</f>
        <v>Normal Mesai</v>
      </c>
      <c r="F639" s="18">
        <f>'GİRDİ RAPORU'!F67</f>
        <v>20</v>
      </c>
      <c r="G639" s="18" t="str">
        <f>'GİRDİ RAPORU'!G67</f>
        <v>Ayar</v>
      </c>
      <c r="H639" s="18">
        <f>'GİRDİ RAPORU'!H67</f>
        <v>0</v>
      </c>
      <c r="I639" s="18">
        <f>'GİRDİ RAPORU'!I67</f>
        <v>0</v>
      </c>
      <c r="J639" s="18">
        <f>'GİRDİ RAPORU'!J1039</f>
        <v>0</v>
      </c>
      <c r="K639" s="18">
        <f>'GİRDİ RAPORU'!K1039</f>
        <v>0</v>
      </c>
      <c r="L639" s="18">
        <f>'GİRDİ RAPORU'!L1039</f>
        <v>0</v>
      </c>
      <c r="M639" s="26">
        <f t="shared" si="27"/>
        <v>0.46</v>
      </c>
      <c r="N639" s="26">
        <f t="shared" si="28"/>
        <v>3.7037037037037035E-2</v>
      </c>
      <c r="O639" s="26">
        <f t="shared" si="29"/>
        <v>0.96296296296296291</v>
      </c>
    </row>
    <row r="640" spans="1:15" ht="21.75" hidden="1" customHeight="1">
      <c r="A640" s="17">
        <f>'GİRDİ RAPORU'!A70</f>
        <v>45097.765752314815</v>
      </c>
      <c r="B640" s="18">
        <f>'GİRDİ RAPORU'!B66</f>
        <v>2</v>
      </c>
      <c r="C640" s="18">
        <f>'GİRDİ RAPORU'!C66</f>
        <v>320</v>
      </c>
      <c r="D640" s="18">
        <f>'GİRDİ RAPORU'!D66</f>
        <v>0</v>
      </c>
      <c r="E640" s="18" t="str">
        <f>'GİRDİ RAPORU'!E66</f>
        <v>Normal Mesai</v>
      </c>
      <c r="F640" s="18">
        <f>'GİRDİ RAPORU'!F66</f>
        <v>20</v>
      </c>
      <c r="G640" s="18" t="str">
        <f>'GİRDİ RAPORU'!G66</f>
        <v>Ayar</v>
      </c>
      <c r="H640" s="18">
        <f>'GİRDİ RAPORU'!H66</f>
        <v>0</v>
      </c>
      <c r="I640" s="18">
        <f>'GİRDİ RAPORU'!I66</f>
        <v>0</v>
      </c>
      <c r="J640" s="18">
        <f>'GİRDİ RAPORU'!J1038</f>
        <v>0</v>
      </c>
      <c r="K640" s="18">
        <f>'GİRDİ RAPORU'!K1038</f>
        <v>0</v>
      </c>
      <c r="L640" s="18">
        <f>'GİRDİ RAPORU'!L1038</f>
        <v>0</v>
      </c>
      <c r="M640" s="26">
        <f t="shared" si="27"/>
        <v>0.42666666666666669</v>
      </c>
      <c r="N640" s="26">
        <f t="shared" si="28"/>
        <v>3.7037037037037035E-2</v>
      </c>
      <c r="O640" s="26">
        <f t="shared" si="29"/>
        <v>0.96296296296296291</v>
      </c>
    </row>
    <row r="641" spans="1:15" ht="21.75" hidden="1" customHeight="1">
      <c r="A641" s="17">
        <f>'GİRDİ RAPORU'!A69</f>
        <v>45096.770567129628</v>
      </c>
      <c r="B641" s="18">
        <f>'GİRDİ RAPORU'!B65</f>
        <v>2</v>
      </c>
      <c r="C641" s="18">
        <f>'GİRDİ RAPORU'!C65</f>
        <v>280</v>
      </c>
      <c r="D641" s="18">
        <f>'GİRDİ RAPORU'!D65</f>
        <v>30</v>
      </c>
      <c r="E641" s="18" t="str">
        <f>'GİRDİ RAPORU'!E65</f>
        <v>Normal Mesai</v>
      </c>
      <c r="F641" s="18">
        <f>'GİRDİ RAPORU'!F65</f>
        <v>25</v>
      </c>
      <c r="G641" s="18" t="str">
        <f>'GİRDİ RAPORU'!G65</f>
        <v>Ayar</v>
      </c>
      <c r="H641" s="18">
        <f>'GİRDİ RAPORU'!H65</f>
        <v>0</v>
      </c>
      <c r="I641" s="18">
        <f>'GİRDİ RAPORU'!I65</f>
        <v>0</v>
      </c>
      <c r="J641" s="18">
        <f>'GİRDİ RAPORU'!J1037</f>
        <v>0</v>
      </c>
      <c r="K641" s="18">
        <f>'GİRDİ RAPORU'!K1037</f>
        <v>0</v>
      </c>
      <c r="L641" s="18">
        <f>'GİRDİ RAPORU'!L1037</f>
        <v>0</v>
      </c>
      <c r="M641" s="26">
        <f t="shared" si="27"/>
        <v>0.41333333333333333</v>
      </c>
      <c r="N641" s="26">
        <f t="shared" si="28"/>
        <v>4.6296296296296294E-2</v>
      </c>
      <c r="O641" s="26">
        <f t="shared" si="29"/>
        <v>0.95370370370370372</v>
      </c>
    </row>
    <row r="642" spans="1:15" ht="21.75" hidden="1" customHeight="1">
      <c r="A642" s="17">
        <f>'GİRDİ RAPORU'!A68</f>
        <v>45093.757060185184</v>
      </c>
      <c r="B642" s="18">
        <f>'GİRDİ RAPORU'!B64</f>
        <v>2</v>
      </c>
      <c r="C642" s="18">
        <f>'GİRDİ RAPORU'!C64</f>
        <v>240</v>
      </c>
      <c r="D642" s="18">
        <f>'GİRDİ RAPORU'!D64</f>
        <v>30</v>
      </c>
      <c r="E642" s="18" t="str">
        <f>'GİRDİ RAPORU'!E64</f>
        <v>Normal Mesai</v>
      </c>
      <c r="F642" s="18">
        <f>'GİRDİ RAPORU'!F64</f>
        <v>20</v>
      </c>
      <c r="G642" s="18" t="str">
        <f>'GİRDİ RAPORU'!G64</f>
        <v>Ayar</v>
      </c>
      <c r="H642" s="18">
        <f>'GİRDİ RAPORU'!H64</f>
        <v>0</v>
      </c>
      <c r="I642" s="18">
        <f>'GİRDİ RAPORU'!I64</f>
        <v>0</v>
      </c>
      <c r="J642" s="18">
        <f>'GİRDİ RAPORU'!J1036</f>
        <v>0</v>
      </c>
      <c r="K642" s="18">
        <f>'GİRDİ RAPORU'!K1036</f>
        <v>0</v>
      </c>
      <c r="L642" s="18">
        <f>'GİRDİ RAPORU'!L1036</f>
        <v>0</v>
      </c>
      <c r="M642" s="26">
        <f t="shared" ref="M642:M710" si="30">(C642+D642)/750</f>
        <v>0.36</v>
      </c>
      <c r="N642" s="26">
        <f t="shared" ref="N642:N710" si="31">(F642+H642+J642)/540</f>
        <v>3.7037037037037035E-2</v>
      </c>
      <c r="O642" s="26">
        <f t="shared" ref="O642:O710" si="32">(540-F642-H642-J642)/540</f>
        <v>0.96296296296296291</v>
      </c>
    </row>
    <row r="643" spans="1:15" ht="21.75" hidden="1" customHeight="1">
      <c r="A643" s="17">
        <f>'GİRDİ RAPORU'!A67</f>
        <v>45092.766770833332</v>
      </c>
      <c r="B643" s="18">
        <f>'GİRDİ RAPORU'!B63</f>
        <v>2</v>
      </c>
      <c r="C643" s="18">
        <f>'GİRDİ RAPORU'!C63</f>
        <v>260</v>
      </c>
      <c r="D643" s="18">
        <f>'GİRDİ RAPORU'!D63</f>
        <v>50</v>
      </c>
      <c r="E643" s="18" t="str">
        <f>'GİRDİ RAPORU'!E63</f>
        <v>Normal Mesai</v>
      </c>
      <c r="F643" s="18">
        <f>'GİRDİ RAPORU'!F63</f>
        <v>20</v>
      </c>
      <c r="G643" s="18" t="str">
        <f>'GİRDİ RAPORU'!G63</f>
        <v>Ayar</v>
      </c>
      <c r="H643" s="18">
        <f>'GİRDİ RAPORU'!H63</f>
        <v>0</v>
      </c>
      <c r="I643" s="18">
        <f>'GİRDİ RAPORU'!I63</f>
        <v>0</v>
      </c>
      <c r="J643" s="18">
        <f>'GİRDİ RAPORU'!J1035</f>
        <v>0</v>
      </c>
      <c r="K643" s="18">
        <f>'GİRDİ RAPORU'!K1035</f>
        <v>0</v>
      </c>
      <c r="L643" s="18">
        <f>'GİRDİ RAPORU'!L1035</f>
        <v>0</v>
      </c>
      <c r="M643" s="26">
        <f t="shared" si="30"/>
        <v>0.41333333333333333</v>
      </c>
      <c r="N643" s="26">
        <f t="shared" si="31"/>
        <v>3.7037037037037035E-2</v>
      </c>
      <c r="O643" s="26">
        <f t="shared" si="32"/>
        <v>0.96296296296296291</v>
      </c>
    </row>
    <row r="644" spans="1:15" ht="21.75" hidden="1" customHeight="1">
      <c r="A644" s="17">
        <f>'GİRDİ RAPORU'!A66</f>
        <v>45091.755219907405</v>
      </c>
      <c r="B644" s="18">
        <f>'GİRDİ RAPORU'!B62</f>
        <v>2</v>
      </c>
      <c r="C644" s="18">
        <f>'GİRDİ RAPORU'!C62</f>
        <v>260</v>
      </c>
      <c r="D644" s="18">
        <f>'GİRDİ RAPORU'!D62</f>
        <v>60</v>
      </c>
      <c r="E644" s="18" t="str">
        <f>'GİRDİ RAPORU'!E62</f>
        <v>Normal Mesai</v>
      </c>
      <c r="F644" s="18">
        <f>'GİRDİ RAPORU'!F62</f>
        <v>20</v>
      </c>
      <c r="G644" s="18" t="str">
        <f>'GİRDİ RAPORU'!G62</f>
        <v>Ayar</v>
      </c>
      <c r="H644" s="18">
        <f>'GİRDİ RAPORU'!H62</f>
        <v>0</v>
      </c>
      <c r="I644" s="18">
        <f>'GİRDİ RAPORU'!I62</f>
        <v>0</v>
      </c>
      <c r="J644" s="18">
        <f>'GİRDİ RAPORU'!J1034</f>
        <v>0</v>
      </c>
      <c r="K644" s="18">
        <f>'GİRDİ RAPORU'!K1034</f>
        <v>0</v>
      </c>
      <c r="L644" s="18">
        <f>'GİRDİ RAPORU'!L1034</f>
        <v>0</v>
      </c>
      <c r="M644" s="26">
        <f t="shared" si="30"/>
        <v>0.42666666666666669</v>
      </c>
      <c r="N644" s="26">
        <f t="shared" si="31"/>
        <v>3.7037037037037035E-2</v>
      </c>
      <c r="O644" s="26">
        <f t="shared" si="32"/>
        <v>0.96296296296296291</v>
      </c>
    </row>
    <row r="645" spans="1:15" ht="21.75" hidden="1" customHeight="1">
      <c r="A645" s="17">
        <f>'GİRDİ RAPORU'!A65</f>
        <v>45090.768113425926</v>
      </c>
      <c r="B645" s="18">
        <f>'GİRDİ RAPORU'!B61</f>
        <v>2</v>
      </c>
      <c r="C645" s="18">
        <f>'GİRDİ RAPORU'!C61</f>
        <v>245</v>
      </c>
      <c r="D645" s="18">
        <f>'GİRDİ RAPORU'!D61</f>
        <v>25</v>
      </c>
      <c r="E645" s="18" t="str">
        <f>'GİRDİ RAPORU'!E61</f>
        <v>Normal Mesai</v>
      </c>
      <c r="F645" s="18">
        <f>'GİRDİ RAPORU'!F61</f>
        <v>30</v>
      </c>
      <c r="G645" s="18" t="str">
        <f>'GİRDİ RAPORU'!G61</f>
        <v>Ayar</v>
      </c>
      <c r="H645" s="18">
        <f>'GİRDİ RAPORU'!H61</f>
        <v>0</v>
      </c>
      <c r="I645" s="18">
        <f>'GİRDİ RAPORU'!I61</f>
        <v>0</v>
      </c>
      <c r="J645" s="18">
        <f>'GİRDİ RAPORU'!J1033</f>
        <v>0</v>
      </c>
      <c r="K645" s="18">
        <f>'GİRDİ RAPORU'!K1033</f>
        <v>0</v>
      </c>
      <c r="L645" s="18">
        <f>'GİRDİ RAPORU'!L1033</f>
        <v>0</v>
      </c>
      <c r="M645" s="26">
        <f t="shared" si="30"/>
        <v>0.36</v>
      </c>
      <c r="N645" s="26">
        <f t="shared" si="31"/>
        <v>5.5555555555555552E-2</v>
      </c>
      <c r="O645" s="26">
        <f t="shared" si="32"/>
        <v>0.94444444444444442</v>
      </c>
    </row>
    <row r="646" spans="1:15" ht="21.75" hidden="1" customHeight="1">
      <c r="A646" s="17">
        <f>'GİRDİ RAPORU'!A64</f>
        <v>45089.763958333337</v>
      </c>
      <c r="B646" s="18">
        <f>'GİRDİ RAPORU'!B60</f>
        <v>2</v>
      </c>
      <c r="C646" s="18">
        <f>'GİRDİ RAPORU'!C60</f>
        <v>255</v>
      </c>
      <c r="D646" s="18">
        <f>'GİRDİ RAPORU'!D60</f>
        <v>52</v>
      </c>
      <c r="E646" s="18" t="str">
        <f>'GİRDİ RAPORU'!E60</f>
        <v>Normal Mesai</v>
      </c>
      <c r="F646" s="18">
        <f>'GİRDİ RAPORU'!F60</f>
        <v>20</v>
      </c>
      <c r="G646" s="18" t="str">
        <f>'GİRDİ RAPORU'!G60</f>
        <v>Ayar</v>
      </c>
      <c r="H646" s="18">
        <f>'GİRDİ RAPORU'!H60</f>
        <v>0</v>
      </c>
      <c r="I646" s="18">
        <f>'GİRDİ RAPORU'!I60</f>
        <v>0</v>
      </c>
      <c r="J646" s="18">
        <f>'GİRDİ RAPORU'!J1032</f>
        <v>0</v>
      </c>
      <c r="K646" s="18">
        <f>'GİRDİ RAPORU'!K1032</f>
        <v>0</v>
      </c>
      <c r="L646" s="18">
        <f>'GİRDİ RAPORU'!L1032</f>
        <v>0</v>
      </c>
      <c r="M646" s="26">
        <f t="shared" si="30"/>
        <v>0.40933333333333333</v>
      </c>
      <c r="N646" s="26">
        <f t="shared" si="31"/>
        <v>3.7037037037037035E-2</v>
      </c>
      <c r="O646" s="26">
        <f t="shared" si="32"/>
        <v>0.96296296296296291</v>
      </c>
    </row>
    <row r="647" spans="1:15" ht="21.75" hidden="1" customHeight="1">
      <c r="A647" s="17">
        <f>'GİRDİ RAPORU'!A63</f>
        <v>45086.766273148147</v>
      </c>
      <c r="B647" s="18">
        <f>'GİRDİ RAPORU'!B59</f>
        <v>2</v>
      </c>
      <c r="C647" s="18">
        <f>'GİRDİ RAPORU'!C59</f>
        <v>280</v>
      </c>
      <c r="D647" s="18">
        <f>'GİRDİ RAPORU'!D59</f>
        <v>60</v>
      </c>
      <c r="E647" s="18" t="str">
        <f>'GİRDİ RAPORU'!E59</f>
        <v>Normal Mesai</v>
      </c>
      <c r="F647" s="18">
        <f>'GİRDİ RAPORU'!F59</f>
        <v>26</v>
      </c>
      <c r="G647" s="18" t="str">
        <f>'GİRDİ RAPORU'!G59</f>
        <v>Ayar</v>
      </c>
      <c r="H647" s="18">
        <f>'GİRDİ RAPORU'!H59</f>
        <v>0</v>
      </c>
      <c r="I647" s="18">
        <f>'GİRDİ RAPORU'!I59</f>
        <v>0</v>
      </c>
      <c r="J647" s="18">
        <f>'GİRDİ RAPORU'!J1031</f>
        <v>0</v>
      </c>
      <c r="K647" s="18">
        <f>'GİRDİ RAPORU'!K1031</f>
        <v>0</v>
      </c>
      <c r="L647" s="18">
        <f>'GİRDİ RAPORU'!L1031</f>
        <v>0</v>
      </c>
      <c r="M647" s="26">
        <f t="shared" si="30"/>
        <v>0.45333333333333331</v>
      </c>
      <c r="N647" s="26">
        <f t="shared" si="31"/>
        <v>4.8148148148148148E-2</v>
      </c>
      <c r="O647" s="26">
        <f t="shared" si="32"/>
        <v>0.95185185185185184</v>
      </c>
    </row>
    <row r="648" spans="1:15" ht="21.75" hidden="1" customHeight="1">
      <c r="A648" s="17">
        <f>'GİRDİ RAPORU'!A62</f>
        <v>45085.768067129633</v>
      </c>
      <c r="B648" s="18">
        <f>'GİRDİ RAPORU'!B58</f>
        <v>2</v>
      </c>
      <c r="C648" s="18">
        <f>'GİRDİ RAPORU'!C58</f>
        <v>320</v>
      </c>
      <c r="D648" s="18">
        <f>'GİRDİ RAPORU'!D58</f>
        <v>100</v>
      </c>
      <c r="E648" s="18" t="str">
        <f>'GİRDİ RAPORU'!E58</f>
        <v>Normal Mesai</v>
      </c>
      <c r="F648" s="18">
        <f>'GİRDİ RAPORU'!F58</f>
        <v>25</v>
      </c>
      <c r="G648" s="18" t="str">
        <f>'GİRDİ RAPORU'!G58</f>
        <v>Ayar</v>
      </c>
      <c r="H648" s="18">
        <f>'GİRDİ RAPORU'!H58</f>
        <v>0</v>
      </c>
      <c r="I648" s="18">
        <f>'GİRDİ RAPORU'!I58</f>
        <v>0</v>
      </c>
      <c r="J648" s="18">
        <f>'GİRDİ RAPORU'!J1030</f>
        <v>0</v>
      </c>
      <c r="K648" s="18">
        <f>'GİRDİ RAPORU'!K1030</f>
        <v>0</v>
      </c>
      <c r="L648" s="18">
        <f>'GİRDİ RAPORU'!L1030</f>
        <v>0</v>
      </c>
      <c r="M648" s="26">
        <f t="shared" si="30"/>
        <v>0.56000000000000005</v>
      </c>
      <c r="N648" s="26">
        <f t="shared" si="31"/>
        <v>4.6296296296296294E-2</v>
      </c>
      <c r="O648" s="26">
        <f t="shared" si="32"/>
        <v>0.95370370370370372</v>
      </c>
    </row>
    <row r="649" spans="1:15" ht="21.75" hidden="1" customHeight="1">
      <c r="A649" s="17">
        <f>'GİRDİ RAPORU'!A61</f>
        <v>45084.766655092593</v>
      </c>
      <c r="B649" s="18">
        <f>'GİRDİ RAPORU'!B57</f>
        <v>2</v>
      </c>
      <c r="C649" s="18">
        <f>'GİRDİ RAPORU'!C57</f>
        <v>250</v>
      </c>
      <c r="D649" s="18">
        <f>'GİRDİ RAPORU'!D57</f>
        <v>0</v>
      </c>
      <c r="E649" s="18" t="str">
        <f>'GİRDİ RAPORU'!E57</f>
        <v>Normal Mesai</v>
      </c>
      <c r="F649" s="18">
        <f>'GİRDİ RAPORU'!F57</f>
        <v>20</v>
      </c>
      <c r="G649" s="18" t="str">
        <f>'GİRDİ RAPORU'!G57</f>
        <v>Ayar</v>
      </c>
      <c r="H649" s="18">
        <f>'GİRDİ RAPORU'!H57</f>
        <v>0</v>
      </c>
      <c r="I649" s="18">
        <f>'GİRDİ RAPORU'!I57</f>
        <v>0</v>
      </c>
      <c r="J649" s="18">
        <f>'GİRDİ RAPORU'!J1029</f>
        <v>0</v>
      </c>
      <c r="K649" s="18">
        <f>'GİRDİ RAPORU'!K1029</f>
        <v>0</v>
      </c>
      <c r="L649" s="18">
        <f>'GİRDİ RAPORU'!L1029</f>
        <v>0</v>
      </c>
      <c r="M649" s="26">
        <f t="shared" si="30"/>
        <v>0.33333333333333331</v>
      </c>
      <c r="N649" s="26">
        <f t="shared" si="31"/>
        <v>3.7037037037037035E-2</v>
      </c>
      <c r="O649" s="26">
        <f t="shared" si="32"/>
        <v>0.96296296296296291</v>
      </c>
    </row>
    <row r="650" spans="1:15" ht="21.75" hidden="1" customHeight="1">
      <c r="A650" s="17">
        <f>'GİRDİ RAPORU'!A60</f>
        <v>45083.761284722219</v>
      </c>
      <c r="B650" s="18">
        <f>'GİRDİ RAPORU'!B56</f>
        <v>2</v>
      </c>
      <c r="C650" s="18">
        <f>'GİRDİ RAPORU'!C56</f>
        <v>200</v>
      </c>
      <c r="D650" s="18">
        <f>'GİRDİ RAPORU'!D56</f>
        <v>50</v>
      </c>
      <c r="E650" s="18" t="str">
        <f>'GİRDİ RAPORU'!E56</f>
        <v>Normal Mesai</v>
      </c>
      <c r="F650" s="18">
        <f>'GİRDİ RAPORU'!F56</f>
        <v>20</v>
      </c>
      <c r="G650" s="18" t="str">
        <f>'GİRDİ RAPORU'!G56</f>
        <v>Ayar</v>
      </c>
      <c r="H650" s="18">
        <f>'GİRDİ RAPORU'!H56</f>
        <v>0</v>
      </c>
      <c r="I650" s="18">
        <f>'GİRDİ RAPORU'!I56</f>
        <v>0</v>
      </c>
      <c r="J650" s="18">
        <f>'GİRDİ RAPORU'!J1028</f>
        <v>0</v>
      </c>
      <c r="K650" s="18">
        <f>'GİRDİ RAPORU'!K1028</f>
        <v>0</v>
      </c>
      <c r="L650" s="18">
        <f>'GİRDİ RAPORU'!L1028</f>
        <v>0</v>
      </c>
      <c r="M650" s="26">
        <f t="shared" si="30"/>
        <v>0.33333333333333331</v>
      </c>
      <c r="N650" s="26">
        <f t="shared" si="31"/>
        <v>3.7037037037037035E-2</v>
      </c>
      <c r="O650" s="26">
        <f t="shared" si="32"/>
        <v>0.96296296296296291</v>
      </c>
    </row>
    <row r="651" spans="1:15" ht="21.75" hidden="1" customHeight="1">
      <c r="A651" s="17">
        <f>'GİRDİ RAPORU'!A59</f>
        <v>45082.769606481481</v>
      </c>
      <c r="B651" s="18">
        <f>'GİRDİ RAPORU'!B55</f>
        <v>2</v>
      </c>
      <c r="C651" s="18">
        <f>'GİRDİ RAPORU'!C55</f>
        <v>250</v>
      </c>
      <c r="D651" s="18">
        <f>'GİRDİ RAPORU'!D55</f>
        <v>50</v>
      </c>
      <c r="E651" s="18" t="str">
        <f>'GİRDİ RAPORU'!E55</f>
        <v>Normal Mesai</v>
      </c>
      <c r="F651" s="18">
        <f>'GİRDİ RAPORU'!F55</f>
        <v>20</v>
      </c>
      <c r="G651" s="18" t="str">
        <f>'GİRDİ RAPORU'!G55</f>
        <v>Ayar</v>
      </c>
      <c r="H651" s="18">
        <f>'GİRDİ RAPORU'!H55</f>
        <v>0</v>
      </c>
      <c r="I651" s="18">
        <f>'GİRDİ RAPORU'!I55</f>
        <v>0</v>
      </c>
      <c r="J651" s="18">
        <f>'GİRDİ RAPORU'!J1027</f>
        <v>0</v>
      </c>
      <c r="K651" s="18">
        <f>'GİRDİ RAPORU'!K1027</f>
        <v>0</v>
      </c>
      <c r="L651" s="18">
        <f>'GİRDİ RAPORU'!L1027</f>
        <v>0</v>
      </c>
      <c r="M651" s="26">
        <f t="shared" si="30"/>
        <v>0.4</v>
      </c>
      <c r="N651" s="26">
        <f t="shared" si="31"/>
        <v>3.7037037037037035E-2</v>
      </c>
      <c r="O651" s="26">
        <f t="shared" si="32"/>
        <v>0.96296296296296291</v>
      </c>
    </row>
    <row r="652" spans="1:15" ht="21.75" hidden="1" customHeight="1">
      <c r="A652" s="17">
        <f>'GİRDİ RAPORU'!A58</f>
        <v>45079.763969907406</v>
      </c>
      <c r="B652" s="18">
        <f>'GİRDİ RAPORU'!B54</f>
        <v>2</v>
      </c>
      <c r="C652" s="18">
        <f>'GİRDİ RAPORU'!C54</f>
        <v>192</v>
      </c>
      <c r="D652" s="18">
        <f>'GİRDİ RAPORU'!D54</f>
        <v>130</v>
      </c>
      <c r="E652" s="18" t="str">
        <f>'GİRDİ RAPORU'!E54</f>
        <v>Normal Mesai</v>
      </c>
      <c r="F652" s="18">
        <f>'GİRDİ RAPORU'!F54</f>
        <v>20</v>
      </c>
      <c r="G652" s="18" t="str">
        <f>'GİRDİ RAPORU'!G54</f>
        <v>Ayar</v>
      </c>
      <c r="H652" s="18">
        <f>'GİRDİ RAPORU'!H54</f>
        <v>0</v>
      </c>
      <c r="I652" s="18">
        <f>'GİRDİ RAPORU'!I54</f>
        <v>0</v>
      </c>
      <c r="J652" s="18">
        <f>'GİRDİ RAPORU'!J1026</f>
        <v>0</v>
      </c>
      <c r="K652" s="18">
        <f>'GİRDİ RAPORU'!K1026</f>
        <v>0</v>
      </c>
      <c r="L652" s="18">
        <f>'GİRDİ RAPORU'!L1026</f>
        <v>0</v>
      </c>
      <c r="M652" s="26">
        <f t="shared" si="30"/>
        <v>0.42933333333333334</v>
      </c>
      <c r="N652" s="26">
        <f t="shared" si="31"/>
        <v>3.7037037037037035E-2</v>
      </c>
      <c r="O652" s="26">
        <f t="shared" si="32"/>
        <v>0.96296296296296291</v>
      </c>
    </row>
    <row r="653" spans="1:15" ht="21.75" hidden="1" customHeight="1">
      <c r="A653" s="17">
        <f>'GİRDİ RAPORU'!A57</f>
        <v>45078.765601851854</v>
      </c>
      <c r="B653" s="18">
        <f>'GİRDİ RAPORU'!B53</f>
        <v>2</v>
      </c>
      <c r="C653" s="18">
        <f>'GİRDİ RAPORU'!C53</f>
        <v>280</v>
      </c>
      <c r="D653" s="18">
        <f>'GİRDİ RAPORU'!D53</f>
        <v>50</v>
      </c>
      <c r="E653" s="18" t="str">
        <f>'GİRDİ RAPORU'!E53</f>
        <v>Normal Mesai</v>
      </c>
      <c r="F653" s="18">
        <f>'GİRDİ RAPORU'!F53</f>
        <v>20</v>
      </c>
      <c r="G653" s="18" t="str">
        <f>'GİRDİ RAPORU'!G53</f>
        <v>Ayar</v>
      </c>
      <c r="H653" s="18">
        <f>'GİRDİ RAPORU'!H53</f>
        <v>0</v>
      </c>
      <c r="I653" s="18">
        <f>'GİRDİ RAPORU'!I53</f>
        <v>0</v>
      </c>
      <c r="J653" s="18">
        <f>'GİRDİ RAPORU'!J1025</f>
        <v>0</v>
      </c>
      <c r="K653" s="18">
        <f>'GİRDİ RAPORU'!K1025</f>
        <v>0</v>
      </c>
      <c r="L653" s="18">
        <f>'GİRDİ RAPORU'!L1025</f>
        <v>0</v>
      </c>
      <c r="M653" s="26">
        <f t="shared" si="30"/>
        <v>0.44</v>
      </c>
      <c r="N653" s="26">
        <f t="shared" si="31"/>
        <v>3.7037037037037035E-2</v>
      </c>
      <c r="O653" s="26">
        <f t="shared" si="32"/>
        <v>0.96296296296296291</v>
      </c>
    </row>
    <row r="654" spans="1:15" ht="21.75" hidden="1" customHeight="1">
      <c r="A654" s="17">
        <f>'GİRDİ RAPORU'!A56</f>
        <v>45077.759930555556</v>
      </c>
      <c r="B654" s="18">
        <f>'GİRDİ RAPORU'!B52</f>
        <v>2</v>
      </c>
      <c r="C654" s="18">
        <f>'GİRDİ RAPORU'!C52</f>
        <v>280</v>
      </c>
      <c r="D654" s="18">
        <f>'GİRDİ RAPORU'!D52</f>
        <v>50</v>
      </c>
      <c r="E654" s="18" t="str">
        <f>'GİRDİ RAPORU'!E52</f>
        <v>Normal Mesai</v>
      </c>
      <c r="F654" s="18">
        <f>'GİRDİ RAPORU'!F52</f>
        <v>20</v>
      </c>
      <c r="G654" s="18" t="str">
        <f>'GİRDİ RAPORU'!G52</f>
        <v>Ayar</v>
      </c>
      <c r="H654" s="18">
        <f>'GİRDİ RAPORU'!H52</f>
        <v>0</v>
      </c>
      <c r="I654" s="18">
        <f>'GİRDİ RAPORU'!I52</f>
        <v>0</v>
      </c>
      <c r="J654" s="18">
        <f>'GİRDİ RAPORU'!J1024</f>
        <v>0</v>
      </c>
      <c r="K654" s="18">
        <f>'GİRDİ RAPORU'!K1024</f>
        <v>0</v>
      </c>
      <c r="L654" s="18">
        <f>'GİRDİ RAPORU'!L1024</f>
        <v>0</v>
      </c>
      <c r="M654" s="26">
        <f t="shared" si="30"/>
        <v>0.44</v>
      </c>
      <c r="N654" s="26">
        <f t="shared" si="31"/>
        <v>3.7037037037037035E-2</v>
      </c>
      <c r="O654" s="26">
        <f t="shared" si="32"/>
        <v>0.96296296296296291</v>
      </c>
    </row>
    <row r="655" spans="1:15" ht="21.75" hidden="1" customHeight="1">
      <c r="A655" s="17">
        <f>'GİRDİ RAPORU'!A55</f>
        <v>45076.753275462965</v>
      </c>
      <c r="B655" s="18">
        <f>'GİRDİ RAPORU'!B51</f>
        <v>2</v>
      </c>
      <c r="C655" s="18">
        <f>'GİRDİ RAPORU'!C51</f>
        <v>350</v>
      </c>
      <c r="D655" s="18">
        <f>'GİRDİ RAPORU'!D51</f>
        <v>50</v>
      </c>
      <c r="E655" s="18" t="str">
        <f>'GİRDİ RAPORU'!E51</f>
        <v>Normal Mesai</v>
      </c>
      <c r="F655" s="18">
        <f>'GİRDİ RAPORU'!F51</f>
        <v>20</v>
      </c>
      <c r="G655" s="18" t="str">
        <f>'GİRDİ RAPORU'!G51</f>
        <v>Ayar</v>
      </c>
      <c r="H655" s="18">
        <f>'GİRDİ RAPORU'!H51</f>
        <v>0</v>
      </c>
      <c r="I655" s="18">
        <f>'GİRDİ RAPORU'!I51</f>
        <v>0</v>
      </c>
      <c r="J655" s="18">
        <f>'GİRDİ RAPORU'!J1023</f>
        <v>0</v>
      </c>
      <c r="K655" s="18">
        <f>'GİRDİ RAPORU'!K1023</f>
        <v>0</v>
      </c>
      <c r="L655" s="18">
        <f>'GİRDİ RAPORU'!L1023</f>
        <v>0</v>
      </c>
      <c r="M655" s="26">
        <f t="shared" si="30"/>
        <v>0.53333333333333333</v>
      </c>
      <c r="N655" s="26">
        <f t="shared" si="31"/>
        <v>3.7037037037037035E-2</v>
      </c>
      <c r="O655" s="26">
        <f t="shared" si="32"/>
        <v>0.96296296296296291</v>
      </c>
    </row>
    <row r="656" spans="1:15" ht="21.75" hidden="1" customHeight="1">
      <c r="A656" s="17">
        <f>'GİRDİ RAPORU'!A54</f>
        <v>45075.764907407407</v>
      </c>
      <c r="B656" s="18">
        <f>'GİRDİ RAPORU'!B50</f>
        <v>2</v>
      </c>
      <c r="C656" s="18">
        <f>'GİRDİ RAPORU'!C50</f>
        <v>320</v>
      </c>
      <c r="D656" s="18">
        <f>'GİRDİ RAPORU'!D50</f>
        <v>85</v>
      </c>
      <c r="E656" s="18" t="str">
        <f>'GİRDİ RAPORU'!E50</f>
        <v>Normal Mesai</v>
      </c>
      <c r="F656" s="18">
        <f>'GİRDİ RAPORU'!F50</f>
        <v>20</v>
      </c>
      <c r="G656" s="18" t="str">
        <f>'GİRDİ RAPORU'!G50</f>
        <v>Ayar</v>
      </c>
      <c r="H656" s="18">
        <f>'GİRDİ RAPORU'!H50</f>
        <v>0</v>
      </c>
      <c r="I656" s="18">
        <f>'GİRDİ RAPORU'!I50</f>
        <v>0</v>
      </c>
      <c r="J656" s="18">
        <f>'GİRDİ RAPORU'!J1022</f>
        <v>0</v>
      </c>
      <c r="K656" s="18">
        <f>'GİRDİ RAPORU'!K1022</f>
        <v>0</v>
      </c>
      <c r="L656" s="18">
        <f>'GİRDİ RAPORU'!L1022</f>
        <v>0</v>
      </c>
      <c r="M656" s="26">
        <f t="shared" si="30"/>
        <v>0.54</v>
      </c>
      <c r="N656" s="26">
        <f t="shared" si="31"/>
        <v>3.7037037037037035E-2</v>
      </c>
      <c r="O656" s="26">
        <f t="shared" si="32"/>
        <v>0.96296296296296291</v>
      </c>
    </row>
    <row r="657" spans="1:15" ht="21.75" hidden="1" customHeight="1">
      <c r="A657" s="17">
        <f>'GİRDİ RAPORU'!A53</f>
        <v>45072.76494212963</v>
      </c>
      <c r="B657" s="18">
        <f>'GİRDİ RAPORU'!B49</f>
        <v>2</v>
      </c>
      <c r="C657" s="18">
        <f>'GİRDİ RAPORU'!C49</f>
        <v>300</v>
      </c>
      <c r="D657" s="18">
        <f>'GİRDİ RAPORU'!D49</f>
        <v>50</v>
      </c>
      <c r="E657" s="18" t="str">
        <f>'GİRDİ RAPORU'!E49</f>
        <v>Normal Mesai</v>
      </c>
      <c r="F657" s="18">
        <f>'GİRDİ RAPORU'!F49</f>
        <v>20</v>
      </c>
      <c r="G657" s="18" t="str">
        <f>'GİRDİ RAPORU'!G49</f>
        <v>Ayar</v>
      </c>
      <c r="H657" s="18">
        <f>'GİRDİ RAPORU'!H49</f>
        <v>0</v>
      </c>
      <c r="I657" s="18">
        <f>'GİRDİ RAPORU'!I49</f>
        <v>0</v>
      </c>
      <c r="J657" s="18">
        <f>'GİRDİ RAPORU'!J1021</f>
        <v>0</v>
      </c>
      <c r="K657" s="18">
        <f>'GİRDİ RAPORU'!K1021</f>
        <v>0</v>
      </c>
      <c r="L657" s="18">
        <f>'GİRDİ RAPORU'!L1021</f>
        <v>0</v>
      </c>
      <c r="M657" s="26">
        <f t="shared" si="30"/>
        <v>0.46666666666666667</v>
      </c>
      <c r="N657" s="26">
        <f t="shared" si="31"/>
        <v>3.7037037037037035E-2</v>
      </c>
      <c r="O657" s="26">
        <f t="shared" si="32"/>
        <v>0.96296296296296291</v>
      </c>
    </row>
    <row r="658" spans="1:15" ht="21.75" hidden="1" customHeight="1">
      <c r="A658" s="17">
        <f>'GİRDİ RAPORU'!A52</f>
        <v>45071.761828703704</v>
      </c>
      <c r="B658" s="18">
        <f>'GİRDİ RAPORU'!B48</f>
        <v>2</v>
      </c>
      <c r="C658" s="18">
        <f>'GİRDİ RAPORU'!C48</f>
        <v>630</v>
      </c>
      <c r="D658" s="18">
        <f>'GİRDİ RAPORU'!D48</f>
        <v>70</v>
      </c>
      <c r="E658" s="18" t="str">
        <f>'GİRDİ RAPORU'!E48</f>
        <v>Normal Mesai</v>
      </c>
      <c r="F658" s="18">
        <f>'GİRDİ RAPORU'!F48</f>
        <v>20</v>
      </c>
      <c r="G658" s="18" t="str">
        <f>'GİRDİ RAPORU'!G48</f>
        <v>Ayar</v>
      </c>
      <c r="H658" s="18">
        <f>'GİRDİ RAPORU'!H48</f>
        <v>0</v>
      </c>
      <c r="I658" s="18">
        <f>'GİRDİ RAPORU'!I48</f>
        <v>0</v>
      </c>
      <c r="J658" s="18">
        <f>'GİRDİ RAPORU'!J1020</f>
        <v>0</v>
      </c>
      <c r="K658" s="18">
        <f>'GİRDİ RAPORU'!K1020</f>
        <v>0</v>
      </c>
      <c r="L658" s="18">
        <f>'GİRDİ RAPORU'!L1020</f>
        <v>0</v>
      </c>
      <c r="M658" s="26">
        <f t="shared" si="30"/>
        <v>0.93333333333333335</v>
      </c>
      <c r="N658" s="26">
        <f t="shared" si="31"/>
        <v>3.7037037037037035E-2</v>
      </c>
      <c r="O658" s="26">
        <f t="shared" si="32"/>
        <v>0.96296296296296291</v>
      </c>
    </row>
    <row r="659" spans="1:15" ht="21.75" hidden="1" customHeight="1">
      <c r="A659" s="17">
        <f>'GİRDİ RAPORU'!A51</f>
        <v>45070.769004629627</v>
      </c>
      <c r="B659" s="18">
        <f>'GİRDİ RAPORU'!B47</f>
        <v>2</v>
      </c>
      <c r="C659" s="18">
        <f>'GİRDİ RAPORU'!C47</f>
        <v>650</v>
      </c>
      <c r="D659" s="18">
        <f>'GİRDİ RAPORU'!D47</f>
        <v>40</v>
      </c>
      <c r="E659" s="18" t="str">
        <f>'GİRDİ RAPORU'!E47</f>
        <v>Normal Mesai</v>
      </c>
      <c r="F659" s="18">
        <f>'GİRDİ RAPORU'!F47</f>
        <v>20</v>
      </c>
      <c r="G659" s="18" t="str">
        <f>'GİRDİ RAPORU'!G47</f>
        <v>Ayar</v>
      </c>
      <c r="H659" s="18">
        <f>'GİRDİ RAPORU'!H47</f>
        <v>0</v>
      </c>
      <c r="I659" s="18">
        <f>'GİRDİ RAPORU'!I47</f>
        <v>0</v>
      </c>
      <c r="J659" s="18">
        <f>'GİRDİ RAPORU'!J1019</f>
        <v>0</v>
      </c>
      <c r="K659" s="18">
        <f>'GİRDİ RAPORU'!K1019</f>
        <v>0</v>
      </c>
      <c r="L659" s="18">
        <f>'GİRDİ RAPORU'!L1019</f>
        <v>0</v>
      </c>
      <c r="M659" s="26">
        <f t="shared" si="30"/>
        <v>0.92</v>
      </c>
      <c r="N659" s="26">
        <f t="shared" si="31"/>
        <v>3.7037037037037035E-2</v>
      </c>
      <c r="O659" s="26">
        <f t="shared" si="32"/>
        <v>0.96296296296296291</v>
      </c>
    </row>
    <row r="660" spans="1:15" ht="21.75" hidden="1" customHeight="1">
      <c r="A660" s="17">
        <f>'GİRDİ RAPORU'!A50</f>
        <v>45069.766338425929</v>
      </c>
      <c r="B660" s="18">
        <f>'GİRDİ RAPORU'!B46</f>
        <v>2</v>
      </c>
      <c r="C660" s="18">
        <f>'GİRDİ RAPORU'!C46</f>
        <v>680</v>
      </c>
      <c r="D660" s="18">
        <f>'GİRDİ RAPORU'!D46</f>
        <v>80</v>
      </c>
      <c r="E660" s="18" t="str">
        <f>'GİRDİ RAPORU'!E46</f>
        <v>Normal Mesai</v>
      </c>
      <c r="F660" s="18">
        <f>'GİRDİ RAPORU'!F46</f>
        <v>20</v>
      </c>
      <c r="G660" s="18" t="str">
        <f>'GİRDİ RAPORU'!G46</f>
        <v>Ayar</v>
      </c>
      <c r="H660" s="18">
        <f>'GİRDİ RAPORU'!H46</f>
        <v>0</v>
      </c>
      <c r="I660" s="18">
        <f>'GİRDİ RAPORU'!I46</f>
        <v>0</v>
      </c>
      <c r="J660" s="18">
        <f>'GİRDİ RAPORU'!J1018</f>
        <v>0</v>
      </c>
      <c r="K660" s="18">
        <f>'GİRDİ RAPORU'!K1018</f>
        <v>0</v>
      </c>
      <c r="L660" s="18">
        <f>'GİRDİ RAPORU'!L1018</f>
        <v>0</v>
      </c>
      <c r="M660" s="26">
        <f t="shared" si="30"/>
        <v>1.0133333333333334</v>
      </c>
      <c r="N660" s="26">
        <f t="shared" si="31"/>
        <v>3.7037037037037035E-2</v>
      </c>
      <c r="O660" s="26">
        <f t="shared" si="32"/>
        <v>0.96296296296296291</v>
      </c>
    </row>
    <row r="661" spans="1:15" ht="21.75" hidden="1" customHeight="1">
      <c r="A661" s="17">
        <f>'GİRDİ RAPORU'!A49</f>
        <v>45068.766516203701</v>
      </c>
      <c r="B661" s="18">
        <f>'GİRDİ RAPORU'!B45</f>
        <v>2</v>
      </c>
      <c r="C661" s="18">
        <f>'GİRDİ RAPORU'!C45</f>
        <v>690</v>
      </c>
      <c r="D661" s="18">
        <f>'GİRDİ RAPORU'!D45</f>
        <v>500</v>
      </c>
      <c r="E661" s="18" t="str">
        <f>'GİRDİ RAPORU'!E45</f>
        <v>Normal Mesai</v>
      </c>
      <c r="F661" s="18">
        <f>'GİRDİ RAPORU'!F45</f>
        <v>20</v>
      </c>
      <c r="G661" s="18" t="str">
        <f>'GİRDİ RAPORU'!G45</f>
        <v>Ayar</v>
      </c>
      <c r="H661" s="18">
        <f>'GİRDİ RAPORU'!H45</f>
        <v>0</v>
      </c>
      <c r="I661" s="18">
        <f>'GİRDİ RAPORU'!I45</f>
        <v>0</v>
      </c>
      <c r="J661" s="18">
        <f>'GİRDİ RAPORU'!J1017</f>
        <v>0</v>
      </c>
      <c r="K661" s="18">
        <f>'GİRDİ RAPORU'!K1017</f>
        <v>0</v>
      </c>
      <c r="L661" s="18">
        <f>'GİRDİ RAPORU'!L1017</f>
        <v>0</v>
      </c>
      <c r="M661" s="26">
        <f t="shared" si="30"/>
        <v>1.5866666666666667</v>
      </c>
      <c r="N661" s="26">
        <f t="shared" si="31"/>
        <v>3.7037037037037035E-2</v>
      </c>
      <c r="O661" s="26">
        <f t="shared" si="32"/>
        <v>0.96296296296296291</v>
      </c>
    </row>
    <row r="662" spans="1:15" ht="21.75" hidden="1" customHeight="1">
      <c r="A662" s="17">
        <f>'GİRDİ RAPORU'!A48</f>
        <v>45065.770439814813</v>
      </c>
      <c r="B662" s="18">
        <f>'GİRDİ RAPORU'!B44</f>
        <v>2</v>
      </c>
      <c r="C662" s="18">
        <f>'GİRDİ RAPORU'!C44</f>
        <v>385</v>
      </c>
      <c r="D662" s="18">
        <f>'GİRDİ RAPORU'!D44</f>
        <v>25</v>
      </c>
      <c r="E662" s="18" t="str">
        <f>'GİRDİ RAPORU'!E44</f>
        <v>Normal Mesai</v>
      </c>
      <c r="F662" s="18">
        <f>'GİRDİ RAPORU'!F44</f>
        <v>20</v>
      </c>
      <c r="G662" s="18" t="str">
        <f>'GİRDİ RAPORU'!G44</f>
        <v>Ayar</v>
      </c>
      <c r="H662" s="18">
        <f>'GİRDİ RAPORU'!H44</f>
        <v>0</v>
      </c>
      <c r="I662" s="18">
        <f>'GİRDİ RAPORU'!I44</f>
        <v>0</v>
      </c>
      <c r="J662" s="18">
        <f>'GİRDİ RAPORU'!J1016</f>
        <v>0</v>
      </c>
      <c r="K662" s="18">
        <f>'GİRDİ RAPORU'!K1016</f>
        <v>0</v>
      </c>
      <c r="L662" s="18">
        <f>'GİRDİ RAPORU'!L1016</f>
        <v>0</v>
      </c>
      <c r="M662" s="26">
        <f t="shared" si="30"/>
        <v>0.54666666666666663</v>
      </c>
      <c r="N662" s="26">
        <f t="shared" si="31"/>
        <v>3.7037037037037035E-2</v>
      </c>
      <c r="O662" s="26">
        <f t="shared" si="32"/>
        <v>0.96296296296296291</v>
      </c>
    </row>
    <row r="663" spans="1:15" ht="21.75" hidden="1" customHeight="1">
      <c r="A663" s="17">
        <f>'GİRDİ RAPORU'!A47</f>
        <v>45064.769930555558</v>
      </c>
      <c r="B663" s="18">
        <f>'GİRDİ RAPORU'!B43</f>
        <v>2</v>
      </c>
      <c r="C663" s="18">
        <f>'GİRDİ RAPORU'!C43</f>
        <v>500</v>
      </c>
      <c r="D663" s="18">
        <f>'GİRDİ RAPORU'!D43</f>
        <v>120</v>
      </c>
      <c r="E663" s="18" t="str">
        <f>'GİRDİ RAPORU'!E43</f>
        <v>Normal Mesai</v>
      </c>
      <c r="F663" s="18">
        <f>'GİRDİ RAPORU'!F43</f>
        <v>20</v>
      </c>
      <c r="G663" s="18" t="str">
        <f>'GİRDİ RAPORU'!G43</f>
        <v>Ayar</v>
      </c>
      <c r="H663" s="18">
        <f>'GİRDİ RAPORU'!H43</f>
        <v>0</v>
      </c>
      <c r="I663" s="18">
        <f>'GİRDİ RAPORU'!I43</f>
        <v>0</v>
      </c>
      <c r="J663" s="18">
        <f>'GİRDİ RAPORU'!J1015</f>
        <v>0</v>
      </c>
      <c r="K663" s="18">
        <f>'GİRDİ RAPORU'!K1015</f>
        <v>0</v>
      </c>
      <c r="L663" s="18">
        <f>'GİRDİ RAPORU'!L1015</f>
        <v>0</v>
      </c>
      <c r="M663" s="26">
        <f t="shared" si="30"/>
        <v>0.82666666666666666</v>
      </c>
      <c r="N663" s="26">
        <f t="shared" si="31"/>
        <v>3.7037037037037035E-2</v>
      </c>
      <c r="O663" s="26">
        <f t="shared" si="32"/>
        <v>0.96296296296296291</v>
      </c>
    </row>
    <row r="664" spans="1:15" ht="21.75" hidden="1" customHeight="1">
      <c r="A664" s="17">
        <f>'GİRDİ RAPORU'!A46</f>
        <v>45063.759699074071</v>
      </c>
      <c r="B664" s="18">
        <f>'GİRDİ RAPORU'!B42</f>
        <v>2</v>
      </c>
      <c r="C664" s="18">
        <f>'GİRDİ RAPORU'!C42</f>
        <v>410</v>
      </c>
      <c r="D664" s="18">
        <f>'GİRDİ RAPORU'!D42</f>
        <v>52</v>
      </c>
      <c r="E664" s="18" t="str">
        <f>'GİRDİ RAPORU'!E42</f>
        <v>Normal Mesai</v>
      </c>
      <c r="F664" s="18">
        <f>'GİRDİ RAPORU'!F42</f>
        <v>25</v>
      </c>
      <c r="G664" s="18" t="str">
        <f>'GİRDİ RAPORU'!G42</f>
        <v>Ayar</v>
      </c>
      <c r="H664" s="18">
        <f>'GİRDİ RAPORU'!H42</f>
        <v>0</v>
      </c>
      <c r="I664" s="18">
        <f>'GİRDİ RAPORU'!I42</f>
        <v>0</v>
      </c>
      <c r="J664" s="18">
        <f>'GİRDİ RAPORU'!J1014</f>
        <v>0</v>
      </c>
      <c r="K664" s="18">
        <f>'GİRDİ RAPORU'!K1014</f>
        <v>0</v>
      </c>
      <c r="L664" s="18">
        <f>'GİRDİ RAPORU'!L1014</f>
        <v>0</v>
      </c>
      <c r="M664" s="26">
        <f t="shared" si="30"/>
        <v>0.61599999999999999</v>
      </c>
      <c r="N664" s="26">
        <f t="shared" si="31"/>
        <v>4.6296296296296294E-2</v>
      </c>
      <c r="O664" s="26">
        <f t="shared" si="32"/>
        <v>0.95370370370370372</v>
      </c>
    </row>
    <row r="665" spans="1:15" ht="21.75" hidden="1" customHeight="1">
      <c r="A665" s="17">
        <f>'GİRDİ RAPORU'!A45</f>
        <v>45062.940804976854</v>
      </c>
      <c r="B665" s="18">
        <f>'GİRDİ RAPORU'!B41</f>
        <v>2</v>
      </c>
      <c r="C665" s="18">
        <f>'GİRDİ RAPORU'!C41</f>
        <v>350</v>
      </c>
      <c r="D665" s="18">
        <f>'GİRDİ RAPORU'!D41</f>
        <v>100</v>
      </c>
      <c r="E665" s="18" t="str">
        <f>'GİRDİ RAPORU'!E41</f>
        <v>Normal Mesai</v>
      </c>
      <c r="F665" s="18">
        <f>'GİRDİ RAPORU'!F41</f>
        <v>23</v>
      </c>
      <c r="G665" s="18" t="str">
        <f>'GİRDİ RAPORU'!G41</f>
        <v>Ayar</v>
      </c>
      <c r="H665" s="18">
        <f>'GİRDİ RAPORU'!H41</f>
        <v>0</v>
      </c>
      <c r="I665" s="18">
        <f>'GİRDİ RAPORU'!I41</f>
        <v>0</v>
      </c>
      <c r="J665" s="18">
        <f>'GİRDİ RAPORU'!J1013</f>
        <v>0</v>
      </c>
      <c r="K665" s="18">
        <f>'GİRDİ RAPORU'!K1013</f>
        <v>0</v>
      </c>
      <c r="L665" s="18">
        <f>'GİRDİ RAPORU'!L1013</f>
        <v>0</v>
      </c>
      <c r="M665" s="26">
        <f t="shared" si="30"/>
        <v>0.6</v>
      </c>
      <c r="N665" s="26">
        <f t="shared" si="31"/>
        <v>4.2592592592592592E-2</v>
      </c>
      <c r="O665" s="26">
        <f t="shared" si="32"/>
        <v>0.95740740740740737</v>
      </c>
    </row>
    <row r="666" spans="1:15" ht="21.75" hidden="1" customHeight="1">
      <c r="A666" s="17">
        <f>'GİRDİ RAPORU'!A44</f>
        <v>45061.820415509261</v>
      </c>
      <c r="B666" s="18">
        <f>'GİRDİ RAPORU'!B40</f>
        <v>2</v>
      </c>
      <c r="C666" s="18">
        <f>'GİRDİ RAPORU'!C40</f>
        <v>410</v>
      </c>
      <c r="D666" s="18">
        <f>'GİRDİ RAPORU'!D40</f>
        <v>100</v>
      </c>
      <c r="E666" s="18" t="str">
        <f>'GİRDİ RAPORU'!E40</f>
        <v>Normal Mesai</v>
      </c>
      <c r="F666" s="18">
        <f>'GİRDİ RAPORU'!F40</f>
        <v>20</v>
      </c>
      <c r="G666" s="18" t="str">
        <f>'GİRDİ RAPORU'!G40</f>
        <v>Ar-ge Çalışması</v>
      </c>
      <c r="H666" s="18">
        <f>'GİRDİ RAPORU'!H40</f>
        <v>0</v>
      </c>
      <c r="I666" s="18">
        <f>'GİRDİ RAPORU'!I40</f>
        <v>0</v>
      </c>
      <c r="J666" s="18">
        <f>'GİRDİ RAPORU'!J1012</f>
        <v>0</v>
      </c>
      <c r="K666" s="18">
        <f>'GİRDİ RAPORU'!K1012</f>
        <v>0</v>
      </c>
      <c r="L666" s="18">
        <f>'GİRDİ RAPORU'!L1012</f>
        <v>0</v>
      </c>
      <c r="M666" s="26">
        <f t="shared" si="30"/>
        <v>0.68</v>
      </c>
      <c r="N666" s="26">
        <f t="shared" si="31"/>
        <v>3.7037037037037035E-2</v>
      </c>
      <c r="O666" s="26">
        <f t="shared" si="32"/>
        <v>0.96296296296296291</v>
      </c>
    </row>
    <row r="667" spans="1:15" ht="21.75" hidden="1" customHeight="1">
      <c r="A667" s="17">
        <f>'GİRDİ RAPORU'!A43</f>
        <v>45058.767858796295</v>
      </c>
      <c r="B667" s="18">
        <f>'GİRDİ RAPORU'!B39</f>
        <v>2</v>
      </c>
      <c r="C667" s="18">
        <f>'GİRDİ RAPORU'!C39</f>
        <v>340</v>
      </c>
      <c r="D667" s="18">
        <f>'GİRDİ RAPORU'!D39</f>
        <v>25</v>
      </c>
      <c r="E667" s="18" t="str">
        <f>'GİRDİ RAPORU'!E39</f>
        <v>Normal Mesai</v>
      </c>
      <c r="F667" s="18">
        <f>'GİRDİ RAPORU'!F39</f>
        <v>20</v>
      </c>
      <c r="G667" s="18" t="str">
        <f>'GİRDİ RAPORU'!G39</f>
        <v>Ayar</v>
      </c>
      <c r="H667" s="18">
        <f>'GİRDİ RAPORU'!H39</f>
        <v>0</v>
      </c>
      <c r="I667" s="18">
        <f>'GİRDİ RAPORU'!I39</f>
        <v>0</v>
      </c>
      <c r="J667" s="18">
        <f>'GİRDİ RAPORU'!J1011</f>
        <v>0</v>
      </c>
      <c r="K667" s="18">
        <f>'GİRDİ RAPORU'!K1011</f>
        <v>0</v>
      </c>
      <c r="L667" s="18">
        <f>'GİRDİ RAPORU'!L1011</f>
        <v>0</v>
      </c>
      <c r="M667" s="26">
        <f t="shared" si="30"/>
        <v>0.48666666666666669</v>
      </c>
      <c r="N667" s="26">
        <f t="shared" si="31"/>
        <v>3.7037037037037035E-2</v>
      </c>
      <c r="O667" s="26">
        <f t="shared" si="32"/>
        <v>0.96296296296296291</v>
      </c>
    </row>
    <row r="668" spans="1:15" ht="21.75" hidden="1" customHeight="1">
      <c r="A668" s="17">
        <f>'GİRDİ RAPORU'!A42</f>
        <v>45057.766006944446</v>
      </c>
      <c r="B668" s="18">
        <f>'GİRDİ RAPORU'!B38</f>
        <v>2</v>
      </c>
      <c r="C668" s="18">
        <f>'GİRDİ RAPORU'!C38</f>
        <v>350</v>
      </c>
      <c r="D668" s="18">
        <f>'GİRDİ RAPORU'!D38</f>
        <v>50</v>
      </c>
      <c r="E668" s="18" t="str">
        <f>'GİRDİ RAPORU'!E38</f>
        <v>Normal Mesai</v>
      </c>
      <c r="F668" s="18">
        <f>'GİRDİ RAPORU'!F38</f>
        <v>20</v>
      </c>
      <c r="G668" s="18" t="str">
        <f>'GİRDİ RAPORU'!G38</f>
        <v>Ayar</v>
      </c>
      <c r="H668" s="18">
        <f>'GİRDİ RAPORU'!H38</f>
        <v>0</v>
      </c>
      <c r="I668" s="18">
        <f>'GİRDİ RAPORU'!I38</f>
        <v>0</v>
      </c>
      <c r="J668" s="18">
        <f>'GİRDİ RAPORU'!J1010</f>
        <v>0</v>
      </c>
      <c r="K668" s="18">
        <f>'GİRDİ RAPORU'!K1010</f>
        <v>0</v>
      </c>
      <c r="L668" s="18">
        <f>'GİRDİ RAPORU'!L1010</f>
        <v>0</v>
      </c>
      <c r="M668" s="26">
        <f t="shared" si="30"/>
        <v>0.53333333333333333</v>
      </c>
      <c r="N668" s="26">
        <f t="shared" si="31"/>
        <v>3.7037037037037035E-2</v>
      </c>
      <c r="O668" s="26">
        <f t="shared" si="32"/>
        <v>0.96296296296296291</v>
      </c>
    </row>
    <row r="669" spans="1:15" ht="21.75" hidden="1" customHeight="1">
      <c r="A669" s="17">
        <f>'GİRDİ RAPORU'!A41</f>
        <v>45056.76054398148</v>
      </c>
      <c r="B669" s="18">
        <f>'GİRDİ RAPORU'!B37</f>
        <v>2</v>
      </c>
      <c r="C669" s="18">
        <f>'GİRDİ RAPORU'!C37</f>
        <v>200</v>
      </c>
      <c r="D669" s="18">
        <f>'GİRDİ RAPORU'!D37</f>
        <v>190</v>
      </c>
      <c r="E669" s="18" t="str">
        <f>'GİRDİ RAPORU'!E37</f>
        <v>Normal Mesai</v>
      </c>
      <c r="F669" s="18">
        <f>'GİRDİ RAPORU'!F37</f>
        <v>240</v>
      </c>
      <c r="G669" s="18" t="str">
        <f>'GİRDİ RAPORU'!G37</f>
        <v>Makine Arızası</v>
      </c>
      <c r="H669" s="18">
        <f>'GİRDİ RAPORU'!H37</f>
        <v>22</v>
      </c>
      <c r="I669" s="18" t="str">
        <f>'GİRDİ RAPORU'!I37</f>
        <v>Ayar</v>
      </c>
      <c r="J669" s="18">
        <f>'GİRDİ RAPORU'!J1009</f>
        <v>0</v>
      </c>
      <c r="K669" s="18">
        <f>'GİRDİ RAPORU'!K1009</f>
        <v>0</v>
      </c>
      <c r="L669" s="18">
        <f>'GİRDİ RAPORU'!L1009</f>
        <v>0</v>
      </c>
      <c r="M669" s="26">
        <f t="shared" si="30"/>
        <v>0.52</v>
      </c>
      <c r="N669" s="26">
        <f t="shared" si="31"/>
        <v>0.48518518518518516</v>
      </c>
      <c r="O669" s="26">
        <f t="shared" si="32"/>
        <v>0.51481481481481484</v>
      </c>
    </row>
    <row r="670" spans="1:15" ht="21.75" hidden="1" customHeight="1">
      <c r="A670" s="17">
        <f>'GİRDİ RAPORU'!A40</f>
        <v>45055.76489583333</v>
      </c>
      <c r="B670" s="18">
        <f>'GİRDİ RAPORU'!B36</f>
        <v>2</v>
      </c>
      <c r="C670" s="18">
        <f>'GİRDİ RAPORU'!C36</f>
        <v>350</v>
      </c>
      <c r="D670" s="18">
        <f>'GİRDİ RAPORU'!D36</f>
        <v>200</v>
      </c>
      <c r="E670" s="18" t="str">
        <f>'GİRDİ RAPORU'!E36</f>
        <v>Normal Mesai</v>
      </c>
      <c r="F670" s="18">
        <f>'GİRDİ RAPORU'!F36</f>
        <v>20</v>
      </c>
      <c r="G670" s="18" t="str">
        <f>'GİRDİ RAPORU'!G36</f>
        <v>Ayar</v>
      </c>
      <c r="H670" s="18">
        <f>'GİRDİ RAPORU'!H36</f>
        <v>0</v>
      </c>
      <c r="I670" s="18">
        <f>'GİRDİ RAPORU'!I36</f>
        <v>0</v>
      </c>
      <c r="J670" s="18">
        <f>'GİRDİ RAPORU'!J1008</f>
        <v>0</v>
      </c>
      <c r="K670" s="18">
        <f>'GİRDİ RAPORU'!K1008</f>
        <v>0</v>
      </c>
      <c r="L670" s="18">
        <f>'GİRDİ RAPORU'!L1008</f>
        <v>0</v>
      </c>
      <c r="M670" s="26">
        <f t="shared" si="30"/>
        <v>0.73333333333333328</v>
      </c>
      <c r="N670" s="26">
        <f t="shared" si="31"/>
        <v>3.7037037037037035E-2</v>
      </c>
      <c r="O670" s="26">
        <f t="shared" si="32"/>
        <v>0.96296296296296291</v>
      </c>
    </row>
    <row r="671" spans="1:15" ht="21.75" hidden="1" customHeight="1">
      <c r="A671" s="17">
        <f>'GİRDİ RAPORU'!A39</f>
        <v>45054.767106481479</v>
      </c>
      <c r="B671" s="18">
        <f>'GİRDİ RAPORU'!B35</f>
        <v>2</v>
      </c>
      <c r="C671" s="18">
        <f>'GİRDİ RAPORU'!C35</f>
        <v>350</v>
      </c>
      <c r="D671" s="18">
        <f>'GİRDİ RAPORU'!D35</f>
        <v>20</v>
      </c>
      <c r="E671" s="18" t="str">
        <f>'GİRDİ RAPORU'!E35</f>
        <v>Normal Mesai</v>
      </c>
      <c r="F671" s="18">
        <f>'GİRDİ RAPORU'!F35</f>
        <v>20</v>
      </c>
      <c r="G671" s="18" t="str">
        <f>'GİRDİ RAPORU'!G35</f>
        <v>Ayar</v>
      </c>
      <c r="H671" s="18">
        <f>'GİRDİ RAPORU'!H35</f>
        <v>0</v>
      </c>
      <c r="I671" s="18">
        <f>'GİRDİ RAPORU'!I35</f>
        <v>0</v>
      </c>
      <c r="J671" s="18">
        <f>'GİRDİ RAPORU'!J1007</f>
        <v>0</v>
      </c>
      <c r="K671" s="18">
        <f>'GİRDİ RAPORU'!K1007</f>
        <v>0</v>
      </c>
      <c r="L671" s="18">
        <f>'GİRDİ RAPORU'!L1007</f>
        <v>0</v>
      </c>
      <c r="M671" s="26">
        <f t="shared" si="30"/>
        <v>0.49333333333333335</v>
      </c>
      <c r="N671" s="26">
        <f t="shared" si="31"/>
        <v>3.7037037037037035E-2</v>
      </c>
      <c r="O671" s="26">
        <f t="shared" si="32"/>
        <v>0.96296296296296291</v>
      </c>
    </row>
    <row r="672" spans="1:15" ht="21.75" hidden="1" customHeight="1">
      <c r="A672" s="17">
        <f>'GİRDİ RAPORU'!A38</f>
        <v>45051.769085648149</v>
      </c>
      <c r="B672" s="18">
        <f>'GİRDİ RAPORU'!B34</f>
        <v>2</v>
      </c>
      <c r="C672" s="18">
        <f>'GİRDİ RAPORU'!C34</f>
        <v>250</v>
      </c>
      <c r="D672" s="18">
        <f>'GİRDİ RAPORU'!D34</f>
        <v>10</v>
      </c>
      <c r="E672" s="18" t="str">
        <f>'GİRDİ RAPORU'!E34</f>
        <v>Normal Mesai</v>
      </c>
      <c r="F672" s="18">
        <f>'GİRDİ RAPORU'!F34</f>
        <v>30</v>
      </c>
      <c r="G672" s="18" t="str">
        <f>'GİRDİ RAPORU'!G34</f>
        <v>Ayar</v>
      </c>
      <c r="H672" s="18">
        <f>'GİRDİ RAPORU'!H34</f>
        <v>0</v>
      </c>
      <c r="I672" s="18">
        <f>'GİRDİ RAPORU'!I34</f>
        <v>0</v>
      </c>
      <c r="J672" s="18">
        <f>'GİRDİ RAPORU'!J1006</f>
        <v>0</v>
      </c>
      <c r="K672" s="18">
        <f>'GİRDİ RAPORU'!K1006</f>
        <v>0</v>
      </c>
      <c r="L672" s="18">
        <f>'GİRDİ RAPORU'!L1006</f>
        <v>0</v>
      </c>
      <c r="M672" s="26">
        <f t="shared" si="30"/>
        <v>0.34666666666666668</v>
      </c>
      <c r="N672" s="26">
        <f t="shared" si="31"/>
        <v>5.5555555555555552E-2</v>
      </c>
      <c r="O672" s="26">
        <f t="shared" si="32"/>
        <v>0.94444444444444442</v>
      </c>
    </row>
    <row r="673" spans="1:15" ht="21.75" hidden="1" customHeight="1">
      <c r="A673" s="17">
        <f>'GİRDİ RAPORU'!A37</f>
        <v>45050.769820949077</v>
      </c>
      <c r="B673" s="18">
        <f>'GİRDİ RAPORU'!B33</f>
        <v>2</v>
      </c>
      <c r="C673" s="18">
        <f>'GİRDİ RAPORU'!C33</f>
        <v>312</v>
      </c>
      <c r="D673" s="18">
        <f>'GİRDİ RAPORU'!D33</f>
        <v>20</v>
      </c>
      <c r="E673" s="18" t="str">
        <f>'GİRDİ RAPORU'!E33</f>
        <v>Normal Mesai</v>
      </c>
      <c r="F673" s="18">
        <f>'GİRDİ RAPORU'!F33</f>
        <v>20</v>
      </c>
      <c r="G673" s="18" t="str">
        <f>'GİRDİ RAPORU'!G33</f>
        <v>Ayar</v>
      </c>
      <c r="H673" s="18">
        <f>'GİRDİ RAPORU'!H33</f>
        <v>0</v>
      </c>
      <c r="I673" s="18">
        <f>'GİRDİ RAPORU'!I33</f>
        <v>0</v>
      </c>
      <c r="J673" s="18">
        <f>'GİRDİ RAPORU'!J1005</f>
        <v>0</v>
      </c>
      <c r="K673" s="18">
        <f>'GİRDİ RAPORU'!K1005</f>
        <v>0</v>
      </c>
      <c r="L673" s="18">
        <f>'GİRDİ RAPORU'!L1005</f>
        <v>0</v>
      </c>
      <c r="M673" s="26">
        <f t="shared" si="30"/>
        <v>0.44266666666666665</v>
      </c>
      <c r="N673" s="26">
        <f t="shared" si="31"/>
        <v>3.7037037037037035E-2</v>
      </c>
      <c r="O673" s="26">
        <f t="shared" si="32"/>
        <v>0.96296296296296291</v>
      </c>
    </row>
    <row r="674" spans="1:15" ht="21.75" hidden="1" customHeight="1">
      <c r="A674" s="17">
        <f>'GİRDİ RAPORU'!A36</f>
        <v>45049.768200810184</v>
      </c>
      <c r="B674" s="18">
        <f>'GİRDİ RAPORU'!B32</f>
        <v>2</v>
      </c>
      <c r="C674" s="18">
        <f>'GİRDİ RAPORU'!C32</f>
        <v>260</v>
      </c>
      <c r="D674" s="18">
        <f>'GİRDİ RAPORU'!D32</f>
        <v>21</v>
      </c>
      <c r="E674" s="18" t="str">
        <f>'GİRDİ RAPORU'!E32</f>
        <v>Normal Mesai</v>
      </c>
      <c r="F674" s="18">
        <f>'GİRDİ RAPORU'!F32</f>
        <v>20</v>
      </c>
      <c r="G674" s="18" t="str">
        <f>'GİRDİ RAPORU'!G32</f>
        <v>Ayar</v>
      </c>
      <c r="H674" s="18">
        <f>'GİRDİ RAPORU'!H32</f>
        <v>0</v>
      </c>
      <c r="I674" s="18">
        <f>'GİRDİ RAPORU'!I32</f>
        <v>0</v>
      </c>
      <c r="J674" s="18">
        <f>'GİRDİ RAPORU'!J1004</f>
        <v>0</v>
      </c>
      <c r="K674" s="18">
        <f>'GİRDİ RAPORU'!K1004</f>
        <v>0</v>
      </c>
      <c r="L674" s="18">
        <f>'GİRDİ RAPORU'!L1004</f>
        <v>0</v>
      </c>
      <c r="M674" s="26">
        <f t="shared" si="30"/>
        <v>0.37466666666666665</v>
      </c>
      <c r="N674" s="26">
        <f t="shared" si="31"/>
        <v>3.7037037037037035E-2</v>
      </c>
      <c r="O674" s="26">
        <f t="shared" si="32"/>
        <v>0.96296296296296291</v>
      </c>
    </row>
    <row r="675" spans="1:15" ht="21.75" hidden="1" customHeight="1">
      <c r="A675" s="17">
        <f>'GİRDİ RAPORU'!A35</f>
        <v>45048.765648148146</v>
      </c>
      <c r="B675" s="18">
        <f>'GİRDİ RAPORU'!B31</f>
        <v>2</v>
      </c>
      <c r="C675" s="18">
        <f>'GİRDİ RAPORU'!C31</f>
        <v>100</v>
      </c>
      <c r="D675" s="18">
        <f>'GİRDİ RAPORU'!D31</f>
        <v>10</v>
      </c>
      <c r="E675" s="18" t="str">
        <f>'GİRDİ RAPORU'!E31</f>
        <v>Normal Mesai</v>
      </c>
      <c r="F675" s="18">
        <f>'GİRDİ RAPORU'!F31</f>
        <v>300</v>
      </c>
      <c r="G675" s="18" t="str">
        <f>'GİRDİ RAPORU'!G31</f>
        <v>Ar-ge Çalışması</v>
      </c>
      <c r="H675" s="18">
        <f>'GİRDİ RAPORU'!H31</f>
        <v>0</v>
      </c>
      <c r="I675" s="18">
        <f>'GİRDİ RAPORU'!I31</f>
        <v>0</v>
      </c>
      <c r="J675" s="18">
        <f>'GİRDİ RAPORU'!J1003</f>
        <v>0</v>
      </c>
      <c r="K675" s="18">
        <f>'GİRDİ RAPORU'!K1003</f>
        <v>0</v>
      </c>
      <c r="L675" s="18">
        <f>'GİRDİ RAPORU'!L1003</f>
        <v>0</v>
      </c>
      <c r="M675" s="26">
        <f t="shared" si="30"/>
        <v>0.14666666666666667</v>
      </c>
      <c r="N675" s="26">
        <f t="shared" si="31"/>
        <v>0.55555555555555558</v>
      </c>
      <c r="O675" s="26">
        <f t="shared" si="32"/>
        <v>0.44444444444444442</v>
      </c>
    </row>
    <row r="676" spans="1:15" ht="21.75" hidden="1" customHeight="1">
      <c r="A676" s="17">
        <f>'GİRDİ RAPORU'!A34</f>
        <v>45044.743199421297</v>
      </c>
      <c r="B676" s="18">
        <f>'GİRDİ RAPORU'!B30</f>
        <v>2</v>
      </c>
      <c r="C676" s="18">
        <f>'GİRDİ RAPORU'!C30</f>
        <v>165</v>
      </c>
      <c r="D676" s="18">
        <f>'GİRDİ RAPORU'!D30</f>
        <v>10</v>
      </c>
      <c r="E676" s="18" t="str">
        <f>'GİRDİ RAPORU'!E30</f>
        <v>Normal Mesai</v>
      </c>
      <c r="F676" s="18">
        <f>'GİRDİ RAPORU'!F30</f>
        <v>250</v>
      </c>
      <c r="G676" s="18" t="str">
        <f>'GİRDİ RAPORU'!G30</f>
        <v>Ar-ge Çalışması</v>
      </c>
      <c r="H676" s="18">
        <f>'GİRDİ RAPORU'!H30</f>
        <v>20</v>
      </c>
      <c r="I676" s="18" t="str">
        <f>'GİRDİ RAPORU'!I30</f>
        <v>Ayar</v>
      </c>
      <c r="J676" s="18">
        <f>'GİRDİ RAPORU'!J1002</f>
        <v>0</v>
      </c>
      <c r="K676" s="18">
        <f>'GİRDİ RAPORU'!K1002</f>
        <v>0</v>
      </c>
      <c r="L676" s="18">
        <f>'GİRDİ RAPORU'!L1002</f>
        <v>0</v>
      </c>
      <c r="M676" s="26">
        <f t="shared" si="30"/>
        <v>0.23333333333333334</v>
      </c>
      <c r="N676" s="26">
        <f t="shared" si="31"/>
        <v>0.5</v>
      </c>
      <c r="O676" s="26">
        <f t="shared" si="32"/>
        <v>0.5</v>
      </c>
    </row>
    <row r="677" spans="1:15" ht="21.75" hidden="1" customHeight="1">
      <c r="A677" s="17">
        <f>'GİRDİ RAPORU'!A33</f>
        <v>45043.759587384258</v>
      </c>
      <c r="B677" s="18">
        <f>'GİRDİ RAPORU'!B29</f>
        <v>2</v>
      </c>
      <c r="C677" s="18">
        <f>'GİRDİ RAPORU'!C29</f>
        <v>390</v>
      </c>
      <c r="D677" s="18">
        <f>'GİRDİ RAPORU'!D29</f>
        <v>50</v>
      </c>
      <c r="E677" s="18" t="str">
        <f>'GİRDİ RAPORU'!E29</f>
        <v>Normal Mesai</v>
      </c>
      <c r="F677" s="18">
        <f>'GİRDİ RAPORU'!F29</f>
        <v>20</v>
      </c>
      <c r="G677" s="18" t="str">
        <f>'GİRDİ RAPORU'!G29</f>
        <v>Ayar</v>
      </c>
      <c r="H677" s="18">
        <f>'GİRDİ RAPORU'!H29</f>
        <v>0</v>
      </c>
      <c r="I677" s="18">
        <f>'GİRDİ RAPORU'!I29</f>
        <v>0</v>
      </c>
      <c r="J677" s="18">
        <f>'GİRDİ RAPORU'!J1001</f>
        <v>0</v>
      </c>
      <c r="K677" s="18">
        <f>'GİRDİ RAPORU'!K1001</f>
        <v>0</v>
      </c>
      <c r="L677" s="18">
        <f>'GİRDİ RAPORU'!L1001</f>
        <v>0</v>
      </c>
      <c r="M677" s="26">
        <f t="shared" si="30"/>
        <v>0.58666666666666667</v>
      </c>
      <c r="N677" s="26">
        <f t="shared" si="31"/>
        <v>3.7037037037037035E-2</v>
      </c>
      <c r="O677" s="26">
        <f t="shared" si="32"/>
        <v>0.96296296296296291</v>
      </c>
    </row>
    <row r="678" spans="1:15" ht="21.75" hidden="1" customHeight="1">
      <c r="A678" s="17">
        <f>'GİRDİ RAPORU'!A32</f>
        <v>45042.761352083333</v>
      </c>
      <c r="B678" s="18">
        <f>'GİRDİ RAPORU'!B28</f>
        <v>2</v>
      </c>
      <c r="C678" s="18">
        <f>'GİRDİ RAPORU'!C28</f>
        <v>470</v>
      </c>
      <c r="D678" s="18">
        <f>'GİRDİ RAPORU'!D28</f>
        <v>10</v>
      </c>
      <c r="E678" s="18" t="str">
        <f>'GİRDİ RAPORU'!E28</f>
        <v>Normal Mesai</v>
      </c>
      <c r="F678" s="18">
        <f>'GİRDİ RAPORU'!F28</f>
        <v>12</v>
      </c>
      <c r="G678" s="18" t="str">
        <f>'GİRDİ RAPORU'!G28</f>
        <v>Ayar</v>
      </c>
      <c r="H678" s="18">
        <f>'GİRDİ RAPORU'!H28</f>
        <v>0</v>
      </c>
      <c r="I678" s="18">
        <f>'GİRDİ RAPORU'!I28</f>
        <v>0</v>
      </c>
      <c r="J678" s="18">
        <f>'GİRDİ RAPORU'!J1000</f>
        <v>0</v>
      </c>
      <c r="K678" s="18">
        <f>'GİRDİ RAPORU'!K1000</f>
        <v>0</v>
      </c>
      <c r="L678" s="18">
        <f>'GİRDİ RAPORU'!L1000</f>
        <v>0</v>
      </c>
      <c r="M678" s="26">
        <f t="shared" si="30"/>
        <v>0.64</v>
      </c>
      <c r="N678" s="26">
        <f t="shared" si="31"/>
        <v>2.2222222222222223E-2</v>
      </c>
      <c r="O678" s="26">
        <f t="shared" si="32"/>
        <v>0.97777777777777775</v>
      </c>
    </row>
    <row r="679" spans="1:15" ht="21.75" hidden="1" customHeight="1">
      <c r="A679" s="17">
        <f>'GİRDİ RAPORU'!A31</f>
        <v>45041.772595023147</v>
      </c>
      <c r="B679" s="18">
        <f>'GİRDİ RAPORU'!B27</f>
        <v>2</v>
      </c>
      <c r="C679" s="18">
        <f>'GİRDİ RAPORU'!C27</f>
        <v>450</v>
      </c>
      <c r="D679" s="18">
        <f>'GİRDİ RAPORU'!D27</f>
        <v>100</v>
      </c>
      <c r="E679" s="18" t="str">
        <f>'GİRDİ RAPORU'!E27</f>
        <v>Normal Mesai</v>
      </c>
      <c r="F679" s="18">
        <f>'GİRDİ RAPORU'!F27</f>
        <v>20</v>
      </c>
      <c r="G679" s="18" t="str">
        <f>'GİRDİ RAPORU'!G27</f>
        <v>Ayar</v>
      </c>
      <c r="H679" s="18">
        <f>'GİRDİ RAPORU'!H27</f>
        <v>0</v>
      </c>
      <c r="I679" s="18">
        <f>'GİRDİ RAPORU'!I27</f>
        <v>0</v>
      </c>
      <c r="J679" s="18">
        <f>'GİRDİ RAPORU'!J999</f>
        <v>0</v>
      </c>
      <c r="K679" s="18">
        <f>'GİRDİ RAPORU'!K999</f>
        <v>0</v>
      </c>
      <c r="L679" s="18">
        <f>'GİRDİ RAPORU'!L999</f>
        <v>0</v>
      </c>
      <c r="M679" s="26">
        <f t="shared" si="30"/>
        <v>0.73333333333333328</v>
      </c>
      <c r="N679" s="26">
        <f t="shared" si="31"/>
        <v>3.7037037037037035E-2</v>
      </c>
      <c r="O679" s="26">
        <f t="shared" si="32"/>
        <v>0.96296296296296291</v>
      </c>
    </row>
    <row r="680" spans="1:15" ht="21.75" hidden="1" customHeight="1">
      <c r="A680" s="17">
        <f>'GİRDİ RAPORU'!A30</f>
        <v>45040.761973958332</v>
      </c>
      <c r="B680" s="18">
        <f>'GİRDİ RAPORU'!B26</f>
        <v>2</v>
      </c>
      <c r="C680" s="18">
        <f>'GİRDİ RAPORU'!C26</f>
        <v>292</v>
      </c>
      <c r="D680" s="18">
        <f>'GİRDİ RAPORU'!D26</f>
        <v>80</v>
      </c>
      <c r="E680" s="18" t="str">
        <f>'GİRDİ RAPORU'!E26</f>
        <v>Normal Mesai</v>
      </c>
      <c r="F680" s="18">
        <f>'GİRDİ RAPORU'!F26</f>
        <v>20</v>
      </c>
      <c r="G680" s="18" t="str">
        <f>'GİRDİ RAPORU'!G26</f>
        <v>Ayar</v>
      </c>
      <c r="H680" s="18">
        <f>'GİRDİ RAPORU'!H26</f>
        <v>0</v>
      </c>
      <c r="I680" s="18">
        <f>'GİRDİ RAPORU'!I26</f>
        <v>0</v>
      </c>
      <c r="J680" s="18">
        <f>'GİRDİ RAPORU'!J998</f>
        <v>0</v>
      </c>
      <c r="K680" s="18">
        <f>'GİRDİ RAPORU'!K998</f>
        <v>0</v>
      </c>
      <c r="L680" s="18">
        <f>'GİRDİ RAPORU'!L998</f>
        <v>0</v>
      </c>
      <c r="M680" s="26">
        <f t="shared" si="30"/>
        <v>0.496</v>
      </c>
      <c r="N680" s="26">
        <f t="shared" si="31"/>
        <v>3.7037037037037035E-2</v>
      </c>
      <c r="O680" s="26">
        <f t="shared" si="32"/>
        <v>0.96296296296296291</v>
      </c>
    </row>
    <row r="681" spans="1:15" ht="21.75" hidden="1" customHeight="1">
      <c r="A681" s="17">
        <f>'GİRDİ RAPORU'!A29</f>
        <v>45035.671200810182</v>
      </c>
      <c r="B681" s="18">
        <f>'GİRDİ RAPORU'!B25</f>
        <v>2</v>
      </c>
      <c r="C681" s="18">
        <f>'GİRDİ RAPORU'!C25</f>
        <v>344</v>
      </c>
      <c r="D681" s="18">
        <f>'GİRDİ RAPORU'!D25</f>
        <v>50</v>
      </c>
      <c r="E681" s="18" t="str">
        <f>'GİRDİ RAPORU'!E25</f>
        <v>Normal Mesai</v>
      </c>
      <c r="F681" s="18">
        <f>'GİRDİ RAPORU'!F25</f>
        <v>20</v>
      </c>
      <c r="G681" s="18" t="str">
        <f>'GİRDİ RAPORU'!G25</f>
        <v>Ayar</v>
      </c>
      <c r="H681" s="18">
        <f>'GİRDİ RAPORU'!H25</f>
        <v>0</v>
      </c>
      <c r="I681" s="18">
        <f>'GİRDİ RAPORU'!I25</f>
        <v>0</v>
      </c>
      <c r="J681" s="18">
        <f>'GİRDİ RAPORU'!J997</f>
        <v>0</v>
      </c>
      <c r="K681" s="18">
        <f>'GİRDİ RAPORU'!K997</f>
        <v>0</v>
      </c>
      <c r="L681" s="18">
        <f>'GİRDİ RAPORU'!L997</f>
        <v>0</v>
      </c>
      <c r="M681" s="26">
        <f t="shared" si="30"/>
        <v>0.52533333333333332</v>
      </c>
      <c r="N681" s="26">
        <f t="shared" si="31"/>
        <v>3.7037037037037035E-2</v>
      </c>
      <c r="O681" s="26">
        <f t="shared" si="32"/>
        <v>0.96296296296296291</v>
      </c>
    </row>
    <row r="682" spans="1:15" ht="21.75" hidden="1" customHeight="1">
      <c r="A682" s="17">
        <f>'GİRDİ RAPORU'!A28</f>
        <v>45034.716157986113</v>
      </c>
      <c r="B682" s="18">
        <f>'GİRDİ RAPORU'!B24</f>
        <v>2</v>
      </c>
      <c r="C682" s="18">
        <f>'GİRDİ RAPORU'!C24</f>
        <v>135</v>
      </c>
      <c r="D682" s="18">
        <f>'GİRDİ RAPORU'!D24</f>
        <v>5</v>
      </c>
      <c r="E682" s="18" t="str">
        <f>'GİRDİ RAPORU'!E24</f>
        <v>Normal Mesai</v>
      </c>
      <c r="F682" s="18">
        <f>'GİRDİ RAPORU'!F24</f>
        <v>200</v>
      </c>
      <c r="G682" s="18" t="str">
        <f>'GİRDİ RAPORU'!G24</f>
        <v>Ar-ge Çalışması</v>
      </c>
      <c r="H682" s="18">
        <f>'GİRDİ RAPORU'!H24</f>
        <v>20</v>
      </c>
      <c r="I682" s="18" t="str">
        <f>'GİRDİ RAPORU'!I24</f>
        <v>Ayar</v>
      </c>
      <c r="J682" s="18">
        <f>'GİRDİ RAPORU'!J996</f>
        <v>0</v>
      </c>
      <c r="K682" s="18">
        <f>'GİRDİ RAPORU'!K996</f>
        <v>0</v>
      </c>
      <c r="L682" s="18">
        <f>'GİRDİ RAPORU'!L996</f>
        <v>0</v>
      </c>
      <c r="M682" s="26">
        <f t="shared" si="30"/>
        <v>0.18666666666666668</v>
      </c>
      <c r="N682" s="26">
        <f t="shared" si="31"/>
        <v>0.40740740740740738</v>
      </c>
      <c r="O682" s="26">
        <f t="shared" si="32"/>
        <v>0.59259259259259256</v>
      </c>
    </row>
    <row r="683" spans="1:15" ht="21.75" hidden="1" customHeight="1">
      <c r="A683" s="17">
        <f>'GİRDİ RAPORU'!A27</f>
        <v>45033.328310185185</v>
      </c>
      <c r="B683" s="18">
        <f>'GİRDİ RAPORU'!B23</f>
        <v>2</v>
      </c>
      <c r="C683" s="18">
        <f>'GİRDİ RAPORU'!C23</f>
        <v>450</v>
      </c>
      <c r="D683" s="18">
        <f>'GİRDİ RAPORU'!D23</f>
        <v>100</v>
      </c>
      <c r="E683" s="18" t="str">
        <f>'GİRDİ RAPORU'!E23</f>
        <v>Normal Mesai</v>
      </c>
      <c r="F683" s="18">
        <f>'GİRDİ RAPORU'!F23</f>
        <v>20</v>
      </c>
      <c r="G683" s="18" t="str">
        <f>'GİRDİ RAPORU'!G23</f>
        <v>Ayar</v>
      </c>
      <c r="H683" s="18">
        <f>'GİRDİ RAPORU'!H23</f>
        <v>0</v>
      </c>
      <c r="I683" s="18">
        <f>'GİRDİ RAPORU'!I23</f>
        <v>0</v>
      </c>
      <c r="J683" s="18">
        <f>'GİRDİ RAPORU'!J995</f>
        <v>0</v>
      </c>
      <c r="K683" s="18">
        <f>'GİRDİ RAPORU'!K995</f>
        <v>0</v>
      </c>
      <c r="L683" s="18">
        <f>'GİRDİ RAPORU'!L995</f>
        <v>0</v>
      </c>
      <c r="M683" s="26">
        <f t="shared" si="30"/>
        <v>0.73333333333333328</v>
      </c>
      <c r="N683" s="26">
        <f t="shared" si="31"/>
        <v>3.7037037037037035E-2</v>
      </c>
      <c r="O683" s="26">
        <f t="shared" si="32"/>
        <v>0.96296296296296291</v>
      </c>
    </row>
    <row r="684" spans="1:15" ht="21.75" hidden="1" customHeight="1">
      <c r="A684" s="17">
        <f>'GİRDİ RAPORU'!A26</f>
        <v>45030.450497685182</v>
      </c>
      <c r="B684" s="18">
        <f>'GİRDİ RAPORU'!B22</f>
        <v>2</v>
      </c>
      <c r="C684" s="18">
        <f>'GİRDİ RAPORU'!C22</f>
        <v>266</v>
      </c>
      <c r="D684" s="18">
        <f>'GİRDİ RAPORU'!D22</f>
        <v>50</v>
      </c>
      <c r="E684" s="18" t="str">
        <f>'GİRDİ RAPORU'!E22</f>
        <v>Normal Mesai</v>
      </c>
      <c r="F684" s="18">
        <f>'GİRDİ RAPORU'!F22</f>
        <v>30</v>
      </c>
      <c r="G684" s="18" t="str">
        <f>'GİRDİ RAPORU'!G22</f>
        <v>Ayar</v>
      </c>
      <c r="H684" s="18">
        <f>'GİRDİ RAPORU'!H22</f>
        <v>0</v>
      </c>
      <c r="I684" s="18">
        <f>'GİRDİ RAPORU'!I22</f>
        <v>0</v>
      </c>
      <c r="J684" s="18">
        <f>'GİRDİ RAPORU'!J994</f>
        <v>0</v>
      </c>
      <c r="K684" s="18">
        <f>'GİRDİ RAPORU'!K994</f>
        <v>0</v>
      </c>
      <c r="L684" s="18">
        <f>'GİRDİ RAPORU'!L994</f>
        <v>0</v>
      </c>
      <c r="M684" s="26">
        <f t="shared" si="30"/>
        <v>0.42133333333333334</v>
      </c>
      <c r="N684" s="26">
        <f t="shared" si="31"/>
        <v>5.5555555555555552E-2</v>
      </c>
      <c r="O684" s="26">
        <f t="shared" si="32"/>
        <v>0.94444444444444442</v>
      </c>
    </row>
    <row r="685" spans="1:15" ht="21.75" hidden="1" customHeight="1">
      <c r="A685" s="17">
        <f>'GİRDİ RAPORU'!A25</f>
        <v>45029.719580092591</v>
      </c>
      <c r="B685" s="18">
        <f>'GİRDİ RAPORU'!B21</f>
        <v>2</v>
      </c>
      <c r="C685" s="18">
        <f>'GİRDİ RAPORU'!C21</f>
        <v>342</v>
      </c>
      <c r="D685" s="18">
        <f>'GİRDİ RAPORU'!D21</f>
        <v>342</v>
      </c>
      <c r="E685" s="18" t="str">
        <f>'GİRDİ RAPORU'!E21</f>
        <v>Normal Mesai</v>
      </c>
      <c r="F685" s="18">
        <f>'GİRDİ RAPORU'!F21</f>
        <v>120</v>
      </c>
      <c r="G685" s="18" t="str">
        <f>'GİRDİ RAPORU'!G21</f>
        <v>Ar-ge Çalışması</v>
      </c>
      <c r="H685" s="18">
        <f>'GİRDİ RAPORU'!H21</f>
        <v>20</v>
      </c>
      <c r="I685" s="18" t="str">
        <f>'GİRDİ RAPORU'!I21</f>
        <v>Ayar</v>
      </c>
      <c r="J685" s="18">
        <f>'GİRDİ RAPORU'!J993</f>
        <v>0</v>
      </c>
      <c r="K685" s="18">
        <f>'GİRDİ RAPORU'!K993</f>
        <v>0</v>
      </c>
      <c r="L685" s="18">
        <f>'GİRDİ RAPORU'!L993</f>
        <v>0</v>
      </c>
      <c r="M685" s="26">
        <f t="shared" si="30"/>
        <v>0.91200000000000003</v>
      </c>
      <c r="N685" s="26">
        <f t="shared" si="31"/>
        <v>0.25925925925925924</v>
      </c>
      <c r="O685" s="26">
        <f t="shared" si="32"/>
        <v>0.7407407407407407</v>
      </c>
    </row>
    <row r="686" spans="1:15" ht="21.75" hidden="1" customHeight="1">
      <c r="A686" s="17">
        <f>'GİRDİ RAPORU'!A24</f>
        <v>45028.715452430559</v>
      </c>
      <c r="B686" s="18">
        <f>'GİRDİ RAPORU'!B20</f>
        <v>2</v>
      </c>
      <c r="C686" s="18">
        <f>'GİRDİ RAPORU'!C20</f>
        <v>190</v>
      </c>
      <c r="D686" s="18">
        <f>'GİRDİ RAPORU'!D20</f>
        <v>90</v>
      </c>
      <c r="E686" s="18" t="str">
        <f>'GİRDİ RAPORU'!E20</f>
        <v>Normal Mesai</v>
      </c>
      <c r="F686" s="18">
        <f>'GİRDİ RAPORU'!F20</f>
        <v>20</v>
      </c>
      <c r="G686" s="18" t="str">
        <f>'GİRDİ RAPORU'!G20</f>
        <v>Ayar</v>
      </c>
      <c r="H686" s="18">
        <f>'GİRDİ RAPORU'!H20</f>
        <v>0</v>
      </c>
      <c r="I686" s="18">
        <f>'GİRDİ RAPORU'!I20</f>
        <v>0</v>
      </c>
      <c r="J686" s="18">
        <f>'GİRDİ RAPORU'!J992</f>
        <v>0</v>
      </c>
      <c r="K686" s="18">
        <f>'GİRDİ RAPORU'!K992</f>
        <v>0</v>
      </c>
      <c r="L686" s="18">
        <f>'GİRDİ RAPORU'!L992</f>
        <v>0</v>
      </c>
      <c r="M686" s="26">
        <f t="shared" si="30"/>
        <v>0.37333333333333335</v>
      </c>
      <c r="N686" s="26">
        <f t="shared" si="31"/>
        <v>3.7037037037037035E-2</v>
      </c>
      <c r="O686" s="26">
        <f t="shared" si="32"/>
        <v>0.96296296296296291</v>
      </c>
    </row>
    <row r="687" spans="1:15" ht="21.75" hidden="1" customHeight="1">
      <c r="A687" s="17">
        <f>'GİRDİ RAPORU'!A23</f>
        <v>45027.715002777775</v>
      </c>
      <c r="B687" s="18">
        <f>'GİRDİ RAPORU'!B19</f>
        <v>2</v>
      </c>
      <c r="C687" s="18">
        <f>'GİRDİ RAPORU'!C19</f>
        <v>384</v>
      </c>
      <c r="D687" s="18">
        <f>'GİRDİ RAPORU'!D19</f>
        <v>156</v>
      </c>
      <c r="E687" s="18" t="str">
        <f>'GİRDİ RAPORU'!E19</f>
        <v>Normal Mesai</v>
      </c>
      <c r="F687" s="18">
        <f>'GİRDİ RAPORU'!F19</f>
        <v>20</v>
      </c>
      <c r="G687" s="18" t="str">
        <f>'GİRDİ RAPORU'!G19</f>
        <v>Ayar</v>
      </c>
      <c r="H687" s="18">
        <f>'GİRDİ RAPORU'!H19</f>
        <v>0</v>
      </c>
      <c r="I687" s="18">
        <f>'GİRDİ RAPORU'!I19</f>
        <v>0</v>
      </c>
      <c r="J687" s="18">
        <f>'GİRDİ RAPORU'!J991</f>
        <v>0</v>
      </c>
      <c r="K687" s="18">
        <f>'GİRDİ RAPORU'!K991</f>
        <v>0</v>
      </c>
      <c r="L687" s="18">
        <f>'GİRDİ RAPORU'!L991</f>
        <v>0</v>
      </c>
      <c r="M687" s="26">
        <f t="shared" si="30"/>
        <v>0.72</v>
      </c>
      <c r="N687" s="26">
        <f t="shared" si="31"/>
        <v>3.7037037037037035E-2</v>
      </c>
      <c r="O687" s="26">
        <f t="shared" si="32"/>
        <v>0.96296296296296291</v>
      </c>
    </row>
    <row r="688" spans="1:15" ht="21.75" hidden="1" customHeight="1">
      <c r="A688" s="17">
        <f>'GİRDİ RAPORU'!A22</f>
        <v>45026.353634259256</v>
      </c>
      <c r="B688" s="18">
        <f>'GİRDİ RAPORU'!B18</f>
        <v>2</v>
      </c>
      <c r="C688" s="18">
        <f>'GİRDİ RAPORU'!C18</f>
        <v>0</v>
      </c>
      <c r="D688" s="18">
        <f>'GİRDİ RAPORU'!D18</f>
        <v>0</v>
      </c>
      <c r="E688" s="18" t="str">
        <f>'GİRDİ RAPORU'!E18</f>
        <v>Normal Mesai</v>
      </c>
      <c r="F688" s="18">
        <f>'GİRDİ RAPORU'!F18</f>
        <v>540</v>
      </c>
      <c r="G688" s="18" t="str">
        <f>'GİRDİ RAPORU'!G18</f>
        <v>Ar-ge Çalışması</v>
      </c>
      <c r="H688" s="18">
        <f>'GİRDİ RAPORU'!H18</f>
        <v>0</v>
      </c>
      <c r="I688" s="18">
        <f>'GİRDİ RAPORU'!I18</f>
        <v>0</v>
      </c>
      <c r="J688" s="18">
        <f>'GİRDİ RAPORU'!J990</f>
        <v>0</v>
      </c>
      <c r="K688" s="18">
        <f>'GİRDİ RAPORU'!K990</f>
        <v>0</v>
      </c>
      <c r="L688" s="18">
        <f>'GİRDİ RAPORU'!L990</f>
        <v>0</v>
      </c>
      <c r="M688" s="26">
        <f t="shared" si="30"/>
        <v>0</v>
      </c>
      <c r="N688" s="26">
        <f t="shared" si="31"/>
        <v>1</v>
      </c>
      <c r="O688" s="26">
        <f t="shared" si="32"/>
        <v>0</v>
      </c>
    </row>
    <row r="689" spans="1:15" ht="21.75" hidden="1" customHeight="1">
      <c r="A689" s="17">
        <f>'GİRDİ RAPORU'!A21</f>
        <v>45023.705645138885</v>
      </c>
      <c r="B689" s="18">
        <f>'GİRDİ RAPORU'!B17</f>
        <v>2</v>
      </c>
      <c r="C689" s="18">
        <f>'GİRDİ RAPORU'!C17</f>
        <v>238</v>
      </c>
      <c r="D689" s="18">
        <f>'GİRDİ RAPORU'!D17</f>
        <v>30</v>
      </c>
      <c r="E689" s="18" t="str">
        <f>'GİRDİ RAPORU'!E17</f>
        <v>Normal Mesai</v>
      </c>
      <c r="F689" s="18">
        <f>'GİRDİ RAPORU'!F17</f>
        <v>20</v>
      </c>
      <c r="G689" s="18" t="str">
        <f>'GİRDİ RAPORU'!G17</f>
        <v>Ayar</v>
      </c>
      <c r="H689" s="18">
        <f>'GİRDİ RAPORU'!H17</f>
        <v>180</v>
      </c>
      <c r="I689" s="18" t="str">
        <f>'GİRDİ RAPORU'!I17</f>
        <v>Ar-ge Çalışması</v>
      </c>
      <c r="J689" s="18">
        <f>'GİRDİ RAPORU'!J989</f>
        <v>0</v>
      </c>
      <c r="K689" s="18">
        <f>'GİRDİ RAPORU'!K989</f>
        <v>0</v>
      </c>
      <c r="L689" s="18">
        <f>'GİRDİ RAPORU'!L989</f>
        <v>0</v>
      </c>
      <c r="M689" s="26">
        <f t="shared" si="30"/>
        <v>0.35733333333333334</v>
      </c>
      <c r="N689" s="26">
        <f t="shared" si="31"/>
        <v>0.37037037037037035</v>
      </c>
      <c r="O689" s="26">
        <f t="shared" si="32"/>
        <v>0.62962962962962965</v>
      </c>
    </row>
    <row r="690" spans="1:15" ht="21.75" hidden="1" customHeight="1">
      <c r="A690" s="17">
        <f>'GİRDİ RAPORU'!A20</f>
        <v>45022.716986805557</v>
      </c>
      <c r="B690" s="18">
        <f>'GİRDİ RAPORU'!B16</f>
        <v>4</v>
      </c>
      <c r="C690" s="18">
        <f>'GİRDİ RAPORU'!C16</f>
        <v>0</v>
      </c>
      <c r="D690" s="18">
        <f>'GİRDİ RAPORU'!D16</f>
        <v>0</v>
      </c>
      <c r="E690" s="18" t="str">
        <f>'GİRDİ RAPORU'!E16</f>
        <v>Normal Mesai</v>
      </c>
      <c r="F690" s="18">
        <f>'GİRDİ RAPORU'!F16</f>
        <v>540</v>
      </c>
      <c r="G690" s="18" t="str">
        <f>'GİRDİ RAPORU'!G16</f>
        <v>Ar-ge Çalışması</v>
      </c>
      <c r="H690" s="18">
        <f>'GİRDİ RAPORU'!H16</f>
        <v>0</v>
      </c>
      <c r="I690" s="18">
        <f>'GİRDİ RAPORU'!I16</f>
        <v>0</v>
      </c>
      <c r="J690" s="18">
        <f>'GİRDİ RAPORU'!J988</f>
        <v>0</v>
      </c>
      <c r="K690" s="18">
        <f>'GİRDİ RAPORU'!K988</f>
        <v>0</v>
      </c>
      <c r="L690" s="18">
        <f>'GİRDİ RAPORU'!L988</f>
        <v>0</v>
      </c>
      <c r="M690" s="26">
        <f t="shared" si="30"/>
        <v>0</v>
      </c>
      <c r="N690" s="26">
        <f t="shared" si="31"/>
        <v>1</v>
      </c>
      <c r="O690" s="26">
        <f t="shared" si="32"/>
        <v>0</v>
      </c>
    </row>
    <row r="691" spans="1:15" ht="21.75" hidden="1" customHeight="1">
      <c r="A691" s="17">
        <f>'GİRDİ RAPORU'!A19</f>
        <v>45021.714687615742</v>
      </c>
      <c r="B691" s="18">
        <f>'GİRDİ RAPORU'!B15</f>
        <v>2</v>
      </c>
      <c r="C691" s="18">
        <f>'GİRDİ RAPORU'!C15</f>
        <v>201</v>
      </c>
      <c r="D691" s="18">
        <f>'GİRDİ RAPORU'!D15</f>
        <v>12</v>
      </c>
      <c r="E691" s="18" t="str">
        <f>'GİRDİ RAPORU'!E15</f>
        <v>Normal Mesai</v>
      </c>
      <c r="F691" s="18">
        <f>'GİRDİ RAPORU'!F15</f>
        <v>20</v>
      </c>
      <c r="G691" s="18" t="str">
        <f>'GİRDİ RAPORU'!G15</f>
        <v>Ayar</v>
      </c>
      <c r="H691" s="18">
        <f>'GİRDİ RAPORU'!H15</f>
        <v>240</v>
      </c>
      <c r="I691" s="18" t="str">
        <f>'GİRDİ RAPORU'!I15</f>
        <v>Ar-ge Çalışması</v>
      </c>
      <c r="J691" s="18">
        <f>'GİRDİ RAPORU'!J987</f>
        <v>0</v>
      </c>
      <c r="K691" s="18">
        <f>'GİRDİ RAPORU'!K987</f>
        <v>0</v>
      </c>
      <c r="L691" s="18">
        <f>'GİRDİ RAPORU'!L987</f>
        <v>0</v>
      </c>
      <c r="M691" s="26">
        <f t="shared" si="30"/>
        <v>0.28399999999999997</v>
      </c>
      <c r="N691" s="26">
        <f t="shared" si="31"/>
        <v>0.48148148148148145</v>
      </c>
      <c r="O691" s="26">
        <f t="shared" si="32"/>
        <v>0.51851851851851849</v>
      </c>
    </row>
    <row r="692" spans="1:15" ht="21.75" hidden="1" customHeight="1">
      <c r="A692" s="17">
        <f>'GİRDİ RAPORU'!A18</f>
        <v>45020.71434027778</v>
      </c>
      <c r="B692" s="18">
        <f>'GİRDİ RAPORU'!B14</f>
        <v>2</v>
      </c>
      <c r="C692" s="18">
        <f>'GİRDİ RAPORU'!C14</f>
        <v>255</v>
      </c>
      <c r="D692" s="18">
        <f>'GİRDİ RAPORU'!D14</f>
        <v>10</v>
      </c>
      <c r="E692" s="18" t="str">
        <f>'GİRDİ RAPORU'!E14</f>
        <v>Normal Mesai</v>
      </c>
      <c r="F692" s="18">
        <f>'GİRDİ RAPORU'!F14</f>
        <v>20</v>
      </c>
      <c r="G692" s="18" t="str">
        <f>'GİRDİ RAPORU'!G14</f>
        <v>Ayar</v>
      </c>
      <c r="H692" s="18">
        <f>'GİRDİ RAPORU'!H14</f>
        <v>240</v>
      </c>
      <c r="I692" s="18" t="str">
        <f>'GİRDİ RAPORU'!I14</f>
        <v>Ar-ge Çalışması</v>
      </c>
      <c r="J692" s="18">
        <f>'GİRDİ RAPORU'!J986</f>
        <v>0</v>
      </c>
      <c r="K692" s="18">
        <f>'GİRDİ RAPORU'!K986</f>
        <v>0</v>
      </c>
      <c r="L692" s="18">
        <f>'GİRDİ RAPORU'!L986</f>
        <v>0</v>
      </c>
      <c r="M692" s="26">
        <f t="shared" si="30"/>
        <v>0.35333333333333333</v>
      </c>
      <c r="N692" s="26">
        <f t="shared" si="31"/>
        <v>0.48148148148148145</v>
      </c>
      <c r="O692" s="26">
        <f t="shared" si="32"/>
        <v>0.51851851851851849</v>
      </c>
    </row>
    <row r="693" spans="1:15" ht="21.75" hidden="1" customHeight="1">
      <c r="A693" s="17">
        <f>'GİRDİ RAPORU'!A17</f>
        <v>45019.71643576389</v>
      </c>
      <c r="B693" s="18">
        <f>'GİRDİ RAPORU'!B13</f>
        <v>2</v>
      </c>
      <c r="C693" s="18">
        <f>'GİRDİ RAPORU'!C13</f>
        <v>204</v>
      </c>
      <c r="D693" s="18">
        <f>'GİRDİ RAPORU'!D13</f>
        <v>20</v>
      </c>
      <c r="E693" s="18" t="str">
        <f>'GİRDİ RAPORU'!E13</f>
        <v>Normal Mesai</v>
      </c>
      <c r="F693" s="18">
        <f>'GİRDİ RAPORU'!F13</f>
        <v>20</v>
      </c>
      <c r="G693" s="18" t="str">
        <f>'GİRDİ RAPORU'!G13</f>
        <v>Ayar</v>
      </c>
      <c r="H693" s="18">
        <f>'GİRDİ RAPORU'!H13</f>
        <v>0</v>
      </c>
      <c r="I693" s="18">
        <f>'GİRDİ RAPORU'!I13</f>
        <v>0</v>
      </c>
      <c r="J693" s="18">
        <f>'GİRDİ RAPORU'!J985</f>
        <v>0</v>
      </c>
      <c r="K693" s="18">
        <f>'GİRDİ RAPORU'!K985</f>
        <v>0</v>
      </c>
      <c r="L693" s="18">
        <f>'GİRDİ RAPORU'!L985</f>
        <v>0</v>
      </c>
      <c r="M693" s="26">
        <f t="shared" si="30"/>
        <v>0.29866666666666669</v>
      </c>
      <c r="N693" s="26">
        <f t="shared" si="31"/>
        <v>3.7037037037037035E-2</v>
      </c>
      <c r="O693" s="26">
        <f t="shared" si="32"/>
        <v>0.96296296296296291</v>
      </c>
    </row>
    <row r="694" spans="1:15" ht="21.75" hidden="1" customHeight="1">
      <c r="A694" s="17">
        <f>'GİRDİ RAPORU'!A16</f>
        <v>45016.69948333333</v>
      </c>
      <c r="B694" s="18">
        <f>'GİRDİ RAPORU'!B12</f>
        <v>2</v>
      </c>
      <c r="C694" s="18">
        <f>'GİRDİ RAPORU'!C12</f>
        <v>235</v>
      </c>
      <c r="D694" s="18">
        <f>'GİRDİ RAPORU'!D12</f>
        <v>10</v>
      </c>
      <c r="E694" s="18" t="str">
        <f>'GİRDİ RAPORU'!E12</f>
        <v>Normal Mesai</v>
      </c>
      <c r="F694" s="18">
        <f>'GİRDİ RAPORU'!F12</f>
        <v>20</v>
      </c>
      <c r="G694" s="18" t="str">
        <f>'GİRDİ RAPORU'!G12</f>
        <v>Ayar</v>
      </c>
      <c r="H694" s="18">
        <f>'GİRDİ RAPORU'!H12</f>
        <v>0</v>
      </c>
      <c r="I694" s="18">
        <f>'GİRDİ RAPORU'!I12</f>
        <v>0</v>
      </c>
      <c r="J694" s="18">
        <f>'GİRDİ RAPORU'!J984</f>
        <v>0</v>
      </c>
      <c r="K694" s="18">
        <f>'GİRDİ RAPORU'!K984</f>
        <v>0</v>
      </c>
      <c r="L694" s="18">
        <f>'GİRDİ RAPORU'!L984</f>
        <v>0</v>
      </c>
      <c r="M694" s="26">
        <f t="shared" si="30"/>
        <v>0.32666666666666666</v>
      </c>
      <c r="N694" s="26">
        <f t="shared" si="31"/>
        <v>3.7037037037037035E-2</v>
      </c>
      <c r="O694" s="26">
        <f t="shared" si="32"/>
        <v>0.96296296296296291</v>
      </c>
    </row>
    <row r="695" spans="1:15" ht="21.75" hidden="1" customHeight="1">
      <c r="A695" s="17">
        <f>'GİRDİ RAPORU'!A15</f>
        <v>45015.71500358796</v>
      </c>
      <c r="B695" s="18">
        <f>'GİRDİ RAPORU'!B11</f>
        <v>2</v>
      </c>
      <c r="C695" s="18">
        <f>'GİRDİ RAPORU'!C11</f>
        <v>274</v>
      </c>
      <c r="D695" s="18">
        <f>'GİRDİ RAPORU'!D11</f>
        <v>160</v>
      </c>
      <c r="E695" s="18" t="str">
        <f>'GİRDİ RAPORU'!E11</f>
        <v>Normal Mesai</v>
      </c>
      <c r="F695" s="18">
        <f>'GİRDİ RAPORU'!F11</f>
        <v>27</v>
      </c>
      <c r="G695" s="18" t="str">
        <f>'GİRDİ RAPORU'!G11</f>
        <v>Ayar</v>
      </c>
      <c r="H695" s="18">
        <f>'GİRDİ RAPORU'!H11</f>
        <v>50</v>
      </c>
      <c r="I695" s="18" t="str">
        <f>'GİRDİ RAPORU'!I11</f>
        <v>Temizlik</v>
      </c>
      <c r="J695" s="18">
        <f>'GİRDİ RAPORU'!J983</f>
        <v>0</v>
      </c>
      <c r="K695" s="18">
        <f>'GİRDİ RAPORU'!K983</f>
        <v>0</v>
      </c>
      <c r="L695" s="18">
        <f>'GİRDİ RAPORU'!L983</f>
        <v>0</v>
      </c>
      <c r="M695" s="26">
        <f t="shared" si="30"/>
        <v>0.57866666666666666</v>
      </c>
      <c r="N695" s="26">
        <f t="shared" si="31"/>
        <v>0.1425925925925926</v>
      </c>
      <c r="O695" s="26">
        <f t="shared" si="32"/>
        <v>0.8574074074074074</v>
      </c>
    </row>
    <row r="696" spans="1:15" ht="21.75" hidden="1" customHeight="1">
      <c r="A696" s="17">
        <f>'GİRDİ RAPORU'!A14</f>
        <v>45014.716958217592</v>
      </c>
      <c r="B696" s="18">
        <f>'GİRDİ RAPORU'!B10</f>
        <v>2</v>
      </c>
      <c r="C696" s="18">
        <f>'GİRDİ RAPORU'!C10</f>
        <v>454</v>
      </c>
      <c r="D696" s="18">
        <f>'GİRDİ RAPORU'!D10</f>
        <v>160</v>
      </c>
      <c r="E696" s="18" t="str">
        <f>'GİRDİ RAPORU'!E10</f>
        <v>Normal Mesai</v>
      </c>
      <c r="F696" s="18">
        <f>'GİRDİ RAPORU'!F10</f>
        <v>27</v>
      </c>
      <c r="G696" s="18" t="str">
        <f>'GİRDİ RAPORU'!G10</f>
        <v>Ayar</v>
      </c>
      <c r="H696" s="18">
        <f>'GİRDİ RAPORU'!H10</f>
        <v>0</v>
      </c>
      <c r="I696" s="18">
        <f>'GİRDİ RAPORU'!I10</f>
        <v>0</v>
      </c>
      <c r="J696" s="18">
        <f>'GİRDİ RAPORU'!J982</f>
        <v>0</v>
      </c>
      <c r="K696" s="18">
        <f>'GİRDİ RAPORU'!K982</f>
        <v>0</v>
      </c>
      <c r="L696" s="18">
        <f>'GİRDİ RAPORU'!L982</f>
        <v>0</v>
      </c>
      <c r="M696" s="26">
        <f t="shared" si="30"/>
        <v>0.81866666666666665</v>
      </c>
      <c r="N696" s="26">
        <f t="shared" si="31"/>
        <v>0.05</v>
      </c>
      <c r="O696" s="26">
        <f t="shared" si="32"/>
        <v>0.95</v>
      </c>
    </row>
    <row r="697" spans="1:15" ht="21.75" hidden="1" customHeight="1">
      <c r="A697" s="17">
        <f>'GİRDİ RAPORU'!A13</f>
        <v>45013.333738425928</v>
      </c>
      <c r="B697" s="18">
        <f>'GİRDİ RAPORU'!B9</f>
        <v>2</v>
      </c>
      <c r="C697" s="18">
        <f>'GİRDİ RAPORU'!C9</f>
        <v>114</v>
      </c>
      <c r="D697" s="18">
        <f>'GİRDİ RAPORU'!D9</f>
        <v>37</v>
      </c>
      <c r="E697" s="18" t="str">
        <f>'GİRDİ RAPORU'!E9</f>
        <v>Normal Mesai</v>
      </c>
      <c r="F697" s="18">
        <f>'GİRDİ RAPORU'!F9</f>
        <v>30</v>
      </c>
      <c r="G697" s="18" t="str">
        <f>'GİRDİ RAPORU'!G9</f>
        <v>Ayar</v>
      </c>
      <c r="H697" s="18">
        <f>'GİRDİ RAPORU'!H9</f>
        <v>0</v>
      </c>
      <c r="I697" s="18">
        <f>'GİRDİ RAPORU'!I9</f>
        <v>0</v>
      </c>
      <c r="J697" s="18">
        <f>'GİRDİ RAPORU'!J981</f>
        <v>0</v>
      </c>
      <c r="K697" s="18">
        <f>'GİRDİ RAPORU'!K981</f>
        <v>0</v>
      </c>
      <c r="L697" s="18">
        <f>'GİRDİ RAPORU'!L981</f>
        <v>0</v>
      </c>
      <c r="M697" s="26">
        <f t="shared" si="30"/>
        <v>0.20133333333333334</v>
      </c>
      <c r="N697" s="26">
        <f t="shared" si="31"/>
        <v>5.5555555555555552E-2</v>
      </c>
      <c r="O697" s="26">
        <f t="shared" si="32"/>
        <v>0.94444444444444442</v>
      </c>
    </row>
    <row r="698" spans="1:15" ht="21.75" hidden="1" customHeight="1">
      <c r="A698" s="17">
        <f>'GİRDİ RAPORU'!A12</f>
        <v>45012.33320601852</v>
      </c>
      <c r="B698" s="18">
        <f>'GİRDİ RAPORU'!B8</f>
        <v>2</v>
      </c>
      <c r="C698" s="18">
        <f>'GİRDİ RAPORU'!C8</f>
        <v>558</v>
      </c>
      <c r="D698" s="18">
        <f>'GİRDİ RAPORU'!D8</f>
        <v>15</v>
      </c>
      <c r="E698" s="18" t="str">
        <f>'GİRDİ RAPORU'!E8</f>
        <v>Normal Mesai</v>
      </c>
      <c r="F698" s="18">
        <f>'GİRDİ RAPORU'!F8</f>
        <v>25</v>
      </c>
      <c r="G698" s="18" t="str">
        <f>'GİRDİ RAPORU'!G8</f>
        <v>Makine Arızası</v>
      </c>
      <c r="H698" s="18">
        <f>'GİRDİ RAPORU'!H8</f>
        <v>30</v>
      </c>
      <c r="I698" s="18" t="str">
        <f>'GİRDİ RAPORU'!I8</f>
        <v>Ayar</v>
      </c>
      <c r="J698" s="18">
        <f>'GİRDİ RAPORU'!J980</f>
        <v>0</v>
      </c>
      <c r="K698" s="18">
        <f>'GİRDİ RAPORU'!K980</f>
        <v>0</v>
      </c>
      <c r="L698" s="18">
        <f>'GİRDİ RAPORU'!L980</f>
        <v>0</v>
      </c>
      <c r="M698" s="26">
        <f t="shared" si="30"/>
        <v>0.76400000000000001</v>
      </c>
      <c r="N698" s="26">
        <f t="shared" si="31"/>
        <v>0.10185185185185185</v>
      </c>
      <c r="O698" s="26">
        <f t="shared" si="32"/>
        <v>0.89814814814814814</v>
      </c>
    </row>
    <row r="699" spans="1:15" ht="21.75" hidden="1" customHeight="1">
      <c r="A699" s="17">
        <f>'GİRDİ RAPORU'!A11</f>
        <v>45009.699867939817</v>
      </c>
      <c r="B699" s="18">
        <f>'GİRDİ RAPORU'!B7</f>
        <v>2</v>
      </c>
      <c r="C699" s="18">
        <f>'GİRDİ RAPORU'!C7</f>
        <v>447</v>
      </c>
      <c r="D699" s="18">
        <f>'GİRDİ RAPORU'!D7</f>
        <v>46</v>
      </c>
      <c r="E699" s="18" t="str">
        <f>'GİRDİ RAPORU'!E7</f>
        <v>Normal Mesai</v>
      </c>
      <c r="F699" s="18">
        <f>'GİRDİ RAPORU'!F7</f>
        <v>25</v>
      </c>
      <c r="G699" s="18" t="str">
        <f>'GİRDİ RAPORU'!G7</f>
        <v>Ayar</v>
      </c>
      <c r="H699" s="18">
        <f>'GİRDİ RAPORU'!H7</f>
        <v>0</v>
      </c>
      <c r="I699" s="18">
        <f>'GİRDİ RAPORU'!I7</f>
        <v>0</v>
      </c>
      <c r="J699" s="18">
        <f>'GİRDİ RAPORU'!J979</f>
        <v>0</v>
      </c>
      <c r="K699" s="18">
        <f>'GİRDİ RAPORU'!K979</f>
        <v>0</v>
      </c>
      <c r="L699" s="18">
        <f>'GİRDİ RAPORU'!L979</f>
        <v>0</v>
      </c>
      <c r="M699" s="26">
        <f t="shared" si="30"/>
        <v>0.65733333333333333</v>
      </c>
      <c r="N699" s="26">
        <f t="shared" si="31"/>
        <v>4.6296296296296294E-2</v>
      </c>
      <c r="O699" s="26">
        <f t="shared" si="32"/>
        <v>0.95370370370370372</v>
      </c>
    </row>
    <row r="700" spans="1:15" ht="21.75" hidden="1" customHeight="1">
      <c r="A700" s="17">
        <f>'GİRDİ RAPORU'!A10</f>
        <v>45008.715810648151</v>
      </c>
      <c r="B700" s="18">
        <f>'GİRDİ RAPORU'!B2</f>
        <v>2</v>
      </c>
      <c r="C700" s="18">
        <f>'GİRDİ RAPORU'!C6</f>
        <v>134</v>
      </c>
      <c r="D700" s="18">
        <f>'GİRDİ RAPORU'!D6</f>
        <v>12</v>
      </c>
      <c r="E700" s="18" t="str">
        <f>'GİRDİ RAPORU'!E6</f>
        <v>Normal Mesai</v>
      </c>
      <c r="F700" s="18">
        <f>'GİRDİ RAPORU'!F6</f>
        <v>25</v>
      </c>
      <c r="G700" s="18" t="str">
        <f>'GİRDİ RAPORU'!G6</f>
        <v>Ayar</v>
      </c>
      <c r="H700" s="18">
        <f>'GİRDİ RAPORU'!H6</f>
        <v>100</v>
      </c>
      <c r="I700" s="18" t="str">
        <f>'GİRDİ RAPORU'!I6</f>
        <v>Ar-ge Çalışması</v>
      </c>
      <c r="J700" s="18">
        <f>'GİRDİ RAPORU'!J978</f>
        <v>0</v>
      </c>
      <c r="K700" s="18">
        <f>'GİRDİ RAPORU'!K978</f>
        <v>0</v>
      </c>
      <c r="L700" s="18">
        <f>'GİRDİ RAPORU'!L978</f>
        <v>0</v>
      </c>
      <c r="M700" s="26">
        <f t="shared" si="30"/>
        <v>0.19466666666666665</v>
      </c>
      <c r="N700" s="26">
        <f t="shared" si="31"/>
        <v>0.23148148148148148</v>
      </c>
      <c r="O700" s="26">
        <f t="shared" si="32"/>
        <v>0.76851851851851849</v>
      </c>
    </row>
    <row r="701" spans="1:15" ht="21.75" hidden="1" customHeight="1">
      <c r="A701" s="17">
        <f>'GİRDİ RAPORU'!A9</f>
        <v>45007.574293981481</v>
      </c>
      <c r="B701" s="18">
        <f>'GİRDİ RAPORU'!B3</f>
        <v>2</v>
      </c>
      <c r="C701" s="18">
        <f>'GİRDİ RAPORU'!C4</f>
        <v>472</v>
      </c>
      <c r="D701" s="18">
        <f>'GİRDİ RAPORU'!D4</f>
        <v>10</v>
      </c>
      <c r="E701" s="18" t="str">
        <f>'GİRDİ RAPORU'!E4</f>
        <v>Normal Mesai</v>
      </c>
      <c r="F701" s="18">
        <f>'GİRDİ RAPORU'!F4</f>
        <v>70</v>
      </c>
      <c r="G701" s="18" t="str">
        <f>'GİRDİ RAPORU'!G4</f>
        <v>Ayar</v>
      </c>
      <c r="H701" s="18">
        <f>'GİRDİ RAPORU'!H4</f>
        <v>0</v>
      </c>
      <c r="I701" s="18">
        <f>'GİRDİ RAPORU'!I4</f>
        <v>0</v>
      </c>
      <c r="J701" s="18">
        <f>'GİRDİ RAPORU'!J977</f>
        <v>0</v>
      </c>
      <c r="K701" s="18">
        <f>'GİRDİ RAPORU'!K977</f>
        <v>0</v>
      </c>
      <c r="L701" s="18">
        <f>'GİRDİ RAPORU'!L977</f>
        <v>0</v>
      </c>
      <c r="M701" s="26">
        <f t="shared" si="30"/>
        <v>0.64266666666666672</v>
      </c>
      <c r="N701" s="26">
        <f t="shared" si="31"/>
        <v>0.12962962962962962</v>
      </c>
      <c r="O701" s="26">
        <f t="shared" si="32"/>
        <v>0.87037037037037035</v>
      </c>
    </row>
    <row r="702" spans="1:15" ht="21.75" hidden="1" customHeight="1">
      <c r="A702" s="17">
        <f>'GİRDİ RAPORU'!A8</f>
        <v>45006.76547662037</v>
      </c>
      <c r="B702" s="18">
        <f>'GİRDİ RAPORU'!B4</f>
        <v>2</v>
      </c>
      <c r="C702" s="18">
        <f>'GİRDİ RAPORU'!C5</f>
        <v>238</v>
      </c>
      <c r="D702" s="18">
        <f>'GİRDİ RAPORU'!D5</f>
        <v>19</v>
      </c>
      <c r="E702" s="18" t="str">
        <f>'GİRDİ RAPORU'!E5</f>
        <v>Normal Mesai</v>
      </c>
      <c r="F702" s="18">
        <f>'GİRDİ RAPORU'!F5</f>
        <v>20</v>
      </c>
      <c r="G702" s="18" t="str">
        <f>'GİRDİ RAPORU'!G5</f>
        <v>Ayar</v>
      </c>
      <c r="H702" s="18">
        <f>'GİRDİ RAPORU'!H5</f>
        <v>0</v>
      </c>
      <c r="I702" s="18">
        <f>'GİRDİ RAPORU'!I5</f>
        <v>0</v>
      </c>
      <c r="J702" s="18">
        <f>'GİRDİ RAPORU'!J976</f>
        <v>0</v>
      </c>
      <c r="K702" s="18">
        <f>'GİRDİ RAPORU'!K976</f>
        <v>0</v>
      </c>
      <c r="L702" s="18">
        <f>'GİRDİ RAPORU'!L976</f>
        <v>0</v>
      </c>
      <c r="M702" s="26">
        <f t="shared" si="30"/>
        <v>0.34266666666666667</v>
      </c>
      <c r="N702" s="26">
        <f t="shared" si="31"/>
        <v>3.7037037037037035E-2</v>
      </c>
      <c r="O702" s="26">
        <f t="shared" si="32"/>
        <v>0.96296296296296291</v>
      </c>
    </row>
    <row r="703" spans="1:15" ht="21.75" hidden="1" customHeight="1">
      <c r="A703" s="17">
        <f>'GİRDİ RAPORU'!A7</f>
        <v>45005.332974537036</v>
      </c>
      <c r="B703" s="18">
        <f>'GİRDİ RAPORU'!B5</f>
        <v>2</v>
      </c>
      <c r="C703" s="18">
        <f>'GİRDİ RAPORU'!C3</f>
        <v>168</v>
      </c>
      <c r="D703" s="18">
        <f>'GİRDİ RAPORU'!D3</f>
        <v>11</v>
      </c>
      <c r="E703" s="18" t="str">
        <f>'GİRDİ RAPORU'!E3</f>
        <v>Normal Mesai</v>
      </c>
      <c r="F703" s="18">
        <f>'GİRDİ RAPORU'!F3</f>
        <v>20</v>
      </c>
      <c r="G703" s="18" t="str">
        <f>'GİRDİ RAPORU'!G3</f>
        <v>Ayar</v>
      </c>
      <c r="H703" s="18">
        <f>'GİRDİ RAPORU'!H3</f>
        <v>0</v>
      </c>
      <c r="I703" s="18">
        <f>'GİRDİ RAPORU'!I3</f>
        <v>0</v>
      </c>
      <c r="J703" s="18">
        <f>'GİRDİ RAPORU'!J975</f>
        <v>0</v>
      </c>
      <c r="K703" s="18">
        <f>'GİRDİ RAPORU'!K975</f>
        <v>0</v>
      </c>
      <c r="L703" s="18">
        <f>'GİRDİ RAPORU'!L975</f>
        <v>0</v>
      </c>
      <c r="M703" s="26">
        <f t="shared" si="30"/>
        <v>0.23866666666666667</v>
      </c>
      <c r="N703" s="26">
        <f t="shared" si="31"/>
        <v>3.7037037037037035E-2</v>
      </c>
      <c r="O703" s="26">
        <f t="shared" si="32"/>
        <v>0.96296296296296291</v>
      </c>
    </row>
    <row r="704" spans="1:15" ht="21.75" hidden="1" customHeight="1">
      <c r="A704" s="17">
        <f>'GİRDİ RAPORU'!A6</f>
        <v>45002.749882407406</v>
      </c>
      <c r="B704" s="18">
        <f>'GİRDİ RAPORU'!B6</f>
        <v>2</v>
      </c>
      <c r="C704" s="18">
        <f>'GİRDİ RAPORU'!C2</f>
        <v>483</v>
      </c>
      <c r="D704" s="18">
        <f>'GİRDİ RAPORU'!D2</f>
        <v>62</v>
      </c>
      <c r="E704" s="18" t="str">
        <f>'GİRDİ RAPORU'!E2</f>
        <v>Normal Mesai</v>
      </c>
      <c r="F704" s="18">
        <f>'GİRDİ RAPORU'!F2</f>
        <v>30</v>
      </c>
      <c r="G704" s="18" t="str">
        <f>'GİRDİ RAPORU'!G2</f>
        <v>Ayar</v>
      </c>
      <c r="H704" s="18">
        <f>'GİRDİ RAPORU'!H2</f>
        <v>0</v>
      </c>
      <c r="I704" s="18">
        <f>'GİRDİ RAPORU'!I2</f>
        <v>0</v>
      </c>
      <c r="J704" s="18">
        <f>'GİRDİ RAPORU'!J974</f>
        <v>0</v>
      </c>
      <c r="K704" s="18">
        <f>'GİRDİ RAPORU'!K974</f>
        <v>0</v>
      </c>
      <c r="L704" s="18">
        <f>'GİRDİ RAPORU'!L974</f>
        <v>0</v>
      </c>
      <c r="M704" s="26">
        <f t="shared" si="30"/>
        <v>0.72666666666666668</v>
      </c>
      <c r="N704" s="26">
        <f t="shared" si="31"/>
        <v>5.5555555555555552E-2</v>
      </c>
      <c r="O704" s="26">
        <f t="shared" si="32"/>
        <v>0.94444444444444442</v>
      </c>
    </row>
    <row r="705" spans="1:15" ht="21.75" hidden="1" customHeight="1">
      <c r="A705" s="17">
        <f>'GİRDİ RAPORU'!A4</f>
        <v>45001.337187500001</v>
      </c>
      <c r="B705" s="18">
        <f>'GİRDİ RAPORU'!B496</f>
        <v>2</v>
      </c>
      <c r="C705" s="18">
        <f>'GİRDİ RAPORU'!C496</f>
        <v>0</v>
      </c>
      <c r="D705" s="18">
        <f>'GİRDİ RAPORU'!D496</f>
        <v>262</v>
      </c>
      <c r="E705" s="18" t="str">
        <f>'GİRDİ RAPORU'!E496</f>
        <v>Normal Mesai</v>
      </c>
      <c r="F705" s="18">
        <f>'GİRDİ RAPORU'!F496</f>
        <v>15</v>
      </c>
      <c r="G705" s="18" t="str">
        <f>'GİRDİ RAPORU'!G496</f>
        <v>Temizlik</v>
      </c>
      <c r="H705" s="18">
        <f>'GİRDİ RAPORU'!H496</f>
        <v>15</v>
      </c>
      <c r="I705" s="18" t="str">
        <f>'GİRDİ RAPORU'!I496</f>
        <v>Hazırlık/İlk Isınma</v>
      </c>
      <c r="J705" s="18">
        <f>'GİRDİ RAPORU'!J973</f>
        <v>0</v>
      </c>
      <c r="K705" s="18">
        <f>'GİRDİ RAPORU'!K973</f>
        <v>0</v>
      </c>
      <c r="L705" s="18">
        <f>'GİRDİ RAPORU'!L973</f>
        <v>0</v>
      </c>
      <c r="M705" s="26">
        <f t="shared" si="30"/>
        <v>0.34933333333333333</v>
      </c>
      <c r="N705" s="26">
        <f t="shared" si="31"/>
        <v>5.5555555555555552E-2</v>
      </c>
      <c r="O705" s="26">
        <f t="shared" si="32"/>
        <v>0.94444444444444442</v>
      </c>
    </row>
    <row r="706" spans="1:15" ht="21.75" hidden="1" customHeight="1">
      <c r="A706" s="17">
        <f>'GİRDİ RAPORU'!A5</f>
        <v>45000.705625000002</v>
      </c>
      <c r="B706" s="18">
        <f>'GİRDİ RAPORU'!B497</f>
        <v>2</v>
      </c>
      <c r="C706" s="18">
        <f>'GİRDİ RAPORU'!C497</f>
        <v>0</v>
      </c>
      <c r="D706" s="18">
        <f>'GİRDİ RAPORU'!D497</f>
        <v>316</v>
      </c>
      <c r="E706" s="18" t="str">
        <f>'GİRDİ RAPORU'!E497</f>
        <v>Normal Mesai</v>
      </c>
      <c r="F706" s="18">
        <f>'GİRDİ RAPORU'!F497</f>
        <v>15</v>
      </c>
      <c r="G706" s="18" t="str">
        <f>'GİRDİ RAPORU'!G497</f>
        <v>Temizlik</v>
      </c>
      <c r="H706" s="18">
        <f>'GİRDİ RAPORU'!H497</f>
        <v>15</v>
      </c>
      <c r="I706" s="18" t="str">
        <f>'GİRDİ RAPORU'!I497</f>
        <v>Hazırlık/İlk Isınma</v>
      </c>
      <c r="J706" s="18">
        <f>'GİRDİ RAPORU'!J972</f>
        <v>0</v>
      </c>
      <c r="K706" s="18">
        <f>'GİRDİ RAPORU'!K972</f>
        <v>0</v>
      </c>
      <c r="L706" s="18">
        <f>'GİRDİ RAPORU'!L972</f>
        <v>0</v>
      </c>
      <c r="M706" s="26">
        <f t="shared" si="30"/>
        <v>0.42133333333333334</v>
      </c>
      <c r="N706" s="26">
        <f t="shared" si="31"/>
        <v>5.5555555555555552E-2</v>
      </c>
      <c r="O706" s="26">
        <f t="shared" si="32"/>
        <v>0.94444444444444442</v>
      </c>
    </row>
    <row r="707" spans="1:15" ht="21.75" hidden="1" customHeight="1">
      <c r="A707" s="17">
        <f>'GİRDİ RAPORU'!A3</f>
        <v>45000.336027662037</v>
      </c>
      <c r="B707" s="18">
        <f>'GİRDİ RAPORU'!B498</f>
        <v>2</v>
      </c>
      <c r="C707" s="18">
        <f>'GİRDİ RAPORU'!C498</f>
        <v>0</v>
      </c>
      <c r="D707" s="18">
        <f>'GİRDİ RAPORU'!D498</f>
        <v>428</v>
      </c>
      <c r="E707" s="18" t="str">
        <f>'GİRDİ RAPORU'!E498</f>
        <v>Normal Mesai</v>
      </c>
      <c r="F707" s="18">
        <f>'GİRDİ RAPORU'!F498</f>
        <v>15</v>
      </c>
      <c r="G707" s="18" t="str">
        <f>'GİRDİ RAPORU'!G498</f>
        <v>Temizlik</v>
      </c>
      <c r="H707" s="18">
        <f>'GİRDİ RAPORU'!H498</f>
        <v>15</v>
      </c>
      <c r="I707" s="18" t="str">
        <f>'GİRDİ RAPORU'!I498</f>
        <v>Hazırlık/İlk Isınma</v>
      </c>
      <c r="J707" s="18">
        <f>'GİRDİ RAPORU'!J971</f>
        <v>0</v>
      </c>
      <c r="K707" s="18">
        <f>'GİRDİ RAPORU'!K971</f>
        <v>0</v>
      </c>
      <c r="L707" s="18">
        <f>'GİRDİ RAPORU'!L971</f>
        <v>0</v>
      </c>
      <c r="M707" s="26">
        <f t="shared" si="30"/>
        <v>0.57066666666666666</v>
      </c>
      <c r="N707" s="26">
        <f t="shared" si="31"/>
        <v>5.5555555555555552E-2</v>
      </c>
      <c r="O707" s="26">
        <f t="shared" si="32"/>
        <v>0.94444444444444442</v>
      </c>
    </row>
    <row r="708" spans="1:15" ht="21.75" hidden="1" customHeight="1">
      <c r="A708" s="17">
        <f>'GİRDİ RAPORU'!A2</f>
        <v>44998</v>
      </c>
      <c r="B708" s="18">
        <f>'GİRDİ RAPORU'!B499</f>
        <v>2</v>
      </c>
      <c r="C708" s="18">
        <f>'GİRDİ RAPORU'!C499</f>
        <v>0</v>
      </c>
      <c r="D708" s="18">
        <f>'GİRDİ RAPORU'!D499</f>
        <v>456</v>
      </c>
      <c r="E708" s="18" t="str">
        <f>'GİRDİ RAPORU'!E499</f>
        <v>Normal Mesai</v>
      </c>
      <c r="F708" s="18">
        <f>'GİRDİ RAPORU'!F499</f>
        <v>15</v>
      </c>
      <c r="G708" s="18" t="str">
        <f>'GİRDİ RAPORU'!G499</f>
        <v>Temizlik</v>
      </c>
      <c r="H708" s="18">
        <f>'GİRDİ RAPORU'!H499</f>
        <v>15</v>
      </c>
      <c r="I708" s="18" t="str">
        <f>'GİRDİ RAPORU'!I499</f>
        <v>Hazırlık/İlk Isınma</v>
      </c>
      <c r="J708" s="18">
        <f>'GİRDİ RAPORU'!J970</f>
        <v>0</v>
      </c>
      <c r="K708" s="18">
        <f>'GİRDİ RAPORU'!K970</f>
        <v>0</v>
      </c>
      <c r="L708" s="18">
        <f>'GİRDİ RAPORU'!L970</f>
        <v>0</v>
      </c>
      <c r="M708" s="26">
        <f t="shared" si="30"/>
        <v>0.60799999999999998</v>
      </c>
      <c r="N708" s="26">
        <f t="shared" si="31"/>
        <v>5.5555555555555552E-2</v>
      </c>
      <c r="O708" s="26">
        <f t="shared" si="32"/>
        <v>0.94444444444444442</v>
      </c>
    </row>
    <row r="709" spans="1:15" ht="21.75" hidden="1" customHeight="1">
      <c r="A709" s="17">
        <f>'GİRDİ RAPORU'!A589</f>
        <v>808.20249999999999</v>
      </c>
      <c r="B709" s="18">
        <f>'GİRDİ RAPORU'!B589</f>
        <v>2</v>
      </c>
      <c r="C709" s="18">
        <f>'GİRDİ RAPORU'!C589</f>
        <v>0</v>
      </c>
      <c r="D709" s="18">
        <f>'GİRDİ RAPORU'!D589</f>
        <v>290</v>
      </c>
      <c r="E709" s="18" t="str">
        <f>'GİRDİ RAPORU'!E589</f>
        <v>Normal Mesai</v>
      </c>
      <c r="F709" s="18">
        <f>'GİRDİ RAPORU'!F589</f>
        <v>60</v>
      </c>
      <c r="G709" s="18" t="str">
        <f>'GİRDİ RAPORU'!G589</f>
        <v>Temizlik</v>
      </c>
      <c r="H709" s="18">
        <f>'GİRDİ RAPORU'!H589</f>
        <v>15</v>
      </c>
      <c r="I709" s="18" t="str">
        <f>'GİRDİ RAPORU'!I589</f>
        <v>Hazırlık/İlk Isınma</v>
      </c>
      <c r="J709" s="18">
        <f>'GİRDİ RAPORU'!J969</f>
        <v>0</v>
      </c>
      <c r="K709" s="18">
        <f>'GİRDİ RAPORU'!K969</f>
        <v>0</v>
      </c>
      <c r="L709" s="18">
        <f>'GİRDİ RAPORU'!L969</f>
        <v>0</v>
      </c>
      <c r="M709" s="26">
        <f t="shared" si="30"/>
        <v>0.38666666666666666</v>
      </c>
      <c r="N709" s="26">
        <f t="shared" si="31"/>
        <v>0.1388888888888889</v>
      </c>
      <c r="O709" s="26">
        <f t="shared" si="32"/>
        <v>0.86111111111111116</v>
      </c>
    </row>
    <row r="710" spans="1:15" ht="21.75" customHeight="1">
      <c r="A710" s="17">
        <f>'GİRDİ RAPORU'!A808</f>
        <v>46034</v>
      </c>
      <c r="B710" s="18">
        <f>'GİRDİ RAPORU'!B808</f>
        <v>2</v>
      </c>
      <c r="C710" s="18">
        <f>'GİRDİ RAPORU'!C808</f>
        <v>0</v>
      </c>
      <c r="D710" s="18">
        <f>'GİRDİ RAPORU'!D808</f>
        <v>358</v>
      </c>
      <c r="E710" s="18" t="str">
        <f>'GİRDİ RAPORU'!E808</f>
        <v>Normal Mesai</v>
      </c>
      <c r="F710" s="18">
        <f>'GİRDİ RAPORU'!F808</f>
        <v>60</v>
      </c>
      <c r="G710" s="18" t="str">
        <f>'GİRDİ RAPORU'!G808</f>
        <v>Makine Arızası</v>
      </c>
      <c r="H710" s="18">
        <f>'GİRDİ RAPORU'!H808</f>
        <v>15</v>
      </c>
      <c r="I710" s="18" t="str">
        <f>'GİRDİ RAPORU'!I808</f>
        <v>Temizlik</v>
      </c>
      <c r="J710" s="18">
        <f>'GİRDİ RAPORU'!J808</f>
        <v>0</v>
      </c>
      <c r="K710" s="18">
        <f>'GİRDİ RAPORU'!K808</f>
        <v>0</v>
      </c>
      <c r="L710" s="18">
        <f>'GİRDİ RAPORU'!L808</f>
        <v>0</v>
      </c>
      <c r="M710" s="26">
        <f t="shared" si="30"/>
        <v>0.47733333333333333</v>
      </c>
      <c r="N710" s="26">
        <f t="shared" si="31"/>
        <v>0.1388888888888889</v>
      </c>
      <c r="O710" s="26">
        <f t="shared" si="32"/>
        <v>0.86111111111111116</v>
      </c>
    </row>
    <row r="711" spans="1:15" ht="21.75" hidden="1" customHeight="1">
      <c r="A711" s="17"/>
      <c r="E711" s="18"/>
      <c r="F711" s="18"/>
      <c r="G711" s="18"/>
      <c r="H711" s="18"/>
      <c r="I711" s="18"/>
      <c r="J711" s="18"/>
      <c r="K711" s="18"/>
      <c r="L711" s="18"/>
      <c r="M711" s="26"/>
      <c r="N711" s="26"/>
      <c r="O711" s="26"/>
    </row>
    <row r="712" spans="1:15" ht="21.75" hidden="1" customHeight="1">
      <c r="A712" s="17"/>
      <c r="E712" s="18"/>
      <c r="F712" s="18"/>
      <c r="G712" s="18"/>
      <c r="H712" s="18"/>
      <c r="I712" s="18"/>
      <c r="J712" s="18"/>
      <c r="K712" s="18"/>
      <c r="L712" s="18"/>
      <c r="M712" s="26"/>
      <c r="N712" s="26"/>
      <c r="O712" s="26"/>
    </row>
    <row r="713" spans="1:15" ht="21.75" customHeight="1">
      <c r="A713" s="17">
        <f>'GİRDİ RAPORU'!A809</f>
        <v>46035</v>
      </c>
      <c r="B713" s="18">
        <f>'GİRDİ RAPORU'!B809</f>
        <v>2</v>
      </c>
      <c r="C713" s="18">
        <f>'GİRDİ RAPORU'!C809</f>
        <v>0</v>
      </c>
      <c r="D713" s="18">
        <f>'GİRDİ RAPORU'!D809</f>
        <v>370</v>
      </c>
      <c r="E713" s="18" t="str">
        <f>'GİRDİ RAPORU'!E809</f>
        <v>Normal Mesai</v>
      </c>
      <c r="F713" s="18">
        <f>'GİRDİ RAPORU'!F809</f>
        <v>15</v>
      </c>
      <c r="G713" s="18">
        <f>'GİRDİ RAPORU'!G809</f>
        <v>0</v>
      </c>
      <c r="H713" s="18">
        <f>'GİRDİ RAPORU'!H809</f>
        <v>15</v>
      </c>
      <c r="I713" s="18" t="str">
        <f>'GİRDİ RAPORU'!I809</f>
        <v>Temizlik</v>
      </c>
      <c r="J713" s="18">
        <f>'GİRDİ RAPORU'!J809</f>
        <v>0</v>
      </c>
      <c r="K713" s="18">
        <f>'GİRDİ RAPORU'!K809</f>
        <v>0</v>
      </c>
      <c r="L713" s="18">
        <f>'GİRDİ RAPORU'!L809</f>
        <v>0</v>
      </c>
      <c r="M713" s="26">
        <f>(C713+D713)/750</f>
        <v>0.49333333333333335</v>
      </c>
      <c r="N713" s="26">
        <f>(F713+H713+J713)/540</f>
        <v>5.5555555555555552E-2</v>
      </c>
      <c r="O713" s="26">
        <f>(540-F713-H713-J713)/540</f>
        <v>0.94444444444444442</v>
      </c>
    </row>
    <row r="714" spans="1:15" ht="21.75" hidden="1" customHeight="1">
      <c r="A714" s="17"/>
      <c r="E714" s="18"/>
      <c r="F714" s="18"/>
      <c r="G714" s="18"/>
      <c r="H714" s="18"/>
      <c r="I714" s="18"/>
      <c r="J714" s="18"/>
      <c r="K714" s="18"/>
      <c r="L714" s="18"/>
      <c r="M714" s="26"/>
      <c r="N714" s="26"/>
      <c r="O714" s="26"/>
    </row>
    <row r="715" spans="1:15" ht="21.75" customHeight="1">
      <c r="A715" s="17">
        <f>'GİRDİ RAPORU'!A813</f>
        <v>46036</v>
      </c>
      <c r="B715" s="18">
        <f>'GİRDİ RAPORU'!B813</f>
        <v>2</v>
      </c>
      <c r="C715" s="18">
        <f>'GİRDİ RAPORU'!C813</f>
        <v>0</v>
      </c>
      <c r="D715" s="18">
        <f>'GİRDİ RAPORU'!D813</f>
        <v>320</v>
      </c>
      <c r="E715" s="18" t="str">
        <f>'GİRDİ RAPORU'!E813</f>
        <v>Normal Mesai</v>
      </c>
      <c r="F715" s="18">
        <f>'GİRDİ RAPORU'!F813</f>
        <v>15</v>
      </c>
      <c r="G715" s="18" t="str">
        <f>'GİRDİ RAPORU'!G813</f>
        <v>Temizlik</v>
      </c>
      <c r="H715" s="18">
        <f>'GİRDİ RAPORU'!H813</f>
        <v>15</v>
      </c>
      <c r="I715" s="18" t="str">
        <f>'GİRDİ RAPORU'!I813</f>
        <v>Temizlik</v>
      </c>
      <c r="J715" s="18">
        <f>'GİRDİ RAPORU'!J813</f>
        <v>0</v>
      </c>
      <c r="K715" s="18">
        <f>'GİRDİ RAPORU'!K813</f>
        <v>0</v>
      </c>
      <c r="L715" s="18">
        <f>'GİRDİ RAPORU'!L813</f>
        <v>0</v>
      </c>
      <c r="M715" s="26">
        <f>(C715+D715)/750</f>
        <v>0.42666666666666669</v>
      </c>
      <c r="N715" s="26">
        <f>(F715+H715+J715)/540</f>
        <v>5.5555555555555552E-2</v>
      </c>
      <c r="O715" s="26">
        <f>(540-F715-H715-J715)/540</f>
        <v>0.94444444444444442</v>
      </c>
    </row>
    <row r="716" spans="1:15" ht="21.75" customHeight="1">
      <c r="A716" s="17">
        <f>'GİRDİ RAPORU'!A814</f>
        <v>46037</v>
      </c>
      <c r="B716" s="18">
        <f>'GİRDİ RAPORU'!B814</f>
        <v>2</v>
      </c>
      <c r="C716" s="18">
        <f>'GİRDİ RAPORU'!C814</f>
        <v>0</v>
      </c>
      <c r="D716" s="18">
        <f>'GİRDİ RAPORU'!D814</f>
        <v>445</v>
      </c>
      <c r="E716" s="18" t="str">
        <f>'GİRDİ RAPORU'!E814</f>
        <v>Normal Mesai</v>
      </c>
      <c r="F716" s="18">
        <f>'GİRDİ RAPORU'!F814</f>
        <v>15</v>
      </c>
      <c r="G716" s="18" t="str">
        <f>'GİRDİ RAPORU'!G814</f>
        <v>Temizlik</v>
      </c>
      <c r="H716" s="18">
        <f>'GİRDİ RAPORU'!H814</f>
        <v>15</v>
      </c>
      <c r="I716" s="18" t="str">
        <f>'GİRDİ RAPORU'!I814</f>
        <v>Temizlik</v>
      </c>
      <c r="J716" s="18">
        <f>'GİRDİ RAPORU'!J814</f>
        <v>0</v>
      </c>
      <c r="K716" s="18">
        <f>'GİRDİ RAPORU'!K814</f>
        <v>0</v>
      </c>
      <c r="L716" s="18">
        <f>'GİRDİ RAPORU'!L814</f>
        <v>0</v>
      </c>
      <c r="M716" s="26">
        <f>(C716+D716)/750</f>
        <v>0.59333333333333338</v>
      </c>
      <c r="N716" s="26">
        <f>(F716+H716+J716)/540</f>
        <v>5.5555555555555552E-2</v>
      </c>
      <c r="O716" s="26">
        <f>(540-F716-H716-J716)/540</f>
        <v>0.94444444444444442</v>
      </c>
    </row>
    <row r="717" spans="1:15" ht="21.75" customHeight="1">
      <c r="A717" s="17">
        <f>'GİRDİ RAPORU'!A815</f>
        <v>46038</v>
      </c>
      <c r="B717" s="18">
        <f>'GİRDİ RAPORU'!B815</f>
        <v>2</v>
      </c>
      <c r="C717" s="18">
        <f>'GİRDİ RAPORU'!C815</f>
        <v>0</v>
      </c>
      <c r="D717" s="18">
        <f>'GİRDİ RAPORU'!D815</f>
        <v>330</v>
      </c>
      <c r="E717" s="18" t="str">
        <f>'GİRDİ RAPORU'!E815</f>
        <v>Normal Mesai</v>
      </c>
      <c r="F717" s="18">
        <f>'GİRDİ RAPORU'!F815</f>
        <v>15</v>
      </c>
      <c r="G717" s="18" t="str">
        <f>'GİRDİ RAPORU'!G815</f>
        <v>Temizlik</v>
      </c>
      <c r="H717" s="18">
        <f>'GİRDİ RAPORU'!H815</f>
        <v>60</v>
      </c>
      <c r="I717" s="18" t="str">
        <f>'GİRDİ RAPORU'!I815</f>
        <v>Temizlik</v>
      </c>
      <c r="J717" s="18">
        <f>'GİRDİ RAPORU'!J815</f>
        <v>0</v>
      </c>
      <c r="K717" s="18">
        <f>'GİRDİ RAPORU'!K815</f>
        <v>0</v>
      </c>
      <c r="L717" s="18">
        <f>'GİRDİ RAPORU'!L815</f>
        <v>0</v>
      </c>
      <c r="M717" s="26">
        <f>(C717+D717)/750</f>
        <v>0.44</v>
      </c>
      <c r="N717" s="26">
        <f>(F717+H717+J717)/540</f>
        <v>0.1388888888888889</v>
      </c>
      <c r="O717" s="26">
        <f>(540-F717-H717-J717)/540</f>
        <v>0.86111111111111116</v>
      </c>
    </row>
    <row r="718" spans="1:15" ht="21.75" customHeight="1">
      <c r="A718" s="17">
        <f>'GİRDİ RAPORU'!A817</f>
        <v>46041</v>
      </c>
      <c r="B718" s="18">
        <f>'GİRDİ RAPORU'!B817</f>
        <v>2</v>
      </c>
      <c r="C718" s="18">
        <f>'GİRDİ RAPORU'!C817</f>
        <v>0</v>
      </c>
      <c r="D718" s="18">
        <f>'GİRDİ RAPORU'!D817</f>
        <v>405</v>
      </c>
      <c r="E718" s="18" t="str">
        <f>'GİRDİ RAPORU'!E817</f>
        <v>Normal Mesai</v>
      </c>
      <c r="F718" s="18">
        <f>'GİRDİ RAPORU'!F817</f>
        <v>15</v>
      </c>
      <c r="G718" s="18" t="str">
        <f>'GİRDİ RAPORU'!G817</f>
        <v>Temizlik</v>
      </c>
      <c r="H718" s="18">
        <f>'GİRDİ RAPORU'!H817</f>
        <v>15</v>
      </c>
      <c r="I718" s="18" t="str">
        <f>'GİRDİ RAPORU'!I817</f>
        <v>Temizlik</v>
      </c>
      <c r="J718" s="18">
        <f>'GİRDİ RAPORU'!J817</f>
        <v>0</v>
      </c>
      <c r="K718" s="18">
        <f>'GİRDİ RAPORU'!K817</f>
        <v>0</v>
      </c>
      <c r="L718" s="18">
        <f>'GİRDİ RAPORU'!L817</f>
        <v>0</v>
      </c>
      <c r="M718" s="26">
        <f>(C718+D718)/750</f>
        <v>0.54</v>
      </c>
      <c r="N718" s="26">
        <f>(F718+H718+J718)/540</f>
        <v>5.5555555555555552E-2</v>
      </c>
      <c r="O718" s="26">
        <f>(540-F718-H718-J718)/540</f>
        <v>0.94444444444444442</v>
      </c>
    </row>
    <row r="719" spans="1:15" ht="21.75" customHeight="1">
      <c r="A719" s="17">
        <f>'GİRDİ RAPORU'!A818</f>
        <v>46042</v>
      </c>
      <c r="B719" s="18">
        <f>'GİRDİ RAPORU'!B818</f>
        <v>2</v>
      </c>
      <c r="C719" s="18">
        <f>'GİRDİ RAPORU'!C818</f>
        <v>0</v>
      </c>
      <c r="D719" s="18">
        <f>'GİRDİ RAPORU'!D818</f>
        <v>295</v>
      </c>
      <c r="E719" s="18" t="str">
        <f>'GİRDİ RAPORU'!E818</f>
        <v>Normal Mesai</v>
      </c>
      <c r="F719" s="18">
        <f>'GİRDİ RAPORU'!F818</f>
        <v>15</v>
      </c>
      <c r="G719" s="18" t="str">
        <f>'GİRDİ RAPORU'!G818</f>
        <v>Temizlik</v>
      </c>
      <c r="H719" s="18">
        <f>'GİRDİ RAPORU'!H818</f>
        <v>15</v>
      </c>
      <c r="I719" s="18" t="str">
        <f>'GİRDİ RAPORU'!I818</f>
        <v>Temizlik</v>
      </c>
      <c r="J719" s="18">
        <f>'GİRDİ RAPORU'!J818</f>
        <v>0</v>
      </c>
      <c r="K719" s="18">
        <f>'GİRDİ RAPORU'!K818</f>
        <v>0</v>
      </c>
      <c r="L719" s="18">
        <f>'GİRDİ RAPORU'!L818</f>
        <v>0</v>
      </c>
      <c r="M719" s="26">
        <f>(C719+D719)/750</f>
        <v>0.39333333333333331</v>
      </c>
      <c r="N719" s="26">
        <f>(F719+H719+J719)/540</f>
        <v>5.5555555555555552E-2</v>
      </c>
      <c r="O719" s="26">
        <f>(540-F719-H719-J719)/540</f>
        <v>0.94444444444444442</v>
      </c>
    </row>
    <row r="720" spans="1:15" ht="21.75" customHeight="1">
      <c r="A720" s="17">
        <f>'GİRDİ RAPORU'!A819</f>
        <v>46043</v>
      </c>
      <c r="B720" s="18">
        <f>'GİRDİ RAPORU'!B819</f>
        <v>2</v>
      </c>
      <c r="C720" s="18">
        <f>'GİRDİ RAPORU'!C819</f>
        <v>0</v>
      </c>
      <c r="D720" s="18">
        <f>'GİRDİ RAPORU'!D819</f>
        <v>60</v>
      </c>
      <c r="E720" s="18" t="str">
        <f>'GİRDİ RAPORU'!E819</f>
        <v>Normal Mesai</v>
      </c>
      <c r="F720" s="18">
        <f>'GİRDİ RAPORU'!F819</f>
        <v>15</v>
      </c>
      <c r="G720" s="18" t="str">
        <f>'GİRDİ RAPORU'!G819</f>
        <v>Hazırlık/İlk Isınma</v>
      </c>
      <c r="H720" s="18">
        <f>'GİRDİ RAPORU'!H819</f>
        <v>480</v>
      </c>
      <c r="I720" s="18" t="str">
        <f>'GİRDİ RAPORU'!I819</f>
        <v>Makine Arızası</v>
      </c>
      <c r="J720" s="18">
        <f>'GİRDİ RAPORU'!J819</f>
        <v>0</v>
      </c>
      <c r="K720" s="18">
        <f>'GİRDİ RAPORU'!K819</f>
        <v>0</v>
      </c>
      <c r="L720" s="18">
        <f>'GİRDİ RAPORU'!L819</f>
        <v>0</v>
      </c>
      <c r="M720" s="26">
        <f t="shared" ref="M720:M768" si="33">(C720+D720)/750</f>
        <v>0.08</v>
      </c>
      <c r="N720" s="26">
        <f t="shared" ref="N720:N768" si="34">(F720+H720+J720)/540</f>
        <v>0.91666666666666663</v>
      </c>
      <c r="O720" s="26">
        <f t="shared" ref="O720:O768" si="35">(540-F720-H720-J720)/540</f>
        <v>8.3333333333333329E-2</v>
      </c>
    </row>
    <row r="721" spans="1:15" ht="21.75" hidden="1" customHeight="1">
      <c r="A721" s="17">
        <f>'GİRDİ RAPORU'!A820</f>
        <v>46044</v>
      </c>
      <c r="B721" s="18">
        <f>'GİRDİ RAPORU'!B820</f>
        <v>2</v>
      </c>
      <c r="C721" s="18">
        <f>'GİRDİ RAPORU'!C820</f>
        <v>0</v>
      </c>
      <c r="D721" s="18">
        <f>'GİRDİ RAPORU'!D820</f>
        <v>232</v>
      </c>
      <c r="E721" s="18" t="str">
        <f>'GİRDİ RAPORU'!E820</f>
        <v>Normal Mesai</v>
      </c>
      <c r="F721" s="18">
        <f>'GİRDİ RAPORU'!F820</f>
        <v>15</v>
      </c>
      <c r="G721" s="18" t="str">
        <f>'GİRDİ RAPORU'!G820</f>
        <v>Hazırlık/İlk Isınma</v>
      </c>
      <c r="H721" s="18">
        <f>'GİRDİ RAPORU'!H820</f>
        <v>120</v>
      </c>
      <c r="I721" s="18" t="str">
        <f>'GİRDİ RAPORU'!I820</f>
        <v>Ar-ge Çalışması</v>
      </c>
      <c r="J721" s="18">
        <f>'GİRDİ RAPORU'!J820</f>
        <v>0</v>
      </c>
      <c r="K721" s="18">
        <f>'GİRDİ RAPORU'!K820</f>
        <v>0</v>
      </c>
      <c r="L721" s="18">
        <f>'GİRDİ RAPORU'!L820</f>
        <v>0</v>
      </c>
      <c r="M721" s="26">
        <f t="shared" si="33"/>
        <v>0.30933333333333335</v>
      </c>
      <c r="N721" s="26">
        <f t="shared" si="34"/>
        <v>0.25</v>
      </c>
      <c r="O721" s="26">
        <f t="shared" si="35"/>
        <v>0.75</v>
      </c>
    </row>
    <row r="722" spans="1:15" ht="21.75" hidden="1" customHeight="1">
      <c r="A722" s="17">
        <f>'GİRDİ RAPORU'!A821</f>
        <v>0</v>
      </c>
      <c r="B722" s="18">
        <f>'GİRDİ RAPORU'!B821</f>
        <v>0</v>
      </c>
      <c r="C722" s="18">
        <f>'GİRDİ RAPORU'!C821</f>
        <v>0</v>
      </c>
      <c r="D722" s="18">
        <f>'GİRDİ RAPORU'!D821</f>
        <v>0</v>
      </c>
      <c r="E722" s="18">
        <f>'GİRDİ RAPORU'!E821</f>
        <v>0</v>
      </c>
      <c r="F722" s="18">
        <f>'GİRDİ RAPORU'!F821</f>
        <v>0</v>
      </c>
      <c r="G722" s="18">
        <f>'GİRDİ RAPORU'!G821</f>
        <v>0</v>
      </c>
      <c r="H722" s="18">
        <f>'GİRDİ RAPORU'!H821</f>
        <v>0</v>
      </c>
      <c r="I722" s="18">
        <f>'GİRDİ RAPORU'!I821</f>
        <v>0</v>
      </c>
      <c r="J722" s="18">
        <f>'GİRDİ RAPORU'!J821</f>
        <v>0</v>
      </c>
      <c r="K722" s="18">
        <f>'GİRDİ RAPORU'!K821</f>
        <v>0</v>
      </c>
      <c r="L722" s="18">
        <f>'GİRDİ RAPORU'!L821</f>
        <v>0</v>
      </c>
      <c r="M722" s="26">
        <f t="shared" si="33"/>
        <v>0</v>
      </c>
      <c r="N722" s="26">
        <f t="shared" si="34"/>
        <v>0</v>
      </c>
      <c r="O722" s="26">
        <f t="shared" si="35"/>
        <v>1</v>
      </c>
    </row>
    <row r="723" spans="1:15" ht="21.75" hidden="1" customHeight="1">
      <c r="A723" s="17">
        <f>'GİRDİ RAPORU'!A822</f>
        <v>0</v>
      </c>
      <c r="B723" s="18">
        <f>'GİRDİ RAPORU'!B822</f>
        <v>0</v>
      </c>
      <c r="C723" s="18">
        <f>'GİRDİ RAPORU'!C822</f>
        <v>0</v>
      </c>
      <c r="D723" s="18">
        <f>'GİRDİ RAPORU'!D822</f>
        <v>0</v>
      </c>
      <c r="E723" s="18">
        <f>'GİRDİ RAPORU'!E822</f>
        <v>0</v>
      </c>
      <c r="F723" s="18">
        <f>'GİRDİ RAPORU'!F822</f>
        <v>0</v>
      </c>
      <c r="G723" s="18">
        <f>'GİRDİ RAPORU'!G822</f>
        <v>0</v>
      </c>
      <c r="H723" s="18">
        <f>'GİRDİ RAPORU'!H822</f>
        <v>0</v>
      </c>
      <c r="I723" s="18">
        <f>'GİRDİ RAPORU'!I822</f>
        <v>0</v>
      </c>
      <c r="J723" s="18">
        <f>'GİRDİ RAPORU'!J822</f>
        <v>0</v>
      </c>
      <c r="K723" s="18">
        <f>'GİRDİ RAPORU'!K822</f>
        <v>0</v>
      </c>
      <c r="L723" s="18">
        <f>'GİRDİ RAPORU'!L822</f>
        <v>0</v>
      </c>
      <c r="M723" s="26">
        <f t="shared" si="33"/>
        <v>0</v>
      </c>
      <c r="N723" s="26">
        <f t="shared" si="34"/>
        <v>0</v>
      </c>
      <c r="O723" s="26">
        <f t="shared" si="35"/>
        <v>1</v>
      </c>
    </row>
    <row r="724" spans="1:15" ht="21.75" hidden="1" customHeight="1">
      <c r="A724" s="17">
        <f>'GİRDİ RAPORU'!A823</f>
        <v>0</v>
      </c>
      <c r="B724" s="18">
        <f>'GİRDİ RAPORU'!B823</f>
        <v>0</v>
      </c>
      <c r="C724" s="18">
        <f>'GİRDİ RAPORU'!C823</f>
        <v>0</v>
      </c>
      <c r="D724" s="18">
        <f>'GİRDİ RAPORU'!D823</f>
        <v>0</v>
      </c>
      <c r="E724" s="18">
        <f>'GİRDİ RAPORU'!E823</f>
        <v>0</v>
      </c>
      <c r="F724" s="18">
        <f>'GİRDİ RAPORU'!F823</f>
        <v>0</v>
      </c>
      <c r="G724" s="18">
        <f>'GİRDİ RAPORU'!G823</f>
        <v>0</v>
      </c>
      <c r="H724" s="18">
        <f>'GİRDİ RAPORU'!H823</f>
        <v>0</v>
      </c>
      <c r="I724" s="18">
        <f>'GİRDİ RAPORU'!I823</f>
        <v>0</v>
      </c>
      <c r="J724" s="18">
        <f>'GİRDİ RAPORU'!J823</f>
        <v>0</v>
      </c>
      <c r="K724" s="18">
        <f>'GİRDİ RAPORU'!K823</f>
        <v>0</v>
      </c>
      <c r="L724" s="18">
        <f>'GİRDİ RAPORU'!L823</f>
        <v>0</v>
      </c>
      <c r="M724" s="26">
        <f t="shared" si="33"/>
        <v>0</v>
      </c>
      <c r="N724" s="26">
        <f t="shared" si="34"/>
        <v>0</v>
      </c>
      <c r="O724" s="26">
        <f t="shared" si="35"/>
        <v>1</v>
      </c>
    </row>
    <row r="725" spans="1:15" ht="21.75" hidden="1" customHeight="1">
      <c r="A725" s="17">
        <f>'GİRDİ RAPORU'!A824</f>
        <v>0</v>
      </c>
      <c r="B725" s="18">
        <f>'GİRDİ RAPORU'!B824</f>
        <v>0</v>
      </c>
      <c r="C725" s="18">
        <f>'GİRDİ RAPORU'!C824</f>
        <v>0</v>
      </c>
      <c r="D725" s="18">
        <f>'GİRDİ RAPORU'!D824</f>
        <v>0</v>
      </c>
      <c r="E725" s="18">
        <f>'GİRDİ RAPORU'!E824</f>
        <v>0</v>
      </c>
      <c r="F725" s="18">
        <f>'GİRDİ RAPORU'!F824</f>
        <v>0</v>
      </c>
      <c r="G725" s="18">
        <f>'GİRDİ RAPORU'!G824</f>
        <v>0</v>
      </c>
      <c r="H725" s="18">
        <f>'GİRDİ RAPORU'!H824</f>
        <v>0</v>
      </c>
      <c r="I725" s="18">
        <f>'GİRDİ RAPORU'!I824</f>
        <v>0</v>
      </c>
      <c r="J725" s="18">
        <f>'GİRDİ RAPORU'!J824</f>
        <v>0</v>
      </c>
      <c r="K725" s="18">
        <f>'GİRDİ RAPORU'!K824</f>
        <v>0</v>
      </c>
      <c r="L725" s="18">
        <f>'GİRDİ RAPORU'!L824</f>
        <v>0</v>
      </c>
      <c r="M725" s="26">
        <f t="shared" si="33"/>
        <v>0</v>
      </c>
      <c r="N725" s="26">
        <f t="shared" si="34"/>
        <v>0</v>
      </c>
      <c r="O725" s="26">
        <f t="shared" si="35"/>
        <v>1</v>
      </c>
    </row>
    <row r="726" spans="1:15" ht="21.75" hidden="1" customHeight="1">
      <c r="A726" s="17">
        <f>'GİRDİ RAPORU'!A825</f>
        <v>0</v>
      </c>
      <c r="B726" s="18">
        <f>'GİRDİ RAPORU'!B825</f>
        <v>0</v>
      </c>
      <c r="C726" s="18">
        <f>'GİRDİ RAPORU'!C825</f>
        <v>0</v>
      </c>
      <c r="D726" s="18">
        <f>'GİRDİ RAPORU'!D825</f>
        <v>0</v>
      </c>
      <c r="E726" s="18">
        <f>'GİRDİ RAPORU'!E825</f>
        <v>0</v>
      </c>
      <c r="F726" s="18">
        <f>'GİRDİ RAPORU'!F825</f>
        <v>0</v>
      </c>
      <c r="G726" s="18">
        <f>'GİRDİ RAPORU'!G825</f>
        <v>0</v>
      </c>
      <c r="H726" s="18">
        <f>'GİRDİ RAPORU'!H825</f>
        <v>0</v>
      </c>
      <c r="I726" s="18">
        <f>'GİRDİ RAPORU'!I825</f>
        <v>0</v>
      </c>
      <c r="J726" s="18">
        <f>'GİRDİ RAPORU'!J825</f>
        <v>0</v>
      </c>
      <c r="K726" s="18">
        <f>'GİRDİ RAPORU'!K825</f>
        <v>0</v>
      </c>
      <c r="L726" s="18">
        <f>'GİRDİ RAPORU'!L825</f>
        <v>0</v>
      </c>
      <c r="M726" s="26">
        <f t="shared" si="33"/>
        <v>0</v>
      </c>
      <c r="N726" s="26">
        <f t="shared" si="34"/>
        <v>0</v>
      </c>
      <c r="O726" s="26">
        <f t="shared" si="35"/>
        <v>1</v>
      </c>
    </row>
    <row r="727" spans="1:15" ht="21.75" hidden="1" customHeight="1">
      <c r="A727" s="17">
        <f>'GİRDİ RAPORU'!A826</f>
        <v>0</v>
      </c>
      <c r="B727" s="18">
        <f>'GİRDİ RAPORU'!B826</f>
        <v>0</v>
      </c>
      <c r="C727" s="18">
        <f>'GİRDİ RAPORU'!C826</f>
        <v>0</v>
      </c>
      <c r="D727" s="18">
        <f>'GİRDİ RAPORU'!D826</f>
        <v>0</v>
      </c>
      <c r="E727" s="18">
        <f>'GİRDİ RAPORU'!E826</f>
        <v>0</v>
      </c>
      <c r="F727" s="18">
        <f>'GİRDİ RAPORU'!F826</f>
        <v>0</v>
      </c>
      <c r="G727" s="18">
        <f>'GİRDİ RAPORU'!G826</f>
        <v>0</v>
      </c>
      <c r="H727" s="18">
        <f>'GİRDİ RAPORU'!H826</f>
        <v>0</v>
      </c>
      <c r="I727" s="18">
        <f>'GİRDİ RAPORU'!I826</f>
        <v>0</v>
      </c>
      <c r="J727" s="18">
        <f>'GİRDİ RAPORU'!J826</f>
        <v>0</v>
      </c>
      <c r="K727" s="18">
        <f>'GİRDİ RAPORU'!K826</f>
        <v>0</v>
      </c>
      <c r="L727" s="18">
        <f>'GİRDİ RAPORU'!L826</f>
        <v>0</v>
      </c>
      <c r="M727" s="26">
        <f t="shared" si="33"/>
        <v>0</v>
      </c>
      <c r="N727" s="26">
        <f t="shared" si="34"/>
        <v>0</v>
      </c>
      <c r="O727" s="26">
        <f t="shared" si="35"/>
        <v>1</v>
      </c>
    </row>
    <row r="728" spans="1:15" ht="21.75" hidden="1" customHeight="1">
      <c r="A728" s="17">
        <f>'GİRDİ RAPORU'!A827</f>
        <v>0</v>
      </c>
      <c r="B728" s="18">
        <f>'GİRDİ RAPORU'!B827</f>
        <v>0</v>
      </c>
      <c r="C728" s="18">
        <f>'GİRDİ RAPORU'!C827</f>
        <v>0</v>
      </c>
      <c r="D728" s="18">
        <f>'GİRDİ RAPORU'!D827</f>
        <v>0</v>
      </c>
      <c r="E728" s="18">
        <f>'GİRDİ RAPORU'!E827</f>
        <v>0</v>
      </c>
      <c r="F728" s="18">
        <f>'GİRDİ RAPORU'!F827</f>
        <v>0</v>
      </c>
      <c r="G728" s="18">
        <f>'GİRDİ RAPORU'!G827</f>
        <v>0</v>
      </c>
      <c r="H728" s="18">
        <f>'GİRDİ RAPORU'!H827</f>
        <v>0</v>
      </c>
      <c r="I728" s="18">
        <f>'GİRDİ RAPORU'!I827</f>
        <v>0</v>
      </c>
      <c r="J728" s="18">
        <f>'GİRDİ RAPORU'!J827</f>
        <v>0</v>
      </c>
      <c r="K728" s="18">
        <f>'GİRDİ RAPORU'!K827</f>
        <v>0</v>
      </c>
      <c r="L728" s="18">
        <f>'GİRDİ RAPORU'!L827</f>
        <v>0</v>
      </c>
      <c r="M728" s="26">
        <f t="shared" si="33"/>
        <v>0</v>
      </c>
      <c r="N728" s="26">
        <f t="shared" si="34"/>
        <v>0</v>
      </c>
      <c r="O728" s="26">
        <f t="shared" si="35"/>
        <v>1</v>
      </c>
    </row>
    <row r="729" spans="1:15" ht="21.75" hidden="1" customHeight="1">
      <c r="A729" s="17">
        <f>'GİRDİ RAPORU'!A828</f>
        <v>0</v>
      </c>
      <c r="B729" s="18">
        <f>'GİRDİ RAPORU'!B828</f>
        <v>0</v>
      </c>
      <c r="C729" s="18">
        <f>'GİRDİ RAPORU'!C828</f>
        <v>0</v>
      </c>
      <c r="D729" s="18">
        <f>'GİRDİ RAPORU'!D828</f>
        <v>0</v>
      </c>
      <c r="E729" s="18">
        <f>'GİRDİ RAPORU'!E828</f>
        <v>0</v>
      </c>
      <c r="F729" s="18">
        <f>'GİRDİ RAPORU'!F828</f>
        <v>0</v>
      </c>
      <c r="G729" s="18">
        <f>'GİRDİ RAPORU'!G828</f>
        <v>0</v>
      </c>
      <c r="H729" s="18">
        <f>'GİRDİ RAPORU'!H828</f>
        <v>0</v>
      </c>
      <c r="I729" s="18">
        <f>'GİRDİ RAPORU'!I828</f>
        <v>0</v>
      </c>
      <c r="J729" s="18">
        <f>'GİRDİ RAPORU'!J828</f>
        <v>0</v>
      </c>
      <c r="K729" s="18">
        <f>'GİRDİ RAPORU'!K828</f>
        <v>0</v>
      </c>
      <c r="L729" s="18">
        <f>'GİRDİ RAPORU'!L828</f>
        <v>0</v>
      </c>
      <c r="M729" s="26">
        <f t="shared" si="33"/>
        <v>0</v>
      </c>
      <c r="N729" s="26">
        <f t="shared" si="34"/>
        <v>0</v>
      </c>
      <c r="O729" s="26">
        <f t="shared" si="35"/>
        <v>1</v>
      </c>
    </row>
    <row r="730" spans="1:15" ht="21.75" hidden="1" customHeight="1">
      <c r="A730" s="17">
        <f>'GİRDİ RAPORU'!A829</f>
        <v>0</v>
      </c>
      <c r="B730" s="18">
        <f>'GİRDİ RAPORU'!B829</f>
        <v>0</v>
      </c>
      <c r="C730" s="18">
        <f>'GİRDİ RAPORU'!C829</f>
        <v>0</v>
      </c>
      <c r="D730" s="18">
        <f>'GİRDİ RAPORU'!D829</f>
        <v>0</v>
      </c>
      <c r="E730" s="18">
        <f>'GİRDİ RAPORU'!E829</f>
        <v>0</v>
      </c>
      <c r="F730" s="18">
        <f>'GİRDİ RAPORU'!F829</f>
        <v>0</v>
      </c>
      <c r="G730" s="18">
        <f>'GİRDİ RAPORU'!G829</f>
        <v>0</v>
      </c>
      <c r="H730" s="18">
        <f>'GİRDİ RAPORU'!H829</f>
        <v>0</v>
      </c>
      <c r="I730" s="18">
        <f>'GİRDİ RAPORU'!I829</f>
        <v>0</v>
      </c>
      <c r="J730" s="18">
        <f>'GİRDİ RAPORU'!J829</f>
        <v>0</v>
      </c>
      <c r="K730" s="18">
        <f>'GİRDİ RAPORU'!K829</f>
        <v>0</v>
      </c>
      <c r="L730" s="18">
        <f>'GİRDİ RAPORU'!L829</f>
        <v>0</v>
      </c>
      <c r="M730" s="26">
        <f t="shared" si="33"/>
        <v>0</v>
      </c>
      <c r="N730" s="26">
        <f t="shared" si="34"/>
        <v>0</v>
      </c>
      <c r="O730" s="26">
        <f t="shared" si="35"/>
        <v>1</v>
      </c>
    </row>
    <row r="731" spans="1:15" ht="21.75" hidden="1" customHeight="1">
      <c r="A731" s="17">
        <f>'GİRDİ RAPORU'!A830</f>
        <v>0</v>
      </c>
      <c r="B731" s="18">
        <f>'GİRDİ RAPORU'!B830</f>
        <v>0</v>
      </c>
      <c r="C731" s="18">
        <f>'GİRDİ RAPORU'!C830</f>
        <v>0</v>
      </c>
      <c r="D731" s="18">
        <f>'GİRDİ RAPORU'!D830</f>
        <v>0</v>
      </c>
      <c r="E731" s="18">
        <f>'GİRDİ RAPORU'!E830</f>
        <v>0</v>
      </c>
      <c r="F731" s="18">
        <f>'GİRDİ RAPORU'!F830</f>
        <v>0</v>
      </c>
      <c r="G731" s="18">
        <f>'GİRDİ RAPORU'!G830</f>
        <v>0</v>
      </c>
      <c r="H731" s="18">
        <f>'GİRDİ RAPORU'!H830</f>
        <v>0</v>
      </c>
      <c r="I731" s="18">
        <f>'GİRDİ RAPORU'!I830</f>
        <v>0</v>
      </c>
      <c r="J731" s="18">
        <f>'GİRDİ RAPORU'!J830</f>
        <v>0</v>
      </c>
      <c r="K731" s="18">
        <f>'GİRDİ RAPORU'!K830</f>
        <v>0</v>
      </c>
      <c r="L731" s="18">
        <f>'GİRDİ RAPORU'!L830</f>
        <v>0</v>
      </c>
      <c r="M731" s="26">
        <f t="shared" si="33"/>
        <v>0</v>
      </c>
      <c r="N731" s="26">
        <f t="shared" si="34"/>
        <v>0</v>
      </c>
      <c r="O731" s="26">
        <f t="shared" si="35"/>
        <v>1</v>
      </c>
    </row>
    <row r="732" spans="1:15" ht="21.75" hidden="1" customHeight="1">
      <c r="A732" s="17">
        <f>'GİRDİ RAPORU'!A831</f>
        <v>0</v>
      </c>
      <c r="B732" s="18">
        <f>'GİRDİ RAPORU'!B831</f>
        <v>0</v>
      </c>
      <c r="C732" s="18">
        <f>'GİRDİ RAPORU'!C831</f>
        <v>0</v>
      </c>
      <c r="D732" s="18">
        <f>'GİRDİ RAPORU'!D831</f>
        <v>0</v>
      </c>
      <c r="E732" s="18">
        <f>'GİRDİ RAPORU'!E831</f>
        <v>0</v>
      </c>
      <c r="F732" s="18">
        <f>'GİRDİ RAPORU'!F831</f>
        <v>0</v>
      </c>
      <c r="G732" s="18">
        <f>'GİRDİ RAPORU'!G831</f>
        <v>0</v>
      </c>
      <c r="H732" s="18">
        <f>'GİRDİ RAPORU'!H831</f>
        <v>0</v>
      </c>
      <c r="I732" s="18">
        <f>'GİRDİ RAPORU'!I831</f>
        <v>0</v>
      </c>
      <c r="J732" s="18">
        <f>'GİRDİ RAPORU'!J831</f>
        <v>0</v>
      </c>
      <c r="K732" s="18">
        <f>'GİRDİ RAPORU'!K831</f>
        <v>0</v>
      </c>
      <c r="L732" s="18">
        <f>'GİRDİ RAPORU'!L831</f>
        <v>0</v>
      </c>
      <c r="M732" s="26">
        <f t="shared" si="33"/>
        <v>0</v>
      </c>
      <c r="N732" s="26">
        <f t="shared" si="34"/>
        <v>0</v>
      </c>
      <c r="O732" s="26">
        <f t="shared" si="35"/>
        <v>1</v>
      </c>
    </row>
    <row r="733" spans="1:15" ht="21.75" hidden="1" customHeight="1">
      <c r="A733" s="17">
        <f>'GİRDİ RAPORU'!A832</f>
        <v>0</v>
      </c>
      <c r="B733" s="18">
        <f>'GİRDİ RAPORU'!B832</f>
        <v>0</v>
      </c>
      <c r="C733" s="18">
        <f>'GİRDİ RAPORU'!C832</f>
        <v>0</v>
      </c>
      <c r="D733" s="18">
        <f>'GİRDİ RAPORU'!D832</f>
        <v>0</v>
      </c>
      <c r="E733" s="18">
        <f>'GİRDİ RAPORU'!E832</f>
        <v>0</v>
      </c>
      <c r="F733" s="18">
        <f>'GİRDİ RAPORU'!F832</f>
        <v>0</v>
      </c>
      <c r="G733" s="18">
        <f>'GİRDİ RAPORU'!G832</f>
        <v>0</v>
      </c>
      <c r="H733" s="18">
        <f>'GİRDİ RAPORU'!H832</f>
        <v>0</v>
      </c>
      <c r="I733" s="18">
        <f>'GİRDİ RAPORU'!I832</f>
        <v>0</v>
      </c>
      <c r="J733" s="18">
        <f>'GİRDİ RAPORU'!J832</f>
        <v>0</v>
      </c>
      <c r="K733" s="18">
        <f>'GİRDİ RAPORU'!K832</f>
        <v>0</v>
      </c>
      <c r="L733" s="18">
        <f>'GİRDİ RAPORU'!L832</f>
        <v>0</v>
      </c>
      <c r="M733" s="26">
        <f t="shared" si="33"/>
        <v>0</v>
      </c>
      <c r="N733" s="26">
        <f t="shared" si="34"/>
        <v>0</v>
      </c>
      <c r="O733" s="26">
        <f t="shared" si="35"/>
        <v>1</v>
      </c>
    </row>
    <row r="734" spans="1:15" ht="21.75" hidden="1" customHeight="1">
      <c r="A734" s="17">
        <f>'GİRDİ RAPORU'!A833</f>
        <v>0</v>
      </c>
      <c r="B734" s="18">
        <f>'GİRDİ RAPORU'!B833</f>
        <v>0</v>
      </c>
      <c r="C734" s="18">
        <f>'GİRDİ RAPORU'!C833</f>
        <v>0</v>
      </c>
      <c r="D734" s="18">
        <f>'GİRDİ RAPORU'!D833</f>
        <v>0</v>
      </c>
      <c r="E734" s="18">
        <f>'GİRDİ RAPORU'!E833</f>
        <v>0</v>
      </c>
      <c r="F734" s="18">
        <f>'GİRDİ RAPORU'!F833</f>
        <v>0</v>
      </c>
      <c r="G734" s="18">
        <f>'GİRDİ RAPORU'!G833</f>
        <v>0</v>
      </c>
      <c r="H734" s="18">
        <f>'GİRDİ RAPORU'!H833</f>
        <v>0</v>
      </c>
      <c r="I734" s="18">
        <f>'GİRDİ RAPORU'!I833</f>
        <v>0</v>
      </c>
      <c r="J734" s="18">
        <f>'GİRDİ RAPORU'!J833</f>
        <v>0</v>
      </c>
      <c r="K734" s="18">
        <f>'GİRDİ RAPORU'!K833</f>
        <v>0</v>
      </c>
      <c r="L734" s="18">
        <f>'GİRDİ RAPORU'!L833</f>
        <v>0</v>
      </c>
      <c r="M734" s="26">
        <f t="shared" si="33"/>
        <v>0</v>
      </c>
      <c r="N734" s="26">
        <f t="shared" si="34"/>
        <v>0</v>
      </c>
      <c r="O734" s="26">
        <f t="shared" si="35"/>
        <v>1</v>
      </c>
    </row>
    <row r="735" spans="1:15" ht="21.75" hidden="1" customHeight="1">
      <c r="A735" s="17">
        <f>'GİRDİ RAPORU'!A834</f>
        <v>0</v>
      </c>
      <c r="B735" s="18">
        <f>'GİRDİ RAPORU'!B834</f>
        <v>0</v>
      </c>
      <c r="C735" s="18">
        <f>'GİRDİ RAPORU'!C834</f>
        <v>0</v>
      </c>
      <c r="D735" s="18">
        <f>'GİRDİ RAPORU'!D834</f>
        <v>0</v>
      </c>
      <c r="E735" s="18">
        <f>'GİRDİ RAPORU'!E834</f>
        <v>0</v>
      </c>
      <c r="F735" s="18">
        <f>'GİRDİ RAPORU'!F834</f>
        <v>0</v>
      </c>
      <c r="G735" s="18">
        <f>'GİRDİ RAPORU'!G834</f>
        <v>0</v>
      </c>
      <c r="H735" s="18">
        <f>'GİRDİ RAPORU'!H834</f>
        <v>0</v>
      </c>
      <c r="I735" s="18">
        <f>'GİRDİ RAPORU'!I834</f>
        <v>0</v>
      </c>
      <c r="J735" s="18">
        <f>'GİRDİ RAPORU'!J834</f>
        <v>0</v>
      </c>
      <c r="K735" s="18">
        <f>'GİRDİ RAPORU'!K834</f>
        <v>0</v>
      </c>
      <c r="L735" s="18">
        <f>'GİRDİ RAPORU'!L834</f>
        <v>0</v>
      </c>
      <c r="M735" s="26">
        <f t="shared" si="33"/>
        <v>0</v>
      </c>
      <c r="N735" s="26">
        <f t="shared" si="34"/>
        <v>0</v>
      </c>
      <c r="O735" s="26">
        <f t="shared" si="35"/>
        <v>1</v>
      </c>
    </row>
    <row r="736" spans="1:15" ht="21.75" hidden="1" customHeight="1">
      <c r="A736" s="17">
        <f>'GİRDİ RAPORU'!A835</f>
        <v>0</v>
      </c>
      <c r="B736" s="18">
        <f>'GİRDİ RAPORU'!B835</f>
        <v>0</v>
      </c>
      <c r="C736" s="18">
        <f>'GİRDİ RAPORU'!C835</f>
        <v>0</v>
      </c>
      <c r="D736" s="18">
        <f>'GİRDİ RAPORU'!D835</f>
        <v>0</v>
      </c>
      <c r="E736" s="18">
        <f>'GİRDİ RAPORU'!E835</f>
        <v>0</v>
      </c>
      <c r="F736" s="18">
        <f>'GİRDİ RAPORU'!F835</f>
        <v>0</v>
      </c>
      <c r="G736" s="18">
        <f>'GİRDİ RAPORU'!G835</f>
        <v>0</v>
      </c>
      <c r="H736" s="18">
        <f>'GİRDİ RAPORU'!H835</f>
        <v>0</v>
      </c>
      <c r="I736" s="18">
        <f>'GİRDİ RAPORU'!I835</f>
        <v>0</v>
      </c>
      <c r="J736" s="18">
        <f>'GİRDİ RAPORU'!J835</f>
        <v>0</v>
      </c>
      <c r="K736" s="18">
        <f>'GİRDİ RAPORU'!K835</f>
        <v>0</v>
      </c>
      <c r="L736" s="18">
        <f>'GİRDİ RAPORU'!L835</f>
        <v>0</v>
      </c>
      <c r="M736" s="26">
        <f t="shared" si="33"/>
        <v>0</v>
      </c>
      <c r="N736" s="26">
        <f t="shared" si="34"/>
        <v>0</v>
      </c>
      <c r="O736" s="26">
        <f t="shared" si="35"/>
        <v>1</v>
      </c>
    </row>
    <row r="737" spans="1:15" ht="21.75" hidden="1" customHeight="1">
      <c r="A737" s="17">
        <f>'GİRDİ RAPORU'!A836</f>
        <v>0</v>
      </c>
      <c r="B737" s="18">
        <f>'GİRDİ RAPORU'!B836</f>
        <v>0</v>
      </c>
      <c r="C737" s="18">
        <f>'GİRDİ RAPORU'!C836</f>
        <v>0</v>
      </c>
      <c r="D737" s="18">
        <f>'GİRDİ RAPORU'!D836</f>
        <v>0</v>
      </c>
      <c r="E737" s="18">
        <f>'GİRDİ RAPORU'!E836</f>
        <v>0</v>
      </c>
      <c r="F737" s="18">
        <f>'GİRDİ RAPORU'!F836</f>
        <v>0</v>
      </c>
      <c r="G737" s="18">
        <f>'GİRDİ RAPORU'!G836</f>
        <v>0</v>
      </c>
      <c r="H737" s="18">
        <f>'GİRDİ RAPORU'!H836</f>
        <v>0</v>
      </c>
      <c r="I737" s="18">
        <f>'GİRDİ RAPORU'!I836</f>
        <v>0</v>
      </c>
      <c r="J737" s="18">
        <f>'GİRDİ RAPORU'!J836</f>
        <v>0</v>
      </c>
      <c r="K737" s="18">
        <f>'GİRDİ RAPORU'!K836</f>
        <v>0</v>
      </c>
      <c r="L737" s="18">
        <f>'GİRDİ RAPORU'!L836</f>
        <v>0</v>
      </c>
      <c r="M737" s="26">
        <f t="shared" si="33"/>
        <v>0</v>
      </c>
      <c r="N737" s="26">
        <f t="shared" si="34"/>
        <v>0</v>
      </c>
      <c r="O737" s="26">
        <f t="shared" si="35"/>
        <v>1</v>
      </c>
    </row>
    <row r="738" spans="1:15" ht="21.75" hidden="1" customHeight="1">
      <c r="A738" s="17">
        <f>'GİRDİ RAPORU'!A837</f>
        <v>0</v>
      </c>
      <c r="B738" s="18">
        <f>'GİRDİ RAPORU'!B837</f>
        <v>0</v>
      </c>
      <c r="C738" s="18">
        <f>'GİRDİ RAPORU'!C837</f>
        <v>0</v>
      </c>
      <c r="D738" s="18">
        <f>'GİRDİ RAPORU'!D837</f>
        <v>0</v>
      </c>
      <c r="E738" s="18">
        <f>'GİRDİ RAPORU'!E837</f>
        <v>0</v>
      </c>
      <c r="F738" s="18">
        <f>'GİRDİ RAPORU'!F837</f>
        <v>0</v>
      </c>
      <c r="G738" s="18">
        <f>'GİRDİ RAPORU'!G837</f>
        <v>0</v>
      </c>
      <c r="H738" s="18">
        <f>'GİRDİ RAPORU'!H837</f>
        <v>0</v>
      </c>
      <c r="I738" s="18">
        <f>'GİRDİ RAPORU'!I837</f>
        <v>0</v>
      </c>
      <c r="J738" s="18">
        <f>'GİRDİ RAPORU'!J837</f>
        <v>0</v>
      </c>
      <c r="K738" s="18">
        <f>'GİRDİ RAPORU'!K837</f>
        <v>0</v>
      </c>
      <c r="L738" s="18">
        <f>'GİRDİ RAPORU'!L837</f>
        <v>0</v>
      </c>
      <c r="M738" s="26">
        <f t="shared" si="33"/>
        <v>0</v>
      </c>
      <c r="N738" s="26">
        <f t="shared" si="34"/>
        <v>0</v>
      </c>
      <c r="O738" s="26">
        <f t="shared" si="35"/>
        <v>1</v>
      </c>
    </row>
    <row r="739" spans="1:15" ht="21.75" hidden="1" customHeight="1">
      <c r="A739" s="17">
        <f>'GİRDİ RAPORU'!A838</f>
        <v>0</v>
      </c>
      <c r="B739" s="18">
        <f>'GİRDİ RAPORU'!B838</f>
        <v>0</v>
      </c>
      <c r="C739" s="18">
        <f>'GİRDİ RAPORU'!C838</f>
        <v>0</v>
      </c>
      <c r="D739" s="18">
        <f>'GİRDİ RAPORU'!D838</f>
        <v>0</v>
      </c>
      <c r="E739" s="18">
        <f>'GİRDİ RAPORU'!E838</f>
        <v>0</v>
      </c>
      <c r="F739" s="18">
        <f>'GİRDİ RAPORU'!F838</f>
        <v>0</v>
      </c>
      <c r="G739" s="18">
        <f>'GİRDİ RAPORU'!G838</f>
        <v>0</v>
      </c>
      <c r="H739" s="18">
        <f>'GİRDİ RAPORU'!H838</f>
        <v>0</v>
      </c>
      <c r="I739" s="18">
        <f>'GİRDİ RAPORU'!I838</f>
        <v>0</v>
      </c>
      <c r="J739" s="18">
        <f>'GİRDİ RAPORU'!J838</f>
        <v>0</v>
      </c>
      <c r="K739" s="18">
        <f>'GİRDİ RAPORU'!K838</f>
        <v>0</v>
      </c>
      <c r="L739" s="18">
        <f>'GİRDİ RAPORU'!L838</f>
        <v>0</v>
      </c>
      <c r="M739" s="26">
        <f t="shared" si="33"/>
        <v>0</v>
      </c>
      <c r="N739" s="26">
        <f t="shared" si="34"/>
        <v>0</v>
      </c>
      <c r="O739" s="26">
        <f t="shared" si="35"/>
        <v>1</v>
      </c>
    </row>
    <row r="740" spans="1:15" ht="21.75" hidden="1" customHeight="1">
      <c r="A740" s="17">
        <f>'GİRDİ RAPORU'!A839</f>
        <v>0</v>
      </c>
      <c r="B740" s="18">
        <f>'GİRDİ RAPORU'!B839</f>
        <v>0</v>
      </c>
      <c r="C740" s="18">
        <f>'GİRDİ RAPORU'!C839</f>
        <v>0</v>
      </c>
      <c r="D740" s="18">
        <f>'GİRDİ RAPORU'!D839</f>
        <v>0</v>
      </c>
      <c r="E740" s="18">
        <f>'GİRDİ RAPORU'!E839</f>
        <v>0</v>
      </c>
      <c r="F740" s="18">
        <f>'GİRDİ RAPORU'!F839</f>
        <v>0</v>
      </c>
      <c r="G740" s="18">
        <f>'GİRDİ RAPORU'!G839</f>
        <v>0</v>
      </c>
      <c r="H740" s="18">
        <f>'GİRDİ RAPORU'!H839</f>
        <v>0</v>
      </c>
      <c r="I740" s="18">
        <f>'GİRDİ RAPORU'!I839</f>
        <v>0</v>
      </c>
      <c r="J740" s="18">
        <f>'GİRDİ RAPORU'!J839</f>
        <v>0</v>
      </c>
      <c r="K740" s="18">
        <f>'GİRDİ RAPORU'!K839</f>
        <v>0</v>
      </c>
      <c r="L740" s="18">
        <f>'GİRDİ RAPORU'!L839</f>
        <v>0</v>
      </c>
      <c r="M740" s="26">
        <f t="shared" si="33"/>
        <v>0</v>
      </c>
      <c r="N740" s="26">
        <f t="shared" si="34"/>
        <v>0</v>
      </c>
      <c r="O740" s="26">
        <f t="shared" si="35"/>
        <v>1</v>
      </c>
    </row>
    <row r="741" spans="1:15" ht="21.75" hidden="1" customHeight="1">
      <c r="A741" s="17">
        <f>'GİRDİ RAPORU'!A840</f>
        <v>0</v>
      </c>
      <c r="B741" s="18">
        <f>'GİRDİ RAPORU'!B840</f>
        <v>0</v>
      </c>
      <c r="C741" s="18">
        <f>'GİRDİ RAPORU'!C840</f>
        <v>0</v>
      </c>
      <c r="D741" s="18">
        <f>'GİRDİ RAPORU'!D840</f>
        <v>0</v>
      </c>
      <c r="E741" s="18">
        <f>'GİRDİ RAPORU'!E840</f>
        <v>0</v>
      </c>
      <c r="F741" s="18">
        <f>'GİRDİ RAPORU'!F840</f>
        <v>0</v>
      </c>
      <c r="G741" s="18">
        <f>'GİRDİ RAPORU'!G840</f>
        <v>0</v>
      </c>
      <c r="H741" s="18">
        <f>'GİRDİ RAPORU'!H840</f>
        <v>0</v>
      </c>
      <c r="I741" s="18">
        <f>'GİRDİ RAPORU'!I840</f>
        <v>0</v>
      </c>
      <c r="J741" s="18">
        <f>'GİRDİ RAPORU'!J840</f>
        <v>0</v>
      </c>
      <c r="K741" s="18">
        <f>'GİRDİ RAPORU'!K840</f>
        <v>0</v>
      </c>
      <c r="L741" s="18">
        <f>'GİRDİ RAPORU'!L840</f>
        <v>0</v>
      </c>
      <c r="M741" s="26">
        <f t="shared" si="33"/>
        <v>0</v>
      </c>
      <c r="N741" s="26">
        <f t="shared" si="34"/>
        <v>0</v>
      </c>
      <c r="O741" s="26">
        <f t="shared" si="35"/>
        <v>1</v>
      </c>
    </row>
    <row r="742" spans="1:15" ht="21.75" hidden="1" customHeight="1">
      <c r="A742" s="17">
        <f>'GİRDİ RAPORU'!A841</f>
        <v>0</v>
      </c>
      <c r="B742" s="18">
        <f>'GİRDİ RAPORU'!B841</f>
        <v>0</v>
      </c>
      <c r="C742" s="18">
        <f>'GİRDİ RAPORU'!C841</f>
        <v>0</v>
      </c>
      <c r="D742" s="18">
        <f>'GİRDİ RAPORU'!D841</f>
        <v>0</v>
      </c>
      <c r="E742" s="18">
        <f>'GİRDİ RAPORU'!E841</f>
        <v>0</v>
      </c>
      <c r="F742" s="18">
        <f>'GİRDİ RAPORU'!F841</f>
        <v>0</v>
      </c>
      <c r="G742" s="18">
        <f>'GİRDİ RAPORU'!G841</f>
        <v>0</v>
      </c>
      <c r="H742" s="18">
        <f>'GİRDİ RAPORU'!H841</f>
        <v>0</v>
      </c>
      <c r="I742" s="18">
        <f>'GİRDİ RAPORU'!I841</f>
        <v>0</v>
      </c>
      <c r="J742" s="18">
        <f>'GİRDİ RAPORU'!J841</f>
        <v>0</v>
      </c>
      <c r="K742" s="18">
        <f>'GİRDİ RAPORU'!K841</f>
        <v>0</v>
      </c>
      <c r="L742" s="18">
        <f>'GİRDİ RAPORU'!L841</f>
        <v>0</v>
      </c>
      <c r="M742" s="26">
        <f t="shared" si="33"/>
        <v>0</v>
      </c>
      <c r="N742" s="26">
        <f t="shared" si="34"/>
        <v>0</v>
      </c>
      <c r="O742" s="26">
        <f t="shared" si="35"/>
        <v>1</v>
      </c>
    </row>
    <row r="743" spans="1:15" ht="21.75" hidden="1" customHeight="1">
      <c r="A743" s="17">
        <f>'GİRDİ RAPORU'!A842</f>
        <v>0</v>
      </c>
      <c r="B743" s="18">
        <f>'GİRDİ RAPORU'!B842</f>
        <v>0</v>
      </c>
      <c r="C743" s="18">
        <f>'GİRDİ RAPORU'!C842</f>
        <v>0</v>
      </c>
      <c r="D743" s="18">
        <f>'GİRDİ RAPORU'!D842</f>
        <v>0</v>
      </c>
      <c r="E743" s="18">
        <f>'GİRDİ RAPORU'!E842</f>
        <v>0</v>
      </c>
      <c r="F743" s="18">
        <f>'GİRDİ RAPORU'!F842</f>
        <v>0</v>
      </c>
      <c r="G743" s="18">
        <f>'GİRDİ RAPORU'!G842</f>
        <v>0</v>
      </c>
      <c r="H743" s="18">
        <f>'GİRDİ RAPORU'!H842</f>
        <v>0</v>
      </c>
      <c r="I743" s="18">
        <f>'GİRDİ RAPORU'!I842</f>
        <v>0</v>
      </c>
      <c r="J743" s="18">
        <f>'GİRDİ RAPORU'!J842</f>
        <v>0</v>
      </c>
      <c r="K743" s="18">
        <f>'GİRDİ RAPORU'!K842</f>
        <v>0</v>
      </c>
      <c r="L743" s="18">
        <f>'GİRDİ RAPORU'!L842</f>
        <v>0</v>
      </c>
      <c r="M743" s="26">
        <f t="shared" si="33"/>
        <v>0</v>
      </c>
      <c r="N743" s="26">
        <f t="shared" si="34"/>
        <v>0</v>
      </c>
      <c r="O743" s="26">
        <f t="shared" si="35"/>
        <v>1</v>
      </c>
    </row>
    <row r="744" spans="1:15" ht="21.75" hidden="1" customHeight="1">
      <c r="A744" s="17">
        <f>'GİRDİ RAPORU'!A843</f>
        <v>0</v>
      </c>
      <c r="B744" s="18">
        <f>'GİRDİ RAPORU'!B843</f>
        <v>0</v>
      </c>
      <c r="C744" s="18">
        <f>'GİRDİ RAPORU'!C843</f>
        <v>0</v>
      </c>
      <c r="D744" s="18">
        <f>'GİRDİ RAPORU'!D843</f>
        <v>0</v>
      </c>
      <c r="E744" s="18">
        <f>'GİRDİ RAPORU'!E843</f>
        <v>0</v>
      </c>
      <c r="F744" s="18">
        <f>'GİRDİ RAPORU'!F843</f>
        <v>0</v>
      </c>
      <c r="G744" s="18">
        <f>'GİRDİ RAPORU'!G843</f>
        <v>0</v>
      </c>
      <c r="H744" s="18">
        <f>'GİRDİ RAPORU'!H843</f>
        <v>0</v>
      </c>
      <c r="I744" s="18">
        <f>'GİRDİ RAPORU'!I843</f>
        <v>0</v>
      </c>
      <c r="J744" s="18">
        <f>'GİRDİ RAPORU'!J843</f>
        <v>0</v>
      </c>
      <c r="K744" s="18">
        <f>'GİRDİ RAPORU'!K843</f>
        <v>0</v>
      </c>
      <c r="L744" s="18">
        <f>'GİRDİ RAPORU'!L843</f>
        <v>0</v>
      </c>
      <c r="M744" s="26">
        <f t="shared" si="33"/>
        <v>0</v>
      </c>
      <c r="N744" s="26">
        <f t="shared" si="34"/>
        <v>0</v>
      </c>
      <c r="O744" s="26">
        <f t="shared" si="35"/>
        <v>1</v>
      </c>
    </row>
    <row r="745" spans="1:15" ht="21.75" hidden="1" customHeight="1">
      <c r="A745" s="17">
        <f>'GİRDİ RAPORU'!A844</f>
        <v>0</v>
      </c>
      <c r="B745" s="18">
        <f>'GİRDİ RAPORU'!B844</f>
        <v>0</v>
      </c>
      <c r="C745" s="18">
        <f>'GİRDİ RAPORU'!C844</f>
        <v>0</v>
      </c>
      <c r="D745" s="18">
        <f>'GİRDİ RAPORU'!D844</f>
        <v>0</v>
      </c>
      <c r="E745" s="18">
        <f>'GİRDİ RAPORU'!E844</f>
        <v>0</v>
      </c>
      <c r="F745" s="18">
        <f>'GİRDİ RAPORU'!F844</f>
        <v>0</v>
      </c>
      <c r="G745" s="18">
        <f>'GİRDİ RAPORU'!G844</f>
        <v>0</v>
      </c>
      <c r="H745" s="18">
        <f>'GİRDİ RAPORU'!H844</f>
        <v>0</v>
      </c>
      <c r="I745" s="18">
        <f>'GİRDİ RAPORU'!I844</f>
        <v>0</v>
      </c>
      <c r="J745" s="18">
        <f>'GİRDİ RAPORU'!J844</f>
        <v>0</v>
      </c>
      <c r="K745" s="18">
        <f>'GİRDİ RAPORU'!K844</f>
        <v>0</v>
      </c>
      <c r="L745" s="18">
        <f>'GİRDİ RAPORU'!L844</f>
        <v>0</v>
      </c>
      <c r="M745" s="26">
        <f t="shared" si="33"/>
        <v>0</v>
      </c>
      <c r="N745" s="26">
        <f t="shared" si="34"/>
        <v>0</v>
      </c>
      <c r="O745" s="26">
        <f t="shared" si="35"/>
        <v>1</v>
      </c>
    </row>
    <row r="746" spans="1:15" ht="21.75" hidden="1" customHeight="1">
      <c r="A746" s="17">
        <f>'GİRDİ RAPORU'!A845</f>
        <v>0</v>
      </c>
      <c r="B746" s="18">
        <f>'GİRDİ RAPORU'!B845</f>
        <v>0</v>
      </c>
      <c r="C746" s="18">
        <f>'GİRDİ RAPORU'!C845</f>
        <v>0</v>
      </c>
      <c r="D746" s="18">
        <f>'GİRDİ RAPORU'!D845</f>
        <v>0</v>
      </c>
      <c r="E746" s="18">
        <f>'GİRDİ RAPORU'!E845</f>
        <v>0</v>
      </c>
      <c r="F746" s="18">
        <f>'GİRDİ RAPORU'!F845</f>
        <v>0</v>
      </c>
      <c r="G746" s="18">
        <f>'GİRDİ RAPORU'!G845</f>
        <v>0</v>
      </c>
      <c r="H746" s="18">
        <f>'GİRDİ RAPORU'!H845</f>
        <v>0</v>
      </c>
      <c r="I746" s="18">
        <f>'GİRDİ RAPORU'!I845</f>
        <v>0</v>
      </c>
      <c r="J746" s="18">
        <f>'GİRDİ RAPORU'!J845</f>
        <v>0</v>
      </c>
      <c r="K746" s="18">
        <f>'GİRDİ RAPORU'!K845</f>
        <v>0</v>
      </c>
      <c r="L746" s="18">
        <f>'GİRDİ RAPORU'!L845</f>
        <v>0</v>
      </c>
      <c r="M746" s="26">
        <f t="shared" si="33"/>
        <v>0</v>
      </c>
      <c r="N746" s="26">
        <f t="shared" si="34"/>
        <v>0</v>
      </c>
      <c r="O746" s="26">
        <f t="shared" si="35"/>
        <v>1</v>
      </c>
    </row>
    <row r="747" spans="1:15" ht="21.75" hidden="1" customHeight="1">
      <c r="A747" s="17">
        <f>'GİRDİ RAPORU'!A846</f>
        <v>0</v>
      </c>
      <c r="B747" s="18">
        <f>'GİRDİ RAPORU'!B846</f>
        <v>0</v>
      </c>
      <c r="C747" s="18">
        <f>'GİRDİ RAPORU'!C846</f>
        <v>0</v>
      </c>
      <c r="D747" s="18">
        <f>'GİRDİ RAPORU'!D846</f>
        <v>0</v>
      </c>
      <c r="E747" s="18">
        <f>'GİRDİ RAPORU'!E846</f>
        <v>0</v>
      </c>
      <c r="F747" s="18">
        <f>'GİRDİ RAPORU'!F846</f>
        <v>0</v>
      </c>
      <c r="G747" s="18">
        <f>'GİRDİ RAPORU'!G846</f>
        <v>0</v>
      </c>
      <c r="H747" s="18">
        <f>'GİRDİ RAPORU'!H846</f>
        <v>0</v>
      </c>
      <c r="I747" s="18">
        <f>'GİRDİ RAPORU'!I846</f>
        <v>0</v>
      </c>
      <c r="J747" s="18">
        <f>'GİRDİ RAPORU'!J846</f>
        <v>0</v>
      </c>
      <c r="K747" s="18">
        <f>'GİRDİ RAPORU'!K846</f>
        <v>0</v>
      </c>
      <c r="L747" s="18">
        <f>'GİRDİ RAPORU'!L846</f>
        <v>0</v>
      </c>
      <c r="M747" s="26">
        <f t="shared" si="33"/>
        <v>0</v>
      </c>
      <c r="N747" s="26">
        <f t="shared" si="34"/>
        <v>0</v>
      </c>
      <c r="O747" s="26">
        <f t="shared" si="35"/>
        <v>1</v>
      </c>
    </row>
    <row r="748" spans="1:15" ht="21.75" hidden="1" customHeight="1">
      <c r="A748" s="17">
        <f>'GİRDİ RAPORU'!A847</f>
        <v>0</v>
      </c>
      <c r="B748" s="18">
        <f>'GİRDİ RAPORU'!B847</f>
        <v>0</v>
      </c>
      <c r="C748" s="18">
        <f>'GİRDİ RAPORU'!C847</f>
        <v>0</v>
      </c>
      <c r="D748" s="18">
        <f>'GİRDİ RAPORU'!D847</f>
        <v>0</v>
      </c>
      <c r="E748" s="18">
        <f>'GİRDİ RAPORU'!E847</f>
        <v>0</v>
      </c>
      <c r="F748" s="18">
        <f>'GİRDİ RAPORU'!F847</f>
        <v>0</v>
      </c>
      <c r="G748" s="18">
        <f>'GİRDİ RAPORU'!G847</f>
        <v>0</v>
      </c>
      <c r="H748" s="18">
        <f>'GİRDİ RAPORU'!H847</f>
        <v>0</v>
      </c>
      <c r="I748" s="18">
        <f>'GİRDİ RAPORU'!I847</f>
        <v>0</v>
      </c>
      <c r="J748" s="18">
        <f>'GİRDİ RAPORU'!J847</f>
        <v>0</v>
      </c>
      <c r="K748" s="18">
        <f>'GİRDİ RAPORU'!K847</f>
        <v>0</v>
      </c>
      <c r="L748" s="18">
        <f>'GİRDİ RAPORU'!L847</f>
        <v>0</v>
      </c>
      <c r="M748" s="26">
        <f t="shared" si="33"/>
        <v>0</v>
      </c>
      <c r="N748" s="26">
        <f t="shared" si="34"/>
        <v>0</v>
      </c>
      <c r="O748" s="26">
        <f t="shared" si="35"/>
        <v>1</v>
      </c>
    </row>
    <row r="749" spans="1:15" ht="21.75" hidden="1" customHeight="1">
      <c r="A749" s="17">
        <f>'GİRDİ RAPORU'!A848</f>
        <v>0</v>
      </c>
      <c r="B749" s="18">
        <f>'GİRDİ RAPORU'!B848</f>
        <v>0</v>
      </c>
      <c r="C749" s="18">
        <f>'GİRDİ RAPORU'!C848</f>
        <v>0</v>
      </c>
      <c r="D749" s="18">
        <f>'GİRDİ RAPORU'!D848</f>
        <v>0</v>
      </c>
      <c r="E749" s="18">
        <f>'GİRDİ RAPORU'!E848</f>
        <v>0</v>
      </c>
      <c r="F749" s="18">
        <f>'GİRDİ RAPORU'!F848</f>
        <v>0</v>
      </c>
      <c r="G749" s="18">
        <f>'GİRDİ RAPORU'!G848</f>
        <v>0</v>
      </c>
      <c r="H749" s="18">
        <f>'GİRDİ RAPORU'!H848</f>
        <v>0</v>
      </c>
      <c r="I749" s="18">
        <f>'GİRDİ RAPORU'!I848</f>
        <v>0</v>
      </c>
      <c r="J749" s="18">
        <f>'GİRDİ RAPORU'!J848</f>
        <v>0</v>
      </c>
      <c r="K749" s="18">
        <f>'GİRDİ RAPORU'!K848</f>
        <v>0</v>
      </c>
      <c r="L749" s="18">
        <f>'GİRDİ RAPORU'!L848</f>
        <v>0</v>
      </c>
      <c r="M749" s="26">
        <f t="shared" si="33"/>
        <v>0</v>
      </c>
      <c r="N749" s="26">
        <f t="shared" si="34"/>
        <v>0</v>
      </c>
      <c r="O749" s="26">
        <f t="shared" si="35"/>
        <v>1</v>
      </c>
    </row>
    <row r="750" spans="1:15" ht="21.75" hidden="1" customHeight="1">
      <c r="A750" s="17">
        <f>'GİRDİ RAPORU'!A849</f>
        <v>0</v>
      </c>
      <c r="B750" s="18">
        <f>'GİRDİ RAPORU'!B849</f>
        <v>0</v>
      </c>
      <c r="C750" s="18">
        <f>'GİRDİ RAPORU'!C849</f>
        <v>0</v>
      </c>
      <c r="D750" s="18">
        <f>'GİRDİ RAPORU'!D849</f>
        <v>0</v>
      </c>
      <c r="E750" s="18">
        <f>'GİRDİ RAPORU'!E849</f>
        <v>0</v>
      </c>
      <c r="F750" s="18">
        <f>'GİRDİ RAPORU'!F849</f>
        <v>0</v>
      </c>
      <c r="G750" s="18">
        <f>'GİRDİ RAPORU'!G849</f>
        <v>0</v>
      </c>
      <c r="H750" s="18">
        <f>'GİRDİ RAPORU'!H849</f>
        <v>0</v>
      </c>
      <c r="I750" s="18">
        <f>'GİRDİ RAPORU'!I849</f>
        <v>0</v>
      </c>
      <c r="J750" s="18">
        <f>'GİRDİ RAPORU'!J849</f>
        <v>0</v>
      </c>
      <c r="K750" s="18">
        <f>'GİRDİ RAPORU'!K849</f>
        <v>0</v>
      </c>
      <c r="L750" s="18">
        <f>'GİRDİ RAPORU'!L849</f>
        <v>0</v>
      </c>
      <c r="M750" s="26">
        <f t="shared" si="33"/>
        <v>0</v>
      </c>
      <c r="N750" s="26">
        <f t="shared" si="34"/>
        <v>0</v>
      </c>
      <c r="O750" s="26">
        <f t="shared" si="35"/>
        <v>1</v>
      </c>
    </row>
    <row r="751" spans="1:15" ht="21.75" hidden="1" customHeight="1">
      <c r="A751" s="17">
        <f>'GİRDİ RAPORU'!A850</f>
        <v>0</v>
      </c>
      <c r="B751" s="18">
        <f>'GİRDİ RAPORU'!B850</f>
        <v>0</v>
      </c>
      <c r="C751" s="18">
        <f>'GİRDİ RAPORU'!C850</f>
        <v>0</v>
      </c>
      <c r="D751" s="18">
        <f>'GİRDİ RAPORU'!D850</f>
        <v>0</v>
      </c>
      <c r="E751" s="18">
        <f>'GİRDİ RAPORU'!E850</f>
        <v>0</v>
      </c>
      <c r="F751" s="18">
        <f>'GİRDİ RAPORU'!F850</f>
        <v>0</v>
      </c>
      <c r="G751" s="18">
        <f>'GİRDİ RAPORU'!G850</f>
        <v>0</v>
      </c>
      <c r="H751" s="18">
        <f>'GİRDİ RAPORU'!H850</f>
        <v>0</v>
      </c>
      <c r="I751" s="18">
        <f>'GİRDİ RAPORU'!I850</f>
        <v>0</v>
      </c>
      <c r="J751" s="18">
        <f>'GİRDİ RAPORU'!J850</f>
        <v>0</v>
      </c>
      <c r="K751" s="18">
        <f>'GİRDİ RAPORU'!K850</f>
        <v>0</v>
      </c>
      <c r="L751" s="18">
        <f>'GİRDİ RAPORU'!L850</f>
        <v>0</v>
      </c>
      <c r="M751" s="26">
        <f t="shared" si="33"/>
        <v>0</v>
      </c>
      <c r="N751" s="26">
        <f t="shared" si="34"/>
        <v>0</v>
      </c>
      <c r="O751" s="26">
        <f t="shared" si="35"/>
        <v>1</v>
      </c>
    </row>
    <row r="752" spans="1:15" ht="21.75" hidden="1" customHeight="1">
      <c r="A752" s="17">
        <f>'GİRDİ RAPORU'!A851</f>
        <v>0</v>
      </c>
      <c r="B752" s="18">
        <f>'GİRDİ RAPORU'!B851</f>
        <v>0</v>
      </c>
      <c r="C752" s="18">
        <f>'GİRDİ RAPORU'!C851</f>
        <v>0</v>
      </c>
      <c r="D752" s="18">
        <f>'GİRDİ RAPORU'!D851</f>
        <v>0</v>
      </c>
      <c r="E752" s="18">
        <f>'GİRDİ RAPORU'!E851</f>
        <v>0</v>
      </c>
      <c r="F752" s="18">
        <f>'GİRDİ RAPORU'!F851</f>
        <v>0</v>
      </c>
      <c r="G752" s="18">
        <f>'GİRDİ RAPORU'!G851</f>
        <v>0</v>
      </c>
      <c r="H752" s="18">
        <f>'GİRDİ RAPORU'!H851</f>
        <v>0</v>
      </c>
      <c r="I752" s="18">
        <f>'GİRDİ RAPORU'!I851</f>
        <v>0</v>
      </c>
      <c r="J752" s="18">
        <f>'GİRDİ RAPORU'!J851</f>
        <v>0</v>
      </c>
      <c r="K752" s="18">
        <f>'GİRDİ RAPORU'!K851</f>
        <v>0</v>
      </c>
      <c r="L752" s="18">
        <f>'GİRDİ RAPORU'!L851</f>
        <v>0</v>
      </c>
      <c r="M752" s="26">
        <f t="shared" si="33"/>
        <v>0</v>
      </c>
      <c r="N752" s="26">
        <f t="shared" si="34"/>
        <v>0</v>
      </c>
      <c r="O752" s="26">
        <f t="shared" si="35"/>
        <v>1</v>
      </c>
    </row>
    <row r="753" spans="1:15" ht="21.75" hidden="1" customHeight="1">
      <c r="A753" s="17">
        <f>'GİRDİ RAPORU'!A852</f>
        <v>0</v>
      </c>
      <c r="B753" s="18">
        <f>'GİRDİ RAPORU'!B852</f>
        <v>0</v>
      </c>
      <c r="C753" s="18">
        <f>'GİRDİ RAPORU'!C852</f>
        <v>0</v>
      </c>
      <c r="D753" s="18">
        <f>'GİRDİ RAPORU'!D852</f>
        <v>0</v>
      </c>
      <c r="E753" s="18">
        <f>'GİRDİ RAPORU'!E852</f>
        <v>0</v>
      </c>
      <c r="F753" s="18">
        <f>'GİRDİ RAPORU'!F852</f>
        <v>0</v>
      </c>
      <c r="G753" s="18">
        <f>'GİRDİ RAPORU'!G852</f>
        <v>0</v>
      </c>
      <c r="H753" s="18">
        <f>'GİRDİ RAPORU'!H852</f>
        <v>0</v>
      </c>
      <c r="I753" s="18">
        <f>'GİRDİ RAPORU'!I852</f>
        <v>0</v>
      </c>
      <c r="J753" s="18">
        <f>'GİRDİ RAPORU'!J852</f>
        <v>0</v>
      </c>
      <c r="K753" s="18">
        <f>'GİRDİ RAPORU'!K852</f>
        <v>0</v>
      </c>
      <c r="L753" s="18">
        <f>'GİRDİ RAPORU'!L852</f>
        <v>0</v>
      </c>
      <c r="M753" s="26">
        <f t="shared" si="33"/>
        <v>0</v>
      </c>
      <c r="N753" s="26">
        <f t="shared" si="34"/>
        <v>0</v>
      </c>
      <c r="O753" s="26">
        <f t="shared" si="35"/>
        <v>1</v>
      </c>
    </row>
    <row r="754" spans="1:15" ht="21.75" hidden="1" customHeight="1">
      <c r="A754" s="17">
        <f>'GİRDİ RAPORU'!A853</f>
        <v>0</v>
      </c>
      <c r="B754" s="18">
        <f>'GİRDİ RAPORU'!B853</f>
        <v>0</v>
      </c>
      <c r="C754" s="18">
        <f>'GİRDİ RAPORU'!C853</f>
        <v>0</v>
      </c>
      <c r="D754" s="18">
        <f>'GİRDİ RAPORU'!D853</f>
        <v>0</v>
      </c>
      <c r="E754" s="18">
        <f>'GİRDİ RAPORU'!E853</f>
        <v>0</v>
      </c>
      <c r="F754" s="18">
        <f>'GİRDİ RAPORU'!F853</f>
        <v>0</v>
      </c>
      <c r="G754" s="18">
        <f>'GİRDİ RAPORU'!G853</f>
        <v>0</v>
      </c>
      <c r="H754" s="18">
        <f>'GİRDİ RAPORU'!H853</f>
        <v>0</v>
      </c>
      <c r="I754" s="18">
        <f>'GİRDİ RAPORU'!I853</f>
        <v>0</v>
      </c>
      <c r="J754" s="18">
        <f>'GİRDİ RAPORU'!J853</f>
        <v>0</v>
      </c>
      <c r="K754" s="18">
        <f>'GİRDİ RAPORU'!K853</f>
        <v>0</v>
      </c>
      <c r="L754" s="18">
        <f>'GİRDİ RAPORU'!L853</f>
        <v>0</v>
      </c>
      <c r="M754" s="26">
        <f t="shared" si="33"/>
        <v>0</v>
      </c>
      <c r="N754" s="26">
        <f t="shared" si="34"/>
        <v>0</v>
      </c>
      <c r="O754" s="26">
        <f t="shared" si="35"/>
        <v>1</v>
      </c>
    </row>
    <row r="755" spans="1:15" ht="21.75" hidden="1" customHeight="1">
      <c r="A755" s="17">
        <f>'GİRDİ RAPORU'!A854</f>
        <v>0</v>
      </c>
      <c r="B755" s="18">
        <f>'GİRDİ RAPORU'!B854</f>
        <v>0</v>
      </c>
      <c r="C755" s="18">
        <f>'GİRDİ RAPORU'!C854</f>
        <v>0</v>
      </c>
      <c r="D755" s="18">
        <f>'GİRDİ RAPORU'!D854</f>
        <v>0</v>
      </c>
      <c r="E755" s="18">
        <f>'GİRDİ RAPORU'!E854</f>
        <v>0</v>
      </c>
      <c r="F755" s="18">
        <f>'GİRDİ RAPORU'!F854</f>
        <v>0</v>
      </c>
      <c r="G755" s="18">
        <f>'GİRDİ RAPORU'!G854</f>
        <v>0</v>
      </c>
      <c r="H755" s="18">
        <f>'GİRDİ RAPORU'!H854</f>
        <v>0</v>
      </c>
      <c r="I755" s="18">
        <f>'GİRDİ RAPORU'!I854</f>
        <v>0</v>
      </c>
      <c r="J755" s="18">
        <f>'GİRDİ RAPORU'!J854</f>
        <v>0</v>
      </c>
      <c r="K755" s="18">
        <f>'GİRDİ RAPORU'!K854</f>
        <v>0</v>
      </c>
      <c r="L755" s="18">
        <f>'GİRDİ RAPORU'!L854</f>
        <v>0</v>
      </c>
      <c r="M755" s="26">
        <f t="shared" si="33"/>
        <v>0</v>
      </c>
      <c r="N755" s="26">
        <f t="shared" si="34"/>
        <v>0</v>
      </c>
      <c r="O755" s="26">
        <f t="shared" si="35"/>
        <v>1</v>
      </c>
    </row>
    <row r="756" spans="1:15" ht="21.75" hidden="1" customHeight="1">
      <c r="A756" s="17">
        <f>'GİRDİ RAPORU'!A855</f>
        <v>0</v>
      </c>
      <c r="B756" s="18">
        <f>'GİRDİ RAPORU'!B855</f>
        <v>0</v>
      </c>
      <c r="C756" s="18">
        <f>'GİRDİ RAPORU'!C855</f>
        <v>0</v>
      </c>
      <c r="D756" s="18">
        <f>'GİRDİ RAPORU'!D855</f>
        <v>0</v>
      </c>
      <c r="E756" s="18">
        <f>'GİRDİ RAPORU'!E855</f>
        <v>0</v>
      </c>
      <c r="F756" s="18">
        <f>'GİRDİ RAPORU'!F855</f>
        <v>0</v>
      </c>
      <c r="G756" s="18">
        <f>'GİRDİ RAPORU'!G855</f>
        <v>0</v>
      </c>
      <c r="H756" s="18">
        <f>'GİRDİ RAPORU'!H855</f>
        <v>0</v>
      </c>
      <c r="I756" s="18">
        <f>'GİRDİ RAPORU'!I855</f>
        <v>0</v>
      </c>
      <c r="J756" s="18">
        <f>'GİRDİ RAPORU'!J855</f>
        <v>0</v>
      </c>
      <c r="K756" s="18">
        <f>'GİRDİ RAPORU'!K855</f>
        <v>0</v>
      </c>
      <c r="L756" s="18">
        <f>'GİRDİ RAPORU'!L855</f>
        <v>0</v>
      </c>
      <c r="M756" s="26">
        <f t="shared" si="33"/>
        <v>0</v>
      </c>
      <c r="N756" s="26">
        <f t="shared" si="34"/>
        <v>0</v>
      </c>
      <c r="O756" s="26">
        <f t="shared" si="35"/>
        <v>1</v>
      </c>
    </row>
    <row r="757" spans="1:15" ht="21.75" hidden="1" customHeight="1">
      <c r="A757" s="17">
        <f>'GİRDİ RAPORU'!A856</f>
        <v>0</v>
      </c>
      <c r="B757" s="18">
        <f>'GİRDİ RAPORU'!B856</f>
        <v>0</v>
      </c>
      <c r="C757" s="18">
        <f>'GİRDİ RAPORU'!C856</f>
        <v>0</v>
      </c>
      <c r="D757" s="18">
        <f>'GİRDİ RAPORU'!D856</f>
        <v>0</v>
      </c>
      <c r="E757" s="18">
        <f>'GİRDİ RAPORU'!E856</f>
        <v>0</v>
      </c>
      <c r="F757" s="18">
        <f>'GİRDİ RAPORU'!F856</f>
        <v>0</v>
      </c>
      <c r="G757" s="18">
        <f>'GİRDİ RAPORU'!G856</f>
        <v>0</v>
      </c>
      <c r="H757" s="18">
        <f>'GİRDİ RAPORU'!H856</f>
        <v>0</v>
      </c>
      <c r="I757" s="18">
        <f>'GİRDİ RAPORU'!I856</f>
        <v>0</v>
      </c>
      <c r="J757" s="18">
        <f>'GİRDİ RAPORU'!J856</f>
        <v>0</v>
      </c>
      <c r="K757" s="18">
        <f>'GİRDİ RAPORU'!K856</f>
        <v>0</v>
      </c>
      <c r="L757" s="18">
        <f>'GİRDİ RAPORU'!L856</f>
        <v>0</v>
      </c>
      <c r="M757" s="26">
        <f t="shared" si="33"/>
        <v>0</v>
      </c>
      <c r="N757" s="26">
        <f t="shared" si="34"/>
        <v>0</v>
      </c>
      <c r="O757" s="26">
        <f t="shared" si="35"/>
        <v>1</v>
      </c>
    </row>
    <row r="758" spans="1:15" ht="21.75" hidden="1" customHeight="1">
      <c r="A758" s="17">
        <f>'GİRDİ RAPORU'!A857</f>
        <v>0</v>
      </c>
      <c r="B758" s="18">
        <f>'GİRDİ RAPORU'!B857</f>
        <v>0</v>
      </c>
      <c r="C758" s="18">
        <f>'GİRDİ RAPORU'!C857</f>
        <v>0</v>
      </c>
      <c r="D758" s="18">
        <f>'GİRDİ RAPORU'!D857</f>
        <v>0</v>
      </c>
      <c r="E758" s="18">
        <f>'GİRDİ RAPORU'!E857</f>
        <v>0</v>
      </c>
      <c r="F758" s="18">
        <f>'GİRDİ RAPORU'!F857</f>
        <v>0</v>
      </c>
      <c r="G758" s="18">
        <f>'GİRDİ RAPORU'!G857</f>
        <v>0</v>
      </c>
      <c r="H758" s="18">
        <f>'GİRDİ RAPORU'!H857</f>
        <v>0</v>
      </c>
      <c r="I758" s="18">
        <f>'GİRDİ RAPORU'!I857</f>
        <v>0</v>
      </c>
      <c r="J758" s="18">
        <f>'GİRDİ RAPORU'!J857</f>
        <v>0</v>
      </c>
      <c r="K758" s="18">
        <f>'GİRDİ RAPORU'!K857</f>
        <v>0</v>
      </c>
      <c r="L758" s="18">
        <f>'GİRDİ RAPORU'!L857</f>
        <v>0</v>
      </c>
      <c r="M758" s="26">
        <f t="shared" si="33"/>
        <v>0</v>
      </c>
      <c r="N758" s="26">
        <f t="shared" si="34"/>
        <v>0</v>
      </c>
      <c r="O758" s="26">
        <f t="shared" si="35"/>
        <v>1</v>
      </c>
    </row>
    <row r="759" spans="1:15" ht="21.75" hidden="1" customHeight="1">
      <c r="A759" s="17">
        <f>'GİRDİ RAPORU'!A858</f>
        <v>0</v>
      </c>
      <c r="B759" s="18">
        <f>'GİRDİ RAPORU'!B858</f>
        <v>0</v>
      </c>
      <c r="C759" s="18">
        <f>'GİRDİ RAPORU'!C858</f>
        <v>0</v>
      </c>
      <c r="D759" s="18">
        <f>'GİRDİ RAPORU'!D858</f>
        <v>0</v>
      </c>
      <c r="E759" s="18">
        <f>'GİRDİ RAPORU'!E858</f>
        <v>0</v>
      </c>
      <c r="F759" s="18">
        <f>'GİRDİ RAPORU'!F858</f>
        <v>0</v>
      </c>
      <c r="G759" s="18">
        <f>'GİRDİ RAPORU'!G858</f>
        <v>0</v>
      </c>
      <c r="H759" s="18">
        <f>'GİRDİ RAPORU'!H858</f>
        <v>0</v>
      </c>
      <c r="I759" s="18">
        <f>'GİRDİ RAPORU'!I858</f>
        <v>0</v>
      </c>
      <c r="J759" s="18">
        <f>'GİRDİ RAPORU'!J858</f>
        <v>0</v>
      </c>
      <c r="K759" s="18">
        <f>'GİRDİ RAPORU'!K858</f>
        <v>0</v>
      </c>
      <c r="L759" s="18">
        <f>'GİRDİ RAPORU'!L858</f>
        <v>0</v>
      </c>
      <c r="M759" s="26">
        <f t="shared" si="33"/>
        <v>0</v>
      </c>
      <c r="N759" s="26">
        <f t="shared" si="34"/>
        <v>0</v>
      </c>
      <c r="O759" s="26">
        <f t="shared" si="35"/>
        <v>1</v>
      </c>
    </row>
    <row r="760" spans="1:15" ht="21.75" hidden="1" customHeight="1">
      <c r="A760" s="17">
        <f>'GİRDİ RAPORU'!A859</f>
        <v>0</v>
      </c>
      <c r="B760" s="18">
        <f>'GİRDİ RAPORU'!B859</f>
        <v>0</v>
      </c>
      <c r="C760" s="18">
        <f>'GİRDİ RAPORU'!C859</f>
        <v>0</v>
      </c>
      <c r="D760" s="18">
        <f>'GİRDİ RAPORU'!D859</f>
        <v>0</v>
      </c>
      <c r="E760" s="18">
        <f>'GİRDİ RAPORU'!E859</f>
        <v>0</v>
      </c>
      <c r="F760" s="18">
        <f>'GİRDİ RAPORU'!F859</f>
        <v>0</v>
      </c>
      <c r="G760" s="18">
        <f>'GİRDİ RAPORU'!G859</f>
        <v>0</v>
      </c>
      <c r="H760" s="18">
        <f>'GİRDİ RAPORU'!H859</f>
        <v>0</v>
      </c>
      <c r="I760" s="18">
        <f>'GİRDİ RAPORU'!I859</f>
        <v>0</v>
      </c>
      <c r="J760" s="18">
        <f>'GİRDİ RAPORU'!J859</f>
        <v>0</v>
      </c>
      <c r="K760" s="18">
        <f>'GİRDİ RAPORU'!K859</f>
        <v>0</v>
      </c>
      <c r="L760" s="18">
        <f>'GİRDİ RAPORU'!L859</f>
        <v>0</v>
      </c>
      <c r="M760" s="26">
        <f t="shared" si="33"/>
        <v>0</v>
      </c>
      <c r="N760" s="26">
        <f t="shared" si="34"/>
        <v>0</v>
      </c>
      <c r="O760" s="26">
        <f t="shared" si="35"/>
        <v>1</v>
      </c>
    </row>
    <row r="761" spans="1:15" ht="21.75" hidden="1" customHeight="1">
      <c r="A761" s="17">
        <f>'GİRDİ RAPORU'!A860</f>
        <v>0</v>
      </c>
      <c r="B761" s="18">
        <f>'GİRDİ RAPORU'!B860</f>
        <v>0</v>
      </c>
      <c r="C761" s="18">
        <f>'GİRDİ RAPORU'!C860</f>
        <v>0</v>
      </c>
      <c r="D761" s="18">
        <f>'GİRDİ RAPORU'!D860</f>
        <v>0</v>
      </c>
      <c r="E761" s="18">
        <f>'GİRDİ RAPORU'!E860</f>
        <v>0</v>
      </c>
      <c r="F761" s="18">
        <f>'GİRDİ RAPORU'!F860</f>
        <v>0</v>
      </c>
      <c r="G761" s="18">
        <f>'GİRDİ RAPORU'!G860</f>
        <v>0</v>
      </c>
      <c r="H761" s="18">
        <f>'GİRDİ RAPORU'!H860</f>
        <v>0</v>
      </c>
      <c r="I761" s="18">
        <f>'GİRDİ RAPORU'!I860</f>
        <v>0</v>
      </c>
      <c r="J761" s="18">
        <f>'GİRDİ RAPORU'!J860</f>
        <v>0</v>
      </c>
      <c r="K761" s="18">
        <f>'GİRDİ RAPORU'!K860</f>
        <v>0</v>
      </c>
      <c r="L761" s="18">
        <f>'GİRDİ RAPORU'!L860</f>
        <v>0</v>
      </c>
      <c r="M761" s="26">
        <f t="shared" si="33"/>
        <v>0</v>
      </c>
      <c r="N761" s="26">
        <f t="shared" si="34"/>
        <v>0</v>
      </c>
      <c r="O761" s="26">
        <f t="shared" si="35"/>
        <v>1</v>
      </c>
    </row>
    <row r="762" spans="1:15" ht="21.75" hidden="1" customHeight="1">
      <c r="A762" s="17">
        <f>'GİRDİ RAPORU'!A861</f>
        <v>0</v>
      </c>
      <c r="B762" s="18">
        <f>'GİRDİ RAPORU'!B861</f>
        <v>0</v>
      </c>
      <c r="C762" s="18">
        <f>'GİRDİ RAPORU'!C861</f>
        <v>0</v>
      </c>
      <c r="D762" s="18">
        <f>'GİRDİ RAPORU'!D861</f>
        <v>0</v>
      </c>
      <c r="E762" s="18">
        <f>'GİRDİ RAPORU'!E861</f>
        <v>0</v>
      </c>
      <c r="F762" s="18">
        <f>'GİRDİ RAPORU'!F861</f>
        <v>0</v>
      </c>
      <c r="G762" s="18">
        <f>'GİRDİ RAPORU'!G861</f>
        <v>0</v>
      </c>
      <c r="H762" s="18">
        <f>'GİRDİ RAPORU'!H861</f>
        <v>0</v>
      </c>
      <c r="I762" s="18">
        <f>'GİRDİ RAPORU'!I861</f>
        <v>0</v>
      </c>
      <c r="J762" s="18">
        <f>'GİRDİ RAPORU'!J861</f>
        <v>0</v>
      </c>
      <c r="K762" s="18">
        <f>'GİRDİ RAPORU'!K861</f>
        <v>0</v>
      </c>
      <c r="L762" s="18">
        <f>'GİRDİ RAPORU'!L861</f>
        <v>0</v>
      </c>
      <c r="M762" s="26">
        <f t="shared" si="33"/>
        <v>0</v>
      </c>
      <c r="N762" s="26">
        <f t="shared" si="34"/>
        <v>0</v>
      </c>
      <c r="O762" s="26">
        <f t="shared" si="35"/>
        <v>1</v>
      </c>
    </row>
    <row r="763" spans="1:15" ht="21.75" hidden="1" customHeight="1">
      <c r="A763" s="17">
        <f>'GİRDİ RAPORU'!A862</f>
        <v>0</v>
      </c>
      <c r="B763" s="18">
        <f>'GİRDİ RAPORU'!B862</f>
        <v>0</v>
      </c>
      <c r="C763" s="18">
        <f>'GİRDİ RAPORU'!C862</f>
        <v>0</v>
      </c>
      <c r="D763" s="18">
        <f>'GİRDİ RAPORU'!D862</f>
        <v>0</v>
      </c>
      <c r="E763" s="18">
        <f>'GİRDİ RAPORU'!E862</f>
        <v>0</v>
      </c>
      <c r="F763" s="18">
        <f>'GİRDİ RAPORU'!F862</f>
        <v>0</v>
      </c>
      <c r="G763" s="18">
        <f>'GİRDİ RAPORU'!G862</f>
        <v>0</v>
      </c>
      <c r="H763" s="18">
        <f>'GİRDİ RAPORU'!H862</f>
        <v>0</v>
      </c>
      <c r="I763" s="18">
        <f>'GİRDİ RAPORU'!I862</f>
        <v>0</v>
      </c>
      <c r="J763" s="18">
        <f>'GİRDİ RAPORU'!J862</f>
        <v>0</v>
      </c>
      <c r="K763" s="18">
        <f>'GİRDİ RAPORU'!K862</f>
        <v>0</v>
      </c>
      <c r="L763" s="18">
        <f>'GİRDİ RAPORU'!L862</f>
        <v>0</v>
      </c>
      <c r="M763" s="26">
        <f t="shared" si="33"/>
        <v>0</v>
      </c>
      <c r="N763" s="26">
        <f t="shared" si="34"/>
        <v>0</v>
      </c>
      <c r="O763" s="26">
        <f t="shared" si="35"/>
        <v>1</v>
      </c>
    </row>
    <row r="764" spans="1:15" ht="21.75" hidden="1" customHeight="1">
      <c r="A764" s="17">
        <f>'GİRDİ RAPORU'!A863</f>
        <v>0</v>
      </c>
      <c r="B764" s="18">
        <f>'GİRDİ RAPORU'!B863</f>
        <v>0</v>
      </c>
      <c r="C764" s="18">
        <f>'GİRDİ RAPORU'!C863</f>
        <v>0</v>
      </c>
      <c r="D764" s="18">
        <f>'GİRDİ RAPORU'!D863</f>
        <v>0</v>
      </c>
      <c r="E764" s="18">
        <f>'GİRDİ RAPORU'!E863</f>
        <v>0</v>
      </c>
      <c r="F764" s="18">
        <f>'GİRDİ RAPORU'!F863</f>
        <v>0</v>
      </c>
      <c r="G764" s="18">
        <f>'GİRDİ RAPORU'!G863</f>
        <v>0</v>
      </c>
      <c r="H764" s="18">
        <f>'GİRDİ RAPORU'!H863</f>
        <v>0</v>
      </c>
      <c r="I764" s="18">
        <f>'GİRDİ RAPORU'!I863</f>
        <v>0</v>
      </c>
      <c r="J764" s="18">
        <f>'GİRDİ RAPORU'!J863</f>
        <v>0</v>
      </c>
      <c r="K764" s="18">
        <f>'GİRDİ RAPORU'!K863</f>
        <v>0</v>
      </c>
      <c r="L764" s="18">
        <f>'GİRDİ RAPORU'!L863</f>
        <v>0</v>
      </c>
      <c r="M764" s="26">
        <f t="shared" si="33"/>
        <v>0</v>
      </c>
      <c r="N764" s="26">
        <f t="shared" si="34"/>
        <v>0</v>
      </c>
      <c r="O764" s="26">
        <f t="shared" si="35"/>
        <v>1</v>
      </c>
    </row>
    <row r="765" spans="1:15" ht="21.75" hidden="1" customHeight="1">
      <c r="A765" s="17">
        <f>'GİRDİ RAPORU'!A864</f>
        <v>0</v>
      </c>
      <c r="B765" s="18">
        <f>'GİRDİ RAPORU'!B864</f>
        <v>0</v>
      </c>
      <c r="C765" s="18">
        <f>'GİRDİ RAPORU'!C864</f>
        <v>0</v>
      </c>
      <c r="D765" s="18">
        <f>'GİRDİ RAPORU'!D864</f>
        <v>0</v>
      </c>
      <c r="E765" s="18">
        <f>'GİRDİ RAPORU'!E864</f>
        <v>0</v>
      </c>
      <c r="F765" s="18">
        <f>'GİRDİ RAPORU'!F864</f>
        <v>0</v>
      </c>
      <c r="G765" s="18">
        <f>'GİRDİ RAPORU'!G864</f>
        <v>0</v>
      </c>
      <c r="H765" s="18">
        <f>'GİRDİ RAPORU'!H864</f>
        <v>0</v>
      </c>
      <c r="I765" s="18">
        <f>'GİRDİ RAPORU'!I864</f>
        <v>0</v>
      </c>
      <c r="J765" s="18">
        <f>'GİRDİ RAPORU'!J864</f>
        <v>0</v>
      </c>
      <c r="K765" s="18">
        <f>'GİRDİ RAPORU'!K864</f>
        <v>0</v>
      </c>
      <c r="L765" s="18">
        <f>'GİRDİ RAPORU'!L864</f>
        <v>0</v>
      </c>
      <c r="M765" s="26">
        <f t="shared" si="33"/>
        <v>0</v>
      </c>
      <c r="N765" s="26">
        <f t="shared" si="34"/>
        <v>0</v>
      </c>
      <c r="O765" s="26">
        <f t="shared" si="35"/>
        <v>1</v>
      </c>
    </row>
    <row r="766" spans="1:15" ht="21.75" hidden="1" customHeight="1">
      <c r="A766" s="17">
        <f>'GİRDİ RAPORU'!A865</f>
        <v>0</v>
      </c>
      <c r="B766" s="18">
        <f>'GİRDİ RAPORU'!B865</f>
        <v>0</v>
      </c>
      <c r="C766" s="18">
        <f>'GİRDİ RAPORU'!C865</f>
        <v>0</v>
      </c>
      <c r="D766" s="18">
        <f>'GİRDİ RAPORU'!D865</f>
        <v>0</v>
      </c>
      <c r="E766" s="18">
        <f>'GİRDİ RAPORU'!E865</f>
        <v>0</v>
      </c>
      <c r="F766" s="18">
        <f>'GİRDİ RAPORU'!F865</f>
        <v>0</v>
      </c>
      <c r="G766" s="18">
        <f>'GİRDİ RAPORU'!G865</f>
        <v>0</v>
      </c>
      <c r="H766" s="18">
        <f>'GİRDİ RAPORU'!H865</f>
        <v>0</v>
      </c>
      <c r="I766" s="18">
        <f>'GİRDİ RAPORU'!I865</f>
        <v>0</v>
      </c>
      <c r="J766" s="18">
        <f>'GİRDİ RAPORU'!J865</f>
        <v>0</v>
      </c>
      <c r="K766" s="18">
        <f>'GİRDİ RAPORU'!K865</f>
        <v>0</v>
      </c>
      <c r="L766" s="18">
        <f>'GİRDİ RAPORU'!L865</f>
        <v>0</v>
      </c>
      <c r="M766" s="26">
        <f t="shared" si="33"/>
        <v>0</v>
      </c>
      <c r="N766" s="26">
        <f t="shared" si="34"/>
        <v>0</v>
      </c>
      <c r="O766" s="26">
        <f t="shared" si="35"/>
        <v>1</v>
      </c>
    </row>
    <row r="767" spans="1:15" ht="21.75" hidden="1" customHeight="1">
      <c r="A767" s="17">
        <f>'GİRDİ RAPORU'!A866</f>
        <v>0</v>
      </c>
      <c r="B767" s="18">
        <f>'GİRDİ RAPORU'!B866</f>
        <v>0</v>
      </c>
      <c r="C767" s="18">
        <f>'GİRDİ RAPORU'!C866</f>
        <v>0</v>
      </c>
      <c r="D767" s="18">
        <f>'GİRDİ RAPORU'!D866</f>
        <v>0</v>
      </c>
      <c r="E767" s="18">
        <f>'GİRDİ RAPORU'!E866</f>
        <v>0</v>
      </c>
      <c r="F767" s="18">
        <f>'GİRDİ RAPORU'!F866</f>
        <v>0</v>
      </c>
      <c r="G767" s="18">
        <f>'GİRDİ RAPORU'!G866</f>
        <v>0</v>
      </c>
      <c r="H767" s="18">
        <f>'GİRDİ RAPORU'!H866</f>
        <v>0</v>
      </c>
      <c r="I767" s="18">
        <f>'GİRDİ RAPORU'!I866</f>
        <v>0</v>
      </c>
      <c r="J767" s="18">
        <f>'GİRDİ RAPORU'!J866</f>
        <v>0</v>
      </c>
      <c r="K767" s="18">
        <f>'GİRDİ RAPORU'!K866</f>
        <v>0</v>
      </c>
      <c r="L767" s="18">
        <f>'GİRDİ RAPORU'!L866</f>
        <v>0</v>
      </c>
      <c r="M767" s="26">
        <f t="shared" si="33"/>
        <v>0</v>
      </c>
      <c r="N767" s="26">
        <f t="shared" si="34"/>
        <v>0</v>
      </c>
      <c r="O767" s="26">
        <f t="shared" si="35"/>
        <v>1</v>
      </c>
    </row>
    <row r="768" spans="1:15" ht="21.75" hidden="1" customHeight="1">
      <c r="A768" s="17">
        <f>'GİRDİ RAPORU'!A867</f>
        <v>0</v>
      </c>
      <c r="B768" s="18">
        <f>'GİRDİ RAPORU'!B867</f>
        <v>0</v>
      </c>
      <c r="C768" s="18">
        <f>'GİRDİ RAPORU'!C867</f>
        <v>0</v>
      </c>
      <c r="D768" s="18">
        <f>'GİRDİ RAPORU'!D867</f>
        <v>0</v>
      </c>
      <c r="E768" s="18">
        <f>'GİRDİ RAPORU'!E867</f>
        <v>0</v>
      </c>
      <c r="F768" s="18">
        <f>'GİRDİ RAPORU'!F867</f>
        <v>0</v>
      </c>
      <c r="G768" s="18">
        <f>'GİRDİ RAPORU'!G867</f>
        <v>0</v>
      </c>
      <c r="H768" s="18">
        <f>'GİRDİ RAPORU'!H867</f>
        <v>0</v>
      </c>
      <c r="I768" s="18">
        <f>'GİRDİ RAPORU'!I867</f>
        <v>0</v>
      </c>
      <c r="J768" s="18">
        <f>'GİRDİ RAPORU'!J867</f>
        <v>0</v>
      </c>
      <c r="K768" s="18">
        <f>'GİRDİ RAPORU'!K867</f>
        <v>0</v>
      </c>
      <c r="L768" s="18">
        <f>'GİRDİ RAPORU'!L867</f>
        <v>0</v>
      </c>
      <c r="M768" s="26">
        <f t="shared" si="33"/>
        <v>0</v>
      </c>
      <c r="N768" s="26">
        <f t="shared" si="34"/>
        <v>0</v>
      </c>
      <c r="O768" s="26">
        <f t="shared" si="35"/>
        <v>1</v>
      </c>
    </row>
    <row r="769" spans="1:15" ht="21.75" hidden="1" customHeight="1">
      <c r="A769" s="17">
        <f>'GİRDİ RAPORU'!A868</f>
        <v>0</v>
      </c>
      <c r="B769" s="18">
        <f>'GİRDİ RAPORU'!B868</f>
        <v>0</v>
      </c>
      <c r="C769" s="18">
        <f>'GİRDİ RAPORU'!C868</f>
        <v>0</v>
      </c>
      <c r="D769" s="18">
        <f>'GİRDİ RAPORU'!D868</f>
        <v>0</v>
      </c>
      <c r="E769" s="18">
        <f>'GİRDİ RAPORU'!E868</f>
        <v>0</v>
      </c>
      <c r="F769" s="18">
        <f>'GİRDİ RAPORU'!F868</f>
        <v>0</v>
      </c>
      <c r="G769" s="18">
        <f>'GİRDİ RAPORU'!G868</f>
        <v>0</v>
      </c>
      <c r="H769" s="18">
        <f>'GİRDİ RAPORU'!H868</f>
        <v>0</v>
      </c>
      <c r="I769" s="18">
        <f>'GİRDİ RAPORU'!I868</f>
        <v>0</v>
      </c>
      <c r="J769" s="18">
        <f>'GİRDİ RAPORU'!J868</f>
        <v>0</v>
      </c>
      <c r="K769" s="18">
        <f>'GİRDİ RAPORU'!K868</f>
        <v>0</v>
      </c>
      <c r="L769" s="18">
        <f>'GİRDİ RAPORU'!L868</f>
        <v>0</v>
      </c>
      <c r="M769" s="26">
        <f t="shared" ref="M769:M832" si="36">(C769+D769)/750</f>
        <v>0</v>
      </c>
      <c r="N769" s="26">
        <f t="shared" ref="N769:N832" si="37">(F769+H769+J769)/540</f>
        <v>0</v>
      </c>
      <c r="O769" s="26">
        <f t="shared" ref="O769:O832" si="38">(540-F769-H769-J769)/540</f>
        <v>1</v>
      </c>
    </row>
    <row r="770" spans="1:15" ht="21.75" hidden="1" customHeight="1">
      <c r="A770" s="17">
        <f>'GİRDİ RAPORU'!A869</f>
        <v>0</v>
      </c>
      <c r="B770" s="18">
        <f>'GİRDİ RAPORU'!B869</f>
        <v>0</v>
      </c>
      <c r="C770" s="18">
        <f>'GİRDİ RAPORU'!C869</f>
        <v>0</v>
      </c>
      <c r="D770" s="18">
        <f>'GİRDİ RAPORU'!D869</f>
        <v>0</v>
      </c>
      <c r="E770" s="18">
        <f>'GİRDİ RAPORU'!E869</f>
        <v>0</v>
      </c>
      <c r="F770" s="18">
        <f>'GİRDİ RAPORU'!F869</f>
        <v>0</v>
      </c>
      <c r="G770" s="18">
        <f>'GİRDİ RAPORU'!G869</f>
        <v>0</v>
      </c>
      <c r="H770" s="18">
        <f>'GİRDİ RAPORU'!H869</f>
        <v>0</v>
      </c>
      <c r="I770" s="18">
        <f>'GİRDİ RAPORU'!I869</f>
        <v>0</v>
      </c>
      <c r="J770" s="18">
        <f>'GİRDİ RAPORU'!J869</f>
        <v>0</v>
      </c>
      <c r="K770" s="18">
        <f>'GİRDİ RAPORU'!K869</f>
        <v>0</v>
      </c>
      <c r="L770" s="18">
        <f>'GİRDİ RAPORU'!L869</f>
        <v>0</v>
      </c>
      <c r="M770" s="26">
        <f t="shared" si="36"/>
        <v>0</v>
      </c>
      <c r="N770" s="26">
        <f t="shared" si="37"/>
        <v>0</v>
      </c>
      <c r="O770" s="26">
        <f t="shared" si="38"/>
        <v>1</v>
      </c>
    </row>
    <row r="771" spans="1:15" ht="21.75" hidden="1" customHeight="1">
      <c r="A771" s="17">
        <f>'GİRDİ RAPORU'!A870</f>
        <v>0</v>
      </c>
      <c r="B771" s="18">
        <f>'GİRDİ RAPORU'!B870</f>
        <v>0</v>
      </c>
      <c r="C771" s="18">
        <f>'GİRDİ RAPORU'!C870</f>
        <v>0</v>
      </c>
      <c r="D771" s="18">
        <f>'GİRDİ RAPORU'!D870</f>
        <v>0</v>
      </c>
      <c r="E771" s="18">
        <f>'GİRDİ RAPORU'!E870</f>
        <v>0</v>
      </c>
      <c r="F771" s="18">
        <f>'GİRDİ RAPORU'!F870</f>
        <v>0</v>
      </c>
      <c r="G771" s="18">
        <f>'GİRDİ RAPORU'!G870</f>
        <v>0</v>
      </c>
      <c r="H771" s="18">
        <f>'GİRDİ RAPORU'!H870</f>
        <v>0</v>
      </c>
      <c r="I771" s="18">
        <f>'GİRDİ RAPORU'!I870</f>
        <v>0</v>
      </c>
      <c r="J771" s="18">
        <f>'GİRDİ RAPORU'!J870</f>
        <v>0</v>
      </c>
      <c r="K771" s="18">
        <f>'GİRDİ RAPORU'!K870</f>
        <v>0</v>
      </c>
      <c r="L771" s="18">
        <f>'GİRDİ RAPORU'!L870</f>
        <v>0</v>
      </c>
      <c r="M771" s="26">
        <f t="shared" si="36"/>
        <v>0</v>
      </c>
      <c r="N771" s="26">
        <f t="shared" si="37"/>
        <v>0</v>
      </c>
      <c r="O771" s="26">
        <f t="shared" si="38"/>
        <v>1</v>
      </c>
    </row>
    <row r="772" spans="1:15" ht="21.75" hidden="1" customHeight="1">
      <c r="A772" s="17">
        <f>'GİRDİ RAPORU'!A871</f>
        <v>0</v>
      </c>
      <c r="B772" s="18">
        <f>'GİRDİ RAPORU'!B871</f>
        <v>0</v>
      </c>
      <c r="C772" s="18">
        <f>'GİRDİ RAPORU'!C871</f>
        <v>0</v>
      </c>
      <c r="D772" s="18">
        <f>'GİRDİ RAPORU'!D871</f>
        <v>0</v>
      </c>
      <c r="E772" s="18">
        <f>'GİRDİ RAPORU'!E871</f>
        <v>0</v>
      </c>
      <c r="F772" s="18">
        <f>'GİRDİ RAPORU'!F871</f>
        <v>0</v>
      </c>
      <c r="G772" s="18">
        <f>'GİRDİ RAPORU'!G871</f>
        <v>0</v>
      </c>
      <c r="H772" s="18">
        <f>'GİRDİ RAPORU'!H871</f>
        <v>0</v>
      </c>
      <c r="I772" s="18">
        <f>'GİRDİ RAPORU'!I871</f>
        <v>0</v>
      </c>
      <c r="J772" s="18">
        <f>'GİRDİ RAPORU'!J871</f>
        <v>0</v>
      </c>
      <c r="K772" s="18">
        <f>'GİRDİ RAPORU'!K871</f>
        <v>0</v>
      </c>
      <c r="L772" s="18">
        <f>'GİRDİ RAPORU'!L871</f>
        <v>0</v>
      </c>
      <c r="M772" s="26">
        <f t="shared" si="36"/>
        <v>0</v>
      </c>
      <c r="N772" s="26">
        <f t="shared" si="37"/>
        <v>0</v>
      </c>
      <c r="O772" s="26">
        <f t="shared" si="38"/>
        <v>1</v>
      </c>
    </row>
    <row r="773" spans="1:15" ht="21.75" hidden="1" customHeight="1">
      <c r="A773" s="17">
        <f>'GİRDİ RAPORU'!A872</f>
        <v>0</v>
      </c>
      <c r="B773" s="18">
        <f>'GİRDİ RAPORU'!B872</f>
        <v>0</v>
      </c>
      <c r="C773" s="18">
        <f>'GİRDİ RAPORU'!C872</f>
        <v>0</v>
      </c>
      <c r="D773" s="18">
        <f>'GİRDİ RAPORU'!D872</f>
        <v>0</v>
      </c>
      <c r="E773" s="18">
        <f>'GİRDİ RAPORU'!E872</f>
        <v>0</v>
      </c>
      <c r="F773" s="18">
        <f>'GİRDİ RAPORU'!F872</f>
        <v>0</v>
      </c>
      <c r="G773" s="18">
        <f>'GİRDİ RAPORU'!G872</f>
        <v>0</v>
      </c>
      <c r="H773" s="18">
        <f>'GİRDİ RAPORU'!H872</f>
        <v>0</v>
      </c>
      <c r="I773" s="18">
        <f>'GİRDİ RAPORU'!I872</f>
        <v>0</v>
      </c>
      <c r="J773" s="18">
        <f>'GİRDİ RAPORU'!J872</f>
        <v>0</v>
      </c>
      <c r="K773" s="18">
        <f>'GİRDİ RAPORU'!K872</f>
        <v>0</v>
      </c>
      <c r="L773" s="18">
        <f>'GİRDİ RAPORU'!L872</f>
        <v>0</v>
      </c>
      <c r="M773" s="26">
        <f t="shared" si="36"/>
        <v>0</v>
      </c>
      <c r="N773" s="26">
        <f t="shared" si="37"/>
        <v>0</v>
      </c>
      <c r="O773" s="26">
        <f t="shared" si="38"/>
        <v>1</v>
      </c>
    </row>
    <row r="774" spans="1:15" ht="21.75" hidden="1" customHeight="1">
      <c r="A774" s="17">
        <f>'GİRDİ RAPORU'!A873</f>
        <v>0</v>
      </c>
      <c r="B774" s="18">
        <f>'GİRDİ RAPORU'!B873</f>
        <v>0</v>
      </c>
      <c r="C774" s="18">
        <f>'GİRDİ RAPORU'!C873</f>
        <v>0</v>
      </c>
      <c r="D774" s="18">
        <f>'GİRDİ RAPORU'!D873</f>
        <v>0</v>
      </c>
      <c r="E774" s="18">
        <f>'GİRDİ RAPORU'!E873</f>
        <v>0</v>
      </c>
      <c r="F774" s="18">
        <f>'GİRDİ RAPORU'!F873</f>
        <v>0</v>
      </c>
      <c r="G774" s="18">
        <f>'GİRDİ RAPORU'!G873</f>
        <v>0</v>
      </c>
      <c r="H774" s="18">
        <f>'GİRDİ RAPORU'!H873</f>
        <v>0</v>
      </c>
      <c r="I774" s="18">
        <f>'GİRDİ RAPORU'!I873</f>
        <v>0</v>
      </c>
      <c r="J774" s="18">
        <f>'GİRDİ RAPORU'!J873</f>
        <v>0</v>
      </c>
      <c r="K774" s="18">
        <f>'GİRDİ RAPORU'!K873</f>
        <v>0</v>
      </c>
      <c r="L774" s="18">
        <f>'GİRDİ RAPORU'!L873</f>
        <v>0</v>
      </c>
      <c r="M774" s="26">
        <f t="shared" si="36"/>
        <v>0</v>
      </c>
      <c r="N774" s="26">
        <f t="shared" si="37"/>
        <v>0</v>
      </c>
      <c r="O774" s="26">
        <f t="shared" si="38"/>
        <v>1</v>
      </c>
    </row>
    <row r="775" spans="1:15" ht="21.75" hidden="1" customHeight="1">
      <c r="A775" s="17">
        <f>'GİRDİ RAPORU'!A874</f>
        <v>0</v>
      </c>
      <c r="B775" s="18">
        <f>'GİRDİ RAPORU'!B874</f>
        <v>0</v>
      </c>
      <c r="C775" s="18">
        <f>'GİRDİ RAPORU'!C874</f>
        <v>0</v>
      </c>
      <c r="D775" s="18">
        <f>'GİRDİ RAPORU'!D874</f>
        <v>0</v>
      </c>
      <c r="E775" s="18">
        <f>'GİRDİ RAPORU'!E874</f>
        <v>0</v>
      </c>
      <c r="F775" s="18">
        <f>'GİRDİ RAPORU'!F874</f>
        <v>0</v>
      </c>
      <c r="G775" s="18">
        <f>'GİRDİ RAPORU'!G874</f>
        <v>0</v>
      </c>
      <c r="H775" s="18">
        <f>'GİRDİ RAPORU'!H874</f>
        <v>0</v>
      </c>
      <c r="I775" s="18">
        <f>'GİRDİ RAPORU'!I874</f>
        <v>0</v>
      </c>
      <c r="J775" s="18">
        <f>'GİRDİ RAPORU'!J874</f>
        <v>0</v>
      </c>
      <c r="K775" s="18">
        <f>'GİRDİ RAPORU'!K874</f>
        <v>0</v>
      </c>
      <c r="L775" s="18">
        <f>'GİRDİ RAPORU'!L874</f>
        <v>0</v>
      </c>
      <c r="M775" s="26">
        <f t="shared" si="36"/>
        <v>0</v>
      </c>
      <c r="N775" s="26">
        <f t="shared" si="37"/>
        <v>0</v>
      </c>
      <c r="O775" s="26">
        <f t="shared" si="38"/>
        <v>1</v>
      </c>
    </row>
    <row r="776" spans="1:15" ht="21.75" hidden="1" customHeight="1">
      <c r="A776" s="17">
        <f>'GİRDİ RAPORU'!A875</f>
        <v>0</v>
      </c>
      <c r="B776" s="18">
        <f>'GİRDİ RAPORU'!B875</f>
        <v>0</v>
      </c>
      <c r="C776" s="18">
        <f>'GİRDİ RAPORU'!C875</f>
        <v>0</v>
      </c>
      <c r="D776" s="18">
        <f>'GİRDİ RAPORU'!D875</f>
        <v>0</v>
      </c>
      <c r="E776" s="18">
        <f>'GİRDİ RAPORU'!E875</f>
        <v>0</v>
      </c>
      <c r="F776" s="18">
        <f>'GİRDİ RAPORU'!F875</f>
        <v>0</v>
      </c>
      <c r="G776" s="18">
        <f>'GİRDİ RAPORU'!G875</f>
        <v>0</v>
      </c>
      <c r="H776" s="18">
        <f>'GİRDİ RAPORU'!H875</f>
        <v>0</v>
      </c>
      <c r="I776" s="18">
        <f>'GİRDİ RAPORU'!I875</f>
        <v>0</v>
      </c>
      <c r="J776" s="18">
        <f>'GİRDİ RAPORU'!J875</f>
        <v>0</v>
      </c>
      <c r="K776" s="18">
        <f>'GİRDİ RAPORU'!K875</f>
        <v>0</v>
      </c>
      <c r="L776" s="18">
        <f>'GİRDİ RAPORU'!L875</f>
        <v>0</v>
      </c>
      <c r="M776" s="26">
        <f t="shared" si="36"/>
        <v>0</v>
      </c>
      <c r="N776" s="26">
        <f t="shared" si="37"/>
        <v>0</v>
      </c>
      <c r="O776" s="26">
        <f t="shared" si="38"/>
        <v>1</v>
      </c>
    </row>
    <row r="777" spans="1:15" ht="21.75" hidden="1" customHeight="1">
      <c r="A777" s="17">
        <f>'GİRDİ RAPORU'!A876</f>
        <v>0</v>
      </c>
      <c r="B777" s="18">
        <f>'GİRDİ RAPORU'!B876</f>
        <v>0</v>
      </c>
      <c r="C777" s="18">
        <f>'GİRDİ RAPORU'!C876</f>
        <v>0</v>
      </c>
      <c r="D777" s="18">
        <f>'GİRDİ RAPORU'!D876</f>
        <v>0</v>
      </c>
      <c r="E777" s="18">
        <f>'GİRDİ RAPORU'!E876</f>
        <v>0</v>
      </c>
      <c r="F777" s="18">
        <f>'GİRDİ RAPORU'!F876</f>
        <v>0</v>
      </c>
      <c r="G777" s="18">
        <f>'GİRDİ RAPORU'!G876</f>
        <v>0</v>
      </c>
      <c r="H777" s="18">
        <f>'GİRDİ RAPORU'!H876</f>
        <v>0</v>
      </c>
      <c r="I777" s="18">
        <f>'GİRDİ RAPORU'!I876</f>
        <v>0</v>
      </c>
      <c r="J777" s="18">
        <f>'GİRDİ RAPORU'!J876</f>
        <v>0</v>
      </c>
      <c r="K777" s="18">
        <f>'GİRDİ RAPORU'!K876</f>
        <v>0</v>
      </c>
      <c r="L777" s="18">
        <f>'GİRDİ RAPORU'!L876</f>
        <v>0</v>
      </c>
      <c r="M777" s="26">
        <f t="shared" si="36"/>
        <v>0</v>
      </c>
      <c r="N777" s="26">
        <f t="shared" si="37"/>
        <v>0</v>
      </c>
      <c r="O777" s="26">
        <f t="shared" si="38"/>
        <v>1</v>
      </c>
    </row>
    <row r="778" spans="1:15" ht="21.75" hidden="1" customHeight="1">
      <c r="A778" s="17">
        <f>'GİRDİ RAPORU'!A877</f>
        <v>0</v>
      </c>
      <c r="B778" s="18">
        <f>'GİRDİ RAPORU'!B877</f>
        <v>0</v>
      </c>
      <c r="C778" s="18">
        <f>'GİRDİ RAPORU'!C877</f>
        <v>0</v>
      </c>
      <c r="D778" s="18">
        <f>'GİRDİ RAPORU'!D877</f>
        <v>0</v>
      </c>
      <c r="E778" s="18">
        <f>'GİRDİ RAPORU'!E877</f>
        <v>0</v>
      </c>
      <c r="F778" s="18">
        <f>'GİRDİ RAPORU'!F877</f>
        <v>0</v>
      </c>
      <c r="G778" s="18">
        <f>'GİRDİ RAPORU'!G877</f>
        <v>0</v>
      </c>
      <c r="H778" s="18">
        <f>'GİRDİ RAPORU'!H877</f>
        <v>0</v>
      </c>
      <c r="I778" s="18">
        <f>'GİRDİ RAPORU'!I877</f>
        <v>0</v>
      </c>
      <c r="J778" s="18">
        <f>'GİRDİ RAPORU'!J877</f>
        <v>0</v>
      </c>
      <c r="K778" s="18">
        <f>'GİRDİ RAPORU'!K877</f>
        <v>0</v>
      </c>
      <c r="L778" s="18">
        <f>'GİRDİ RAPORU'!L877</f>
        <v>0</v>
      </c>
      <c r="M778" s="26">
        <f t="shared" si="36"/>
        <v>0</v>
      </c>
      <c r="N778" s="26">
        <f t="shared" si="37"/>
        <v>0</v>
      </c>
      <c r="O778" s="26">
        <f t="shared" si="38"/>
        <v>1</v>
      </c>
    </row>
    <row r="779" spans="1:15" ht="21.75" hidden="1" customHeight="1">
      <c r="A779" s="17">
        <f>'GİRDİ RAPORU'!A878</f>
        <v>0</v>
      </c>
      <c r="B779" s="18">
        <f>'GİRDİ RAPORU'!B878</f>
        <v>0</v>
      </c>
      <c r="C779" s="18">
        <f>'GİRDİ RAPORU'!C878</f>
        <v>0</v>
      </c>
      <c r="D779" s="18">
        <f>'GİRDİ RAPORU'!D878</f>
        <v>0</v>
      </c>
      <c r="E779" s="18">
        <f>'GİRDİ RAPORU'!E878</f>
        <v>0</v>
      </c>
      <c r="F779" s="18">
        <f>'GİRDİ RAPORU'!F878</f>
        <v>0</v>
      </c>
      <c r="G779" s="18">
        <f>'GİRDİ RAPORU'!G878</f>
        <v>0</v>
      </c>
      <c r="H779" s="18">
        <f>'GİRDİ RAPORU'!H878</f>
        <v>0</v>
      </c>
      <c r="I779" s="18">
        <f>'GİRDİ RAPORU'!I878</f>
        <v>0</v>
      </c>
      <c r="J779" s="18">
        <f>'GİRDİ RAPORU'!J878</f>
        <v>0</v>
      </c>
      <c r="K779" s="18">
        <f>'GİRDİ RAPORU'!K878</f>
        <v>0</v>
      </c>
      <c r="L779" s="18">
        <f>'GİRDİ RAPORU'!L878</f>
        <v>0</v>
      </c>
      <c r="M779" s="26">
        <f t="shared" si="36"/>
        <v>0</v>
      </c>
      <c r="N779" s="26">
        <f t="shared" si="37"/>
        <v>0</v>
      </c>
      <c r="O779" s="26">
        <f t="shared" si="38"/>
        <v>1</v>
      </c>
    </row>
    <row r="780" spans="1:15" ht="21.75" hidden="1" customHeight="1">
      <c r="A780" s="17">
        <f>'GİRDİ RAPORU'!A879</f>
        <v>0</v>
      </c>
      <c r="B780" s="18">
        <f>'GİRDİ RAPORU'!B879</f>
        <v>0</v>
      </c>
      <c r="C780" s="18">
        <f>'GİRDİ RAPORU'!C879</f>
        <v>0</v>
      </c>
      <c r="D780" s="18">
        <f>'GİRDİ RAPORU'!D879</f>
        <v>0</v>
      </c>
      <c r="E780" s="18">
        <f>'GİRDİ RAPORU'!E879</f>
        <v>0</v>
      </c>
      <c r="F780" s="18">
        <f>'GİRDİ RAPORU'!F879</f>
        <v>0</v>
      </c>
      <c r="G780" s="18">
        <f>'GİRDİ RAPORU'!G879</f>
        <v>0</v>
      </c>
      <c r="H780" s="18">
        <f>'GİRDİ RAPORU'!H879</f>
        <v>0</v>
      </c>
      <c r="I780" s="18">
        <f>'GİRDİ RAPORU'!I879</f>
        <v>0</v>
      </c>
      <c r="J780" s="18">
        <f>'GİRDİ RAPORU'!J879</f>
        <v>0</v>
      </c>
      <c r="K780" s="18">
        <f>'GİRDİ RAPORU'!K879</f>
        <v>0</v>
      </c>
      <c r="L780" s="18">
        <f>'GİRDİ RAPORU'!L879</f>
        <v>0</v>
      </c>
      <c r="M780" s="26">
        <f t="shared" si="36"/>
        <v>0</v>
      </c>
      <c r="N780" s="26">
        <f t="shared" si="37"/>
        <v>0</v>
      </c>
      <c r="O780" s="26">
        <f t="shared" si="38"/>
        <v>1</v>
      </c>
    </row>
    <row r="781" spans="1:15" ht="21.75" hidden="1" customHeight="1">
      <c r="A781" s="17">
        <f>'GİRDİ RAPORU'!A880</f>
        <v>0</v>
      </c>
      <c r="B781" s="18">
        <f>'GİRDİ RAPORU'!B880</f>
        <v>0</v>
      </c>
      <c r="C781" s="18">
        <f>'GİRDİ RAPORU'!C880</f>
        <v>0</v>
      </c>
      <c r="D781" s="18">
        <f>'GİRDİ RAPORU'!D880</f>
        <v>0</v>
      </c>
      <c r="E781" s="18">
        <f>'GİRDİ RAPORU'!E880</f>
        <v>0</v>
      </c>
      <c r="F781" s="18">
        <f>'GİRDİ RAPORU'!F880</f>
        <v>0</v>
      </c>
      <c r="G781" s="18">
        <f>'GİRDİ RAPORU'!G880</f>
        <v>0</v>
      </c>
      <c r="H781" s="18">
        <f>'GİRDİ RAPORU'!H880</f>
        <v>0</v>
      </c>
      <c r="I781" s="18">
        <f>'GİRDİ RAPORU'!I880</f>
        <v>0</v>
      </c>
      <c r="J781" s="18">
        <f>'GİRDİ RAPORU'!J880</f>
        <v>0</v>
      </c>
      <c r="K781" s="18">
        <f>'GİRDİ RAPORU'!K880</f>
        <v>0</v>
      </c>
      <c r="L781" s="18">
        <f>'GİRDİ RAPORU'!L880</f>
        <v>0</v>
      </c>
      <c r="M781" s="26">
        <f t="shared" si="36"/>
        <v>0</v>
      </c>
      <c r="N781" s="26">
        <f t="shared" si="37"/>
        <v>0</v>
      </c>
      <c r="O781" s="26">
        <f t="shared" si="38"/>
        <v>1</v>
      </c>
    </row>
    <row r="782" spans="1:15" ht="21.75" hidden="1" customHeight="1">
      <c r="A782" s="17">
        <f>'GİRDİ RAPORU'!A881</f>
        <v>0</v>
      </c>
      <c r="B782" s="18">
        <f>'GİRDİ RAPORU'!B881</f>
        <v>0</v>
      </c>
      <c r="C782" s="18">
        <f>'GİRDİ RAPORU'!C881</f>
        <v>0</v>
      </c>
      <c r="D782" s="18">
        <f>'GİRDİ RAPORU'!D881</f>
        <v>0</v>
      </c>
      <c r="E782" s="18">
        <f>'GİRDİ RAPORU'!E881</f>
        <v>0</v>
      </c>
      <c r="F782" s="18">
        <f>'GİRDİ RAPORU'!F881</f>
        <v>0</v>
      </c>
      <c r="G782" s="18">
        <f>'GİRDİ RAPORU'!G881</f>
        <v>0</v>
      </c>
      <c r="H782" s="18">
        <f>'GİRDİ RAPORU'!H881</f>
        <v>0</v>
      </c>
      <c r="I782" s="18">
        <f>'GİRDİ RAPORU'!I881</f>
        <v>0</v>
      </c>
      <c r="J782" s="18">
        <f>'GİRDİ RAPORU'!J881</f>
        <v>0</v>
      </c>
      <c r="K782" s="18">
        <f>'GİRDİ RAPORU'!K881</f>
        <v>0</v>
      </c>
      <c r="L782" s="18">
        <f>'GİRDİ RAPORU'!L881</f>
        <v>0</v>
      </c>
      <c r="M782" s="26">
        <f t="shared" si="36"/>
        <v>0</v>
      </c>
      <c r="N782" s="26">
        <f t="shared" si="37"/>
        <v>0</v>
      </c>
      <c r="O782" s="26">
        <f t="shared" si="38"/>
        <v>1</v>
      </c>
    </row>
    <row r="783" spans="1:15" ht="21.75" hidden="1" customHeight="1">
      <c r="A783" s="17">
        <f>'GİRDİ RAPORU'!A882</f>
        <v>0</v>
      </c>
      <c r="B783" s="18">
        <f>'GİRDİ RAPORU'!B882</f>
        <v>0</v>
      </c>
      <c r="C783" s="18">
        <f>'GİRDİ RAPORU'!C882</f>
        <v>0</v>
      </c>
      <c r="D783" s="18">
        <f>'GİRDİ RAPORU'!D882</f>
        <v>0</v>
      </c>
      <c r="E783" s="18">
        <f>'GİRDİ RAPORU'!E882</f>
        <v>0</v>
      </c>
      <c r="F783" s="18">
        <f>'GİRDİ RAPORU'!F882</f>
        <v>0</v>
      </c>
      <c r="G783" s="18">
        <f>'GİRDİ RAPORU'!G882</f>
        <v>0</v>
      </c>
      <c r="H783" s="18">
        <f>'GİRDİ RAPORU'!H882</f>
        <v>0</v>
      </c>
      <c r="I783" s="18">
        <f>'GİRDİ RAPORU'!I882</f>
        <v>0</v>
      </c>
      <c r="J783" s="18">
        <f>'GİRDİ RAPORU'!J882</f>
        <v>0</v>
      </c>
      <c r="K783" s="18">
        <f>'GİRDİ RAPORU'!K882</f>
        <v>0</v>
      </c>
      <c r="L783" s="18">
        <f>'GİRDİ RAPORU'!L882</f>
        <v>0</v>
      </c>
      <c r="M783" s="26">
        <f t="shared" si="36"/>
        <v>0</v>
      </c>
      <c r="N783" s="26">
        <f t="shared" si="37"/>
        <v>0</v>
      </c>
      <c r="O783" s="26">
        <f t="shared" si="38"/>
        <v>1</v>
      </c>
    </row>
    <row r="784" spans="1:15" ht="21.75" hidden="1" customHeight="1">
      <c r="A784" s="17">
        <f>'GİRDİ RAPORU'!A883</f>
        <v>0</v>
      </c>
      <c r="B784" s="18">
        <f>'GİRDİ RAPORU'!B883</f>
        <v>0</v>
      </c>
      <c r="C784" s="18">
        <f>'GİRDİ RAPORU'!C883</f>
        <v>0</v>
      </c>
      <c r="D784" s="18">
        <f>'GİRDİ RAPORU'!D883</f>
        <v>0</v>
      </c>
      <c r="E784" s="18">
        <f>'GİRDİ RAPORU'!E883</f>
        <v>0</v>
      </c>
      <c r="F784" s="18">
        <f>'GİRDİ RAPORU'!F883</f>
        <v>0</v>
      </c>
      <c r="G784" s="18">
        <f>'GİRDİ RAPORU'!G883</f>
        <v>0</v>
      </c>
      <c r="H784" s="18">
        <f>'GİRDİ RAPORU'!H883</f>
        <v>0</v>
      </c>
      <c r="I784" s="18">
        <f>'GİRDİ RAPORU'!I883</f>
        <v>0</v>
      </c>
      <c r="J784" s="18">
        <f>'GİRDİ RAPORU'!J883</f>
        <v>0</v>
      </c>
      <c r="K784" s="18">
        <f>'GİRDİ RAPORU'!K883</f>
        <v>0</v>
      </c>
      <c r="L784" s="18">
        <f>'GİRDİ RAPORU'!L883</f>
        <v>0</v>
      </c>
      <c r="M784" s="26">
        <f t="shared" si="36"/>
        <v>0</v>
      </c>
      <c r="N784" s="26">
        <f t="shared" si="37"/>
        <v>0</v>
      </c>
      <c r="O784" s="26">
        <f t="shared" si="38"/>
        <v>1</v>
      </c>
    </row>
    <row r="785" spans="1:15" ht="21.75" hidden="1" customHeight="1">
      <c r="A785" s="17">
        <f>'GİRDİ RAPORU'!A884</f>
        <v>0</v>
      </c>
      <c r="B785" s="18">
        <f>'GİRDİ RAPORU'!B884</f>
        <v>0</v>
      </c>
      <c r="C785" s="18">
        <f>'GİRDİ RAPORU'!C884</f>
        <v>0</v>
      </c>
      <c r="D785" s="18">
        <f>'GİRDİ RAPORU'!D884</f>
        <v>0</v>
      </c>
      <c r="E785" s="18">
        <f>'GİRDİ RAPORU'!E884</f>
        <v>0</v>
      </c>
      <c r="F785" s="18">
        <f>'GİRDİ RAPORU'!F884</f>
        <v>0</v>
      </c>
      <c r="G785" s="18">
        <f>'GİRDİ RAPORU'!G884</f>
        <v>0</v>
      </c>
      <c r="H785" s="18">
        <f>'GİRDİ RAPORU'!H884</f>
        <v>0</v>
      </c>
      <c r="I785" s="18">
        <f>'GİRDİ RAPORU'!I884</f>
        <v>0</v>
      </c>
      <c r="J785" s="18">
        <f>'GİRDİ RAPORU'!J884</f>
        <v>0</v>
      </c>
      <c r="K785" s="18">
        <f>'GİRDİ RAPORU'!K884</f>
        <v>0</v>
      </c>
      <c r="L785" s="18">
        <f>'GİRDİ RAPORU'!L884</f>
        <v>0</v>
      </c>
      <c r="M785" s="26">
        <f t="shared" si="36"/>
        <v>0</v>
      </c>
      <c r="N785" s="26">
        <f t="shared" si="37"/>
        <v>0</v>
      </c>
      <c r="O785" s="26">
        <f t="shared" si="38"/>
        <v>1</v>
      </c>
    </row>
    <row r="786" spans="1:15" ht="21.75" hidden="1" customHeight="1">
      <c r="A786" s="17">
        <f>'GİRDİ RAPORU'!A885</f>
        <v>0</v>
      </c>
      <c r="B786" s="18">
        <f>'GİRDİ RAPORU'!B885</f>
        <v>0</v>
      </c>
      <c r="C786" s="18">
        <f>'GİRDİ RAPORU'!C885</f>
        <v>0</v>
      </c>
      <c r="D786" s="18">
        <f>'GİRDİ RAPORU'!D885</f>
        <v>0</v>
      </c>
      <c r="E786" s="18">
        <f>'GİRDİ RAPORU'!E885</f>
        <v>0</v>
      </c>
      <c r="F786" s="18">
        <f>'GİRDİ RAPORU'!F885</f>
        <v>0</v>
      </c>
      <c r="G786" s="18">
        <f>'GİRDİ RAPORU'!G885</f>
        <v>0</v>
      </c>
      <c r="H786" s="18">
        <f>'GİRDİ RAPORU'!H885</f>
        <v>0</v>
      </c>
      <c r="I786" s="18">
        <f>'GİRDİ RAPORU'!I885</f>
        <v>0</v>
      </c>
      <c r="J786" s="18">
        <f>'GİRDİ RAPORU'!J885</f>
        <v>0</v>
      </c>
      <c r="K786" s="18">
        <f>'GİRDİ RAPORU'!K885</f>
        <v>0</v>
      </c>
      <c r="L786" s="18">
        <f>'GİRDİ RAPORU'!L885</f>
        <v>0</v>
      </c>
      <c r="M786" s="26">
        <f t="shared" si="36"/>
        <v>0</v>
      </c>
      <c r="N786" s="26">
        <f t="shared" si="37"/>
        <v>0</v>
      </c>
      <c r="O786" s="26">
        <f t="shared" si="38"/>
        <v>1</v>
      </c>
    </row>
    <row r="787" spans="1:15" ht="21.75" hidden="1" customHeight="1">
      <c r="A787" s="17">
        <f>'GİRDİ RAPORU'!A886</f>
        <v>0</v>
      </c>
      <c r="B787" s="18">
        <f>'GİRDİ RAPORU'!B886</f>
        <v>0</v>
      </c>
      <c r="C787" s="18">
        <f>'GİRDİ RAPORU'!C886</f>
        <v>0</v>
      </c>
      <c r="D787" s="18">
        <f>'GİRDİ RAPORU'!D886</f>
        <v>0</v>
      </c>
      <c r="E787" s="18">
        <f>'GİRDİ RAPORU'!E886</f>
        <v>0</v>
      </c>
      <c r="F787" s="18">
        <f>'GİRDİ RAPORU'!F886</f>
        <v>0</v>
      </c>
      <c r="G787" s="18">
        <f>'GİRDİ RAPORU'!G886</f>
        <v>0</v>
      </c>
      <c r="H787" s="18">
        <f>'GİRDİ RAPORU'!H886</f>
        <v>0</v>
      </c>
      <c r="I787" s="18">
        <f>'GİRDİ RAPORU'!I886</f>
        <v>0</v>
      </c>
      <c r="J787" s="18">
        <f>'GİRDİ RAPORU'!J886</f>
        <v>0</v>
      </c>
      <c r="K787" s="18">
        <f>'GİRDİ RAPORU'!K886</f>
        <v>0</v>
      </c>
      <c r="L787" s="18">
        <f>'GİRDİ RAPORU'!L886</f>
        <v>0</v>
      </c>
      <c r="M787" s="26">
        <f t="shared" si="36"/>
        <v>0</v>
      </c>
      <c r="N787" s="26">
        <f t="shared" si="37"/>
        <v>0</v>
      </c>
      <c r="O787" s="26">
        <f t="shared" si="38"/>
        <v>1</v>
      </c>
    </row>
    <row r="788" spans="1:15" ht="21.75" hidden="1" customHeight="1">
      <c r="A788" s="17">
        <f>'GİRDİ RAPORU'!A887</f>
        <v>0</v>
      </c>
      <c r="B788" s="18">
        <f>'GİRDİ RAPORU'!B887</f>
        <v>0</v>
      </c>
      <c r="C788" s="18">
        <f>'GİRDİ RAPORU'!C887</f>
        <v>0</v>
      </c>
      <c r="D788" s="18">
        <f>'GİRDİ RAPORU'!D887</f>
        <v>0</v>
      </c>
      <c r="E788" s="18">
        <f>'GİRDİ RAPORU'!E887</f>
        <v>0</v>
      </c>
      <c r="F788" s="18">
        <f>'GİRDİ RAPORU'!F887</f>
        <v>0</v>
      </c>
      <c r="G788" s="18">
        <f>'GİRDİ RAPORU'!G887</f>
        <v>0</v>
      </c>
      <c r="H788" s="18">
        <f>'GİRDİ RAPORU'!H887</f>
        <v>0</v>
      </c>
      <c r="I788" s="18">
        <f>'GİRDİ RAPORU'!I887</f>
        <v>0</v>
      </c>
      <c r="J788" s="18">
        <f>'GİRDİ RAPORU'!J887</f>
        <v>0</v>
      </c>
      <c r="K788" s="18">
        <f>'GİRDİ RAPORU'!K887</f>
        <v>0</v>
      </c>
      <c r="L788" s="18">
        <f>'GİRDİ RAPORU'!L887</f>
        <v>0</v>
      </c>
      <c r="M788" s="26">
        <f t="shared" si="36"/>
        <v>0</v>
      </c>
      <c r="N788" s="26">
        <f t="shared" si="37"/>
        <v>0</v>
      </c>
      <c r="O788" s="26">
        <f t="shared" si="38"/>
        <v>1</v>
      </c>
    </row>
    <row r="789" spans="1:15" ht="21.75" hidden="1" customHeight="1">
      <c r="A789" s="17">
        <f>'GİRDİ RAPORU'!A888</f>
        <v>0</v>
      </c>
      <c r="B789" s="18">
        <f>'GİRDİ RAPORU'!B888</f>
        <v>0</v>
      </c>
      <c r="C789" s="18">
        <f>'GİRDİ RAPORU'!C888</f>
        <v>0</v>
      </c>
      <c r="D789" s="18">
        <f>'GİRDİ RAPORU'!D888</f>
        <v>0</v>
      </c>
      <c r="E789" s="18">
        <f>'GİRDİ RAPORU'!E888</f>
        <v>0</v>
      </c>
      <c r="F789" s="18">
        <f>'GİRDİ RAPORU'!F888</f>
        <v>0</v>
      </c>
      <c r="G789" s="18">
        <f>'GİRDİ RAPORU'!G888</f>
        <v>0</v>
      </c>
      <c r="H789" s="18">
        <f>'GİRDİ RAPORU'!H888</f>
        <v>0</v>
      </c>
      <c r="I789" s="18">
        <f>'GİRDİ RAPORU'!I888</f>
        <v>0</v>
      </c>
      <c r="J789" s="18">
        <f>'GİRDİ RAPORU'!J888</f>
        <v>0</v>
      </c>
      <c r="K789" s="18">
        <f>'GİRDİ RAPORU'!K888</f>
        <v>0</v>
      </c>
      <c r="L789" s="18">
        <f>'GİRDİ RAPORU'!L888</f>
        <v>0</v>
      </c>
      <c r="M789" s="26">
        <f t="shared" si="36"/>
        <v>0</v>
      </c>
      <c r="N789" s="26">
        <f t="shared" si="37"/>
        <v>0</v>
      </c>
      <c r="O789" s="26">
        <f t="shared" si="38"/>
        <v>1</v>
      </c>
    </row>
    <row r="790" spans="1:15" ht="21.75" hidden="1" customHeight="1">
      <c r="A790" s="17">
        <f>'GİRDİ RAPORU'!A889</f>
        <v>0</v>
      </c>
      <c r="B790" s="18">
        <f>'GİRDİ RAPORU'!B889</f>
        <v>0</v>
      </c>
      <c r="C790" s="18">
        <f>'GİRDİ RAPORU'!C889</f>
        <v>0</v>
      </c>
      <c r="D790" s="18">
        <f>'GİRDİ RAPORU'!D889</f>
        <v>0</v>
      </c>
      <c r="E790" s="18">
        <f>'GİRDİ RAPORU'!E889</f>
        <v>0</v>
      </c>
      <c r="F790" s="18">
        <f>'GİRDİ RAPORU'!F889</f>
        <v>0</v>
      </c>
      <c r="G790" s="18">
        <f>'GİRDİ RAPORU'!G889</f>
        <v>0</v>
      </c>
      <c r="H790" s="18">
        <f>'GİRDİ RAPORU'!H889</f>
        <v>0</v>
      </c>
      <c r="I790" s="18">
        <f>'GİRDİ RAPORU'!I889</f>
        <v>0</v>
      </c>
      <c r="J790" s="18">
        <f>'GİRDİ RAPORU'!J889</f>
        <v>0</v>
      </c>
      <c r="K790" s="18">
        <f>'GİRDİ RAPORU'!K889</f>
        <v>0</v>
      </c>
      <c r="L790" s="18">
        <f>'GİRDİ RAPORU'!L889</f>
        <v>0</v>
      </c>
      <c r="M790" s="26">
        <f t="shared" si="36"/>
        <v>0</v>
      </c>
      <c r="N790" s="26">
        <f t="shared" si="37"/>
        <v>0</v>
      </c>
      <c r="O790" s="26">
        <f t="shared" si="38"/>
        <v>1</v>
      </c>
    </row>
    <row r="791" spans="1:15" ht="21.75" hidden="1" customHeight="1">
      <c r="A791" s="17">
        <f>'GİRDİ RAPORU'!A890</f>
        <v>0</v>
      </c>
      <c r="B791" s="18">
        <f>'GİRDİ RAPORU'!B890</f>
        <v>0</v>
      </c>
      <c r="C791" s="18">
        <f>'GİRDİ RAPORU'!C890</f>
        <v>0</v>
      </c>
      <c r="D791" s="18">
        <f>'GİRDİ RAPORU'!D890</f>
        <v>0</v>
      </c>
      <c r="E791" s="18">
        <f>'GİRDİ RAPORU'!E890</f>
        <v>0</v>
      </c>
      <c r="F791" s="18">
        <f>'GİRDİ RAPORU'!F890</f>
        <v>0</v>
      </c>
      <c r="G791" s="18">
        <f>'GİRDİ RAPORU'!G890</f>
        <v>0</v>
      </c>
      <c r="H791" s="18">
        <f>'GİRDİ RAPORU'!H890</f>
        <v>0</v>
      </c>
      <c r="I791" s="18">
        <f>'GİRDİ RAPORU'!I890</f>
        <v>0</v>
      </c>
      <c r="J791" s="18">
        <f>'GİRDİ RAPORU'!J890</f>
        <v>0</v>
      </c>
      <c r="K791" s="18">
        <f>'GİRDİ RAPORU'!K890</f>
        <v>0</v>
      </c>
      <c r="L791" s="18">
        <f>'GİRDİ RAPORU'!L890</f>
        <v>0</v>
      </c>
      <c r="M791" s="26">
        <f t="shared" si="36"/>
        <v>0</v>
      </c>
      <c r="N791" s="26">
        <f t="shared" si="37"/>
        <v>0</v>
      </c>
      <c r="O791" s="26">
        <f t="shared" si="38"/>
        <v>1</v>
      </c>
    </row>
    <row r="792" spans="1:15" ht="21.75" hidden="1" customHeight="1">
      <c r="A792" s="17">
        <f>'GİRDİ RAPORU'!A891</f>
        <v>0</v>
      </c>
      <c r="B792" s="18">
        <f>'GİRDİ RAPORU'!B891</f>
        <v>0</v>
      </c>
      <c r="C792" s="18">
        <f>'GİRDİ RAPORU'!C891</f>
        <v>0</v>
      </c>
      <c r="D792" s="18">
        <f>'GİRDİ RAPORU'!D891</f>
        <v>0</v>
      </c>
      <c r="E792" s="18">
        <f>'GİRDİ RAPORU'!E891</f>
        <v>0</v>
      </c>
      <c r="F792" s="18">
        <f>'GİRDİ RAPORU'!F891</f>
        <v>0</v>
      </c>
      <c r="G792" s="18">
        <f>'GİRDİ RAPORU'!G891</f>
        <v>0</v>
      </c>
      <c r="H792" s="18">
        <f>'GİRDİ RAPORU'!H891</f>
        <v>0</v>
      </c>
      <c r="I792" s="18">
        <f>'GİRDİ RAPORU'!I891</f>
        <v>0</v>
      </c>
      <c r="J792" s="18">
        <f>'GİRDİ RAPORU'!J891</f>
        <v>0</v>
      </c>
      <c r="K792" s="18">
        <f>'GİRDİ RAPORU'!K891</f>
        <v>0</v>
      </c>
      <c r="L792" s="18">
        <f>'GİRDİ RAPORU'!L891</f>
        <v>0</v>
      </c>
      <c r="M792" s="26">
        <f t="shared" si="36"/>
        <v>0</v>
      </c>
      <c r="N792" s="26">
        <f t="shared" si="37"/>
        <v>0</v>
      </c>
      <c r="O792" s="26">
        <f t="shared" si="38"/>
        <v>1</v>
      </c>
    </row>
    <row r="793" spans="1:15" ht="21.75" hidden="1" customHeight="1">
      <c r="A793" s="17">
        <f>'GİRDİ RAPORU'!A892</f>
        <v>0</v>
      </c>
      <c r="B793" s="18">
        <f>'GİRDİ RAPORU'!B892</f>
        <v>0</v>
      </c>
      <c r="C793" s="18">
        <f>'GİRDİ RAPORU'!C892</f>
        <v>0</v>
      </c>
      <c r="D793" s="18">
        <f>'GİRDİ RAPORU'!D892</f>
        <v>0</v>
      </c>
      <c r="E793" s="18">
        <f>'GİRDİ RAPORU'!E892</f>
        <v>0</v>
      </c>
      <c r="F793" s="18">
        <f>'GİRDİ RAPORU'!F892</f>
        <v>0</v>
      </c>
      <c r="G793" s="18">
        <f>'GİRDİ RAPORU'!G892</f>
        <v>0</v>
      </c>
      <c r="H793" s="18">
        <f>'GİRDİ RAPORU'!H892</f>
        <v>0</v>
      </c>
      <c r="I793" s="18">
        <f>'GİRDİ RAPORU'!I892</f>
        <v>0</v>
      </c>
      <c r="J793" s="18">
        <f>'GİRDİ RAPORU'!J892</f>
        <v>0</v>
      </c>
      <c r="K793" s="18">
        <f>'GİRDİ RAPORU'!K892</f>
        <v>0</v>
      </c>
      <c r="L793" s="18">
        <f>'GİRDİ RAPORU'!L892</f>
        <v>0</v>
      </c>
      <c r="M793" s="26">
        <f t="shared" si="36"/>
        <v>0</v>
      </c>
      <c r="N793" s="26">
        <f t="shared" si="37"/>
        <v>0</v>
      </c>
      <c r="O793" s="26">
        <f t="shared" si="38"/>
        <v>1</v>
      </c>
    </row>
    <row r="794" spans="1:15" ht="21.75" hidden="1" customHeight="1">
      <c r="A794" s="17">
        <f>'GİRDİ RAPORU'!A893</f>
        <v>0</v>
      </c>
      <c r="B794" s="18">
        <f>'GİRDİ RAPORU'!B893</f>
        <v>0</v>
      </c>
      <c r="C794" s="18">
        <f>'GİRDİ RAPORU'!C893</f>
        <v>0</v>
      </c>
      <c r="D794" s="18">
        <f>'GİRDİ RAPORU'!D893</f>
        <v>0</v>
      </c>
      <c r="E794" s="18">
        <f>'GİRDİ RAPORU'!E893</f>
        <v>0</v>
      </c>
      <c r="F794" s="18">
        <f>'GİRDİ RAPORU'!F893</f>
        <v>0</v>
      </c>
      <c r="G794" s="18">
        <f>'GİRDİ RAPORU'!G893</f>
        <v>0</v>
      </c>
      <c r="H794" s="18">
        <f>'GİRDİ RAPORU'!H893</f>
        <v>0</v>
      </c>
      <c r="I794" s="18">
        <f>'GİRDİ RAPORU'!I893</f>
        <v>0</v>
      </c>
      <c r="J794" s="18">
        <f>'GİRDİ RAPORU'!J893</f>
        <v>0</v>
      </c>
      <c r="K794" s="18">
        <f>'GİRDİ RAPORU'!K893</f>
        <v>0</v>
      </c>
      <c r="L794" s="18">
        <f>'GİRDİ RAPORU'!L893</f>
        <v>0</v>
      </c>
      <c r="M794" s="26">
        <f t="shared" si="36"/>
        <v>0</v>
      </c>
      <c r="N794" s="26">
        <f t="shared" si="37"/>
        <v>0</v>
      </c>
      <c r="O794" s="26">
        <f t="shared" si="38"/>
        <v>1</v>
      </c>
    </row>
    <row r="795" spans="1:15" ht="21.75" hidden="1" customHeight="1">
      <c r="A795" s="17">
        <f>'GİRDİ RAPORU'!A894</f>
        <v>0</v>
      </c>
      <c r="B795" s="18">
        <f>'GİRDİ RAPORU'!B894</f>
        <v>0</v>
      </c>
      <c r="C795" s="18">
        <f>'GİRDİ RAPORU'!C894</f>
        <v>0</v>
      </c>
      <c r="D795" s="18">
        <f>'GİRDİ RAPORU'!D894</f>
        <v>0</v>
      </c>
      <c r="E795" s="18">
        <f>'GİRDİ RAPORU'!E894</f>
        <v>0</v>
      </c>
      <c r="F795" s="18">
        <f>'GİRDİ RAPORU'!F894</f>
        <v>0</v>
      </c>
      <c r="G795" s="18">
        <f>'GİRDİ RAPORU'!G894</f>
        <v>0</v>
      </c>
      <c r="H795" s="18">
        <f>'GİRDİ RAPORU'!H894</f>
        <v>0</v>
      </c>
      <c r="I795" s="18">
        <f>'GİRDİ RAPORU'!I894</f>
        <v>0</v>
      </c>
      <c r="J795" s="18">
        <f>'GİRDİ RAPORU'!J894</f>
        <v>0</v>
      </c>
      <c r="K795" s="18">
        <f>'GİRDİ RAPORU'!K894</f>
        <v>0</v>
      </c>
      <c r="L795" s="18">
        <f>'GİRDİ RAPORU'!L894</f>
        <v>0</v>
      </c>
      <c r="M795" s="26">
        <f t="shared" si="36"/>
        <v>0</v>
      </c>
      <c r="N795" s="26">
        <f t="shared" si="37"/>
        <v>0</v>
      </c>
      <c r="O795" s="26">
        <f t="shared" si="38"/>
        <v>1</v>
      </c>
    </row>
    <row r="796" spans="1:15" ht="21.75" hidden="1" customHeight="1">
      <c r="A796" s="17">
        <f>'GİRDİ RAPORU'!A895</f>
        <v>0</v>
      </c>
      <c r="B796" s="18">
        <f>'GİRDİ RAPORU'!B895</f>
        <v>0</v>
      </c>
      <c r="C796" s="18">
        <f>'GİRDİ RAPORU'!C895</f>
        <v>0</v>
      </c>
      <c r="D796" s="18">
        <f>'GİRDİ RAPORU'!D895</f>
        <v>0</v>
      </c>
      <c r="E796" s="18">
        <f>'GİRDİ RAPORU'!E895</f>
        <v>0</v>
      </c>
      <c r="F796" s="18">
        <f>'GİRDİ RAPORU'!F895</f>
        <v>0</v>
      </c>
      <c r="G796" s="18">
        <f>'GİRDİ RAPORU'!G895</f>
        <v>0</v>
      </c>
      <c r="H796" s="18">
        <f>'GİRDİ RAPORU'!H895</f>
        <v>0</v>
      </c>
      <c r="I796" s="18">
        <f>'GİRDİ RAPORU'!I895</f>
        <v>0</v>
      </c>
      <c r="J796" s="18">
        <f>'GİRDİ RAPORU'!J895</f>
        <v>0</v>
      </c>
      <c r="K796" s="18">
        <f>'GİRDİ RAPORU'!K895</f>
        <v>0</v>
      </c>
      <c r="L796" s="18">
        <f>'GİRDİ RAPORU'!L895</f>
        <v>0</v>
      </c>
      <c r="M796" s="26">
        <f t="shared" si="36"/>
        <v>0</v>
      </c>
      <c r="N796" s="26">
        <f t="shared" si="37"/>
        <v>0</v>
      </c>
      <c r="O796" s="26">
        <f t="shared" si="38"/>
        <v>1</v>
      </c>
    </row>
    <row r="797" spans="1:15" ht="21.75" hidden="1" customHeight="1">
      <c r="A797" s="17">
        <f>'GİRDİ RAPORU'!A896</f>
        <v>0</v>
      </c>
      <c r="B797" s="18">
        <f>'GİRDİ RAPORU'!B896</f>
        <v>0</v>
      </c>
      <c r="C797" s="18">
        <f>'GİRDİ RAPORU'!C896</f>
        <v>0</v>
      </c>
      <c r="D797" s="18">
        <f>'GİRDİ RAPORU'!D896</f>
        <v>0</v>
      </c>
      <c r="E797" s="18">
        <f>'GİRDİ RAPORU'!E896</f>
        <v>0</v>
      </c>
      <c r="F797" s="18">
        <f>'GİRDİ RAPORU'!F896</f>
        <v>0</v>
      </c>
      <c r="G797" s="18">
        <f>'GİRDİ RAPORU'!G896</f>
        <v>0</v>
      </c>
      <c r="H797" s="18">
        <f>'GİRDİ RAPORU'!H896</f>
        <v>0</v>
      </c>
      <c r="I797" s="18">
        <f>'GİRDİ RAPORU'!I896</f>
        <v>0</v>
      </c>
      <c r="J797" s="18">
        <f>'GİRDİ RAPORU'!J896</f>
        <v>0</v>
      </c>
      <c r="K797" s="18">
        <f>'GİRDİ RAPORU'!K896</f>
        <v>0</v>
      </c>
      <c r="L797" s="18">
        <f>'GİRDİ RAPORU'!L896</f>
        <v>0</v>
      </c>
      <c r="M797" s="26">
        <f t="shared" si="36"/>
        <v>0</v>
      </c>
      <c r="N797" s="26">
        <f t="shared" si="37"/>
        <v>0</v>
      </c>
      <c r="O797" s="26">
        <f t="shared" si="38"/>
        <v>1</v>
      </c>
    </row>
    <row r="798" spans="1:15" ht="21.75" hidden="1" customHeight="1">
      <c r="A798" s="17">
        <f>'GİRDİ RAPORU'!A897</f>
        <v>0</v>
      </c>
      <c r="B798" s="18">
        <f>'GİRDİ RAPORU'!B897</f>
        <v>0</v>
      </c>
      <c r="C798" s="18">
        <f>'GİRDİ RAPORU'!C897</f>
        <v>0</v>
      </c>
      <c r="D798" s="18">
        <f>'GİRDİ RAPORU'!D897</f>
        <v>0</v>
      </c>
      <c r="E798" s="18">
        <f>'GİRDİ RAPORU'!E897</f>
        <v>0</v>
      </c>
      <c r="F798" s="18">
        <f>'GİRDİ RAPORU'!F897</f>
        <v>0</v>
      </c>
      <c r="G798" s="18">
        <f>'GİRDİ RAPORU'!G897</f>
        <v>0</v>
      </c>
      <c r="H798" s="18">
        <f>'GİRDİ RAPORU'!H897</f>
        <v>0</v>
      </c>
      <c r="I798" s="18">
        <f>'GİRDİ RAPORU'!I897</f>
        <v>0</v>
      </c>
      <c r="J798" s="18">
        <f>'GİRDİ RAPORU'!J897</f>
        <v>0</v>
      </c>
      <c r="K798" s="18">
        <f>'GİRDİ RAPORU'!K897</f>
        <v>0</v>
      </c>
      <c r="L798" s="18">
        <f>'GİRDİ RAPORU'!L897</f>
        <v>0</v>
      </c>
      <c r="M798" s="26">
        <f t="shared" si="36"/>
        <v>0</v>
      </c>
      <c r="N798" s="26">
        <f t="shared" si="37"/>
        <v>0</v>
      </c>
      <c r="O798" s="26">
        <f t="shared" si="38"/>
        <v>1</v>
      </c>
    </row>
    <row r="799" spans="1:15" ht="21.75" hidden="1" customHeight="1">
      <c r="A799" s="17">
        <f>'GİRDİ RAPORU'!A898</f>
        <v>0</v>
      </c>
      <c r="B799" s="18">
        <f>'GİRDİ RAPORU'!B898</f>
        <v>0</v>
      </c>
      <c r="C799" s="18">
        <f>'GİRDİ RAPORU'!C898</f>
        <v>0</v>
      </c>
      <c r="D799" s="18">
        <f>'GİRDİ RAPORU'!D898</f>
        <v>0</v>
      </c>
      <c r="E799" s="18">
        <f>'GİRDİ RAPORU'!E898</f>
        <v>0</v>
      </c>
      <c r="F799" s="18">
        <f>'GİRDİ RAPORU'!F898</f>
        <v>0</v>
      </c>
      <c r="G799" s="18">
        <f>'GİRDİ RAPORU'!G898</f>
        <v>0</v>
      </c>
      <c r="H799" s="18">
        <f>'GİRDİ RAPORU'!H898</f>
        <v>0</v>
      </c>
      <c r="I799" s="18">
        <f>'GİRDİ RAPORU'!I898</f>
        <v>0</v>
      </c>
      <c r="J799" s="18">
        <f>'GİRDİ RAPORU'!J898</f>
        <v>0</v>
      </c>
      <c r="K799" s="18">
        <f>'GİRDİ RAPORU'!K898</f>
        <v>0</v>
      </c>
      <c r="L799" s="18">
        <f>'GİRDİ RAPORU'!L898</f>
        <v>0</v>
      </c>
      <c r="M799" s="26">
        <f t="shared" si="36"/>
        <v>0</v>
      </c>
      <c r="N799" s="26">
        <f t="shared" si="37"/>
        <v>0</v>
      </c>
      <c r="O799" s="26">
        <f t="shared" si="38"/>
        <v>1</v>
      </c>
    </row>
    <row r="800" spans="1:15" ht="21.75" hidden="1" customHeight="1">
      <c r="A800" s="17">
        <f>'GİRDİ RAPORU'!A899</f>
        <v>0</v>
      </c>
      <c r="B800" s="18">
        <f>'GİRDİ RAPORU'!B899</f>
        <v>0</v>
      </c>
      <c r="C800" s="18">
        <f>'GİRDİ RAPORU'!C899</f>
        <v>0</v>
      </c>
      <c r="D800" s="18">
        <f>'GİRDİ RAPORU'!D899</f>
        <v>0</v>
      </c>
      <c r="E800" s="18">
        <f>'GİRDİ RAPORU'!E899</f>
        <v>0</v>
      </c>
      <c r="F800" s="18">
        <f>'GİRDİ RAPORU'!F899</f>
        <v>0</v>
      </c>
      <c r="G800" s="18">
        <f>'GİRDİ RAPORU'!G899</f>
        <v>0</v>
      </c>
      <c r="H800" s="18">
        <f>'GİRDİ RAPORU'!H899</f>
        <v>0</v>
      </c>
      <c r="I800" s="18">
        <f>'GİRDİ RAPORU'!I899</f>
        <v>0</v>
      </c>
      <c r="J800" s="18">
        <f>'GİRDİ RAPORU'!J899</f>
        <v>0</v>
      </c>
      <c r="K800" s="18">
        <f>'GİRDİ RAPORU'!K899</f>
        <v>0</v>
      </c>
      <c r="L800" s="18">
        <f>'GİRDİ RAPORU'!L899</f>
        <v>0</v>
      </c>
      <c r="M800" s="26">
        <f t="shared" si="36"/>
        <v>0</v>
      </c>
      <c r="N800" s="26">
        <f t="shared" si="37"/>
        <v>0</v>
      </c>
      <c r="O800" s="26">
        <f t="shared" si="38"/>
        <v>1</v>
      </c>
    </row>
    <row r="801" spans="1:15" ht="21.75" hidden="1" customHeight="1">
      <c r="A801" s="17">
        <f>'GİRDİ RAPORU'!A900</f>
        <v>0</v>
      </c>
      <c r="B801" s="18">
        <f>'GİRDİ RAPORU'!B900</f>
        <v>0</v>
      </c>
      <c r="C801" s="18">
        <f>'GİRDİ RAPORU'!C900</f>
        <v>0</v>
      </c>
      <c r="D801" s="18">
        <f>'GİRDİ RAPORU'!D900</f>
        <v>0</v>
      </c>
      <c r="E801" s="18">
        <f>'GİRDİ RAPORU'!E900</f>
        <v>0</v>
      </c>
      <c r="F801" s="18">
        <f>'GİRDİ RAPORU'!F900</f>
        <v>0</v>
      </c>
      <c r="G801" s="18">
        <f>'GİRDİ RAPORU'!G900</f>
        <v>0</v>
      </c>
      <c r="H801" s="18">
        <f>'GİRDİ RAPORU'!H900</f>
        <v>0</v>
      </c>
      <c r="I801" s="18">
        <f>'GİRDİ RAPORU'!I900</f>
        <v>0</v>
      </c>
      <c r="J801" s="18">
        <f>'GİRDİ RAPORU'!J900</f>
        <v>0</v>
      </c>
      <c r="K801" s="18">
        <f>'GİRDİ RAPORU'!K900</f>
        <v>0</v>
      </c>
      <c r="L801" s="18">
        <f>'GİRDİ RAPORU'!L900</f>
        <v>0</v>
      </c>
      <c r="M801" s="26">
        <f t="shared" si="36"/>
        <v>0</v>
      </c>
      <c r="N801" s="26">
        <f t="shared" si="37"/>
        <v>0</v>
      </c>
      <c r="O801" s="26">
        <f t="shared" si="38"/>
        <v>1</v>
      </c>
    </row>
    <row r="802" spans="1:15" ht="21.75" hidden="1" customHeight="1">
      <c r="A802" s="17">
        <f>'GİRDİ RAPORU'!A901</f>
        <v>0</v>
      </c>
      <c r="B802" s="18">
        <f>'GİRDİ RAPORU'!B901</f>
        <v>0</v>
      </c>
      <c r="C802" s="18">
        <f>'GİRDİ RAPORU'!C901</f>
        <v>0</v>
      </c>
      <c r="D802" s="18">
        <f>'GİRDİ RAPORU'!D901</f>
        <v>0</v>
      </c>
      <c r="E802" s="18">
        <f>'GİRDİ RAPORU'!E901</f>
        <v>0</v>
      </c>
      <c r="F802" s="18">
        <f>'GİRDİ RAPORU'!F901</f>
        <v>0</v>
      </c>
      <c r="G802" s="18">
        <f>'GİRDİ RAPORU'!G901</f>
        <v>0</v>
      </c>
      <c r="H802" s="18">
        <f>'GİRDİ RAPORU'!H901</f>
        <v>0</v>
      </c>
      <c r="I802" s="18">
        <f>'GİRDİ RAPORU'!I901</f>
        <v>0</v>
      </c>
      <c r="J802" s="18">
        <f>'GİRDİ RAPORU'!J901</f>
        <v>0</v>
      </c>
      <c r="K802" s="18">
        <f>'GİRDİ RAPORU'!K901</f>
        <v>0</v>
      </c>
      <c r="L802" s="18">
        <f>'GİRDİ RAPORU'!L901</f>
        <v>0</v>
      </c>
      <c r="M802" s="26">
        <f t="shared" si="36"/>
        <v>0</v>
      </c>
      <c r="N802" s="26">
        <f t="shared" si="37"/>
        <v>0</v>
      </c>
      <c r="O802" s="26">
        <f t="shared" si="38"/>
        <v>1</v>
      </c>
    </row>
    <row r="803" spans="1:15" ht="21.75" hidden="1" customHeight="1">
      <c r="A803" s="17">
        <f>'GİRDİ RAPORU'!A902</f>
        <v>0</v>
      </c>
      <c r="B803" s="18">
        <f>'GİRDİ RAPORU'!B902</f>
        <v>0</v>
      </c>
      <c r="C803" s="18">
        <f>'GİRDİ RAPORU'!C902</f>
        <v>0</v>
      </c>
      <c r="D803" s="18">
        <f>'GİRDİ RAPORU'!D902</f>
        <v>0</v>
      </c>
      <c r="E803" s="18">
        <f>'GİRDİ RAPORU'!E902</f>
        <v>0</v>
      </c>
      <c r="F803" s="18">
        <f>'GİRDİ RAPORU'!F902</f>
        <v>0</v>
      </c>
      <c r="G803" s="18">
        <f>'GİRDİ RAPORU'!G902</f>
        <v>0</v>
      </c>
      <c r="H803" s="18">
        <f>'GİRDİ RAPORU'!H902</f>
        <v>0</v>
      </c>
      <c r="I803" s="18">
        <f>'GİRDİ RAPORU'!I902</f>
        <v>0</v>
      </c>
      <c r="J803" s="18">
        <f>'GİRDİ RAPORU'!J902</f>
        <v>0</v>
      </c>
      <c r="K803" s="18">
        <f>'GİRDİ RAPORU'!K902</f>
        <v>0</v>
      </c>
      <c r="L803" s="18">
        <f>'GİRDİ RAPORU'!L902</f>
        <v>0</v>
      </c>
      <c r="M803" s="26">
        <f t="shared" si="36"/>
        <v>0</v>
      </c>
      <c r="N803" s="26">
        <f t="shared" si="37"/>
        <v>0</v>
      </c>
      <c r="O803" s="26">
        <f t="shared" si="38"/>
        <v>1</v>
      </c>
    </row>
    <row r="804" spans="1:15" ht="21.75" hidden="1" customHeight="1">
      <c r="A804" s="17">
        <f>'GİRDİ RAPORU'!A903</f>
        <v>0</v>
      </c>
      <c r="B804" s="18">
        <f>'GİRDİ RAPORU'!B903</f>
        <v>0</v>
      </c>
      <c r="C804" s="18">
        <f>'GİRDİ RAPORU'!C903</f>
        <v>0</v>
      </c>
      <c r="D804" s="18">
        <f>'GİRDİ RAPORU'!D903</f>
        <v>0</v>
      </c>
      <c r="E804" s="18">
        <f>'GİRDİ RAPORU'!E903</f>
        <v>0</v>
      </c>
      <c r="F804" s="18">
        <f>'GİRDİ RAPORU'!F903</f>
        <v>0</v>
      </c>
      <c r="G804" s="18">
        <f>'GİRDİ RAPORU'!G903</f>
        <v>0</v>
      </c>
      <c r="H804" s="18">
        <f>'GİRDİ RAPORU'!H903</f>
        <v>0</v>
      </c>
      <c r="I804" s="18">
        <f>'GİRDİ RAPORU'!I903</f>
        <v>0</v>
      </c>
      <c r="J804" s="18">
        <f>'GİRDİ RAPORU'!J903</f>
        <v>0</v>
      </c>
      <c r="K804" s="18">
        <f>'GİRDİ RAPORU'!K903</f>
        <v>0</v>
      </c>
      <c r="L804" s="18">
        <f>'GİRDİ RAPORU'!L903</f>
        <v>0</v>
      </c>
      <c r="M804" s="26">
        <f t="shared" si="36"/>
        <v>0</v>
      </c>
      <c r="N804" s="26">
        <f t="shared" si="37"/>
        <v>0</v>
      </c>
      <c r="O804" s="26">
        <f t="shared" si="38"/>
        <v>1</v>
      </c>
    </row>
    <row r="805" spans="1:15" ht="21.75" hidden="1" customHeight="1">
      <c r="A805" s="17">
        <f>'GİRDİ RAPORU'!A904</f>
        <v>0</v>
      </c>
      <c r="B805" s="18">
        <f>'GİRDİ RAPORU'!B904</f>
        <v>0</v>
      </c>
      <c r="C805" s="18">
        <f>'GİRDİ RAPORU'!C904</f>
        <v>0</v>
      </c>
      <c r="D805" s="18">
        <f>'GİRDİ RAPORU'!D904</f>
        <v>0</v>
      </c>
      <c r="E805" s="18">
        <f>'GİRDİ RAPORU'!E904</f>
        <v>0</v>
      </c>
      <c r="F805" s="18">
        <f>'GİRDİ RAPORU'!F904</f>
        <v>0</v>
      </c>
      <c r="G805" s="18">
        <f>'GİRDİ RAPORU'!G904</f>
        <v>0</v>
      </c>
      <c r="H805" s="18">
        <f>'GİRDİ RAPORU'!H904</f>
        <v>0</v>
      </c>
      <c r="I805" s="18">
        <f>'GİRDİ RAPORU'!I904</f>
        <v>0</v>
      </c>
      <c r="J805" s="18">
        <f>'GİRDİ RAPORU'!J904</f>
        <v>0</v>
      </c>
      <c r="K805" s="18">
        <f>'GİRDİ RAPORU'!K904</f>
        <v>0</v>
      </c>
      <c r="L805" s="18">
        <f>'GİRDİ RAPORU'!L904</f>
        <v>0</v>
      </c>
      <c r="M805" s="26">
        <f t="shared" si="36"/>
        <v>0</v>
      </c>
      <c r="N805" s="26">
        <f t="shared" si="37"/>
        <v>0</v>
      </c>
      <c r="O805" s="26">
        <f t="shared" si="38"/>
        <v>1</v>
      </c>
    </row>
    <row r="806" spans="1:15" ht="21.75" hidden="1" customHeight="1">
      <c r="A806" s="17">
        <f>'GİRDİ RAPORU'!A905</f>
        <v>0</v>
      </c>
      <c r="B806" s="18">
        <f>'GİRDİ RAPORU'!B905</f>
        <v>0</v>
      </c>
      <c r="C806" s="18">
        <f>'GİRDİ RAPORU'!C905</f>
        <v>0</v>
      </c>
      <c r="D806" s="18">
        <f>'GİRDİ RAPORU'!D905</f>
        <v>0</v>
      </c>
      <c r="E806" s="18">
        <f>'GİRDİ RAPORU'!E905</f>
        <v>0</v>
      </c>
      <c r="F806" s="18">
        <f>'GİRDİ RAPORU'!F905</f>
        <v>0</v>
      </c>
      <c r="G806" s="18">
        <f>'GİRDİ RAPORU'!G905</f>
        <v>0</v>
      </c>
      <c r="H806" s="18">
        <f>'GİRDİ RAPORU'!H905</f>
        <v>0</v>
      </c>
      <c r="I806" s="18">
        <f>'GİRDİ RAPORU'!I905</f>
        <v>0</v>
      </c>
      <c r="J806" s="18">
        <f>'GİRDİ RAPORU'!J905</f>
        <v>0</v>
      </c>
      <c r="K806" s="18">
        <f>'GİRDİ RAPORU'!K905</f>
        <v>0</v>
      </c>
      <c r="L806" s="18">
        <f>'GİRDİ RAPORU'!L905</f>
        <v>0</v>
      </c>
      <c r="M806" s="26">
        <f t="shared" si="36"/>
        <v>0</v>
      </c>
      <c r="N806" s="26">
        <f t="shared" si="37"/>
        <v>0</v>
      </c>
      <c r="O806" s="26">
        <f t="shared" si="38"/>
        <v>1</v>
      </c>
    </row>
    <row r="807" spans="1:15" ht="21.75" hidden="1" customHeight="1">
      <c r="A807" s="17">
        <f>'GİRDİ RAPORU'!A906</f>
        <v>0</v>
      </c>
      <c r="B807" s="18">
        <f>'GİRDİ RAPORU'!B906</f>
        <v>0</v>
      </c>
      <c r="C807" s="18">
        <f>'GİRDİ RAPORU'!C906</f>
        <v>0</v>
      </c>
      <c r="D807" s="18">
        <f>'GİRDİ RAPORU'!D906</f>
        <v>0</v>
      </c>
      <c r="E807" s="18">
        <f>'GİRDİ RAPORU'!E906</f>
        <v>0</v>
      </c>
      <c r="F807" s="18">
        <f>'GİRDİ RAPORU'!F906</f>
        <v>0</v>
      </c>
      <c r="G807" s="18">
        <f>'GİRDİ RAPORU'!G906</f>
        <v>0</v>
      </c>
      <c r="H807" s="18">
        <f>'GİRDİ RAPORU'!H906</f>
        <v>0</v>
      </c>
      <c r="I807" s="18">
        <f>'GİRDİ RAPORU'!I906</f>
        <v>0</v>
      </c>
      <c r="J807" s="18">
        <f>'GİRDİ RAPORU'!J906</f>
        <v>0</v>
      </c>
      <c r="K807" s="18">
        <f>'GİRDİ RAPORU'!K906</f>
        <v>0</v>
      </c>
      <c r="L807" s="18">
        <f>'GİRDİ RAPORU'!L906</f>
        <v>0</v>
      </c>
      <c r="M807" s="26">
        <f t="shared" si="36"/>
        <v>0</v>
      </c>
      <c r="N807" s="26">
        <f t="shared" si="37"/>
        <v>0</v>
      </c>
      <c r="O807" s="26">
        <f t="shared" si="38"/>
        <v>1</v>
      </c>
    </row>
    <row r="808" spans="1:15" ht="21.75" hidden="1" customHeight="1">
      <c r="A808" s="17">
        <f>'GİRDİ RAPORU'!A907</f>
        <v>0</v>
      </c>
      <c r="B808" s="18">
        <f>'GİRDİ RAPORU'!B907</f>
        <v>0</v>
      </c>
      <c r="C808" s="18">
        <f>'GİRDİ RAPORU'!C907</f>
        <v>0</v>
      </c>
      <c r="D808" s="18">
        <f>'GİRDİ RAPORU'!D907</f>
        <v>0</v>
      </c>
      <c r="E808" s="18">
        <f>'GİRDİ RAPORU'!E907</f>
        <v>0</v>
      </c>
      <c r="F808" s="18">
        <f>'GİRDİ RAPORU'!F907</f>
        <v>0</v>
      </c>
      <c r="G808" s="18">
        <f>'GİRDİ RAPORU'!G907</f>
        <v>0</v>
      </c>
      <c r="H808" s="18">
        <f>'GİRDİ RAPORU'!H907</f>
        <v>0</v>
      </c>
      <c r="I808" s="18">
        <f>'GİRDİ RAPORU'!I907</f>
        <v>0</v>
      </c>
      <c r="J808" s="18">
        <f>'GİRDİ RAPORU'!J907</f>
        <v>0</v>
      </c>
      <c r="K808" s="18">
        <f>'GİRDİ RAPORU'!K907</f>
        <v>0</v>
      </c>
      <c r="L808" s="18">
        <f>'GİRDİ RAPORU'!L907</f>
        <v>0</v>
      </c>
      <c r="M808" s="26">
        <f t="shared" si="36"/>
        <v>0</v>
      </c>
      <c r="N808" s="26">
        <f t="shared" si="37"/>
        <v>0</v>
      </c>
      <c r="O808" s="26">
        <f t="shared" si="38"/>
        <v>1</v>
      </c>
    </row>
    <row r="809" spans="1:15" ht="21.75" hidden="1" customHeight="1">
      <c r="A809" s="17">
        <f>'GİRDİ RAPORU'!A908</f>
        <v>0</v>
      </c>
      <c r="B809" s="18">
        <f>'GİRDİ RAPORU'!B908</f>
        <v>0</v>
      </c>
      <c r="C809" s="18">
        <f>'GİRDİ RAPORU'!C908</f>
        <v>0</v>
      </c>
      <c r="D809" s="18">
        <f>'GİRDİ RAPORU'!D908</f>
        <v>0</v>
      </c>
      <c r="E809" s="18">
        <f>'GİRDİ RAPORU'!E908</f>
        <v>0</v>
      </c>
      <c r="F809" s="18">
        <f>'GİRDİ RAPORU'!F908</f>
        <v>0</v>
      </c>
      <c r="G809" s="18">
        <f>'GİRDİ RAPORU'!G908</f>
        <v>0</v>
      </c>
      <c r="H809" s="18">
        <f>'GİRDİ RAPORU'!H908</f>
        <v>0</v>
      </c>
      <c r="I809" s="18">
        <f>'GİRDİ RAPORU'!I908</f>
        <v>0</v>
      </c>
      <c r="J809" s="18">
        <f>'GİRDİ RAPORU'!J908</f>
        <v>0</v>
      </c>
      <c r="K809" s="18">
        <f>'GİRDİ RAPORU'!K908</f>
        <v>0</v>
      </c>
      <c r="L809" s="18">
        <f>'GİRDİ RAPORU'!L908</f>
        <v>0</v>
      </c>
      <c r="M809" s="26">
        <f t="shared" si="36"/>
        <v>0</v>
      </c>
      <c r="N809" s="26">
        <f t="shared" si="37"/>
        <v>0</v>
      </c>
      <c r="O809" s="26">
        <f t="shared" si="38"/>
        <v>1</v>
      </c>
    </row>
    <row r="810" spans="1:15" ht="21.75" hidden="1" customHeight="1">
      <c r="A810" s="17">
        <f>'GİRDİ RAPORU'!A909</f>
        <v>0</v>
      </c>
      <c r="B810" s="18">
        <f>'GİRDİ RAPORU'!B909</f>
        <v>0</v>
      </c>
      <c r="C810" s="18">
        <f>'GİRDİ RAPORU'!C909</f>
        <v>0</v>
      </c>
      <c r="D810" s="18">
        <f>'GİRDİ RAPORU'!D909</f>
        <v>0</v>
      </c>
      <c r="E810" s="18">
        <f>'GİRDİ RAPORU'!E909</f>
        <v>0</v>
      </c>
      <c r="F810" s="18">
        <f>'GİRDİ RAPORU'!F909</f>
        <v>0</v>
      </c>
      <c r="G810" s="18">
        <f>'GİRDİ RAPORU'!G909</f>
        <v>0</v>
      </c>
      <c r="H810" s="18">
        <f>'GİRDİ RAPORU'!H909</f>
        <v>0</v>
      </c>
      <c r="I810" s="18">
        <f>'GİRDİ RAPORU'!I909</f>
        <v>0</v>
      </c>
      <c r="J810" s="18">
        <f>'GİRDİ RAPORU'!J909</f>
        <v>0</v>
      </c>
      <c r="K810" s="18">
        <f>'GİRDİ RAPORU'!K909</f>
        <v>0</v>
      </c>
      <c r="L810" s="18">
        <f>'GİRDİ RAPORU'!L909</f>
        <v>0</v>
      </c>
      <c r="M810" s="26">
        <f t="shared" si="36"/>
        <v>0</v>
      </c>
      <c r="N810" s="26">
        <f t="shared" si="37"/>
        <v>0</v>
      </c>
      <c r="O810" s="26">
        <f t="shared" si="38"/>
        <v>1</v>
      </c>
    </row>
    <row r="811" spans="1:15" ht="21.75" hidden="1" customHeight="1">
      <c r="A811" s="17">
        <f>'GİRDİ RAPORU'!A910</f>
        <v>0</v>
      </c>
      <c r="B811" s="18">
        <f>'GİRDİ RAPORU'!B910</f>
        <v>0</v>
      </c>
      <c r="C811" s="18">
        <f>'GİRDİ RAPORU'!C910</f>
        <v>0</v>
      </c>
      <c r="D811" s="18">
        <f>'GİRDİ RAPORU'!D910</f>
        <v>0</v>
      </c>
      <c r="E811" s="18">
        <f>'GİRDİ RAPORU'!E910</f>
        <v>0</v>
      </c>
      <c r="F811" s="18">
        <f>'GİRDİ RAPORU'!F910</f>
        <v>0</v>
      </c>
      <c r="G811" s="18">
        <f>'GİRDİ RAPORU'!G910</f>
        <v>0</v>
      </c>
      <c r="H811" s="18">
        <f>'GİRDİ RAPORU'!H910</f>
        <v>0</v>
      </c>
      <c r="I811" s="18">
        <f>'GİRDİ RAPORU'!I910</f>
        <v>0</v>
      </c>
      <c r="J811" s="18">
        <f>'GİRDİ RAPORU'!J910</f>
        <v>0</v>
      </c>
      <c r="K811" s="18">
        <f>'GİRDİ RAPORU'!K910</f>
        <v>0</v>
      </c>
      <c r="L811" s="18">
        <f>'GİRDİ RAPORU'!L910</f>
        <v>0</v>
      </c>
      <c r="M811" s="26">
        <f t="shared" si="36"/>
        <v>0</v>
      </c>
      <c r="N811" s="26">
        <f t="shared" si="37"/>
        <v>0</v>
      </c>
      <c r="O811" s="26">
        <f t="shared" si="38"/>
        <v>1</v>
      </c>
    </row>
    <row r="812" spans="1:15" ht="21.75" hidden="1" customHeight="1">
      <c r="A812" s="17">
        <f>'GİRDİ RAPORU'!A911</f>
        <v>0</v>
      </c>
      <c r="B812" s="18">
        <f>'GİRDİ RAPORU'!B911</f>
        <v>0</v>
      </c>
      <c r="C812" s="18">
        <f>'GİRDİ RAPORU'!C911</f>
        <v>0</v>
      </c>
      <c r="D812" s="18">
        <f>'GİRDİ RAPORU'!D911</f>
        <v>0</v>
      </c>
      <c r="E812" s="18">
        <f>'GİRDİ RAPORU'!E911</f>
        <v>0</v>
      </c>
      <c r="F812" s="18">
        <f>'GİRDİ RAPORU'!F911</f>
        <v>0</v>
      </c>
      <c r="G812" s="18">
        <f>'GİRDİ RAPORU'!G911</f>
        <v>0</v>
      </c>
      <c r="H812" s="18">
        <f>'GİRDİ RAPORU'!H911</f>
        <v>0</v>
      </c>
      <c r="I812" s="18">
        <f>'GİRDİ RAPORU'!I911</f>
        <v>0</v>
      </c>
      <c r="J812" s="18">
        <f>'GİRDİ RAPORU'!J911</f>
        <v>0</v>
      </c>
      <c r="K812" s="18">
        <f>'GİRDİ RAPORU'!K911</f>
        <v>0</v>
      </c>
      <c r="L812" s="18">
        <f>'GİRDİ RAPORU'!L911</f>
        <v>0</v>
      </c>
      <c r="M812" s="26">
        <f t="shared" si="36"/>
        <v>0</v>
      </c>
      <c r="N812" s="26">
        <f t="shared" si="37"/>
        <v>0</v>
      </c>
      <c r="O812" s="26">
        <f t="shared" si="38"/>
        <v>1</v>
      </c>
    </row>
    <row r="813" spans="1:15" ht="21.75" hidden="1" customHeight="1">
      <c r="A813" s="17">
        <f>'GİRDİ RAPORU'!A912</f>
        <v>0</v>
      </c>
      <c r="B813" s="18">
        <f>'GİRDİ RAPORU'!B912</f>
        <v>0</v>
      </c>
      <c r="C813" s="18">
        <f>'GİRDİ RAPORU'!C912</f>
        <v>0</v>
      </c>
      <c r="D813" s="18">
        <f>'GİRDİ RAPORU'!D912</f>
        <v>0</v>
      </c>
      <c r="E813" s="18">
        <f>'GİRDİ RAPORU'!E912</f>
        <v>0</v>
      </c>
      <c r="F813" s="18">
        <f>'GİRDİ RAPORU'!F912</f>
        <v>0</v>
      </c>
      <c r="G813" s="18">
        <f>'GİRDİ RAPORU'!G912</f>
        <v>0</v>
      </c>
      <c r="H813" s="18">
        <f>'GİRDİ RAPORU'!H912</f>
        <v>0</v>
      </c>
      <c r="I813" s="18">
        <f>'GİRDİ RAPORU'!I912</f>
        <v>0</v>
      </c>
      <c r="J813" s="18">
        <f>'GİRDİ RAPORU'!J912</f>
        <v>0</v>
      </c>
      <c r="K813" s="18">
        <f>'GİRDİ RAPORU'!K912</f>
        <v>0</v>
      </c>
      <c r="L813" s="18">
        <f>'GİRDİ RAPORU'!L912</f>
        <v>0</v>
      </c>
      <c r="M813" s="26">
        <f t="shared" si="36"/>
        <v>0</v>
      </c>
      <c r="N813" s="26">
        <f t="shared" si="37"/>
        <v>0</v>
      </c>
      <c r="O813" s="26">
        <f t="shared" si="38"/>
        <v>1</v>
      </c>
    </row>
    <row r="814" spans="1:15" ht="21.75" hidden="1" customHeight="1">
      <c r="A814" s="17">
        <f>'GİRDİ RAPORU'!A913</f>
        <v>0</v>
      </c>
      <c r="B814" s="18">
        <f>'GİRDİ RAPORU'!B913</f>
        <v>0</v>
      </c>
      <c r="C814" s="18">
        <f>'GİRDİ RAPORU'!C913</f>
        <v>0</v>
      </c>
      <c r="D814" s="18">
        <f>'GİRDİ RAPORU'!D913</f>
        <v>0</v>
      </c>
      <c r="E814" s="18">
        <f>'GİRDİ RAPORU'!E913</f>
        <v>0</v>
      </c>
      <c r="F814" s="18">
        <f>'GİRDİ RAPORU'!F913</f>
        <v>0</v>
      </c>
      <c r="G814" s="18">
        <f>'GİRDİ RAPORU'!G913</f>
        <v>0</v>
      </c>
      <c r="H814" s="18">
        <f>'GİRDİ RAPORU'!H913</f>
        <v>0</v>
      </c>
      <c r="I814" s="18">
        <f>'GİRDİ RAPORU'!I913</f>
        <v>0</v>
      </c>
      <c r="J814" s="18">
        <f>'GİRDİ RAPORU'!J913</f>
        <v>0</v>
      </c>
      <c r="K814" s="18">
        <f>'GİRDİ RAPORU'!K913</f>
        <v>0</v>
      </c>
      <c r="L814" s="18">
        <f>'GİRDİ RAPORU'!L913</f>
        <v>0</v>
      </c>
      <c r="M814" s="26">
        <f t="shared" si="36"/>
        <v>0</v>
      </c>
      <c r="N814" s="26">
        <f t="shared" si="37"/>
        <v>0</v>
      </c>
      <c r="O814" s="26">
        <f t="shared" si="38"/>
        <v>1</v>
      </c>
    </row>
    <row r="815" spans="1:15" ht="21.75" hidden="1" customHeight="1">
      <c r="A815" s="17">
        <f>'GİRDİ RAPORU'!A914</f>
        <v>0</v>
      </c>
      <c r="B815" s="18">
        <f>'GİRDİ RAPORU'!B914</f>
        <v>0</v>
      </c>
      <c r="C815" s="18">
        <f>'GİRDİ RAPORU'!C914</f>
        <v>0</v>
      </c>
      <c r="D815" s="18">
        <f>'GİRDİ RAPORU'!D914</f>
        <v>0</v>
      </c>
      <c r="E815" s="18">
        <f>'GİRDİ RAPORU'!E914</f>
        <v>0</v>
      </c>
      <c r="F815" s="18">
        <f>'GİRDİ RAPORU'!F914</f>
        <v>0</v>
      </c>
      <c r="G815" s="18">
        <f>'GİRDİ RAPORU'!G914</f>
        <v>0</v>
      </c>
      <c r="H815" s="18">
        <f>'GİRDİ RAPORU'!H914</f>
        <v>0</v>
      </c>
      <c r="I815" s="18">
        <f>'GİRDİ RAPORU'!I914</f>
        <v>0</v>
      </c>
      <c r="J815" s="18">
        <f>'GİRDİ RAPORU'!J914</f>
        <v>0</v>
      </c>
      <c r="K815" s="18">
        <f>'GİRDİ RAPORU'!K914</f>
        <v>0</v>
      </c>
      <c r="L815" s="18">
        <f>'GİRDİ RAPORU'!L914</f>
        <v>0</v>
      </c>
      <c r="M815" s="26">
        <f t="shared" si="36"/>
        <v>0</v>
      </c>
      <c r="N815" s="26">
        <f t="shared" si="37"/>
        <v>0</v>
      </c>
      <c r="O815" s="26">
        <f t="shared" si="38"/>
        <v>1</v>
      </c>
    </row>
    <row r="816" spans="1:15" ht="21.75" hidden="1" customHeight="1">
      <c r="A816" s="17">
        <f>'GİRDİ RAPORU'!A915</f>
        <v>0</v>
      </c>
      <c r="B816" s="18">
        <f>'GİRDİ RAPORU'!B915</f>
        <v>0</v>
      </c>
      <c r="C816" s="18">
        <f>'GİRDİ RAPORU'!C915</f>
        <v>0</v>
      </c>
      <c r="D816" s="18">
        <f>'GİRDİ RAPORU'!D915</f>
        <v>0</v>
      </c>
      <c r="E816" s="18">
        <f>'GİRDİ RAPORU'!E915</f>
        <v>0</v>
      </c>
      <c r="F816" s="18">
        <f>'GİRDİ RAPORU'!F915</f>
        <v>0</v>
      </c>
      <c r="G816" s="18">
        <f>'GİRDİ RAPORU'!G915</f>
        <v>0</v>
      </c>
      <c r="H816" s="18">
        <f>'GİRDİ RAPORU'!H915</f>
        <v>0</v>
      </c>
      <c r="I816" s="18">
        <f>'GİRDİ RAPORU'!I915</f>
        <v>0</v>
      </c>
      <c r="J816" s="18">
        <f>'GİRDİ RAPORU'!J915</f>
        <v>0</v>
      </c>
      <c r="K816" s="18">
        <f>'GİRDİ RAPORU'!K915</f>
        <v>0</v>
      </c>
      <c r="L816" s="18">
        <f>'GİRDİ RAPORU'!L915</f>
        <v>0</v>
      </c>
      <c r="M816" s="26">
        <f t="shared" si="36"/>
        <v>0</v>
      </c>
      <c r="N816" s="26">
        <f t="shared" si="37"/>
        <v>0</v>
      </c>
      <c r="O816" s="26">
        <f t="shared" si="38"/>
        <v>1</v>
      </c>
    </row>
    <row r="817" spans="1:15" ht="21.75" hidden="1" customHeight="1">
      <c r="A817" s="17">
        <f>'GİRDİ RAPORU'!A916</f>
        <v>0</v>
      </c>
      <c r="B817" s="18">
        <f>'GİRDİ RAPORU'!B916</f>
        <v>0</v>
      </c>
      <c r="C817" s="18">
        <f>'GİRDİ RAPORU'!C916</f>
        <v>0</v>
      </c>
      <c r="D817" s="18">
        <f>'GİRDİ RAPORU'!D916</f>
        <v>0</v>
      </c>
      <c r="E817" s="18">
        <f>'GİRDİ RAPORU'!E916</f>
        <v>0</v>
      </c>
      <c r="F817" s="18">
        <f>'GİRDİ RAPORU'!F916</f>
        <v>0</v>
      </c>
      <c r="G817" s="18">
        <f>'GİRDİ RAPORU'!G916</f>
        <v>0</v>
      </c>
      <c r="H817" s="18">
        <f>'GİRDİ RAPORU'!H916</f>
        <v>0</v>
      </c>
      <c r="I817" s="18">
        <f>'GİRDİ RAPORU'!I916</f>
        <v>0</v>
      </c>
      <c r="J817" s="18">
        <f>'GİRDİ RAPORU'!J916</f>
        <v>0</v>
      </c>
      <c r="K817" s="18">
        <f>'GİRDİ RAPORU'!K916</f>
        <v>0</v>
      </c>
      <c r="L817" s="18">
        <f>'GİRDİ RAPORU'!L916</f>
        <v>0</v>
      </c>
      <c r="M817" s="26">
        <f t="shared" si="36"/>
        <v>0</v>
      </c>
      <c r="N817" s="26">
        <f t="shared" si="37"/>
        <v>0</v>
      </c>
      <c r="O817" s="26">
        <f t="shared" si="38"/>
        <v>1</v>
      </c>
    </row>
    <row r="818" spans="1:15" ht="21.75" hidden="1" customHeight="1">
      <c r="A818" s="17">
        <f>'GİRDİ RAPORU'!A917</f>
        <v>0</v>
      </c>
      <c r="B818" s="18">
        <f>'GİRDİ RAPORU'!B917</f>
        <v>0</v>
      </c>
      <c r="C818" s="18">
        <f>'GİRDİ RAPORU'!C917</f>
        <v>0</v>
      </c>
      <c r="D818" s="18">
        <f>'GİRDİ RAPORU'!D917</f>
        <v>0</v>
      </c>
      <c r="E818" s="18">
        <f>'GİRDİ RAPORU'!E917</f>
        <v>0</v>
      </c>
      <c r="F818" s="18">
        <f>'GİRDİ RAPORU'!F917</f>
        <v>0</v>
      </c>
      <c r="G818" s="18">
        <f>'GİRDİ RAPORU'!G917</f>
        <v>0</v>
      </c>
      <c r="H818" s="18">
        <f>'GİRDİ RAPORU'!H917</f>
        <v>0</v>
      </c>
      <c r="I818" s="18">
        <f>'GİRDİ RAPORU'!I917</f>
        <v>0</v>
      </c>
      <c r="J818" s="18">
        <f>'GİRDİ RAPORU'!J917</f>
        <v>0</v>
      </c>
      <c r="K818" s="18">
        <f>'GİRDİ RAPORU'!K917</f>
        <v>0</v>
      </c>
      <c r="L818" s="18">
        <f>'GİRDİ RAPORU'!L917</f>
        <v>0</v>
      </c>
      <c r="M818" s="26">
        <f t="shared" si="36"/>
        <v>0</v>
      </c>
      <c r="N818" s="26">
        <f t="shared" si="37"/>
        <v>0</v>
      </c>
      <c r="O818" s="26">
        <f t="shared" si="38"/>
        <v>1</v>
      </c>
    </row>
    <row r="819" spans="1:15" ht="21.75" hidden="1" customHeight="1">
      <c r="A819" s="17">
        <f>'GİRDİ RAPORU'!A918</f>
        <v>0</v>
      </c>
      <c r="B819" s="18">
        <f>'GİRDİ RAPORU'!B918</f>
        <v>0</v>
      </c>
      <c r="C819" s="18">
        <f>'GİRDİ RAPORU'!C918</f>
        <v>0</v>
      </c>
      <c r="D819" s="18">
        <f>'GİRDİ RAPORU'!D918</f>
        <v>0</v>
      </c>
      <c r="E819" s="18">
        <f>'GİRDİ RAPORU'!E918</f>
        <v>0</v>
      </c>
      <c r="F819" s="18">
        <f>'GİRDİ RAPORU'!F918</f>
        <v>0</v>
      </c>
      <c r="G819" s="18">
        <f>'GİRDİ RAPORU'!G918</f>
        <v>0</v>
      </c>
      <c r="H819" s="18">
        <f>'GİRDİ RAPORU'!H918</f>
        <v>0</v>
      </c>
      <c r="I819" s="18">
        <f>'GİRDİ RAPORU'!I918</f>
        <v>0</v>
      </c>
      <c r="J819" s="18">
        <f>'GİRDİ RAPORU'!J918</f>
        <v>0</v>
      </c>
      <c r="K819" s="18">
        <f>'GİRDİ RAPORU'!K918</f>
        <v>0</v>
      </c>
      <c r="L819" s="18">
        <f>'GİRDİ RAPORU'!L918</f>
        <v>0</v>
      </c>
      <c r="M819" s="26">
        <f t="shared" si="36"/>
        <v>0</v>
      </c>
      <c r="N819" s="26">
        <f t="shared" si="37"/>
        <v>0</v>
      </c>
      <c r="O819" s="26">
        <f t="shared" si="38"/>
        <v>1</v>
      </c>
    </row>
    <row r="820" spans="1:15" ht="21.75" hidden="1" customHeight="1">
      <c r="A820" s="17">
        <f>'GİRDİ RAPORU'!A919</f>
        <v>0</v>
      </c>
      <c r="B820" s="18">
        <f>'GİRDİ RAPORU'!B919</f>
        <v>0</v>
      </c>
      <c r="C820" s="18">
        <f>'GİRDİ RAPORU'!C919</f>
        <v>0</v>
      </c>
      <c r="D820" s="18">
        <f>'GİRDİ RAPORU'!D919</f>
        <v>0</v>
      </c>
      <c r="E820" s="18">
        <f>'GİRDİ RAPORU'!E919</f>
        <v>0</v>
      </c>
      <c r="F820" s="18">
        <f>'GİRDİ RAPORU'!F919</f>
        <v>0</v>
      </c>
      <c r="G820" s="18">
        <f>'GİRDİ RAPORU'!G919</f>
        <v>0</v>
      </c>
      <c r="H820" s="18">
        <f>'GİRDİ RAPORU'!H919</f>
        <v>0</v>
      </c>
      <c r="I820" s="18">
        <f>'GİRDİ RAPORU'!I919</f>
        <v>0</v>
      </c>
      <c r="J820" s="18">
        <f>'GİRDİ RAPORU'!J919</f>
        <v>0</v>
      </c>
      <c r="K820" s="18">
        <f>'GİRDİ RAPORU'!K919</f>
        <v>0</v>
      </c>
      <c r="L820" s="18">
        <f>'GİRDİ RAPORU'!L919</f>
        <v>0</v>
      </c>
      <c r="M820" s="26">
        <f t="shared" si="36"/>
        <v>0</v>
      </c>
      <c r="N820" s="26">
        <f t="shared" si="37"/>
        <v>0</v>
      </c>
      <c r="O820" s="26">
        <f t="shared" si="38"/>
        <v>1</v>
      </c>
    </row>
    <row r="821" spans="1:15" ht="21.75" hidden="1" customHeight="1">
      <c r="A821" s="17">
        <f>'GİRDİ RAPORU'!A920</f>
        <v>0</v>
      </c>
      <c r="B821" s="18">
        <f>'GİRDİ RAPORU'!B920</f>
        <v>0</v>
      </c>
      <c r="C821" s="18">
        <f>'GİRDİ RAPORU'!C920</f>
        <v>0</v>
      </c>
      <c r="D821" s="18">
        <f>'GİRDİ RAPORU'!D920</f>
        <v>0</v>
      </c>
      <c r="E821" s="18">
        <f>'GİRDİ RAPORU'!E920</f>
        <v>0</v>
      </c>
      <c r="F821" s="18">
        <f>'GİRDİ RAPORU'!F920</f>
        <v>0</v>
      </c>
      <c r="G821" s="18">
        <f>'GİRDİ RAPORU'!G920</f>
        <v>0</v>
      </c>
      <c r="H821" s="18">
        <f>'GİRDİ RAPORU'!H920</f>
        <v>0</v>
      </c>
      <c r="I821" s="18">
        <f>'GİRDİ RAPORU'!I920</f>
        <v>0</v>
      </c>
      <c r="J821" s="18">
        <f>'GİRDİ RAPORU'!J920</f>
        <v>0</v>
      </c>
      <c r="K821" s="18">
        <f>'GİRDİ RAPORU'!K920</f>
        <v>0</v>
      </c>
      <c r="L821" s="18">
        <f>'GİRDİ RAPORU'!L920</f>
        <v>0</v>
      </c>
      <c r="M821" s="26">
        <f t="shared" si="36"/>
        <v>0</v>
      </c>
      <c r="N821" s="26">
        <f t="shared" si="37"/>
        <v>0</v>
      </c>
      <c r="O821" s="26">
        <f t="shared" si="38"/>
        <v>1</v>
      </c>
    </row>
    <row r="822" spans="1:15" ht="21.75" hidden="1" customHeight="1">
      <c r="A822" s="17">
        <f>'GİRDİ RAPORU'!A921</f>
        <v>0</v>
      </c>
      <c r="B822" s="18">
        <f>'GİRDİ RAPORU'!B921</f>
        <v>0</v>
      </c>
      <c r="C822" s="18">
        <f>'GİRDİ RAPORU'!C921</f>
        <v>0</v>
      </c>
      <c r="D822" s="18">
        <f>'GİRDİ RAPORU'!D921</f>
        <v>0</v>
      </c>
      <c r="E822" s="18">
        <f>'GİRDİ RAPORU'!E921</f>
        <v>0</v>
      </c>
      <c r="F822" s="18">
        <f>'GİRDİ RAPORU'!F921</f>
        <v>0</v>
      </c>
      <c r="G822" s="18">
        <f>'GİRDİ RAPORU'!G921</f>
        <v>0</v>
      </c>
      <c r="H822" s="18">
        <f>'GİRDİ RAPORU'!H921</f>
        <v>0</v>
      </c>
      <c r="I822" s="18">
        <f>'GİRDİ RAPORU'!I921</f>
        <v>0</v>
      </c>
      <c r="J822" s="18">
        <f>'GİRDİ RAPORU'!J921</f>
        <v>0</v>
      </c>
      <c r="K822" s="18">
        <f>'GİRDİ RAPORU'!K921</f>
        <v>0</v>
      </c>
      <c r="L822" s="18">
        <f>'GİRDİ RAPORU'!L921</f>
        <v>0</v>
      </c>
      <c r="M822" s="26">
        <f t="shared" si="36"/>
        <v>0</v>
      </c>
      <c r="N822" s="26">
        <f t="shared" si="37"/>
        <v>0</v>
      </c>
      <c r="O822" s="26">
        <f t="shared" si="38"/>
        <v>1</v>
      </c>
    </row>
    <row r="823" spans="1:15" ht="21.75" hidden="1" customHeight="1">
      <c r="A823" s="17">
        <f>'GİRDİ RAPORU'!A922</f>
        <v>0</v>
      </c>
      <c r="B823" s="18">
        <f>'GİRDİ RAPORU'!B922</f>
        <v>0</v>
      </c>
      <c r="C823" s="18">
        <f>'GİRDİ RAPORU'!C922</f>
        <v>0</v>
      </c>
      <c r="D823" s="18">
        <f>'GİRDİ RAPORU'!D922</f>
        <v>0</v>
      </c>
      <c r="E823" s="18">
        <f>'GİRDİ RAPORU'!E922</f>
        <v>0</v>
      </c>
      <c r="F823" s="18">
        <f>'GİRDİ RAPORU'!F922</f>
        <v>0</v>
      </c>
      <c r="G823" s="18">
        <f>'GİRDİ RAPORU'!G922</f>
        <v>0</v>
      </c>
      <c r="H823" s="18">
        <f>'GİRDİ RAPORU'!H922</f>
        <v>0</v>
      </c>
      <c r="I823" s="18">
        <f>'GİRDİ RAPORU'!I922</f>
        <v>0</v>
      </c>
      <c r="J823" s="18">
        <f>'GİRDİ RAPORU'!J922</f>
        <v>0</v>
      </c>
      <c r="K823" s="18">
        <f>'GİRDİ RAPORU'!K922</f>
        <v>0</v>
      </c>
      <c r="L823" s="18">
        <f>'GİRDİ RAPORU'!L922</f>
        <v>0</v>
      </c>
      <c r="M823" s="26">
        <f t="shared" si="36"/>
        <v>0</v>
      </c>
      <c r="N823" s="26">
        <f t="shared" si="37"/>
        <v>0</v>
      </c>
      <c r="O823" s="26">
        <f t="shared" si="38"/>
        <v>1</v>
      </c>
    </row>
    <row r="824" spans="1:15" ht="21.75" hidden="1" customHeight="1">
      <c r="A824" s="17">
        <f>'GİRDİ RAPORU'!A923</f>
        <v>0</v>
      </c>
      <c r="B824" s="18">
        <f>'GİRDİ RAPORU'!B923</f>
        <v>0</v>
      </c>
      <c r="C824" s="18">
        <f>'GİRDİ RAPORU'!C923</f>
        <v>0</v>
      </c>
      <c r="D824" s="18">
        <f>'GİRDİ RAPORU'!D923</f>
        <v>0</v>
      </c>
      <c r="E824" s="18">
        <f>'GİRDİ RAPORU'!E923</f>
        <v>0</v>
      </c>
      <c r="F824" s="18">
        <f>'GİRDİ RAPORU'!F923</f>
        <v>0</v>
      </c>
      <c r="G824" s="18">
        <f>'GİRDİ RAPORU'!G923</f>
        <v>0</v>
      </c>
      <c r="H824" s="18">
        <f>'GİRDİ RAPORU'!H923</f>
        <v>0</v>
      </c>
      <c r="I824" s="18">
        <f>'GİRDİ RAPORU'!I923</f>
        <v>0</v>
      </c>
      <c r="J824" s="18">
        <f>'GİRDİ RAPORU'!J923</f>
        <v>0</v>
      </c>
      <c r="K824" s="18">
        <f>'GİRDİ RAPORU'!K923</f>
        <v>0</v>
      </c>
      <c r="L824" s="18">
        <f>'GİRDİ RAPORU'!L923</f>
        <v>0</v>
      </c>
      <c r="M824" s="26">
        <f t="shared" si="36"/>
        <v>0</v>
      </c>
      <c r="N824" s="26">
        <f t="shared" si="37"/>
        <v>0</v>
      </c>
      <c r="O824" s="26">
        <f t="shared" si="38"/>
        <v>1</v>
      </c>
    </row>
    <row r="825" spans="1:15" ht="21.75" hidden="1" customHeight="1">
      <c r="A825" s="17">
        <f>'GİRDİ RAPORU'!A924</f>
        <v>0</v>
      </c>
      <c r="B825" s="18">
        <f>'GİRDİ RAPORU'!B924</f>
        <v>0</v>
      </c>
      <c r="C825" s="18">
        <f>'GİRDİ RAPORU'!C924</f>
        <v>0</v>
      </c>
      <c r="D825" s="18">
        <f>'GİRDİ RAPORU'!D924</f>
        <v>0</v>
      </c>
      <c r="E825" s="18">
        <f>'GİRDİ RAPORU'!E924</f>
        <v>0</v>
      </c>
      <c r="F825" s="18">
        <f>'GİRDİ RAPORU'!F924</f>
        <v>0</v>
      </c>
      <c r="G825" s="18">
        <f>'GİRDİ RAPORU'!G924</f>
        <v>0</v>
      </c>
      <c r="H825" s="18">
        <f>'GİRDİ RAPORU'!H924</f>
        <v>0</v>
      </c>
      <c r="I825" s="18">
        <f>'GİRDİ RAPORU'!I924</f>
        <v>0</v>
      </c>
      <c r="J825" s="18">
        <f>'GİRDİ RAPORU'!J924</f>
        <v>0</v>
      </c>
      <c r="K825" s="18">
        <f>'GİRDİ RAPORU'!K924</f>
        <v>0</v>
      </c>
      <c r="L825" s="18">
        <f>'GİRDİ RAPORU'!L924</f>
        <v>0</v>
      </c>
      <c r="M825" s="26">
        <f t="shared" si="36"/>
        <v>0</v>
      </c>
      <c r="N825" s="26">
        <f t="shared" si="37"/>
        <v>0</v>
      </c>
      <c r="O825" s="26">
        <f t="shared" si="38"/>
        <v>1</v>
      </c>
    </row>
    <row r="826" spans="1:15" ht="21.75" hidden="1" customHeight="1">
      <c r="A826" s="17">
        <f>'GİRDİ RAPORU'!A925</f>
        <v>0</v>
      </c>
      <c r="B826" s="18">
        <f>'GİRDİ RAPORU'!B925</f>
        <v>0</v>
      </c>
      <c r="C826" s="18">
        <f>'GİRDİ RAPORU'!C925</f>
        <v>0</v>
      </c>
      <c r="D826" s="18">
        <f>'GİRDİ RAPORU'!D925</f>
        <v>0</v>
      </c>
      <c r="E826" s="18">
        <f>'GİRDİ RAPORU'!E925</f>
        <v>0</v>
      </c>
      <c r="F826" s="18">
        <f>'GİRDİ RAPORU'!F925</f>
        <v>0</v>
      </c>
      <c r="G826" s="18">
        <f>'GİRDİ RAPORU'!G925</f>
        <v>0</v>
      </c>
      <c r="H826" s="18">
        <f>'GİRDİ RAPORU'!H925</f>
        <v>0</v>
      </c>
      <c r="I826" s="18">
        <f>'GİRDİ RAPORU'!I925</f>
        <v>0</v>
      </c>
      <c r="J826" s="18">
        <f>'GİRDİ RAPORU'!J925</f>
        <v>0</v>
      </c>
      <c r="K826" s="18">
        <f>'GİRDİ RAPORU'!K925</f>
        <v>0</v>
      </c>
      <c r="L826" s="18">
        <f>'GİRDİ RAPORU'!L925</f>
        <v>0</v>
      </c>
      <c r="M826" s="26">
        <f t="shared" si="36"/>
        <v>0</v>
      </c>
      <c r="N826" s="26">
        <f t="shared" si="37"/>
        <v>0</v>
      </c>
      <c r="O826" s="26">
        <f t="shared" si="38"/>
        <v>1</v>
      </c>
    </row>
    <row r="827" spans="1:15" ht="21.75" hidden="1" customHeight="1">
      <c r="A827" s="17">
        <f>'GİRDİ RAPORU'!A926</f>
        <v>0</v>
      </c>
      <c r="B827" s="18">
        <f>'GİRDİ RAPORU'!B926</f>
        <v>0</v>
      </c>
      <c r="C827" s="18">
        <f>'GİRDİ RAPORU'!C926</f>
        <v>0</v>
      </c>
      <c r="D827" s="18">
        <f>'GİRDİ RAPORU'!D926</f>
        <v>0</v>
      </c>
      <c r="E827" s="18">
        <f>'GİRDİ RAPORU'!E926</f>
        <v>0</v>
      </c>
      <c r="F827" s="18">
        <f>'GİRDİ RAPORU'!F926</f>
        <v>0</v>
      </c>
      <c r="G827" s="18">
        <f>'GİRDİ RAPORU'!G926</f>
        <v>0</v>
      </c>
      <c r="H827" s="18">
        <f>'GİRDİ RAPORU'!H926</f>
        <v>0</v>
      </c>
      <c r="I827" s="18">
        <f>'GİRDİ RAPORU'!I926</f>
        <v>0</v>
      </c>
      <c r="J827" s="18">
        <f>'GİRDİ RAPORU'!J926</f>
        <v>0</v>
      </c>
      <c r="K827" s="18">
        <f>'GİRDİ RAPORU'!K926</f>
        <v>0</v>
      </c>
      <c r="L827" s="18">
        <f>'GİRDİ RAPORU'!L926</f>
        <v>0</v>
      </c>
      <c r="M827" s="26">
        <f t="shared" si="36"/>
        <v>0</v>
      </c>
      <c r="N827" s="26">
        <f t="shared" si="37"/>
        <v>0</v>
      </c>
      <c r="O827" s="26">
        <f t="shared" si="38"/>
        <v>1</v>
      </c>
    </row>
    <row r="828" spans="1:15" ht="21.75" hidden="1" customHeight="1">
      <c r="A828" s="17">
        <f>'GİRDİ RAPORU'!A927</f>
        <v>0</v>
      </c>
      <c r="B828" s="18">
        <f>'GİRDİ RAPORU'!B927</f>
        <v>0</v>
      </c>
      <c r="C828" s="18">
        <f>'GİRDİ RAPORU'!C927</f>
        <v>0</v>
      </c>
      <c r="D828" s="18">
        <f>'GİRDİ RAPORU'!D927</f>
        <v>0</v>
      </c>
      <c r="E828" s="18">
        <f>'GİRDİ RAPORU'!E927</f>
        <v>0</v>
      </c>
      <c r="F828" s="18">
        <f>'GİRDİ RAPORU'!F927</f>
        <v>0</v>
      </c>
      <c r="G828" s="18">
        <f>'GİRDİ RAPORU'!G927</f>
        <v>0</v>
      </c>
      <c r="H828" s="18">
        <f>'GİRDİ RAPORU'!H927</f>
        <v>0</v>
      </c>
      <c r="I828" s="18">
        <f>'GİRDİ RAPORU'!I927</f>
        <v>0</v>
      </c>
      <c r="J828" s="18">
        <f>'GİRDİ RAPORU'!J927</f>
        <v>0</v>
      </c>
      <c r="K828" s="18">
        <f>'GİRDİ RAPORU'!K927</f>
        <v>0</v>
      </c>
      <c r="L828" s="18">
        <f>'GİRDİ RAPORU'!L927</f>
        <v>0</v>
      </c>
      <c r="M828" s="26">
        <f t="shared" si="36"/>
        <v>0</v>
      </c>
      <c r="N828" s="26">
        <f t="shared" si="37"/>
        <v>0</v>
      </c>
      <c r="O828" s="26">
        <f t="shared" si="38"/>
        <v>1</v>
      </c>
    </row>
    <row r="829" spans="1:15" ht="21.75" hidden="1" customHeight="1">
      <c r="A829" s="17">
        <f>'GİRDİ RAPORU'!A928</f>
        <v>0</v>
      </c>
      <c r="B829" s="18">
        <f>'GİRDİ RAPORU'!B928</f>
        <v>0</v>
      </c>
      <c r="C829" s="18">
        <f>'GİRDİ RAPORU'!C928</f>
        <v>0</v>
      </c>
      <c r="D829" s="18">
        <f>'GİRDİ RAPORU'!D928</f>
        <v>0</v>
      </c>
      <c r="E829" s="18">
        <f>'GİRDİ RAPORU'!E928</f>
        <v>0</v>
      </c>
      <c r="F829" s="18">
        <f>'GİRDİ RAPORU'!F928</f>
        <v>0</v>
      </c>
      <c r="G829" s="18">
        <f>'GİRDİ RAPORU'!G928</f>
        <v>0</v>
      </c>
      <c r="H829" s="18">
        <f>'GİRDİ RAPORU'!H928</f>
        <v>0</v>
      </c>
      <c r="I829" s="18">
        <f>'GİRDİ RAPORU'!I928</f>
        <v>0</v>
      </c>
      <c r="J829" s="18">
        <f>'GİRDİ RAPORU'!J928</f>
        <v>0</v>
      </c>
      <c r="K829" s="18">
        <f>'GİRDİ RAPORU'!K928</f>
        <v>0</v>
      </c>
      <c r="L829" s="18">
        <f>'GİRDİ RAPORU'!L928</f>
        <v>0</v>
      </c>
      <c r="M829" s="26">
        <f t="shared" si="36"/>
        <v>0</v>
      </c>
      <c r="N829" s="26">
        <f t="shared" si="37"/>
        <v>0</v>
      </c>
      <c r="O829" s="26">
        <f t="shared" si="38"/>
        <v>1</v>
      </c>
    </row>
    <row r="830" spans="1:15" ht="21.75" hidden="1" customHeight="1">
      <c r="A830" s="17">
        <f>'GİRDİ RAPORU'!A929</f>
        <v>0</v>
      </c>
      <c r="B830" s="18">
        <f>'GİRDİ RAPORU'!B929</f>
        <v>0</v>
      </c>
      <c r="C830" s="18">
        <f>'GİRDİ RAPORU'!C929</f>
        <v>0</v>
      </c>
      <c r="D830" s="18">
        <f>'GİRDİ RAPORU'!D929</f>
        <v>0</v>
      </c>
      <c r="E830" s="18">
        <f>'GİRDİ RAPORU'!E929</f>
        <v>0</v>
      </c>
      <c r="F830" s="18">
        <f>'GİRDİ RAPORU'!F929</f>
        <v>0</v>
      </c>
      <c r="G830" s="18">
        <f>'GİRDİ RAPORU'!G929</f>
        <v>0</v>
      </c>
      <c r="H830" s="18">
        <f>'GİRDİ RAPORU'!H929</f>
        <v>0</v>
      </c>
      <c r="I830" s="18">
        <f>'GİRDİ RAPORU'!I929</f>
        <v>0</v>
      </c>
      <c r="J830" s="18">
        <f>'GİRDİ RAPORU'!J929</f>
        <v>0</v>
      </c>
      <c r="K830" s="18">
        <f>'GİRDİ RAPORU'!K929</f>
        <v>0</v>
      </c>
      <c r="L830" s="18">
        <f>'GİRDİ RAPORU'!L929</f>
        <v>0</v>
      </c>
      <c r="M830" s="26">
        <f t="shared" si="36"/>
        <v>0</v>
      </c>
      <c r="N830" s="26">
        <f t="shared" si="37"/>
        <v>0</v>
      </c>
      <c r="O830" s="26">
        <f t="shared" si="38"/>
        <v>1</v>
      </c>
    </row>
    <row r="831" spans="1:15" ht="21.75" hidden="1" customHeight="1">
      <c r="A831" s="17">
        <f>'GİRDİ RAPORU'!A930</f>
        <v>0</v>
      </c>
      <c r="B831" s="18">
        <f>'GİRDİ RAPORU'!B930</f>
        <v>0</v>
      </c>
      <c r="C831" s="18">
        <f>'GİRDİ RAPORU'!C930</f>
        <v>0</v>
      </c>
      <c r="D831" s="18">
        <f>'GİRDİ RAPORU'!D930</f>
        <v>0</v>
      </c>
      <c r="E831" s="18">
        <f>'GİRDİ RAPORU'!E930</f>
        <v>0</v>
      </c>
      <c r="F831" s="18">
        <f>'GİRDİ RAPORU'!F930</f>
        <v>0</v>
      </c>
      <c r="G831" s="18">
        <f>'GİRDİ RAPORU'!G930</f>
        <v>0</v>
      </c>
      <c r="H831" s="18">
        <f>'GİRDİ RAPORU'!H930</f>
        <v>0</v>
      </c>
      <c r="I831" s="18">
        <f>'GİRDİ RAPORU'!I930</f>
        <v>0</v>
      </c>
      <c r="J831" s="18">
        <f>'GİRDİ RAPORU'!J930</f>
        <v>0</v>
      </c>
      <c r="K831" s="18">
        <f>'GİRDİ RAPORU'!K930</f>
        <v>0</v>
      </c>
      <c r="L831" s="18">
        <f>'GİRDİ RAPORU'!L930</f>
        <v>0</v>
      </c>
      <c r="M831" s="26">
        <f t="shared" si="36"/>
        <v>0</v>
      </c>
      <c r="N831" s="26">
        <f t="shared" si="37"/>
        <v>0</v>
      </c>
      <c r="O831" s="26">
        <f t="shared" si="38"/>
        <v>1</v>
      </c>
    </row>
    <row r="832" spans="1:15" ht="21.75" hidden="1" customHeight="1">
      <c r="A832" s="17">
        <f>'GİRDİ RAPORU'!A931</f>
        <v>0</v>
      </c>
      <c r="B832" s="18">
        <f>'GİRDİ RAPORU'!B931</f>
        <v>0</v>
      </c>
      <c r="C832" s="18">
        <f>'GİRDİ RAPORU'!C931</f>
        <v>0</v>
      </c>
      <c r="D832" s="18">
        <f>'GİRDİ RAPORU'!D931</f>
        <v>0</v>
      </c>
      <c r="E832" s="18">
        <f>'GİRDİ RAPORU'!E931</f>
        <v>0</v>
      </c>
      <c r="F832" s="18">
        <f>'GİRDİ RAPORU'!F931</f>
        <v>0</v>
      </c>
      <c r="G832" s="18">
        <f>'GİRDİ RAPORU'!G931</f>
        <v>0</v>
      </c>
      <c r="H832" s="18">
        <f>'GİRDİ RAPORU'!H931</f>
        <v>0</v>
      </c>
      <c r="I832" s="18">
        <f>'GİRDİ RAPORU'!I931</f>
        <v>0</v>
      </c>
      <c r="J832" s="18">
        <f>'GİRDİ RAPORU'!J931</f>
        <v>0</v>
      </c>
      <c r="K832" s="18">
        <f>'GİRDİ RAPORU'!K931</f>
        <v>0</v>
      </c>
      <c r="L832" s="18">
        <f>'GİRDİ RAPORU'!L931</f>
        <v>0</v>
      </c>
      <c r="M832" s="26">
        <f t="shared" si="36"/>
        <v>0</v>
      </c>
      <c r="N832" s="26">
        <f t="shared" si="37"/>
        <v>0</v>
      </c>
      <c r="O832" s="26">
        <f t="shared" si="38"/>
        <v>1</v>
      </c>
    </row>
    <row r="833" spans="1:15" ht="21.75" hidden="1" customHeight="1">
      <c r="A833" s="17">
        <f>'GİRDİ RAPORU'!A932</f>
        <v>0</v>
      </c>
      <c r="B833" s="18">
        <f>'GİRDİ RAPORU'!B932</f>
        <v>0</v>
      </c>
      <c r="C833" s="18">
        <f>'GİRDİ RAPORU'!C932</f>
        <v>0</v>
      </c>
      <c r="D833" s="18">
        <f>'GİRDİ RAPORU'!D932</f>
        <v>0</v>
      </c>
      <c r="E833" s="18">
        <f>'GİRDİ RAPORU'!E932</f>
        <v>0</v>
      </c>
      <c r="F833" s="18">
        <f>'GİRDİ RAPORU'!F932</f>
        <v>0</v>
      </c>
      <c r="G833" s="18">
        <f>'GİRDİ RAPORU'!G932</f>
        <v>0</v>
      </c>
      <c r="H833" s="18">
        <f>'GİRDİ RAPORU'!H932</f>
        <v>0</v>
      </c>
      <c r="I833" s="18">
        <f>'GİRDİ RAPORU'!I932</f>
        <v>0</v>
      </c>
      <c r="J833" s="18">
        <f>'GİRDİ RAPORU'!J932</f>
        <v>0</v>
      </c>
      <c r="K833" s="18">
        <f>'GİRDİ RAPORU'!K932</f>
        <v>0</v>
      </c>
      <c r="L833" s="18">
        <f>'GİRDİ RAPORU'!L932</f>
        <v>0</v>
      </c>
      <c r="M833" s="26">
        <f t="shared" ref="M833:M869" si="39">(C833+D833)/750</f>
        <v>0</v>
      </c>
      <c r="N833" s="26">
        <f t="shared" ref="N833:N869" si="40">(F833+H833+J833)/540</f>
        <v>0</v>
      </c>
      <c r="O833" s="26">
        <f t="shared" ref="O833:O869" si="41">(540-F833-H833-J833)/540</f>
        <v>1</v>
      </c>
    </row>
    <row r="834" spans="1:15" ht="21.75" hidden="1" customHeight="1">
      <c r="A834" s="17">
        <f>'GİRDİ RAPORU'!A933</f>
        <v>0</v>
      </c>
      <c r="B834" s="18">
        <f>'GİRDİ RAPORU'!B933</f>
        <v>0</v>
      </c>
      <c r="C834" s="18">
        <f>'GİRDİ RAPORU'!C933</f>
        <v>0</v>
      </c>
      <c r="D834" s="18">
        <f>'GİRDİ RAPORU'!D933</f>
        <v>0</v>
      </c>
      <c r="E834" s="18">
        <f>'GİRDİ RAPORU'!E933</f>
        <v>0</v>
      </c>
      <c r="F834" s="18">
        <f>'GİRDİ RAPORU'!F933</f>
        <v>0</v>
      </c>
      <c r="G834" s="18">
        <f>'GİRDİ RAPORU'!G933</f>
        <v>0</v>
      </c>
      <c r="H834" s="18">
        <f>'GİRDİ RAPORU'!H933</f>
        <v>0</v>
      </c>
      <c r="I834" s="18">
        <f>'GİRDİ RAPORU'!I933</f>
        <v>0</v>
      </c>
      <c r="J834" s="18">
        <f>'GİRDİ RAPORU'!J933</f>
        <v>0</v>
      </c>
      <c r="K834" s="18">
        <f>'GİRDİ RAPORU'!K933</f>
        <v>0</v>
      </c>
      <c r="L834" s="18">
        <f>'GİRDİ RAPORU'!L933</f>
        <v>0</v>
      </c>
      <c r="M834" s="26">
        <f t="shared" si="39"/>
        <v>0</v>
      </c>
      <c r="N834" s="26">
        <f t="shared" si="40"/>
        <v>0</v>
      </c>
      <c r="O834" s="26">
        <f t="shared" si="41"/>
        <v>1</v>
      </c>
    </row>
    <row r="835" spans="1:15" ht="21.75" hidden="1" customHeight="1">
      <c r="A835" s="17">
        <f>'GİRDİ RAPORU'!A934</f>
        <v>0</v>
      </c>
      <c r="B835" s="18">
        <f>'GİRDİ RAPORU'!B934</f>
        <v>0</v>
      </c>
      <c r="C835" s="18">
        <f>'GİRDİ RAPORU'!C934</f>
        <v>0</v>
      </c>
      <c r="D835" s="18">
        <f>'GİRDİ RAPORU'!D934</f>
        <v>0</v>
      </c>
      <c r="E835" s="18">
        <f>'GİRDİ RAPORU'!E934</f>
        <v>0</v>
      </c>
      <c r="F835" s="18">
        <f>'GİRDİ RAPORU'!F934</f>
        <v>0</v>
      </c>
      <c r="G835" s="18">
        <f>'GİRDİ RAPORU'!G934</f>
        <v>0</v>
      </c>
      <c r="H835" s="18">
        <f>'GİRDİ RAPORU'!H934</f>
        <v>0</v>
      </c>
      <c r="I835" s="18">
        <f>'GİRDİ RAPORU'!I934</f>
        <v>0</v>
      </c>
      <c r="J835" s="18">
        <f>'GİRDİ RAPORU'!J934</f>
        <v>0</v>
      </c>
      <c r="K835" s="18">
        <f>'GİRDİ RAPORU'!K934</f>
        <v>0</v>
      </c>
      <c r="L835" s="18">
        <f>'GİRDİ RAPORU'!L934</f>
        <v>0</v>
      </c>
      <c r="M835" s="26">
        <f t="shared" si="39"/>
        <v>0</v>
      </c>
      <c r="N835" s="26">
        <f t="shared" si="40"/>
        <v>0</v>
      </c>
      <c r="O835" s="26">
        <f t="shared" si="41"/>
        <v>1</v>
      </c>
    </row>
    <row r="836" spans="1:15" ht="21.75" hidden="1" customHeight="1">
      <c r="A836" s="17">
        <f>'GİRDİ RAPORU'!A935</f>
        <v>0</v>
      </c>
      <c r="B836" s="18">
        <f>'GİRDİ RAPORU'!B935</f>
        <v>0</v>
      </c>
      <c r="C836" s="18">
        <f>'GİRDİ RAPORU'!C935</f>
        <v>0</v>
      </c>
      <c r="D836" s="18">
        <f>'GİRDİ RAPORU'!D935</f>
        <v>0</v>
      </c>
      <c r="E836" s="18">
        <f>'GİRDİ RAPORU'!E935</f>
        <v>0</v>
      </c>
      <c r="F836" s="18">
        <f>'GİRDİ RAPORU'!F935</f>
        <v>0</v>
      </c>
      <c r="G836" s="18">
        <f>'GİRDİ RAPORU'!G935</f>
        <v>0</v>
      </c>
      <c r="H836" s="18">
        <f>'GİRDİ RAPORU'!H935</f>
        <v>0</v>
      </c>
      <c r="I836" s="18">
        <f>'GİRDİ RAPORU'!I935</f>
        <v>0</v>
      </c>
      <c r="J836" s="18">
        <f>'GİRDİ RAPORU'!J935</f>
        <v>0</v>
      </c>
      <c r="K836" s="18">
        <f>'GİRDİ RAPORU'!K935</f>
        <v>0</v>
      </c>
      <c r="L836" s="18">
        <f>'GİRDİ RAPORU'!L935</f>
        <v>0</v>
      </c>
      <c r="M836" s="26">
        <f t="shared" si="39"/>
        <v>0</v>
      </c>
      <c r="N836" s="26">
        <f t="shared" si="40"/>
        <v>0</v>
      </c>
      <c r="O836" s="26">
        <f t="shared" si="41"/>
        <v>1</v>
      </c>
    </row>
    <row r="837" spans="1:15" ht="21.75" hidden="1" customHeight="1">
      <c r="A837" s="17">
        <f>'GİRDİ RAPORU'!A936</f>
        <v>0</v>
      </c>
      <c r="B837" s="18">
        <f>'GİRDİ RAPORU'!B936</f>
        <v>0</v>
      </c>
      <c r="C837" s="18">
        <f>'GİRDİ RAPORU'!C936</f>
        <v>0</v>
      </c>
      <c r="D837" s="18">
        <f>'GİRDİ RAPORU'!D936</f>
        <v>0</v>
      </c>
      <c r="E837" s="18">
        <f>'GİRDİ RAPORU'!E936</f>
        <v>0</v>
      </c>
      <c r="F837" s="18">
        <f>'GİRDİ RAPORU'!F936</f>
        <v>0</v>
      </c>
      <c r="G837" s="18">
        <f>'GİRDİ RAPORU'!G936</f>
        <v>0</v>
      </c>
      <c r="H837" s="18">
        <f>'GİRDİ RAPORU'!H936</f>
        <v>0</v>
      </c>
      <c r="I837" s="18">
        <f>'GİRDİ RAPORU'!I936</f>
        <v>0</v>
      </c>
      <c r="J837" s="18">
        <f>'GİRDİ RAPORU'!J936</f>
        <v>0</v>
      </c>
      <c r="K837" s="18">
        <f>'GİRDİ RAPORU'!K936</f>
        <v>0</v>
      </c>
      <c r="L837" s="18">
        <f>'GİRDİ RAPORU'!L936</f>
        <v>0</v>
      </c>
      <c r="M837" s="26">
        <f t="shared" si="39"/>
        <v>0</v>
      </c>
      <c r="N837" s="26">
        <f t="shared" si="40"/>
        <v>0</v>
      </c>
      <c r="O837" s="26">
        <f t="shared" si="41"/>
        <v>1</v>
      </c>
    </row>
    <row r="838" spans="1:15" ht="21.75" hidden="1" customHeight="1">
      <c r="A838" s="17">
        <f>'GİRDİ RAPORU'!A937</f>
        <v>0</v>
      </c>
      <c r="B838" s="18">
        <f>'GİRDİ RAPORU'!B937</f>
        <v>0</v>
      </c>
      <c r="C838" s="18">
        <f>'GİRDİ RAPORU'!C937</f>
        <v>0</v>
      </c>
      <c r="D838" s="18">
        <f>'GİRDİ RAPORU'!D937</f>
        <v>0</v>
      </c>
      <c r="E838" s="18">
        <f>'GİRDİ RAPORU'!E937</f>
        <v>0</v>
      </c>
      <c r="F838" s="18">
        <f>'GİRDİ RAPORU'!F937</f>
        <v>0</v>
      </c>
      <c r="G838" s="18">
        <f>'GİRDİ RAPORU'!G937</f>
        <v>0</v>
      </c>
      <c r="H838" s="18">
        <f>'GİRDİ RAPORU'!H937</f>
        <v>0</v>
      </c>
      <c r="I838" s="18">
        <f>'GİRDİ RAPORU'!I937</f>
        <v>0</v>
      </c>
      <c r="J838" s="18">
        <f>'GİRDİ RAPORU'!J937</f>
        <v>0</v>
      </c>
      <c r="K838" s="18">
        <f>'GİRDİ RAPORU'!K937</f>
        <v>0</v>
      </c>
      <c r="L838" s="18">
        <f>'GİRDİ RAPORU'!L937</f>
        <v>0</v>
      </c>
      <c r="M838" s="26">
        <f t="shared" si="39"/>
        <v>0</v>
      </c>
      <c r="N838" s="26">
        <f t="shared" si="40"/>
        <v>0</v>
      </c>
      <c r="O838" s="26">
        <f t="shared" si="41"/>
        <v>1</v>
      </c>
    </row>
    <row r="839" spans="1:15" ht="21.75" hidden="1" customHeight="1">
      <c r="A839" s="17">
        <f>'GİRDİ RAPORU'!A938</f>
        <v>0</v>
      </c>
      <c r="B839" s="18">
        <f>'GİRDİ RAPORU'!B938</f>
        <v>0</v>
      </c>
      <c r="C839" s="18">
        <f>'GİRDİ RAPORU'!C938</f>
        <v>0</v>
      </c>
      <c r="D839" s="18">
        <f>'GİRDİ RAPORU'!D938</f>
        <v>0</v>
      </c>
      <c r="E839" s="18">
        <f>'GİRDİ RAPORU'!E938</f>
        <v>0</v>
      </c>
      <c r="F839" s="18">
        <f>'GİRDİ RAPORU'!F938</f>
        <v>0</v>
      </c>
      <c r="G839" s="18">
        <f>'GİRDİ RAPORU'!G938</f>
        <v>0</v>
      </c>
      <c r="H839" s="18">
        <f>'GİRDİ RAPORU'!H938</f>
        <v>0</v>
      </c>
      <c r="I839" s="18">
        <f>'GİRDİ RAPORU'!I938</f>
        <v>0</v>
      </c>
      <c r="J839" s="18">
        <f>'GİRDİ RAPORU'!J938</f>
        <v>0</v>
      </c>
      <c r="K839" s="18">
        <f>'GİRDİ RAPORU'!K938</f>
        <v>0</v>
      </c>
      <c r="L839" s="18">
        <f>'GİRDİ RAPORU'!L938</f>
        <v>0</v>
      </c>
      <c r="M839" s="26">
        <f t="shared" si="39"/>
        <v>0</v>
      </c>
      <c r="N839" s="26">
        <f t="shared" si="40"/>
        <v>0</v>
      </c>
      <c r="O839" s="26">
        <f t="shared" si="41"/>
        <v>1</v>
      </c>
    </row>
    <row r="840" spans="1:15" ht="21.75" hidden="1" customHeight="1">
      <c r="A840" s="17">
        <f>'GİRDİ RAPORU'!A939</f>
        <v>0</v>
      </c>
      <c r="B840" s="18">
        <f>'GİRDİ RAPORU'!B939</f>
        <v>0</v>
      </c>
      <c r="C840" s="18">
        <f>'GİRDİ RAPORU'!C939</f>
        <v>0</v>
      </c>
      <c r="D840" s="18">
        <f>'GİRDİ RAPORU'!D939</f>
        <v>0</v>
      </c>
      <c r="E840" s="18">
        <f>'GİRDİ RAPORU'!E939</f>
        <v>0</v>
      </c>
      <c r="F840" s="18">
        <f>'GİRDİ RAPORU'!F939</f>
        <v>0</v>
      </c>
      <c r="G840" s="18">
        <f>'GİRDİ RAPORU'!G939</f>
        <v>0</v>
      </c>
      <c r="H840" s="18">
        <f>'GİRDİ RAPORU'!H939</f>
        <v>0</v>
      </c>
      <c r="I840" s="18">
        <f>'GİRDİ RAPORU'!I939</f>
        <v>0</v>
      </c>
      <c r="J840" s="18">
        <f>'GİRDİ RAPORU'!J939</f>
        <v>0</v>
      </c>
      <c r="K840" s="18">
        <f>'GİRDİ RAPORU'!K939</f>
        <v>0</v>
      </c>
      <c r="L840" s="18">
        <f>'GİRDİ RAPORU'!L939</f>
        <v>0</v>
      </c>
      <c r="M840" s="26">
        <f t="shared" si="39"/>
        <v>0</v>
      </c>
      <c r="N840" s="26">
        <f t="shared" si="40"/>
        <v>0</v>
      </c>
      <c r="O840" s="26">
        <f t="shared" si="41"/>
        <v>1</v>
      </c>
    </row>
    <row r="841" spans="1:15" ht="21.75" hidden="1" customHeight="1">
      <c r="A841" s="17">
        <f>'GİRDİ RAPORU'!A940</f>
        <v>0</v>
      </c>
      <c r="B841" s="18">
        <f>'GİRDİ RAPORU'!B940</f>
        <v>0</v>
      </c>
      <c r="C841" s="18">
        <f>'GİRDİ RAPORU'!C940</f>
        <v>0</v>
      </c>
      <c r="D841" s="18">
        <f>'GİRDİ RAPORU'!D940</f>
        <v>0</v>
      </c>
      <c r="E841" s="18">
        <f>'GİRDİ RAPORU'!E940</f>
        <v>0</v>
      </c>
      <c r="F841" s="18">
        <f>'GİRDİ RAPORU'!F940</f>
        <v>0</v>
      </c>
      <c r="G841" s="18">
        <f>'GİRDİ RAPORU'!G940</f>
        <v>0</v>
      </c>
      <c r="H841" s="18">
        <f>'GİRDİ RAPORU'!H940</f>
        <v>0</v>
      </c>
      <c r="I841" s="18">
        <f>'GİRDİ RAPORU'!I940</f>
        <v>0</v>
      </c>
      <c r="J841" s="18">
        <f>'GİRDİ RAPORU'!J940</f>
        <v>0</v>
      </c>
      <c r="K841" s="18">
        <f>'GİRDİ RAPORU'!K940</f>
        <v>0</v>
      </c>
      <c r="L841" s="18">
        <f>'GİRDİ RAPORU'!L940</f>
        <v>0</v>
      </c>
      <c r="M841" s="26">
        <f t="shared" si="39"/>
        <v>0</v>
      </c>
      <c r="N841" s="26">
        <f t="shared" si="40"/>
        <v>0</v>
      </c>
      <c r="O841" s="26">
        <f t="shared" si="41"/>
        <v>1</v>
      </c>
    </row>
    <row r="842" spans="1:15" ht="21.75" hidden="1" customHeight="1">
      <c r="A842" s="17">
        <f>'GİRDİ RAPORU'!A941</f>
        <v>0</v>
      </c>
      <c r="B842" s="18">
        <f>'GİRDİ RAPORU'!B941</f>
        <v>0</v>
      </c>
      <c r="C842" s="18">
        <f>'GİRDİ RAPORU'!C941</f>
        <v>0</v>
      </c>
      <c r="D842" s="18">
        <f>'GİRDİ RAPORU'!D941</f>
        <v>0</v>
      </c>
      <c r="E842" s="18">
        <f>'GİRDİ RAPORU'!E941</f>
        <v>0</v>
      </c>
      <c r="F842" s="18">
        <f>'GİRDİ RAPORU'!F941</f>
        <v>0</v>
      </c>
      <c r="G842" s="18">
        <f>'GİRDİ RAPORU'!G941</f>
        <v>0</v>
      </c>
      <c r="H842" s="18">
        <f>'GİRDİ RAPORU'!H941</f>
        <v>0</v>
      </c>
      <c r="I842" s="18">
        <f>'GİRDİ RAPORU'!I941</f>
        <v>0</v>
      </c>
      <c r="J842" s="18">
        <f>'GİRDİ RAPORU'!J941</f>
        <v>0</v>
      </c>
      <c r="K842" s="18">
        <f>'GİRDİ RAPORU'!K941</f>
        <v>0</v>
      </c>
      <c r="L842" s="18">
        <f>'GİRDİ RAPORU'!L941</f>
        <v>0</v>
      </c>
      <c r="M842" s="26">
        <f t="shared" si="39"/>
        <v>0</v>
      </c>
      <c r="N842" s="26">
        <f t="shared" si="40"/>
        <v>0</v>
      </c>
      <c r="O842" s="26">
        <f t="shared" si="41"/>
        <v>1</v>
      </c>
    </row>
    <row r="843" spans="1:15" ht="21.75" hidden="1" customHeight="1">
      <c r="A843" s="17">
        <f>'GİRDİ RAPORU'!A942</f>
        <v>0</v>
      </c>
      <c r="B843" s="18">
        <f>'GİRDİ RAPORU'!B942</f>
        <v>0</v>
      </c>
      <c r="C843" s="18">
        <f>'GİRDİ RAPORU'!C942</f>
        <v>0</v>
      </c>
      <c r="D843" s="18">
        <f>'GİRDİ RAPORU'!D942</f>
        <v>0</v>
      </c>
      <c r="E843" s="18">
        <f>'GİRDİ RAPORU'!E942</f>
        <v>0</v>
      </c>
      <c r="F843" s="18">
        <f>'GİRDİ RAPORU'!F942</f>
        <v>0</v>
      </c>
      <c r="G843" s="18">
        <f>'GİRDİ RAPORU'!G942</f>
        <v>0</v>
      </c>
      <c r="H843" s="18">
        <f>'GİRDİ RAPORU'!H942</f>
        <v>0</v>
      </c>
      <c r="I843" s="18">
        <f>'GİRDİ RAPORU'!I942</f>
        <v>0</v>
      </c>
      <c r="J843" s="18">
        <f>'GİRDİ RAPORU'!J942</f>
        <v>0</v>
      </c>
      <c r="K843" s="18">
        <f>'GİRDİ RAPORU'!K942</f>
        <v>0</v>
      </c>
      <c r="L843" s="18">
        <f>'GİRDİ RAPORU'!L942</f>
        <v>0</v>
      </c>
      <c r="M843" s="26">
        <f t="shared" si="39"/>
        <v>0</v>
      </c>
      <c r="N843" s="26">
        <f t="shared" si="40"/>
        <v>0</v>
      </c>
      <c r="O843" s="26">
        <f t="shared" si="41"/>
        <v>1</v>
      </c>
    </row>
    <row r="844" spans="1:15" ht="21.75" hidden="1" customHeight="1">
      <c r="A844" s="17">
        <f>'GİRDİ RAPORU'!A943</f>
        <v>0</v>
      </c>
      <c r="B844" s="18">
        <f>'GİRDİ RAPORU'!B943</f>
        <v>0</v>
      </c>
      <c r="C844" s="18">
        <f>'GİRDİ RAPORU'!C943</f>
        <v>0</v>
      </c>
      <c r="D844" s="18">
        <f>'GİRDİ RAPORU'!D943</f>
        <v>0</v>
      </c>
      <c r="E844" s="18">
        <f>'GİRDİ RAPORU'!E943</f>
        <v>0</v>
      </c>
      <c r="F844" s="18">
        <f>'GİRDİ RAPORU'!F943</f>
        <v>0</v>
      </c>
      <c r="G844" s="18">
        <f>'GİRDİ RAPORU'!G943</f>
        <v>0</v>
      </c>
      <c r="H844" s="18">
        <f>'GİRDİ RAPORU'!H943</f>
        <v>0</v>
      </c>
      <c r="I844" s="18">
        <f>'GİRDİ RAPORU'!I943</f>
        <v>0</v>
      </c>
      <c r="J844" s="18">
        <f>'GİRDİ RAPORU'!J943</f>
        <v>0</v>
      </c>
      <c r="K844" s="18">
        <f>'GİRDİ RAPORU'!K943</f>
        <v>0</v>
      </c>
      <c r="L844" s="18">
        <f>'GİRDİ RAPORU'!L943</f>
        <v>0</v>
      </c>
      <c r="M844" s="26">
        <f t="shared" si="39"/>
        <v>0</v>
      </c>
      <c r="N844" s="26">
        <f t="shared" si="40"/>
        <v>0</v>
      </c>
      <c r="O844" s="26">
        <f t="shared" si="41"/>
        <v>1</v>
      </c>
    </row>
    <row r="845" spans="1:15" ht="21.75" hidden="1" customHeight="1">
      <c r="A845" s="17">
        <f>'GİRDİ RAPORU'!A944</f>
        <v>0</v>
      </c>
      <c r="B845" s="18">
        <f>'GİRDİ RAPORU'!B944</f>
        <v>0</v>
      </c>
      <c r="C845" s="18">
        <f>'GİRDİ RAPORU'!C944</f>
        <v>0</v>
      </c>
      <c r="D845" s="18">
        <f>'GİRDİ RAPORU'!D944</f>
        <v>0</v>
      </c>
      <c r="E845" s="18">
        <f>'GİRDİ RAPORU'!E944</f>
        <v>0</v>
      </c>
      <c r="F845" s="18">
        <f>'GİRDİ RAPORU'!F944</f>
        <v>0</v>
      </c>
      <c r="G845" s="18">
        <f>'GİRDİ RAPORU'!G944</f>
        <v>0</v>
      </c>
      <c r="H845" s="18">
        <f>'GİRDİ RAPORU'!H944</f>
        <v>0</v>
      </c>
      <c r="I845" s="18">
        <f>'GİRDİ RAPORU'!I944</f>
        <v>0</v>
      </c>
      <c r="J845" s="18">
        <f>'GİRDİ RAPORU'!J944</f>
        <v>0</v>
      </c>
      <c r="K845" s="18">
        <f>'GİRDİ RAPORU'!K944</f>
        <v>0</v>
      </c>
      <c r="L845" s="18">
        <f>'GİRDİ RAPORU'!L944</f>
        <v>0</v>
      </c>
      <c r="M845" s="26">
        <f t="shared" si="39"/>
        <v>0</v>
      </c>
      <c r="N845" s="26">
        <f t="shared" si="40"/>
        <v>0</v>
      </c>
      <c r="O845" s="26">
        <f t="shared" si="41"/>
        <v>1</v>
      </c>
    </row>
    <row r="846" spans="1:15" ht="21.75" hidden="1" customHeight="1">
      <c r="A846" s="17">
        <f>'GİRDİ RAPORU'!A945</f>
        <v>0</v>
      </c>
      <c r="B846" s="18">
        <f>'GİRDİ RAPORU'!B945</f>
        <v>0</v>
      </c>
      <c r="C846" s="18">
        <f>'GİRDİ RAPORU'!C945</f>
        <v>0</v>
      </c>
      <c r="D846" s="18">
        <f>'GİRDİ RAPORU'!D945</f>
        <v>0</v>
      </c>
      <c r="E846" s="18">
        <f>'GİRDİ RAPORU'!E945</f>
        <v>0</v>
      </c>
      <c r="F846" s="18">
        <f>'GİRDİ RAPORU'!F945</f>
        <v>0</v>
      </c>
      <c r="G846" s="18">
        <f>'GİRDİ RAPORU'!G945</f>
        <v>0</v>
      </c>
      <c r="H846" s="18">
        <f>'GİRDİ RAPORU'!H945</f>
        <v>0</v>
      </c>
      <c r="I846" s="18">
        <f>'GİRDİ RAPORU'!I945</f>
        <v>0</v>
      </c>
      <c r="J846" s="18">
        <f>'GİRDİ RAPORU'!J945</f>
        <v>0</v>
      </c>
      <c r="K846" s="18">
        <f>'GİRDİ RAPORU'!K945</f>
        <v>0</v>
      </c>
      <c r="L846" s="18">
        <f>'GİRDİ RAPORU'!L945</f>
        <v>0</v>
      </c>
      <c r="M846" s="26">
        <f t="shared" si="39"/>
        <v>0</v>
      </c>
      <c r="N846" s="26">
        <f t="shared" si="40"/>
        <v>0</v>
      </c>
      <c r="O846" s="26">
        <f t="shared" si="41"/>
        <v>1</v>
      </c>
    </row>
    <row r="847" spans="1:15" ht="21.75" hidden="1" customHeight="1">
      <c r="A847" s="17">
        <f>'GİRDİ RAPORU'!A946</f>
        <v>0</v>
      </c>
      <c r="B847" s="18">
        <f>'GİRDİ RAPORU'!B946</f>
        <v>0</v>
      </c>
      <c r="C847" s="18">
        <f>'GİRDİ RAPORU'!C946</f>
        <v>0</v>
      </c>
      <c r="D847" s="18">
        <f>'GİRDİ RAPORU'!D946</f>
        <v>0</v>
      </c>
      <c r="E847" s="18">
        <f>'GİRDİ RAPORU'!E946</f>
        <v>0</v>
      </c>
      <c r="F847" s="18">
        <f>'GİRDİ RAPORU'!F946</f>
        <v>0</v>
      </c>
      <c r="G847" s="18">
        <f>'GİRDİ RAPORU'!G946</f>
        <v>0</v>
      </c>
      <c r="H847" s="18">
        <f>'GİRDİ RAPORU'!H946</f>
        <v>0</v>
      </c>
      <c r="I847" s="18">
        <f>'GİRDİ RAPORU'!I946</f>
        <v>0</v>
      </c>
      <c r="J847" s="18">
        <f>'GİRDİ RAPORU'!J946</f>
        <v>0</v>
      </c>
      <c r="K847" s="18">
        <f>'GİRDİ RAPORU'!K946</f>
        <v>0</v>
      </c>
      <c r="L847" s="18">
        <f>'GİRDİ RAPORU'!L946</f>
        <v>0</v>
      </c>
      <c r="M847" s="26">
        <f t="shared" si="39"/>
        <v>0</v>
      </c>
      <c r="N847" s="26">
        <f t="shared" si="40"/>
        <v>0</v>
      </c>
      <c r="O847" s="26">
        <f t="shared" si="41"/>
        <v>1</v>
      </c>
    </row>
    <row r="848" spans="1:15" ht="21.75" hidden="1" customHeight="1">
      <c r="A848" s="17">
        <f>'GİRDİ RAPORU'!A947</f>
        <v>0</v>
      </c>
      <c r="B848" s="18">
        <f>'GİRDİ RAPORU'!B947</f>
        <v>0</v>
      </c>
      <c r="C848" s="18">
        <f>'GİRDİ RAPORU'!C947</f>
        <v>0</v>
      </c>
      <c r="D848" s="18">
        <f>'GİRDİ RAPORU'!D947</f>
        <v>0</v>
      </c>
      <c r="E848" s="18">
        <f>'GİRDİ RAPORU'!E947</f>
        <v>0</v>
      </c>
      <c r="F848" s="18">
        <f>'GİRDİ RAPORU'!F947</f>
        <v>0</v>
      </c>
      <c r="G848" s="18">
        <f>'GİRDİ RAPORU'!G947</f>
        <v>0</v>
      </c>
      <c r="H848" s="18">
        <f>'GİRDİ RAPORU'!H947</f>
        <v>0</v>
      </c>
      <c r="I848" s="18">
        <f>'GİRDİ RAPORU'!I947</f>
        <v>0</v>
      </c>
      <c r="J848" s="18">
        <f>'GİRDİ RAPORU'!J947</f>
        <v>0</v>
      </c>
      <c r="K848" s="18">
        <f>'GİRDİ RAPORU'!K947</f>
        <v>0</v>
      </c>
      <c r="L848" s="18">
        <f>'GİRDİ RAPORU'!L947</f>
        <v>0</v>
      </c>
      <c r="M848" s="26">
        <f t="shared" si="39"/>
        <v>0</v>
      </c>
      <c r="N848" s="26">
        <f t="shared" si="40"/>
        <v>0</v>
      </c>
      <c r="O848" s="26">
        <f t="shared" si="41"/>
        <v>1</v>
      </c>
    </row>
    <row r="849" spans="1:15" ht="21.75" hidden="1" customHeight="1">
      <c r="A849" s="17">
        <f>'GİRDİ RAPORU'!A948</f>
        <v>0</v>
      </c>
      <c r="B849" s="18">
        <f>'GİRDİ RAPORU'!B948</f>
        <v>0</v>
      </c>
      <c r="C849" s="18">
        <f>'GİRDİ RAPORU'!C948</f>
        <v>0</v>
      </c>
      <c r="D849" s="18">
        <f>'GİRDİ RAPORU'!D948</f>
        <v>0</v>
      </c>
      <c r="E849" s="18">
        <f>'GİRDİ RAPORU'!E948</f>
        <v>0</v>
      </c>
      <c r="F849" s="18">
        <f>'GİRDİ RAPORU'!F948</f>
        <v>0</v>
      </c>
      <c r="G849" s="18">
        <f>'GİRDİ RAPORU'!G948</f>
        <v>0</v>
      </c>
      <c r="H849" s="18">
        <f>'GİRDİ RAPORU'!H948</f>
        <v>0</v>
      </c>
      <c r="I849" s="18">
        <f>'GİRDİ RAPORU'!I948</f>
        <v>0</v>
      </c>
      <c r="J849" s="18">
        <f>'GİRDİ RAPORU'!J948</f>
        <v>0</v>
      </c>
      <c r="K849" s="18">
        <f>'GİRDİ RAPORU'!K948</f>
        <v>0</v>
      </c>
      <c r="L849" s="18">
        <f>'GİRDİ RAPORU'!L948</f>
        <v>0</v>
      </c>
      <c r="M849" s="26">
        <f t="shared" si="39"/>
        <v>0</v>
      </c>
      <c r="N849" s="26">
        <f t="shared" si="40"/>
        <v>0</v>
      </c>
      <c r="O849" s="26">
        <f t="shared" si="41"/>
        <v>1</v>
      </c>
    </row>
    <row r="850" spans="1:15" ht="21.75" hidden="1" customHeight="1">
      <c r="A850" s="17">
        <f>'GİRDİ RAPORU'!A949</f>
        <v>0</v>
      </c>
      <c r="B850" s="18">
        <f>'GİRDİ RAPORU'!B949</f>
        <v>0</v>
      </c>
      <c r="C850" s="18">
        <f>'GİRDİ RAPORU'!C949</f>
        <v>0</v>
      </c>
      <c r="D850" s="18">
        <f>'GİRDİ RAPORU'!D949</f>
        <v>0</v>
      </c>
      <c r="E850" s="18">
        <f>'GİRDİ RAPORU'!E949</f>
        <v>0</v>
      </c>
      <c r="F850" s="18">
        <f>'GİRDİ RAPORU'!F949</f>
        <v>0</v>
      </c>
      <c r="G850" s="18">
        <f>'GİRDİ RAPORU'!G949</f>
        <v>0</v>
      </c>
      <c r="H850" s="18">
        <f>'GİRDİ RAPORU'!H949</f>
        <v>0</v>
      </c>
      <c r="I850" s="18">
        <f>'GİRDİ RAPORU'!I949</f>
        <v>0</v>
      </c>
      <c r="J850" s="18">
        <f>'GİRDİ RAPORU'!J949</f>
        <v>0</v>
      </c>
      <c r="K850" s="18">
        <f>'GİRDİ RAPORU'!K949</f>
        <v>0</v>
      </c>
      <c r="L850" s="18">
        <f>'GİRDİ RAPORU'!L949</f>
        <v>0</v>
      </c>
      <c r="M850" s="26">
        <f t="shared" si="39"/>
        <v>0</v>
      </c>
      <c r="N850" s="26">
        <f t="shared" si="40"/>
        <v>0</v>
      </c>
      <c r="O850" s="26">
        <f t="shared" si="41"/>
        <v>1</v>
      </c>
    </row>
    <row r="851" spans="1:15" ht="21.75" hidden="1" customHeight="1">
      <c r="A851" s="17">
        <f>'GİRDİ RAPORU'!A950</f>
        <v>0</v>
      </c>
      <c r="B851" s="18">
        <f>'GİRDİ RAPORU'!B950</f>
        <v>0</v>
      </c>
      <c r="C851" s="18">
        <f>'GİRDİ RAPORU'!C950</f>
        <v>0</v>
      </c>
      <c r="D851" s="18">
        <f>'GİRDİ RAPORU'!D950</f>
        <v>0</v>
      </c>
      <c r="E851" s="18">
        <f>'GİRDİ RAPORU'!E950</f>
        <v>0</v>
      </c>
      <c r="F851" s="18">
        <f>'GİRDİ RAPORU'!F950</f>
        <v>0</v>
      </c>
      <c r="G851" s="18">
        <f>'GİRDİ RAPORU'!G950</f>
        <v>0</v>
      </c>
      <c r="H851" s="18">
        <f>'GİRDİ RAPORU'!H950</f>
        <v>0</v>
      </c>
      <c r="I851" s="18">
        <f>'GİRDİ RAPORU'!I950</f>
        <v>0</v>
      </c>
      <c r="J851" s="18">
        <f>'GİRDİ RAPORU'!J950</f>
        <v>0</v>
      </c>
      <c r="K851" s="18">
        <f>'GİRDİ RAPORU'!K950</f>
        <v>0</v>
      </c>
      <c r="L851" s="18">
        <f>'GİRDİ RAPORU'!L950</f>
        <v>0</v>
      </c>
      <c r="M851" s="26">
        <f t="shared" si="39"/>
        <v>0</v>
      </c>
      <c r="N851" s="26">
        <f t="shared" si="40"/>
        <v>0</v>
      </c>
      <c r="O851" s="26">
        <f t="shared" si="41"/>
        <v>1</v>
      </c>
    </row>
    <row r="852" spans="1:15" ht="21.75" hidden="1" customHeight="1">
      <c r="A852" s="17">
        <f>'GİRDİ RAPORU'!A951</f>
        <v>0</v>
      </c>
      <c r="B852" s="18">
        <f>'GİRDİ RAPORU'!B951</f>
        <v>0</v>
      </c>
      <c r="C852" s="18">
        <f>'GİRDİ RAPORU'!C951</f>
        <v>0</v>
      </c>
      <c r="D852" s="18">
        <f>'GİRDİ RAPORU'!D951</f>
        <v>0</v>
      </c>
      <c r="E852" s="18">
        <f>'GİRDİ RAPORU'!E951</f>
        <v>0</v>
      </c>
      <c r="F852" s="18">
        <f>'GİRDİ RAPORU'!F951</f>
        <v>0</v>
      </c>
      <c r="G852" s="18">
        <f>'GİRDİ RAPORU'!G951</f>
        <v>0</v>
      </c>
      <c r="H852" s="18">
        <f>'GİRDİ RAPORU'!H951</f>
        <v>0</v>
      </c>
      <c r="I852" s="18">
        <f>'GİRDİ RAPORU'!I951</f>
        <v>0</v>
      </c>
      <c r="J852" s="18">
        <f>'GİRDİ RAPORU'!J951</f>
        <v>0</v>
      </c>
      <c r="K852" s="18">
        <f>'GİRDİ RAPORU'!K951</f>
        <v>0</v>
      </c>
      <c r="L852" s="18">
        <f>'GİRDİ RAPORU'!L951</f>
        <v>0</v>
      </c>
      <c r="M852" s="26">
        <f t="shared" si="39"/>
        <v>0</v>
      </c>
      <c r="N852" s="26">
        <f t="shared" si="40"/>
        <v>0</v>
      </c>
      <c r="O852" s="26">
        <f t="shared" si="41"/>
        <v>1</v>
      </c>
    </row>
    <row r="853" spans="1:15" ht="21.75" hidden="1" customHeight="1">
      <c r="A853" s="17">
        <f>'GİRDİ RAPORU'!A952</f>
        <v>0</v>
      </c>
      <c r="B853" s="18">
        <f>'GİRDİ RAPORU'!B952</f>
        <v>0</v>
      </c>
      <c r="C853" s="18">
        <f>'GİRDİ RAPORU'!C952</f>
        <v>0</v>
      </c>
      <c r="D853" s="18">
        <f>'GİRDİ RAPORU'!D952</f>
        <v>0</v>
      </c>
      <c r="E853" s="18">
        <f>'GİRDİ RAPORU'!E952</f>
        <v>0</v>
      </c>
      <c r="F853" s="18">
        <f>'GİRDİ RAPORU'!F952</f>
        <v>0</v>
      </c>
      <c r="G853" s="18">
        <f>'GİRDİ RAPORU'!G952</f>
        <v>0</v>
      </c>
      <c r="H853" s="18">
        <f>'GİRDİ RAPORU'!H952</f>
        <v>0</v>
      </c>
      <c r="I853" s="18">
        <f>'GİRDİ RAPORU'!I952</f>
        <v>0</v>
      </c>
      <c r="J853" s="18">
        <f>'GİRDİ RAPORU'!J952</f>
        <v>0</v>
      </c>
      <c r="K853" s="18">
        <f>'GİRDİ RAPORU'!K952</f>
        <v>0</v>
      </c>
      <c r="L853" s="18">
        <f>'GİRDİ RAPORU'!L952</f>
        <v>0</v>
      </c>
      <c r="M853" s="26">
        <f t="shared" si="39"/>
        <v>0</v>
      </c>
      <c r="N853" s="26">
        <f t="shared" si="40"/>
        <v>0</v>
      </c>
      <c r="O853" s="26">
        <f t="shared" si="41"/>
        <v>1</v>
      </c>
    </row>
    <row r="854" spans="1:15" ht="21.75" hidden="1" customHeight="1">
      <c r="A854" s="17">
        <f>'GİRDİ RAPORU'!A953</f>
        <v>0</v>
      </c>
      <c r="B854" s="18">
        <f>'GİRDİ RAPORU'!B953</f>
        <v>0</v>
      </c>
      <c r="C854" s="18">
        <f>'GİRDİ RAPORU'!C953</f>
        <v>0</v>
      </c>
      <c r="D854" s="18">
        <f>'GİRDİ RAPORU'!D953</f>
        <v>0</v>
      </c>
      <c r="E854" s="18">
        <f>'GİRDİ RAPORU'!E953</f>
        <v>0</v>
      </c>
      <c r="F854" s="18">
        <f>'GİRDİ RAPORU'!F953</f>
        <v>0</v>
      </c>
      <c r="G854" s="18">
        <f>'GİRDİ RAPORU'!G953</f>
        <v>0</v>
      </c>
      <c r="H854" s="18">
        <f>'GİRDİ RAPORU'!H953</f>
        <v>0</v>
      </c>
      <c r="I854" s="18">
        <f>'GİRDİ RAPORU'!I953</f>
        <v>0</v>
      </c>
      <c r="J854" s="18">
        <f>'GİRDİ RAPORU'!J953</f>
        <v>0</v>
      </c>
      <c r="K854" s="18">
        <f>'GİRDİ RAPORU'!K953</f>
        <v>0</v>
      </c>
      <c r="L854" s="18">
        <f>'GİRDİ RAPORU'!L953</f>
        <v>0</v>
      </c>
      <c r="M854" s="26">
        <f t="shared" si="39"/>
        <v>0</v>
      </c>
      <c r="N854" s="26">
        <f t="shared" si="40"/>
        <v>0</v>
      </c>
      <c r="O854" s="26">
        <f t="shared" si="41"/>
        <v>1</v>
      </c>
    </row>
    <row r="855" spans="1:15" ht="21.75" hidden="1" customHeight="1">
      <c r="A855" s="17">
        <f>'GİRDİ RAPORU'!A954</f>
        <v>0</v>
      </c>
      <c r="B855" s="18">
        <f>'GİRDİ RAPORU'!B954</f>
        <v>0</v>
      </c>
      <c r="C855" s="18">
        <f>'GİRDİ RAPORU'!C954</f>
        <v>0</v>
      </c>
      <c r="D855" s="18">
        <f>'GİRDİ RAPORU'!D954</f>
        <v>0</v>
      </c>
      <c r="E855" s="18">
        <f>'GİRDİ RAPORU'!E954</f>
        <v>0</v>
      </c>
      <c r="F855" s="18">
        <f>'GİRDİ RAPORU'!F954</f>
        <v>0</v>
      </c>
      <c r="G855" s="18">
        <f>'GİRDİ RAPORU'!G954</f>
        <v>0</v>
      </c>
      <c r="H855" s="18">
        <f>'GİRDİ RAPORU'!H954</f>
        <v>0</v>
      </c>
      <c r="I855" s="18">
        <f>'GİRDİ RAPORU'!I954</f>
        <v>0</v>
      </c>
      <c r="J855" s="18">
        <f>'GİRDİ RAPORU'!J954</f>
        <v>0</v>
      </c>
      <c r="K855" s="18">
        <f>'GİRDİ RAPORU'!K954</f>
        <v>0</v>
      </c>
      <c r="L855" s="18">
        <f>'GİRDİ RAPORU'!L954</f>
        <v>0</v>
      </c>
      <c r="M855" s="26">
        <f t="shared" si="39"/>
        <v>0</v>
      </c>
      <c r="N855" s="26">
        <f t="shared" si="40"/>
        <v>0</v>
      </c>
      <c r="O855" s="26">
        <f t="shared" si="41"/>
        <v>1</v>
      </c>
    </row>
    <row r="856" spans="1:15" ht="21.75" hidden="1" customHeight="1">
      <c r="A856" s="17">
        <f>'GİRDİ RAPORU'!A955</f>
        <v>0</v>
      </c>
      <c r="B856" s="18">
        <f>'GİRDİ RAPORU'!B955</f>
        <v>0</v>
      </c>
      <c r="C856" s="18">
        <f>'GİRDİ RAPORU'!C955</f>
        <v>0</v>
      </c>
      <c r="D856" s="18">
        <f>'GİRDİ RAPORU'!D955</f>
        <v>0</v>
      </c>
      <c r="E856" s="18">
        <f>'GİRDİ RAPORU'!E955</f>
        <v>0</v>
      </c>
      <c r="F856" s="18">
        <f>'GİRDİ RAPORU'!F955</f>
        <v>0</v>
      </c>
      <c r="G856" s="18">
        <f>'GİRDİ RAPORU'!G955</f>
        <v>0</v>
      </c>
      <c r="H856" s="18">
        <f>'GİRDİ RAPORU'!H955</f>
        <v>0</v>
      </c>
      <c r="I856" s="18">
        <f>'GİRDİ RAPORU'!I955</f>
        <v>0</v>
      </c>
      <c r="J856" s="18">
        <f>'GİRDİ RAPORU'!J955</f>
        <v>0</v>
      </c>
      <c r="K856" s="18">
        <f>'GİRDİ RAPORU'!K955</f>
        <v>0</v>
      </c>
      <c r="L856" s="18">
        <f>'GİRDİ RAPORU'!L955</f>
        <v>0</v>
      </c>
      <c r="M856" s="26">
        <f t="shared" si="39"/>
        <v>0</v>
      </c>
      <c r="N856" s="26">
        <f t="shared" si="40"/>
        <v>0</v>
      </c>
      <c r="O856" s="26">
        <f t="shared" si="41"/>
        <v>1</v>
      </c>
    </row>
    <row r="857" spans="1:15" ht="21.75" hidden="1" customHeight="1">
      <c r="A857" s="17">
        <f>'GİRDİ RAPORU'!A956</f>
        <v>0</v>
      </c>
      <c r="B857" s="18">
        <f>'GİRDİ RAPORU'!B956</f>
        <v>0</v>
      </c>
      <c r="C857" s="18">
        <f>'GİRDİ RAPORU'!C956</f>
        <v>0</v>
      </c>
      <c r="D857" s="18">
        <f>'GİRDİ RAPORU'!D956</f>
        <v>0</v>
      </c>
      <c r="E857" s="18">
        <f>'GİRDİ RAPORU'!E956</f>
        <v>0</v>
      </c>
      <c r="F857" s="18">
        <f>'GİRDİ RAPORU'!F956</f>
        <v>0</v>
      </c>
      <c r="G857" s="18">
        <f>'GİRDİ RAPORU'!G956</f>
        <v>0</v>
      </c>
      <c r="H857" s="18">
        <f>'GİRDİ RAPORU'!H956</f>
        <v>0</v>
      </c>
      <c r="I857" s="18">
        <f>'GİRDİ RAPORU'!I956</f>
        <v>0</v>
      </c>
      <c r="J857" s="18">
        <f>'GİRDİ RAPORU'!J956</f>
        <v>0</v>
      </c>
      <c r="K857" s="18">
        <f>'GİRDİ RAPORU'!K956</f>
        <v>0</v>
      </c>
      <c r="L857" s="18">
        <f>'GİRDİ RAPORU'!L956</f>
        <v>0</v>
      </c>
      <c r="M857" s="26">
        <f t="shared" si="39"/>
        <v>0</v>
      </c>
      <c r="N857" s="26">
        <f t="shared" si="40"/>
        <v>0</v>
      </c>
      <c r="O857" s="26">
        <f t="shared" si="41"/>
        <v>1</v>
      </c>
    </row>
    <row r="858" spans="1:15" ht="21.75" hidden="1" customHeight="1">
      <c r="A858" s="17">
        <f>'GİRDİ RAPORU'!A957</f>
        <v>0</v>
      </c>
      <c r="B858" s="18">
        <f>'GİRDİ RAPORU'!B957</f>
        <v>0</v>
      </c>
      <c r="C858" s="18">
        <f>'GİRDİ RAPORU'!C957</f>
        <v>0</v>
      </c>
      <c r="D858" s="18">
        <f>'GİRDİ RAPORU'!D957</f>
        <v>0</v>
      </c>
      <c r="E858" s="18">
        <f>'GİRDİ RAPORU'!E957</f>
        <v>0</v>
      </c>
      <c r="F858" s="18">
        <f>'GİRDİ RAPORU'!F957</f>
        <v>0</v>
      </c>
      <c r="G858" s="18">
        <f>'GİRDİ RAPORU'!G957</f>
        <v>0</v>
      </c>
      <c r="H858" s="18">
        <f>'GİRDİ RAPORU'!H957</f>
        <v>0</v>
      </c>
      <c r="I858" s="18">
        <f>'GİRDİ RAPORU'!I957</f>
        <v>0</v>
      </c>
      <c r="J858" s="18">
        <f>'GİRDİ RAPORU'!J957</f>
        <v>0</v>
      </c>
      <c r="K858" s="18">
        <f>'GİRDİ RAPORU'!K957</f>
        <v>0</v>
      </c>
      <c r="L858" s="18">
        <f>'GİRDİ RAPORU'!L957</f>
        <v>0</v>
      </c>
      <c r="M858" s="26">
        <f t="shared" si="39"/>
        <v>0</v>
      </c>
      <c r="N858" s="26">
        <f t="shared" si="40"/>
        <v>0</v>
      </c>
      <c r="O858" s="26">
        <f t="shared" si="41"/>
        <v>1</v>
      </c>
    </row>
    <row r="859" spans="1:15" ht="21.75" hidden="1" customHeight="1">
      <c r="A859" s="17">
        <f>'GİRDİ RAPORU'!A958</f>
        <v>0</v>
      </c>
      <c r="B859" s="18">
        <f>'GİRDİ RAPORU'!B958</f>
        <v>0</v>
      </c>
      <c r="C859" s="18">
        <f>'GİRDİ RAPORU'!C958</f>
        <v>0</v>
      </c>
      <c r="D859" s="18">
        <f>'GİRDİ RAPORU'!D958</f>
        <v>0</v>
      </c>
      <c r="E859" s="18">
        <f>'GİRDİ RAPORU'!E958</f>
        <v>0</v>
      </c>
      <c r="F859" s="18">
        <f>'GİRDİ RAPORU'!F958</f>
        <v>0</v>
      </c>
      <c r="G859" s="18">
        <f>'GİRDİ RAPORU'!G958</f>
        <v>0</v>
      </c>
      <c r="H859" s="18">
        <f>'GİRDİ RAPORU'!H958</f>
        <v>0</v>
      </c>
      <c r="I859" s="18">
        <f>'GİRDİ RAPORU'!I958</f>
        <v>0</v>
      </c>
      <c r="J859" s="18">
        <f>'GİRDİ RAPORU'!J958</f>
        <v>0</v>
      </c>
      <c r="K859" s="18">
        <f>'GİRDİ RAPORU'!K958</f>
        <v>0</v>
      </c>
      <c r="L859" s="18">
        <f>'GİRDİ RAPORU'!L958</f>
        <v>0</v>
      </c>
      <c r="M859" s="26">
        <f t="shared" si="39"/>
        <v>0</v>
      </c>
      <c r="N859" s="26">
        <f t="shared" si="40"/>
        <v>0</v>
      </c>
      <c r="O859" s="26">
        <f t="shared" si="41"/>
        <v>1</v>
      </c>
    </row>
    <row r="860" spans="1:15" ht="21.75" hidden="1" customHeight="1">
      <c r="A860" s="17">
        <f>'GİRDİ RAPORU'!A959</f>
        <v>0</v>
      </c>
      <c r="B860" s="18">
        <f>'GİRDİ RAPORU'!B959</f>
        <v>0</v>
      </c>
      <c r="C860" s="18">
        <f>'GİRDİ RAPORU'!C959</f>
        <v>0</v>
      </c>
      <c r="D860" s="18">
        <f>'GİRDİ RAPORU'!D959</f>
        <v>0</v>
      </c>
      <c r="E860" s="18">
        <f>'GİRDİ RAPORU'!E959</f>
        <v>0</v>
      </c>
      <c r="F860" s="18">
        <f>'GİRDİ RAPORU'!F959</f>
        <v>0</v>
      </c>
      <c r="G860" s="18">
        <f>'GİRDİ RAPORU'!G959</f>
        <v>0</v>
      </c>
      <c r="H860" s="18">
        <f>'GİRDİ RAPORU'!H959</f>
        <v>0</v>
      </c>
      <c r="I860" s="18">
        <f>'GİRDİ RAPORU'!I959</f>
        <v>0</v>
      </c>
      <c r="J860" s="18">
        <f>'GİRDİ RAPORU'!J959</f>
        <v>0</v>
      </c>
      <c r="K860" s="18">
        <f>'GİRDİ RAPORU'!K959</f>
        <v>0</v>
      </c>
      <c r="L860" s="18">
        <f>'GİRDİ RAPORU'!L959</f>
        <v>0</v>
      </c>
      <c r="M860" s="26">
        <f t="shared" si="39"/>
        <v>0</v>
      </c>
      <c r="N860" s="26">
        <f t="shared" si="40"/>
        <v>0</v>
      </c>
      <c r="O860" s="26">
        <f t="shared" si="41"/>
        <v>1</v>
      </c>
    </row>
    <row r="861" spans="1:15" ht="21.75" hidden="1" customHeight="1">
      <c r="A861" s="17">
        <f>'GİRDİ RAPORU'!A960</f>
        <v>0</v>
      </c>
      <c r="B861" s="18">
        <f>'GİRDİ RAPORU'!B960</f>
        <v>0</v>
      </c>
      <c r="C861" s="18">
        <f>'GİRDİ RAPORU'!C960</f>
        <v>0</v>
      </c>
      <c r="D861" s="18">
        <f>'GİRDİ RAPORU'!D960</f>
        <v>0</v>
      </c>
      <c r="E861" s="18">
        <f>'GİRDİ RAPORU'!E960</f>
        <v>0</v>
      </c>
      <c r="F861" s="18">
        <f>'GİRDİ RAPORU'!F960</f>
        <v>0</v>
      </c>
      <c r="G861" s="18">
        <f>'GİRDİ RAPORU'!G960</f>
        <v>0</v>
      </c>
      <c r="H861" s="18">
        <f>'GİRDİ RAPORU'!H960</f>
        <v>0</v>
      </c>
      <c r="I861" s="18">
        <f>'GİRDİ RAPORU'!I960</f>
        <v>0</v>
      </c>
      <c r="J861" s="18">
        <f>'GİRDİ RAPORU'!J960</f>
        <v>0</v>
      </c>
      <c r="K861" s="18">
        <f>'GİRDİ RAPORU'!K960</f>
        <v>0</v>
      </c>
      <c r="L861" s="18">
        <f>'GİRDİ RAPORU'!L960</f>
        <v>0</v>
      </c>
      <c r="M861" s="26">
        <f t="shared" si="39"/>
        <v>0</v>
      </c>
      <c r="N861" s="26">
        <f t="shared" si="40"/>
        <v>0</v>
      </c>
      <c r="O861" s="26">
        <f t="shared" si="41"/>
        <v>1</v>
      </c>
    </row>
    <row r="862" spans="1:15" ht="21.75" hidden="1" customHeight="1">
      <c r="A862" s="17">
        <f>'GİRDİ RAPORU'!A961</f>
        <v>0</v>
      </c>
      <c r="B862" s="18">
        <f>'GİRDİ RAPORU'!B961</f>
        <v>0</v>
      </c>
      <c r="C862" s="18">
        <f>'GİRDİ RAPORU'!C961</f>
        <v>0</v>
      </c>
      <c r="D862" s="18">
        <f>'GİRDİ RAPORU'!D961</f>
        <v>0</v>
      </c>
      <c r="E862" s="18">
        <f>'GİRDİ RAPORU'!E961</f>
        <v>0</v>
      </c>
      <c r="F862" s="18">
        <f>'GİRDİ RAPORU'!F961</f>
        <v>0</v>
      </c>
      <c r="G862" s="18">
        <f>'GİRDİ RAPORU'!G961</f>
        <v>0</v>
      </c>
      <c r="H862" s="18">
        <f>'GİRDİ RAPORU'!H961</f>
        <v>0</v>
      </c>
      <c r="I862" s="18">
        <f>'GİRDİ RAPORU'!I961</f>
        <v>0</v>
      </c>
      <c r="J862" s="18">
        <f>'GİRDİ RAPORU'!J961</f>
        <v>0</v>
      </c>
      <c r="K862" s="18">
        <f>'GİRDİ RAPORU'!K961</f>
        <v>0</v>
      </c>
      <c r="L862" s="18">
        <f>'GİRDİ RAPORU'!L961</f>
        <v>0</v>
      </c>
      <c r="M862" s="26">
        <f t="shared" si="39"/>
        <v>0</v>
      </c>
      <c r="N862" s="26">
        <f t="shared" si="40"/>
        <v>0</v>
      </c>
      <c r="O862" s="26">
        <f t="shared" si="41"/>
        <v>1</v>
      </c>
    </row>
    <row r="863" spans="1:15" ht="21.75" hidden="1" customHeight="1">
      <c r="A863" s="17">
        <f>'GİRDİ RAPORU'!A962</f>
        <v>0</v>
      </c>
      <c r="B863" s="18">
        <f>'GİRDİ RAPORU'!B962</f>
        <v>0</v>
      </c>
      <c r="C863" s="18">
        <f>'GİRDİ RAPORU'!C962</f>
        <v>0</v>
      </c>
      <c r="D863" s="18">
        <f>'GİRDİ RAPORU'!D962</f>
        <v>0</v>
      </c>
      <c r="E863" s="18">
        <f>'GİRDİ RAPORU'!E962</f>
        <v>0</v>
      </c>
      <c r="F863" s="18">
        <f>'GİRDİ RAPORU'!F962</f>
        <v>0</v>
      </c>
      <c r="G863" s="18">
        <f>'GİRDİ RAPORU'!G962</f>
        <v>0</v>
      </c>
      <c r="H863" s="18">
        <f>'GİRDİ RAPORU'!H962</f>
        <v>0</v>
      </c>
      <c r="I863" s="18">
        <f>'GİRDİ RAPORU'!I962</f>
        <v>0</v>
      </c>
      <c r="J863" s="18">
        <f>'GİRDİ RAPORU'!J962</f>
        <v>0</v>
      </c>
      <c r="K863" s="18">
        <f>'GİRDİ RAPORU'!K962</f>
        <v>0</v>
      </c>
      <c r="L863" s="18">
        <f>'GİRDİ RAPORU'!L962</f>
        <v>0</v>
      </c>
      <c r="M863" s="26">
        <f t="shared" si="39"/>
        <v>0</v>
      </c>
      <c r="N863" s="26">
        <f t="shared" si="40"/>
        <v>0</v>
      </c>
      <c r="O863" s="26">
        <f t="shared" si="41"/>
        <v>1</v>
      </c>
    </row>
    <row r="864" spans="1:15" ht="21.75" hidden="1" customHeight="1">
      <c r="A864" s="17">
        <f>'GİRDİ RAPORU'!A963</f>
        <v>0</v>
      </c>
      <c r="B864" s="18">
        <f>'GİRDİ RAPORU'!B963</f>
        <v>0</v>
      </c>
      <c r="C864" s="18">
        <f>'GİRDİ RAPORU'!C963</f>
        <v>0</v>
      </c>
      <c r="D864" s="18">
        <f>'GİRDİ RAPORU'!D963</f>
        <v>0</v>
      </c>
      <c r="E864" s="18">
        <f>'GİRDİ RAPORU'!E963</f>
        <v>0</v>
      </c>
      <c r="F864" s="18">
        <f>'GİRDİ RAPORU'!F963</f>
        <v>0</v>
      </c>
      <c r="G864" s="18">
        <f>'GİRDİ RAPORU'!G963</f>
        <v>0</v>
      </c>
      <c r="H864" s="18">
        <f>'GİRDİ RAPORU'!H963</f>
        <v>0</v>
      </c>
      <c r="I864" s="18">
        <f>'GİRDİ RAPORU'!I963</f>
        <v>0</v>
      </c>
      <c r="J864" s="18">
        <f>'GİRDİ RAPORU'!J963</f>
        <v>0</v>
      </c>
      <c r="K864" s="18">
        <f>'GİRDİ RAPORU'!K963</f>
        <v>0</v>
      </c>
      <c r="L864" s="18">
        <f>'GİRDİ RAPORU'!L963</f>
        <v>0</v>
      </c>
      <c r="M864" s="26">
        <f t="shared" si="39"/>
        <v>0</v>
      </c>
      <c r="N864" s="26">
        <f t="shared" si="40"/>
        <v>0</v>
      </c>
      <c r="O864" s="26">
        <f t="shared" si="41"/>
        <v>1</v>
      </c>
    </row>
    <row r="865" spans="1:15" ht="21.75" hidden="1" customHeight="1">
      <c r="A865" s="17">
        <f>'GİRDİ RAPORU'!A964</f>
        <v>0</v>
      </c>
      <c r="B865" s="18">
        <f>'GİRDİ RAPORU'!B964</f>
        <v>0</v>
      </c>
      <c r="C865" s="18">
        <f>'GİRDİ RAPORU'!C964</f>
        <v>0</v>
      </c>
      <c r="D865" s="18">
        <f>'GİRDİ RAPORU'!D964</f>
        <v>0</v>
      </c>
      <c r="E865" s="18">
        <f>'GİRDİ RAPORU'!E964</f>
        <v>0</v>
      </c>
      <c r="F865" s="18">
        <f>'GİRDİ RAPORU'!F964</f>
        <v>0</v>
      </c>
      <c r="G865" s="18">
        <f>'GİRDİ RAPORU'!G964</f>
        <v>0</v>
      </c>
      <c r="H865" s="18">
        <f>'GİRDİ RAPORU'!H964</f>
        <v>0</v>
      </c>
      <c r="I865" s="18">
        <f>'GİRDİ RAPORU'!I964</f>
        <v>0</v>
      </c>
      <c r="J865" s="18">
        <f>'GİRDİ RAPORU'!J964</f>
        <v>0</v>
      </c>
      <c r="K865" s="18">
        <f>'GİRDİ RAPORU'!K964</f>
        <v>0</v>
      </c>
      <c r="L865" s="18">
        <f>'GİRDİ RAPORU'!L964</f>
        <v>0</v>
      </c>
      <c r="M865" s="26">
        <f t="shared" si="39"/>
        <v>0</v>
      </c>
      <c r="N865" s="26">
        <f t="shared" si="40"/>
        <v>0</v>
      </c>
      <c r="O865" s="26">
        <f t="shared" si="41"/>
        <v>1</v>
      </c>
    </row>
    <row r="866" spans="1:15" ht="21.75" hidden="1" customHeight="1">
      <c r="A866" s="17">
        <f>'GİRDİ RAPORU'!A965</f>
        <v>0</v>
      </c>
      <c r="B866" s="18">
        <f>'GİRDİ RAPORU'!B965</f>
        <v>0</v>
      </c>
      <c r="C866" s="18">
        <f>'GİRDİ RAPORU'!C965</f>
        <v>0</v>
      </c>
      <c r="D866" s="18">
        <f>'GİRDİ RAPORU'!D965</f>
        <v>0</v>
      </c>
      <c r="E866" s="18">
        <f>'GİRDİ RAPORU'!E965</f>
        <v>0</v>
      </c>
      <c r="F866" s="18">
        <f>'GİRDİ RAPORU'!F965</f>
        <v>0</v>
      </c>
      <c r="G866" s="18">
        <f>'GİRDİ RAPORU'!G965</f>
        <v>0</v>
      </c>
      <c r="H866" s="18">
        <f>'GİRDİ RAPORU'!H965</f>
        <v>0</v>
      </c>
      <c r="I866" s="18">
        <f>'GİRDİ RAPORU'!I965</f>
        <v>0</v>
      </c>
      <c r="J866" s="18">
        <f>'GİRDİ RAPORU'!J965</f>
        <v>0</v>
      </c>
      <c r="K866" s="18">
        <f>'GİRDİ RAPORU'!K965</f>
        <v>0</v>
      </c>
      <c r="L866" s="18">
        <f>'GİRDİ RAPORU'!L965</f>
        <v>0</v>
      </c>
      <c r="M866" s="26">
        <f t="shared" si="39"/>
        <v>0</v>
      </c>
      <c r="N866" s="26">
        <f t="shared" si="40"/>
        <v>0</v>
      </c>
      <c r="O866" s="26">
        <f t="shared" si="41"/>
        <v>1</v>
      </c>
    </row>
    <row r="867" spans="1:15" ht="21.75" hidden="1" customHeight="1">
      <c r="A867" s="17">
        <f>'GİRDİ RAPORU'!A966</f>
        <v>0</v>
      </c>
      <c r="B867" s="18">
        <f>'GİRDİ RAPORU'!B966</f>
        <v>0</v>
      </c>
      <c r="C867" s="18">
        <f>'GİRDİ RAPORU'!C966</f>
        <v>0</v>
      </c>
      <c r="D867" s="18">
        <f>'GİRDİ RAPORU'!D966</f>
        <v>0</v>
      </c>
      <c r="E867" s="18">
        <f>'GİRDİ RAPORU'!E966</f>
        <v>0</v>
      </c>
      <c r="F867" s="18">
        <f>'GİRDİ RAPORU'!F966</f>
        <v>0</v>
      </c>
      <c r="G867" s="18">
        <f>'GİRDİ RAPORU'!G966</f>
        <v>0</v>
      </c>
      <c r="H867" s="18">
        <f>'GİRDİ RAPORU'!H966</f>
        <v>0</v>
      </c>
      <c r="I867" s="18">
        <f>'GİRDİ RAPORU'!I966</f>
        <v>0</v>
      </c>
      <c r="J867" s="18">
        <f>'GİRDİ RAPORU'!J966</f>
        <v>0</v>
      </c>
      <c r="K867" s="18">
        <f>'GİRDİ RAPORU'!K966</f>
        <v>0</v>
      </c>
      <c r="L867" s="18">
        <f>'GİRDİ RAPORU'!L966</f>
        <v>0</v>
      </c>
      <c r="M867" s="26">
        <f t="shared" si="39"/>
        <v>0</v>
      </c>
      <c r="N867" s="26">
        <f t="shared" si="40"/>
        <v>0</v>
      </c>
      <c r="O867" s="26">
        <f t="shared" si="41"/>
        <v>1</v>
      </c>
    </row>
    <row r="868" spans="1:15" ht="21.75" hidden="1" customHeight="1">
      <c r="A868" s="17">
        <f>'GİRDİ RAPORU'!A967</f>
        <v>0</v>
      </c>
      <c r="B868" s="18">
        <f>'GİRDİ RAPORU'!B967</f>
        <v>0</v>
      </c>
      <c r="C868" s="18">
        <f>'GİRDİ RAPORU'!C967</f>
        <v>0</v>
      </c>
      <c r="D868" s="18">
        <f>'GİRDİ RAPORU'!D967</f>
        <v>0</v>
      </c>
      <c r="E868" s="18">
        <f>'GİRDİ RAPORU'!E967</f>
        <v>0</v>
      </c>
      <c r="F868" s="18">
        <f>'GİRDİ RAPORU'!F967</f>
        <v>0</v>
      </c>
      <c r="G868" s="18">
        <f>'GİRDİ RAPORU'!G967</f>
        <v>0</v>
      </c>
      <c r="H868" s="18">
        <f>'GİRDİ RAPORU'!H967</f>
        <v>0</v>
      </c>
      <c r="I868" s="18">
        <f>'GİRDİ RAPORU'!I967</f>
        <v>0</v>
      </c>
      <c r="J868" s="18">
        <f>'GİRDİ RAPORU'!J967</f>
        <v>0</v>
      </c>
      <c r="K868" s="18">
        <f>'GİRDİ RAPORU'!K967</f>
        <v>0</v>
      </c>
      <c r="L868" s="18">
        <f>'GİRDİ RAPORU'!L967</f>
        <v>0</v>
      </c>
      <c r="M868" s="26">
        <f t="shared" si="39"/>
        <v>0</v>
      </c>
      <c r="N868" s="26">
        <f t="shared" si="40"/>
        <v>0</v>
      </c>
      <c r="O868" s="26">
        <f t="shared" si="41"/>
        <v>1</v>
      </c>
    </row>
    <row r="869" spans="1:15" ht="21.75" hidden="1" customHeight="1">
      <c r="A869" s="17">
        <f>'GİRDİ RAPORU'!A968</f>
        <v>0</v>
      </c>
      <c r="B869" s="18">
        <f>'GİRDİ RAPORU'!B968</f>
        <v>0</v>
      </c>
      <c r="C869" s="18">
        <f>'GİRDİ RAPORU'!C968</f>
        <v>0</v>
      </c>
      <c r="D869" s="18">
        <f>'GİRDİ RAPORU'!D968</f>
        <v>0</v>
      </c>
      <c r="E869" s="18">
        <f>'GİRDİ RAPORU'!E968</f>
        <v>0</v>
      </c>
      <c r="F869" s="18">
        <f>'GİRDİ RAPORU'!F968</f>
        <v>0</v>
      </c>
      <c r="G869" s="18">
        <f>'GİRDİ RAPORU'!G968</f>
        <v>0</v>
      </c>
      <c r="H869" s="18">
        <f>'GİRDİ RAPORU'!H968</f>
        <v>0</v>
      </c>
      <c r="I869" s="18">
        <f>'GİRDİ RAPORU'!I968</f>
        <v>0</v>
      </c>
      <c r="J869" s="18">
        <f>'GİRDİ RAPORU'!J968</f>
        <v>0</v>
      </c>
      <c r="K869" s="18">
        <f>'GİRDİ RAPORU'!K968</f>
        <v>0</v>
      </c>
      <c r="L869" s="18">
        <f>'GİRDİ RAPORU'!L968</f>
        <v>0</v>
      </c>
      <c r="M869" s="26">
        <f t="shared" si="39"/>
        <v>0</v>
      </c>
      <c r="N869" s="26">
        <f t="shared" si="40"/>
        <v>0</v>
      </c>
      <c r="O869" s="26">
        <f t="shared" si="41"/>
        <v>1</v>
      </c>
    </row>
    <row r="870" spans="1:15" ht="21.75" hidden="1" customHeight="1">
      <c r="A870" s="17"/>
      <c r="E870" s="18"/>
      <c r="F870" s="18"/>
      <c r="G870" s="18"/>
      <c r="H870" s="18"/>
      <c r="I870" s="18"/>
      <c r="J870" s="18"/>
      <c r="K870" s="18"/>
      <c r="L870" s="18"/>
      <c r="M870" s="26"/>
      <c r="N870" s="26"/>
      <c r="O870" s="26"/>
    </row>
    <row r="871" spans="1:15" ht="21.75" hidden="1" customHeight="1">
      <c r="A871" s="17"/>
      <c r="E871" s="18"/>
      <c r="F871" s="18"/>
      <c r="G871" s="18"/>
      <c r="H871" s="18"/>
      <c r="I871" s="18"/>
      <c r="J871" s="18"/>
      <c r="K871" s="18"/>
      <c r="L871" s="18"/>
      <c r="M871" s="26"/>
      <c r="N871" s="26"/>
      <c r="O871" s="26"/>
    </row>
    <row r="872" spans="1:15" ht="21.75" hidden="1" customHeight="1">
      <c r="A872" s="17"/>
      <c r="E872" s="18"/>
      <c r="F872" s="18"/>
      <c r="G872" s="18"/>
      <c r="H872" s="18"/>
      <c r="I872" s="18"/>
      <c r="J872" s="18"/>
      <c r="K872" s="18"/>
      <c r="L872" s="18"/>
      <c r="M872" s="26"/>
      <c r="N872" s="26"/>
      <c r="O872" s="26"/>
    </row>
    <row r="873" spans="1:15" ht="21.75" hidden="1" customHeight="1">
      <c r="A873" s="17"/>
      <c r="E873" s="18"/>
      <c r="F873" s="18"/>
      <c r="G873" s="18"/>
      <c r="H873" s="18"/>
      <c r="I873" s="18"/>
      <c r="J873" s="18"/>
      <c r="K873" s="18"/>
      <c r="L873" s="18"/>
      <c r="M873" s="26"/>
      <c r="N873" s="26"/>
      <c r="O873" s="26"/>
    </row>
    <row r="874" spans="1:15" ht="21.75" hidden="1" customHeight="1">
      <c r="A874" s="17"/>
      <c r="E874" s="18"/>
      <c r="F874" s="18"/>
      <c r="G874" s="18"/>
      <c r="H874" s="18"/>
      <c r="I874" s="18"/>
      <c r="J874" s="18"/>
      <c r="K874" s="18"/>
      <c r="L874" s="18"/>
      <c r="M874" s="26"/>
      <c r="N874" s="26"/>
      <c r="O874" s="26"/>
    </row>
    <row r="875" spans="1:15" ht="21.75" hidden="1" customHeight="1">
      <c r="A875" s="17"/>
      <c r="E875" s="18"/>
      <c r="F875" s="18"/>
      <c r="G875" s="18"/>
      <c r="H875" s="18"/>
      <c r="I875" s="18"/>
      <c r="J875" s="18"/>
      <c r="K875" s="18"/>
      <c r="L875" s="18"/>
      <c r="M875" s="26"/>
      <c r="N875" s="26"/>
      <c r="O875" s="26"/>
    </row>
    <row r="876" spans="1:15" ht="21.75" hidden="1" customHeight="1">
      <c r="A876" s="17"/>
      <c r="E876" s="18"/>
      <c r="F876" s="18"/>
      <c r="G876" s="18"/>
      <c r="H876" s="18"/>
      <c r="I876" s="18"/>
      <c r="J876" s="18">
        <f>'GİRDİ RAPORU'!J1669</f>
        <v>0</v>
      </c>
      <c r="K876" s="18">
        <f>'GİRDİ RAPORU'!K1669</f>
        <v>0</v>
      </c>
      <c r="L876" s="18">
        <f>'GİRDİ RAPORU'!L1669</f>
        <v>0</v>
      </c>
      <c r="M876" s="26">
        <f t="shared" ref="M876:M905" si="42">(C876+D876)/750</f>
        <v>0</v>
      </c>
      <c r="N876" s="26">
        <f t="shared" ref="N876:N905" si="43">(F876+H876+J876)/540</f>
        <v>0</v>
      </c>
      <c r="O876" s="26">
        <f t="shared" ref="O876:O905" si="44">(540-F876-H876-J876)/540</f>
        <v>1</v>
      </c>
    </row>
    <row r="877" spans="1:15" ht="21.75" hidden="1" customHeight="1">
      <c r="J877" s="18">
        <f>'GİRDİ RAPORU'!J1670</f>
        <v>0</v>
      </c>
      <c r="K877" s="18">
        <f>'GİRDİ RAPORU'!K1670</f>
        <v>0</v>
      </c>
      <c r="L877" s="18">
        <f>'GİRDİ RAPORU'!L1670</f>
        <v>0</v>
      </c>
      <c r="M877" s="26">
        <f t="shared" si="42"/>
        <v>0</v>
      </c>
      <c r="N877" s="26">
        <f t="shared" si="43"/>
        <v>0</v>
      </c>
      <c r="O877" s="26">
        <f t="shared" si="44"/>
        <v>1</v>
      </c>
    </row>
    <row r="878" spans="1:15" ht="21.75" hidden="1" customHeight="1">
      <c r="A878" s="17"/>
      <c r="E878" s="18"/>
      <c r="F878" s="18"/>
      <c r="G878" s="18"/>
      <c r="H878" s="18"/>
      <c r="I878" s="18"/>
      <c r="J878" s="18">
        <f>'GİRDİ RAPORU'!J1671</f>
        <v>0</v>
      </c>
      <c r="K878" s="18">
        <f>'GİRDİ RAPORU'!K1671</f>
        <v>0</v>
      </c>
      <c r="L878" s="18">
        <f>'GİRDİ RAPORU'!L1671</f>
        <v>0</v>
      </c>
      <c r="M878" s="26">
        <f t="shared" si="42"/>
        <v>0</v>
      </c>
      <c r="N878" s="26">
        <f t="shared" si="43"/>
        <v>0</v>
      </c>
      <c r="O878" s="26">
        <f t="shared" si="44"/>
        <v>1</v>
      </c>
    </row>
    <row r="879" spans="1:15" ht="21.75" hidden="1" customHeight="1">
      <c r="A879" s="17"/>
      <c r="E879" s="18"/>
      <c r="F879" s="18"/>
      <c r="G879" s="18"/>
      <c r="H879" s="18"/>
      <c r="I879" s="18"/>
      <c r="J879" s="18">
        <f>'GİRDİ RAPORU'!J1672</f>
        <v>0</v>
      </c>
      <c r="K879" s="18">
        <f>'GİRDİ RAPORU'!K1672</f>
        <v>0</v>
      </c>
      <c r="L879" s="18">
        <f>'GİRDİ RAPORU'!L1672</f>
        <v>0</v>
      </c>
      <c r="M879" s="26">
        <f t="shared" si="42"/>
        <v>0</v>
      </c>
      <c r="N879" s="26">
        <f t="shared" si="43"/>
        <v>0</v>
      </c>
      <c r="O879" s="26">
        <f t="shared" si="44"/>
        <v>1</v>
      </c>
    </row>
    <row r="880" spans="1:15" ht="21.75" hidden="1" customHeight="1">
      <c r="A880" s="17"/>
      <c r="E880" s="18"/>
      <c r="F880" s="18"/>
      <c r="G880" s="18"/>
      <c r="H880" s="18"/>
      <c r="I880" s="18"/>
      <c r="J880" s="18">
        <f>'GİRDİ RAPORU'!J1673</f>
        <v>0</v>
      </c>
      <c r="K880" s="18">
        <f>'GİRDİ RAPORU'!K1673</f>
        <v>0</v>
      </c>
      <c r="L880" s="18">
        <f>'GİRDİ RAPORU'!L1673</f>
        <v>0</v>
      </c>
      <c r="M880" s="26">
        <f t="shared" si="42"/>
        <v>0</v>
      </c>
      <c r="N880" s="26">
        <f t="shared" si="43"/>
        <v>0</v>
      </c>
      <c r="O880" s="26">
        <f t="shared" si="44"/>
        <v>1</v>
      </c>
    </row>
    <row r="881" spans="1:15" ht="21.75" hidden="1" customHeight="1">
      <c r="A881" s="17"/>
      <c r="E881" s="18"/>
      <c r="F881" s="18"/>
      <c r="G881" s="18"/>
      <c r="H881" s="18"/>
      <c r="I881" s="18"/>
      <c r="J881" s="18">
        <f>'GİRDİ RAPORU'!J1674</f>
        <v>0</v>
      </c>
      <c r="K881" s="18">
        <f>'GİRDİ RAPORU'!K1674</f>
        <v>0</v>
      </c>
      <c r="L881" s="18">
        <f>'GİRDİ RAPORU'!L1674</f>
        <v>0</v>
      </c>
      <c r="M881" s="26">
        <f t="shared" si="42"/>
        <v>0</v>
      </c>
      <c r="N881" s="26">
        <f t="shared" si="43"/>
        <v>0</v>
      </c>
      <c r="O881" s="26">
        <f t="shared" si="44"/>
        <v>1</v>
      </c>
    </row>
    <row r="882" spans="1:15" ht="21.75" hidden="1" customHeight="1">
      <c r="A882" s="17"/>
      <c r="E882" s="18"/>
      <c r="F882" s="18"/>
      <c r="G882" s="18"/>
      <c r="H882" s="18"/>
      <c r="I882" s="18"/>
      <c r="J882" s="18">
        <f>'GİRDİ RAPORU'!J1675</f>
        <v>0</v>
      </c>
      <c r="K882" s="18">
        <f>'GİRDİ RAPORU'!K1675</f>
        <v>0</v>
      </c>
      <c r="L882" s="18">
        <f>'GİRDİ RAPORU'!L1675</f>
        <v>0</v>
      </c>
      <c r="M882" s="26">
        <f t="shared" si="42"/>
        <v>0</v>
      </c>
      <c r="N882" s="26">
        <f t="shared" si="43"/>
        <v>0</v>
      </c>
      <c r="O882" s="26">
        <f t="shared" si="44"/>
        <v>1</v>
      </c>
    </row>
    <row r="883" spans="1:15" ht="21.75" hidden="1" customHeight="1">
      <c r="A883" s="17"/>
      <c r="E883" s="18"/>
      <c r="F883" s="18"/>
      <c r="G883" s="18"/>
      <c r="H883" s="18"/>
      <c r="I883" s="18"/>
      <c r="J883" s="18">
        <f>'GİRDİ RAPORU'!J1676</f>
        <v>0</v>
      </c>
      <c r="K883" s="18">
        <f>'GİRDİ RAPORU'!K1676</f>
        <v>0</v>
      </c>
      <c r="L883" s="18">
        <f>'GİRDİ RAPORU'!L1676</f>
        <v>0</v>
      </c>
      <c r="M883" s="26">
        <f t="shared" si="42"/>
        <v>0</v>
      </c>
      <c r="N883" s="26">
        <f t="shared" si="43"/>
        <v>0</v>
      </c>
      <c r="O883" s="26">
        <f t="shared" si="44"/>
        <v>1</v>
      </c>
    </row>
    <row r="884" spans="1:15" ht="21.75" hidden="1" customHeight="1">
      <c r="A884" s="17"/>
      <c r="E884" s="18"/>
      <c r="F884" s="18"/>
      <c r="G884" s="18"/>
      <c r="H884" s="18"/>
      <c r="I884" s="18"/>
      <c r="J884" s="18">
        <f>'GİRDİ RAPORU'!J1677</f>
        <v>0</v>
      </c>
      <c r="K884" s="18">
        <f>'GİRDİ RAPORU'!K1677</f>
        <v>0</v>
      </c>
      <c r="L884" s="18">
        <f>'GİRDİ RAPORU'!L1677</f>
        <v>0</v>
      </c>
      <c r="M884" s="26">
        <f t="shared" si="42"/>
        <v>0</v>
      </c>
      <c r="N884" s="26">
        <f t="shared" si="43"/>
        <v>0</v>
      </c>
      <c r="O884" s="26">
        <f t="shared" si="44"/>
        <v>1</v>
      </c>
    </row>
    <row r="885" spans="1:15" ht="21.75" hidden="1" customHeight="1">
      <c r="A885" s="17"/>
      <c r="E885" s="18"/>
      <c r="F885" s="18"/>
      <c r="G885" s="18"/>
      <c r="H885" s="18"/>
      <c r="I885" s="18"/>
      <c r="J885" s="18">
        <f>'GİRDİ RAPORU'!J1678</f>
        <v>0</v>
      </c>
      <c r="K885" s="18">
        <f>'GİRDİ RAPORU'!K1678</f>
        <v>0</v>
      </c>
      <c r="L885" s="18">
        <f>'GİRDİ RAPORU'!L1678</f>
        <v>0</v>
      </c>
      <c r="M885" s="26">
        <f t="shared" si="42"/>
        <v>0</v>
      </c>
      <c r="N885" s="26">
        <f t="shared" si="43"/>
        <v>0</v>
      </c>
      <c r="O885" s="26">
        <f t="shared" si="44"/>
        <v>1</v>
      </c>
    </row>
    <row r="886" spans="1:15" ht="21.75" hidden="1" customHeight="1">
      <c r="A886" s="17"/>
      <c r="E886" s="18"/>
      <c r="F886" s="18"/>
      <c r="G886" s="18"/>
      <c r="H886" s="18"/>
      <c r="I886" s="18"/>
      <c r="J886" s="18">
        <f>'GİRDİ RAPORU'!J1679</f>
        <v>0</v>
      </c>
      <c r="K886" s="18">
        <f>'GİRDİ RAPORU'!K1679</f>
        <v>0</v>
      </c>
      <c r="L886" s="18">
        <f>'GİRDİ RAPORU'!L1679</f>
        <v>0</v>
      </c>
      <c r="M886" s="26">
        <f t="shared" si="42"/>
        <v>0</v>
      </c>
      <c r="N886" s="26">
        <f t="shared" si="43"/>
        <v>0</v>
      </c>
      <c r="O886" s="26">
        <f t="shared" si="44"/>
        <v>1</v>
      </c>
    </row>
    <row r="887" spans="1:15" ht="21.75" hidden="1" customHeight="1">
      <c r="A887" s="17"/>
      <c r="E887" s="18"/>
      <c r="F887" s="18"/>
      <c r="G887" s="18"/>
      <c r="H887" s="18"/>
      <c r="I887" s="18"/>
      <c r="J887" s="18">
        <f>'GİRDİ RAPORU'!J1680</f>
        <v>0</v>
      </c>
      <c r="K887" s="18">
        <f>'GİRDİ RAPORU'!K1680</f>
        <v>0</v>
      </c>
      <c r="L887" s="18">
        <f>'GİRDİ RAPORU'!L1680</f>
        <v>0</v>
      </c>
      <c r="M887" s="26">
        <f t="shared" si="42"/>
        <v>0</v>
      </c>
      <c r="N887" s="26">
        <f t="shared" si="43"/>
        <v>0</v>
      </c>
      <c r="O887" s="26">
        <f t="shared" si="44"/>
        <v>1</v>
      </c>
    </row>
    <row r="888" spans="1:15" ht="21.75" hidden="1" customHeight="1">
      <c r="A888" s="17"/>
      <c r="E888" s="18"/>
      <c r="F888" s="18"/>
      <c r="G888" s="18"/>
      <c r="H888" s="18"/>
      <c r="I888" s="18"/>
      <c r="J888" s="18">
        <f>'GİRDİ RAPORU'!J1681</f>
        <v>0</v>
      </c>
      <c r="K888" s="18">
        <f>'GİRDİ RAPORU'!K1681</f>
        <v>0</v>
      </c>
      <c r="L888" s="18">
        <f>'GİRDİ RAPORU'!L1681</f>
        <v>0</v>
      </c>
      <c r="M888" s="26">
        <f t="shared" si="42"/>
        <v>0</v>
      </c>
      <c r="N888" s="26">
        <f t="shared" si="43"/>
        <v>0</v>
      </c>
      <c r="O888" s="26">
        <f t="shared" si="44"/>
        <v>1</v>
      </c>
    </row>
    <row r="889" spans="1:15" ht="21.75" hidden="1" customHeight="1">
      <c r="A889" s="17"/>
      <c r="E889" s="18"/>
      <c r="F889" s="18"/>
      <c r="G889" s="18"/>
      <c r="H889" s="18"/>
      <c r="I889" s="18"/>
      <c r="J889" s="18">
        <f>'GİRDİ RAPORU'!J1682</f>
        <v>0</v>
      </c>
      <c r="K889" s="18">
        <f>'GİRDİ RAPORU'!K1682</f>
        <v>0</v>
      </c>
      <c r="L889" s="18">
        <f>'GİRDİ RAPORU'!L1682</f>
        <v>0</v>
      </c>
      <c r="M889" s="26">
        <f t="shared" si="42"/>
        <v>0</v>
      </c>
      <c r="N889" s="26">
        <f t="shared" si="43"/>
        <v>0</v>
      </c>
      <c r="O889" s="26">
        <f t="shared" si="44"/>
        <v>1</v>
      </c>
    </row>
    <row r="890" spans="1:15" ht="21.75" hidden="1" customHeight="1">
      <c r="A890" s="17"/>
      <c r="E890" s="18"/>
      <c r="F890" s="18"/>
      <c r="G890" s="18"/>
      <c r="H890" s="18"/>
      <c r="I890" s="18"/>
      <c r="J890" s="18">
        <f>'GİRDİ RAPORU'!J1683</f>
        <v>0</v>
      </c>
      <c r="K890" s="18">
        <f>'GİRDİ RAPORU'!K1683</f>
        <v>0</v>
      </c>
      <c r="L890" s="18">
        <f>'GİRDİ RAPORU'!L1683</f>
        <v>0</v>
      </c>
      <c r="M890" s="26">
        <f t="shared" si="42"/>
        <v>0</v>
      </c>
      <c r="N890" s="26">
        <f t="shared" si="43"/>
        <v>0</v>
      </c>
      <c r="O890" s="26">
        <f t="shared" si="44"/>
        <v>1</v>
      </c>
    </row>
    <row r="891" spans="1:15" ht="21.75" hidden="1" customHeight="1">
      <c r="A891" s="17"/>
      <c r="E891" s="18"/>
      <c r="F891" s="18"/>
      <c r="G891" s="18"/>
      <c r="H891" s="18"/>
      <c r="I891" s="18"/>
      <c r="J891" s="18">
        <f>'GİRDİ RAPORU'!J1684</f>
        <v>0</v>
      </c>
      <c r="K891" s="18">
        <f>'GİRDİ RAPORU'!K1684</f>
        <v>0</v>
      </c>
      <c r="L891" s="18">
        <f>'GİRDİ RAPORU'!L1684</f>
        <v>0</v>
      </c>
      <c r="M891" s="26">
        <f t="shared" si="42"/>
        <v>0</v>
      </c>
      <c r="N891" s="26">
        <f t="shared" si="43"/>
        <v>0</v>
      </c>
      <c r="O891" s="26">
        <f t="shared" si="44"/>
        <v>1</v>
      </c>
    </row>
    <row r="892" spans="1:15" ht="21.75" hidden="1" customHeight="1">
      <c r="A892" s="17"/>
      <c r="E892" s="18"/>
      <c r="F892" s="18"/>
      <c r="G892" s="18"/>
      <c r="H892" s="18"/>
      <c r="I892" s="18"/>
      <c r="J892" s="18">
        <f>'GİRDİ RAPORU'!J1685</f>
        <v>0</v>
      </c>
      <c r="K892" s="18">
        <f>'GİRDİ RAPORU'!K1685</f>
        <v>0</v>
      </c>
      <c r="L892" s="18">
        <f>'GİRDİ RAPORU'!L1685</f>
        <v>0</v>
      </c>
      <c r="M892" s="26">
        <f t="shared" si="42"/>
        <v>0</v>
      </c>
      <c r="N892" s="26">
        <f t="shared" si="43"/>
        <v>0</v>
      </c>
      <c r="O892" s="26">
        <f t="shared" si="44"/>
        <v>1</v>
      </c>
    </row>
    <row r="893" spans="1:15" ht="21.75" hidden="1" customHeight="1">
      <c r="A893" s="17"/>
      <c r="E893" s="18"/>
      <c r="F893" s="18"/>
      <c r="G893" s="18"/>
      <c r="H893" s="18"/>
      <c r="I893" s="18"/>
      <c r="J893" s="18">
        <f>'GİRDİ RAPORU'!J1686</f>
        <v>0</v>
      </c>
      <c r="K893" s="18">
        <f>'GİRDİ RAPORU'!K1686</f>
        <v>0</v>
      </c>
      <c r="L893" s="18">
        <f>'GİRDİ RAPORU'!L1686</f>
        <v>0</v>
      </c>
      <c r="M893" s="26">
        <f t="shared" si="42"/>
        <v>0</v>
      </c>
      <c r="N893" s="26">
        <f t="shared" si="43"/>
        <v>0</v>
      </c>
      <c r="O893" s="26">
        <f t="shared" si="44"/>
        <v>1</v>
      </c>
    </row>
    <row r="894" spans="1:15" ht="21.75" hidden="1" customHeight="1">
      <c r="A894" s="17"/>
      <c r="E894" s="18"/>
      <c r="F894" s="18"/>
      <c r="G894" s="18"/>
      <c r="H894" s="18"/>
      <c r="I894" s="18"/>
      <c r="J894" s="18">
        <f>'GİRDİ RAPORU'!J1687</f>
        <v>0</v>
      </c>
      <c r="K894" s="18">
        <f>'GİRDİ RAPORU'!K1687</f>
        <v>0</v>
      </c>
      <c r="L894" s="18">
        <f>'GİRDİ RAPORU'!L1687</f>
        <v>0</v>
      </c>
      <c r="M894" s="26">
        <f t="shared" si="42"/>
        <v>0</v>
      </c>
      <c r="N894" s="26">
        <f t="shared" si="43"/>
        <v>0</v>
      </c>
      <c r="O894" s="26">
        <f t="shared" si="44"/>
        <v>1</v>
      </c>
    </row>
    <row r="895" spans="1:15" ht="21.75" hidden="1" customHeight="1">
      <c r="A895" s="17"/>
      <c r="E895" s="18"/>
      <c r="F895" s="18"/>
      <c r="G895" s="18"/>
      <c r="H895" s="18"/>
      <c r="I895" s="18"/>
      <c r="J895" s="18">
        <f>'GİRDİ RAPORU'!J1688</f>
        <v>0</v>
      </c>
      <c r="K895" s="18">
        <f>'GİRDİ RAPORU'!K1688</f>
        <v>0</v>
      </c>
      <c r="L895" s="18">
        <f>'GİRDİ RAPORU'!L1688</f>
        <v>0</v>
      </c>
      <c r="M895" s="26">
        <f t="shared" si="42"/>
        <v>0</v>
      </c>
      <c r="N895" s="26">
        <f t="shared" si="43"/>
        <v>0</v>
      </c>
      <c r="O895" s="26">
        <f t="shared" si="44"/>
        <v>1</v>
      </c>
    </row>
    <row r="896" spans="1:15" ht="21.75" hidden="1" customHeight="1">
      <c r="A896" s="17"/>
      <c r="E896" s="18"/>
      <c r="F896" s="18"/>
      <c r="G896" s="18"/>
      <c r="H896" s="18"/>
      <c r="I896" s="18"/>
      <c r="J896" s="18">
        <f>'GİRDİ RAPORU'!J1689</f>
        <v>0</v>
      </c>
      <c r="K896" s="18">
        <f>'GİRDİ RAPORU'!K1689</f>
        <v>0</v>
      </c>
      <c r="L896" s="18">
        <f>'GİRDİ RAPORU'!L1689</f>
        <v>0</v>
      </c>
      <c r="M896" s="26">
        <f t="shared" si="42"/>
        <v>0</v>
      </c>
      <c r="N896" s="26">
        <f t="shared" si="43"/>
        <v>0</v>
      </c>
      <c r="O896" s="26">
        <f t="shared" si="44"/>
        <v>1</v>
      </c>
    </row>
    <row r="897" spans="1:15" ht="21.75" hidden="1" customHeight="1">
      <c r="A897" s="17"/>
      <c r="E897" s="18"/>
      <c r="F897" s="18"/>
      <c r="G897" s="18"/>
      <c r="H897" s="18"/>
      <c r="I897" s="18"/>
      <c r="J897" s="18">
        <f>'GİRDİ RAPORU'!J1690</f>
        <v>0</v>
      </c>
      <c r="K897" s="18">
        <f>'GİRDİ RAPORU'!K1690</f>
        <v>0</v>
      </c>
      <c r="L897" s="18">
        <f>'GİRDİ RAPORU'!L1690</f>
        <v>0</v>
      </c>
      <c r="M897" s="26">
        <f t="shared" si="42"/>
        <v>0</v>
      </c>
      <c r="N897" s="26">
        <f t="shared" si="43"/>
        <v>0</v>
      </c>
      <c r="O897" s="26">
        <f t="shared" si="44"/>
        <v>1</v>
      </c>
    </row>
    <row r="898" spans="1:15" ht="21.75" hidden="1" customHeight="1">
      <c r="A898" s="17"/>
      <c r="E898" s="18"/>
      <c r="F898" s="18"/>
      <c r="G898" s="18"/>
      <c r="H898" s="18"/>
      <c r="I898" s="18"/>
      <c r="J898" s="18">
        <f>'GİRDİ RAPORU'!J1691</f>
        <v>0</v>
      </c>
      <c r="K898" s="18">
        <f>'GİRDİ RAPORU'!K1691</f>
        <v>0</v>
      </c>
      <c r="L898" s="18">
        <f>'GİRDİ RAPORU'!L1691</f>
        <v>0</v>
      </c>
      <c r="M898" s="26">
        <f t="shared" si="42"/>
        <v>0</v>
      </c>
      <c r="N898" s="26">
        <f t="shared" si="43"/>
        <v>0</v>
      </c>
      <c r="O898" s="26">
        <f t="shared" si="44"/>
        <v>1</v>
      </c>
    </row>
    <row r="899" spans="1:15" ht="21.75" hidden="1" customHeight="1">
      <c r="A899" s="17"/>
      <c r="E899" s="18"/>
      <c r="F899" s="18"/>
      <c r="G899" s="18"/>
      <c r="H899" s="18"/>
      <c r="I899" s="18"/>
      <c r="J899" s="18">
        <f>'GİRDİ RAPORU'!J1692</f>
        <v>0</v>
      </c>
      <c r="K899" s="18">
        <f>'GİRDİ RAPORU'!K1692</f>
        <v>0</v>
      </c>
      <c r="L899" s="18">
        <f>'GİRDİ RAPORU'!L1692</f>
        <v>0</v>
      </c>
      <c r="M899" s="26">
        <f t="shared" si="42"/>
        <v>0</v>
      </c>
      <c r="N899" s="26">
        <f t="shared" si="43"/>
        <v>0</v>
      </c>
      <c r="O899" s="26">
        <f t="shared" si="44"/>
        <v>1</v>
      </c>
    </row>
    <row r="900" spans="1:15" ht="21.75" hidden="1" customHeight="1">
      <c r="A900" s="17"/>
      <c r="E900" s="18"/>
      <c r="F900" s="18"/>
      <c r="G900" s="18"/>
      <c r="H900" s="18"/>
      <c r="I900" s="18"/>
      <c r="J900" s="18">
        <f>'GİRDİ RAPORU'!J1693</f>
        <v>0</v>
      </c>
      <c r="K900" s="18">
        <f>'GİRDİ RAPORU'!K1693</f>
        <v>0</v>
      </c>
      <c r="L900" s="18">
        <f>'GİRDİ RAPORU'!L1693</f>
        <v>0</v>
      </c>
      <c r="M900" s="26">
        <f t="shared" si="42"/>
        <v>0</v>
      </c>
      <c r="N900" s="26">
        <f t="shared" si="43"/>
        <v>0</v>
      </c>
      <c r="O900" s="26">
        <f t="shared" si="44"/>
        <v>1</v>
      </c>
    </row>
    <row r="901" spans="1:15" ht="21.75" hidden="1" customHeight="1">
      <c r="A901" s="17"/>
      <c r="E901" s="18"/>
      <c r="F901" s="18"/>
      <c r="G901" s="18"/>
      <c r="H901" s="18"/>
      <c r="I901" s="18"/>
      <c r="J901" s="18">
        <f>'GİRDİ RAPORU'!J1694</f>
        <v>0</v>
      </c>
      <c r="K901" s="18">
        <f>'GİRDİ RAPORU'!K1694</f>
        <v>0</v>
      </c>
      <c r="L901" s="18">
        <f>'GİRDİ RAPORU'!L1694</f>
        <v>0</v>
      </c>
      <c r="M901" s="26">
        <f t="shared" si="42"/>
        <v>0</v>
      </c>
      <c r="N901" s="26">
        <f t="shared" si="43"/>
        <v>0</v>
      </c>
      <c r="O901" s="26">
        <f t="shared" si="44"/>
        <v>1</v>
      </c>
    </row>
    <row r="902" spans="1:15" ht="21.75" hidden="1" customHeight="1">
      <c r="A902" s="17"/>
      <c r="E902" s="18"/>
      <c r="F902" s="18"/>
      <c r="G902" s="18"/>
      <c r="H902" s="18"/>
      <c r="I902" s="18"/>
      <c r="J902" s="18">
        <f>'GİRDİ RAPORU'!J1695</f>
        <v>0</v>
      </c>
      <c r="K902" s="18">
        <f>'GİRDİ RAPORU'!K1695</f>
        <v>0</v>
      </c>
      <c r="L902" s="18">
        <f>'GİRDİ RAPORU'!L1695</f>
        <v>0</v>
      </c>
      <c r="M902" s="26">
        <f t="shared" si="42"/>
        <v>0</v>
      </c>
      <c r="N902" s="26">
        <f t="shared" si="43"/>
        <v>0</v>
      </c>
      <c r="O902" s="26">
        <f t="shared" si="44"/>
        <v>1</v>
      </c>
    </row>
    <row r="903" spans="1:15" ht="21.75" hidden="1" customHeight="1">
      <c r="A903" s="17"/>
      <c r="E903" s="18"/>
      <c r="F903" s="18"/>
      <c r="G903" s="18"/>
      <c r="H903" s="18"/>
      <c r="I903" s="18"/>
      <c r="J903" s="18">
        <f>'GİRDİ RAPORU'!J1696</f>
        <v>0</v>
      </c>
      <c r="K903" s="18">
        <f>'GİRDİ RAPORU'!K1696</f>
        <v>0</v>
      </c>
      <c r="L903" s="18">
        <f>'GİRDİ RAPORU'!L1696</f>
        <v>0</v>
      </c>
      <c r="M903" s="26">
        <f t="shared" si="42"/>
        <v>0</v>
      </c>
      <c r="N903" s="26">
        <f t="shared" si="43"/>
        <v>0</v>
      </c>
      <c r="O903" s="26">
        <f t="shared" si="44"/>
        <v>1</v>
      </c>
    </row>
    <row r="904" spans="1:15" ht="21.75" hidden="1" customHeight="1">
      <c r="A904" s="17"/>
      <c r="E904" s="18"/>
      <c r="F904" s="18"/>
      <c r="G904" s="18"/>
      <c r="H904" s="18"/>
      <c r="I904" s="18"/>
      <c r="J904" s="18">
        <f>'GİRDİ RAPORU'!J1697</f>
        <v>0</v>
      </c>
      <c r="K904" s="18">
        <f>'GİRDİ RAPORU'!K1697</f>
        <v>0</v>
      </c>
      <c r="L904" s="18">
        <f>'GİRDİ RAPORU'!L1697</f>
        <v>0</v>
      </c>
      <c r="M904" s="26">
        <f t="shared" si="42"/>
        <v>0</v>
      </c>
      <c r="N904" s="26">
        <f t="shared" si="43"/>
        <v>0</v>
      </c>
      <c r="O904" s="26">
        <f t="shared" si="44"/>
        <v>1</v>
      </c>
    </row>
    <row r="905" spans="1:15" ht="21.75" hidden="1" customHeight="1">
      <c r="J905" s="18">
        <f>'GİRDİ RAPORU'!J1698</f>
        <v>0</v>
      </c>
      <c r="K905" s="18">
        <f>'GİRDİ RAPORU'!K1698</f>
        <v>0</v>
      </c>
      <c r="L905" s="18">
        <f>'GİRDİ RAPORU'!L1698</f>
        <v>0</v>
      </c>
      <c r="M905" s="26">
        <f t="shared" si="42"/>
        <v>0</v>
      </c>
      <c r="N905" s="26">
        <f t="shared" si="43"/>
        <v>0</v>
      </c>
      <c r="O905" s="26">
        <f t="shared" si="44"/>
        <v>1</v>
      </c>
    </row>
    <row r="906" spans="1:15" ht="21.75" customHeight="1">
      <c r="J906" s="18">
        <f>'GİRDİ RAPORU'!J1699</f>
        <v>0</v>
      </c>
      <c r="K906" s="18">
        <f>'GİRDİ RAPORU'!K1699</f>
        <v>0</v>
      </c>
      <c r="L906" s="18">
        <f>'GİRDİ RAPORU'!L1699</f>
        <v>0</v>
      </c>
      <c r="M906" s="26">
        <f t="shared" ref="M906:M955" si="45">(C906+D906)/750</f>
        <v>0</v>
      </c>
      <c r="N906" s="26">
        <f t="shared" ref="N906:N955" si="46">(F906+H906+J906)/540</f>
        <v>0</v>
      </c>
      <c r="O906" s="26">
        <f t="shared" ref="O906:O955" si="47">(540-F906-H906-J906)/540</f>
        <v>1</v>
      </c>
    </row>
    <row r="907" spans="1:15" ht="21.75" customHeight="1">
      <c r="J907" s="18">
        <f>'GİRDİ RAPORU'!J1700</f>
        <v>0</v>
      </c>
      <c r="K907" s="18">
        <f>'GİRDİ RAPORU'!K1700</f>
        <v>0</v>
      </c>
      <c r="L907" s="18">
        <f>'GİRDİ RAPORU'!L1700</f>
        <v>0</v>
      </c>
      <c r="M907" s="26">
        <f t="shared" si="45"/>
        <v>0</v>
      </c>
      <c r="N907" s="26">
        <f t="shared" si="46"/>
        <v>0</v>
      </c>
      <c r="O907" s="26">
        <f t="shared" si="47"/>
        <v>1</v>
      </c>
    </row>
    <row r="908" spans="1:15" ht="21.75" customHeight="1">
      <c r="J908" s="18">
        <f>'GİRDİ RAPORU'!J1701</f>
        <v>0</v>
      </c>
      <c r="K908" s="18">
        <f>'GİRDİ RAPORU'!K1701</f>
        <v>0</v>
      </c>
      <c r="L908" s="18">
        <f>'GİRDİ RAPORU'!L1701</f>
        <v>0</v>
      </c>
      <c r="M908" s="26">
        <f t="shared" si="45"/>
        <v>0</v>
      </c>
      <c r="N908" s="26">
        <f t="shared" si="46"/>
        <v>0</v>
      </c>
      <c r="O908" s="26">
        <f t="shared" si="47"/>
        <v>1</v>
      </c>
    </row>
    <row r="909" spans="1:15" ht="21.75" customHeight="1">
      <c r="J909" s="18">
        <f>'GİRDİ RAPORU'!J1702</f>
        <v>0</v>
      </c>
      <c r="K909" s="18">
        <f>'GİRDİ RAPORU'!K1702</f>
        <v>0</v>
      </c>
      <c r="L909" s="18">
        <f>'GİRDİ RAPORU'!L1702</f>
        <v>0</v>
      </c>
      <c r="M909" s="26">
        <f t="shared" si="45"/>
        <v>0</v>
      </c>
      <c r="N909" s="26">
        <f t="shared" si="46"/>
        <v>0</v>
      </c>
      <c r="O909" s="26">
        <f t="shared" si="47"/>
        <v>1</v>
      </c>
    </row>
    <row r="910" spans="1:15" ht="21.75" customHeight="1">
      <c r="J910" s="18">
        <f>'GİRDİ RAPORU'!J1703</f>
        <v>0</v>
      </c>
      <c r="K910" s="18">
        <f>'GİRDİ RAPORU'!K1703</f>
        <v>0</v>
      </c>
      <c r="L910" s="18">
        <f>'GİRDİ RAPORU'!L1703</f>
        <v>0</v>
      </c>
      <c r="M910" s="26">
        <f t="shared" si="45"/>
        <v>0</v>
      </c>
      <c r="N910" s="26">
        <f t="shared" si="46"/>
        <v>0</v>
      </c>
      <c r="O910" s="26">
        <f t="shared" si="47"/>
        <v>1</v>
      </c>
    </row>
    <row r="911" spans="1:15" ht="21.75" customHeight="1">
      <c r="J911" s="18">
        <f>'GİRDİ RAPORU'!J1704</f>
        <v>0</v>
      </c>
      <c r="K911" s="18">
        <f>'GİRDİ RAPORU'!K1704</f>
        <v>0</v>
      </c>
      <c r="L911" s="18">
        <f>'GİRDİ RAPORU'!L1704</f>
        <v>0</v>
      </c>
      <c r="M911" s="26">
        <f t="shared" si="45"/>
        <v>0</v>
      </c>
      <c r="N911" s="26">
        <f t="shared" si="46"/>
        <v>0</v>
      </c>
      <c r="O911" s="26">
        <f t="shared" si="47"/>
        <v>1</v>
      </c>
    </row>
    <row r="912" spans="1:15" ht="21.75" customHeight="1">
      <c r="J912" s="18">
        <f>'GİRDİ RAPORU'!J1705</f>
        <v>0</v>
      </c>
      <c r="K912" s="18">
        <f>'GİRDİ RAPORU'!K1705</f>
        <v>0</v>
      </c>
      <c r="L912" s="18">
        <f>'GİRDİ RAPORU'!L1705</f>
        <v>0</v>
      </c>
      <c r="M912" s="26">
        <f t="shared" si="45"/>
        <v>0</v>
      </c>
      <c r="N912" s="26">
        <f t="shared" si="46"/>
        <v>0</v>
      </c>
      <c r="O912" s="26">
        <f t="shared" si="47"/>
        <v>1</v>
      </c>
    </row>
    <row r="913" spans="10:15" ht="21.75" customHeight="1">
      <c r="J913" s="18">
        <f>'GİRDİ RAPORU'!J1706</f>
        <v>0</v>
      </c>
      <c r="K913" s="18">
        <f>'GİRDİ RAPORU'!K1706</f>
        <v>0</v>
      </c>
      <c r="L913" s="18">
        <f>'GİRDİ RAPORU'!L1706</f>
        <v>0</v>
      </c>
      <c r="M913" s="26">
        <f t="shared" si="45"/>
        <v>0</v>
      </c>
      <c r="N913" s="26">
        <f t="shared" si="46"/>
        <v>0</v>
      </c>
      <c r="O913" s="26">
        <f t="shared" si="47"/>
        <v>1</v>
      </c>
    </row>
    <row r="914" spans="10:15" ht="21.75" customHeight="1">
      <c r="J914" s="18">
        <f>'GİRDİ RAPORU'!J1707</f>
        <v>0</v>
      </c>
      <c r="K914" s="18">
        <f>'GİRDİ RAPORU'!K1707</f>
        <v>0</v>
      </c>
      <c r="L914" s="18">
        <f>'GİRDİ RAPORU'!L1707</f>
        <v>0</v>
      </c>
      <c r="M914" s="26">
        <f t="shared" si="45"/>
        <v>0</v>
      </c>
      <c r="N914" s="26">
        <f t="shared" si="46"/>
        <v>0</v>
      </c>
      <c r="O914" s="26">
        <f t="shared" si="47"/>
        <v>1</v>
      </c>
    </row>
    <row r="915" spans="10:15" ht="21.75" customHeight="1">
      <c r="J915" s="18">
        <f>'GİRDİ RAPORU'!J1708</f>
        <v>0</v>
      </c>
      <c r="K915" s="18">
        <f>'GİRDİ RAPORU'!K1708</f>
        <v>0</v>
      </c>
      <c r="L915" s="18">
        <f>'GİRDİ RAPORU'!L1708</f>
        <v>0</v>
      </c>
      <c r="M915" s="26">
        <f t="shared" si="45"/>
        <v>0</v>
      </c>
      <c r="N915" s="26">
        <f t="shared" si="46"/>
        <v>0</v>
      </c>
      <c r="O915" s="26">
        <f t="shared" si="47"/>
        <v>1</v>
      </c>
    </row>
    <row r="916" spans="10:15" ht="21.75" customHeight="1">
      <c r="J916" s="18">
        <f>'GİRDİ RAPORU'!J1709</f>
        <v>0</v>
      </c>
      <c r="K916" s="18">
        <f>'GİRDİ RAPORU'!K1709</f>
        <v>0</v>
      </c>
      <c r="L916" s="18">
        <f>'GİRDİ RAPORU'!L1709</f>
        <v>0</v>
      </c>
      <c r="M916" s="26">
        <f t="shared" si="45"/>
        <v>0</v>
      </c>
      <c r="N916" s="26">
        <f t="shared" si="46"/>
        <v>0</v>
      </c>
      <c r="O916" s="26">
        <f t="shared" si="47"/>
        <v>1</v>
      </c>
    </row>
    <row r="917" spans="10:15" ht="21.75" customHeight="1">
      <c r="J917" s="18">
        <f>'GİRDİ RAPORU'!J1710</f>
        <v>0</v>
      </c>
      <c r="K917" s="18">
        <f>'GİRDİ RAPORU'!K1710</f>
        <v>0</v>
      </c>
      <c r="L917" s="18">
        <f>'GİRDİ RAPORU'!L1710</f>
        <v>0</v>
      </c>
      <c r="M917" s="26">
        <f t="shared" si="45"/>
        <v>0</v>
      </c>
      <c r="N917" s="26">
        <f t="shared" si="46"/>
        <v>0</v>
      </c>
      <c r="O917" s="26">
        <f t="shared" si="47"/>
        <v>1</v>
      </c>
    </row>
    <row r="918" spans="10:15" ht="21.75" customHeight="1">
      <c r="J918" s="18">
        <f>'GİRDİ RAPORU'!J1711</f>
        <v>0</v>
      </c>
      <c r="K918" s="18">
        <f>'GİRDİ RAPORU'!K1711</f>
        <v>0</v>
      </c>
      <c r="L918" s="18">
        <f>'GİRDİ RAPORU'!L1711</f>
        <v>0</v>
      </c>
      <c r="M918" s="26">
        <f t="shared" si="45"/>
        <v>0</v>
      </c>
      <c r="N918" s="26">
        <f t="shared" si="46"/>
        <v>0</v>
      </c>
      <c r="O918" s="26">
        <f t="shared" si="47"/>
        <v>1</v>
      </c>
    </row>
    <row r="919" spans="10:15" ht="21.75" customHeight="1">
      <c r="J919" s="18">
        <f>'GİRDİ RAPORU'!J1712</f>
        <v>0</v>
      </c>
      <c r="K919" s="18">
        <f>'GİRDİ RAPORU'!K1712</f>
        <v>0</v>
      </c>
      <c r="L919" s="18">
        <f>'GİRDİ RAPORU'!L1712</f>
        <v>0</v>
      </c>
      <c r="M919" s="26">
        <f t="shared" si="45"/>
        <v>0</v>
      </c>
      <c r="N919" s="26">
        <f t="shared" si="46"/>
        <v>0</v>
      </c>
      <c r="O919" s="26">
        <f t="shared" si="47"/>
        <v>1</v>
      </c>
    </row>
    <row r="920" spans="10:15" ht="21.75" customHeight="1">
      <c r="J920" s="18">
        <f>'GİRDİ RAPORU'!J1713</f>
        <v>0</v>
      </c>
      <c r="K920" s="18">
        <f>'GİRDİ RAPORU'!K1713</f>
        <v>0</v>
      </c>
      <c r="L920" s="18">
        <f>'GİRDİ RAPORU'!L1713</f>
        <v>0</v>
      </c>
      <c r="M920" s="26">
        <f t="shared" si="45"/>
        <v>0</v>
      </c>
      <c r="N920" s="26">
        <f t="shared" si="46"/>
        <v>0</v>
      </c>
      <c r="O920" s="26">
        <f t="shared" si="47"/>
        <v>1</v>
      </c>
    </row>
    <row r="921" spans="10:15" ht="21.75" customHeight="1">
      <c r="J921" s="18">
        <f>'GİRDİ RAPORU'!J1714</f>
        <v>0</v>
      </c>
      <c r="K921" s="18">
        <f>'GİRDİ RAPORU'!K1714</f>
        <v>0</v>
      </c>
      <c r="L921" s="18">
        <f>'GİRDİ RAPORU'!L1714</f>
        <v>0</v>
      </c>
      <c r="M921" s="26">
        <f t="shared" si="45"/>
        <v>0</v>
      </c>
      <c r="N921" s="26">
        <f t="shared" si="46"/>
        <v>0</v>
      </c>
      <c r="O921" s="26">
        <f t="shared" si="47"/>
        <v>1</v>
      </c>
    </row>
    <row r="922" spans="10:15" ht="21.75" customHeight="1">
      <c r="J922" s="18">
        <f>'GİRDİ RAPORU'!J1715</f>
        <v>0</v>
      </c>
      <c r="K922" s="18">
        <f>'GİRDİ RAPORU'!K1715</f>
        <v>0</v>
      </c>
      <c r="L922" s="18">
        <f>'GİRDİ RAPORU'!L1715</f>
        <v>0</v>
      </c>
      <c r="M922" s="26">
        <f t="shared" si="45"/>
        <v>0</v>
      </c>
      <c r="N922" s="26">
        <f t="shared" si="46"/>
        <v>0</v>
      </c>
      <c r="O922" s="26">
        <f t="shared" si="47"/>
        <v>1</v>
      </c>
    </row>
    <row r="923" spans="10:15" ht="21.75" customHeight="1">
      <c r="J923" s="18">
        <f>'GİRDİ RAPORU'!J1716</f>
        <v>0</v>
      </c>
      <c r="K923" s="18">
        <f>'GİRDİ RAPORU'!K1716</f>
        <v>0</v>
      </c>
      <c r="L923" s="18">
        <f>'GİRDİ RAPORU'!L1716</f>
        <v>0</v>
      </c>
      <c r="M923" s="26">
        <f t="shared" si="45"/>
        <v>0</v>
      </c>
      <c r="N923" s="26">
        <f t="shared" si="46"/>
        <v>0</v>
      </c>
      <c r="O923" s="26">
        <f t="shared" si="47"/>
        <v>1</v>
      </c>
    </row>
    <row r="924" spans="10:15" ht="21.75" customHeight="1">
      <c r="J924" s="18">
        <f>'GİRDİ RAPORU'!J1717</f>
        <v>0</v>
      </c>
      <c r="K924" s="18">
        <f>'GİRDİ RAPORU'!K1717</f>
        <v>0</v>
      </c>
      <c r="L924" s="18">
        <f>'GİRDİ RAPORU'!L1717</f>
        <v>0</v>
      </c>
      <c r="M924" s="26">
        <f t="shared" si="45"/>
        <v>0</v>
      </c>
      <c r="N924" s="26">
        <f t="shared" si="46"/>
        <v>0</v>
      </c>
      <c r="O924" s="26">
        <f t="shared" si="47"/>
        <v>1</v>
      </c>
    </row>
    <row r="925" spans="10:15" ht="21.75" customHeight="1">
      <c r="J925" s="18">
        <f>'GİRDİ RAPORU'!J1718</f>
        <v>0</v>
      </c>
      <c r="K925" s="18">
        <f>'GİRDİ RAPORU'!K1718</f>
        <v>0</v>
      </c>
      <c r="L925" s="18">
        <f>'GİRDİ RAPORU'!L1718</f>
        <v>0</v>
      </c>
      <c r="M925" s="26">
        <f t="shared" si="45"/>
        <v>0</v>
      </c>
      <c r="N925" s="26">
        <f t="shared" si="46"/>
        <v>0</v>
      </c>
      <c r="O925" s="26">
        <f t="shared" si="47"/>
        <v>1</v>
      </c>
    </row>
    <row r="926" spans="10:15" ht="21.75" customHeight="1">
      <c r="J926" s="18">
        <f>'GİRDİ RAPORU'!J1719</f>
        <v>0</v>
      </c>
      <c r="K926" s="18">
        <f>'GİRDİ RAPORU'!K1719</f>
        <v>0</v>
      </c>
      <c r="L926" s="18">
        <f>'GİRDİ RAPORU'!L1719</f>
        <v>0</v>
      </c>
      <c r="M926" s="26">
        <f t="shared" si="45"/>
        <v>0</v>
      </c>
      <c r="N926" s="26">
        <f t="shared" si="46"/>
        <v>0</v>
      </c>
      <c r="O926" s="26">
        <f t="shared" si="47"/>
        <v>1</v>
      </c>
    </row>
    <row r="927" spans="10:15" ht="21.75" customHeight="1">
      <c r="J927" s="18">
        <f>'GİRDİ RAPORU'!J1720</f>
        <v>0</v>
      </c>
      <c r="K927" s="18">
        <f>'GİRDİ RAPORU'!K1720</f>
        <v>0</v>
      </c>
      <c r="L927" s="18">
        <f>'GİRDİ RAPORU'!L1720</f>
        <v>0</v>
      </c>
      <c r="M927" s="26">
        <f t="shared" si="45"/>
        <v>0</v>
      </c>
      <c r="N927" s="26">
        <f t="shared" si="46"/>
        <v>0</v>
      </c>
      <c r="O927" s="26">
        <f t="shared" si="47"/>
        <v>1</v>
      </c>
    </row>
    <row r="928" spans="10:15" ht="21.75" customHeight="1">
      <c r="J928" s="18">
        <f>'GİRDİ RAPORU'!J1721</f>
        <v>0</v>
      </c>
      <c r="K928" s="18">
        <f>'GİRDİ RAPORU'!K1721</f>
        <v>0</v>
      </c>
      <c r="L928" s="18">
        <f>'GİRDİ RAPORU'!L1721</f>
        <v>0</v>
      </c>
      <c r="M928" s="26">
        <f t="shared" si="45"/>
        <v>0</v>
      </c>
      <c r="N928" s="26">
        <f t="shared" si="46"/>
        <v>0</v>
      </c>
      <c r="O928" s="26">
        <f t="shared" si="47"/>
        <v>1</v>
      </c>
    </row>
    <row r="929" spans="10:15" ht="21.75" customHeight="1">
      <c r="J929" s="18">
        <f>'GİRDİ RAPORU'!J1722</f>
        <v>0</v>
      </c>
      <c r="K929" s="18">
        <f>'GİRDİ RAPORU'!K1722</f>
        <v>0</v>
      </c>
      <c r="L929" s="18">
        <f>'GİRDİ RAPORU'!L1722</f>
        <v>0</v>
      </c>
      <c r="M929" s="26">
        <f t="shared" si="45"/>
        <v>0</v>
      </c>
      <c r="N929" s="26">
        <f t="shared" si="46"/>
        <v>0</v>
      </c>
      <c r="O929" s="26">
        <f t="shared" si="47"/>
        <v>1</v>
      </c>
    </row>
    <row r="930" spans="10:15" ht="21.75" customHeight="1">
      <c r="J930" s="18">
        <f>'GİRDİ RAPORU'!J1723</f>
        <v>0</v>
      </c>
      <c r="K930" s="18">
        <f>'GİRDİ RAPORU'!K1723</f>
        <v>0</v>
      </c>
      <c r="L930" s="18">
        <f>'GİRDİ RAPORU'!L1723</f>
        <v>0</v>
      </c>
      <c r="M930" s="26">
        <f t="shared" si="45"/>
        <v>0</v>
      </c>
      <c r="N930" s="26">
        <f t="shared" si="46"/>
        <v>0</v>
      </c>
      <c r="O930" s="26">
        <f t="shared" si="47"/>
        <v>1</v>
      </c>
    </row>
    <row r="931" spans="10:15" ht="21.75" customHeight="1">
      <c r="J931" s="18">
        <f>'GİRDİ RAPORU'!J1724</f>
        <v>0</v>
      </c>
      <c r="K931" s="18">
        <f>'GİRDİ RAPORU'!K1724</f>
        <v>0</v>
      </c>
      <c r="L931" s="18">
        <f>'GİRDİ RAPORU'!L1724</f>
        <v>0</v>
      </c>
      <c r="M931" s="26">
        <f t="shared" si="45"/>
        <v>0</v>
      </c>
      <c r="N931" s="26">
        <f t="shared" si="46"/>
        <v>0</v>
      </c>
      <c r="O931" s="26">
        <f t="shared" si="47"/>
        <v>1</v>
      </c>
    </row>
    <row r="932" spans="10:15" ht="21.75" customHeight="1">
      <c r="J932" s="18">
        <f>'GİRDİ RAPORU'!J1725</f>
        <v>0</v>
      </c>
      <c r="K932" s="18">
        <f>'GİRDİ RAPORU'!K1725</f>
        <v>0</v>
      </c>
      <c r="L932" s="18">
        <f>'GİRDİ RAPORU'!L1725</f>
        <v>0</v>
      </c>
      <c r="M932" s="26">
        <f t="shared" si="45"/>
        <v>0</v>
      </c>
      <c r="N932" s="26">
        <f t="shared" si="46"/>
        <v>0</v>
      </c>
      <c r="O932" s="26">
        <f t="shared" si="47"/>
        <v>1</v>
      </c>
    </row>
    <row r="933" spans="10:15" ht="21.75" customHeight="1">
      <c r="J933" s="18">
        <f>'GİRDİ RAPORU'!J1726</f>
        <v>0</v>
      </c>
      <c r="K933" s="18">
        <f>'GİRDİ RAPORU'!K1726</f>
        <v>0</v>
      </c>
      <c r="L933" s="18">
        <f>'GİRDİ RAPORU'!L1726</f>
        <v>0</v>
      </c>
      <c r="M933" s="26">
        <f t="shared" si="45"/>
        <v>0</v>
      </c>
      <c r="N933" s="26">
        <f t="shared" si="46"/>
        <v>0</v>
      </c>
      <c r="O933" s="26">
        <f t="shared" si="47"/>
        <v>1</v>
      </c>
    </row>
    <row r="934" spans="10:15" ht="21.75" customHeight="1">
      <c r="J934" s="18">
        <f>'GİRDİ RAPORU'!J1727</f>
        <v>0</v>
      </c>
      <c r="K934" s="18">
        <f>'GİRDİ RAPORU'!K1727</f>
        <v>0</v>
      </c>
      <c r="L934" s="18">
        <f>'GİRDİ RAPORU'!L1727</f>
        <v>0</v>
      </c>
      <c r="M934" s="26">
        <f t="shared" si="45"/>
        <v>0</v>
      </c>
      <c r="N934" s="26">
        <f t="shared" si="46"/>
        <v>0</v>
      </c>
      <c r="O934" s="26">
        <f t="shared" si="47"/>
        <v>1</v>
      </c>
    </row>
    <row r="935" spans="10:15" ht="21.75" customHeight="1">
      <c r="J935" s="18">
        <f>'GİRDİ RAPORU'!J1728</f>
        <v>0</v>
      </c>
      <c r="K935" s="18">
        <f>'GİRDİ RAPORU'!K1728</f>
        <v>0</v>
      </c>
      <c r="L935" s="18">
        <f>'GİRDİ RAPORU'!L1728</f>
        <v>0</v>
      </c>
      <c r="M935" s="26">
        <f t="shared" si="45"/>
        <v>0</v>
      </c>
      <c r="N935" s="26">
        <f t="shared" si="46"/>
        <v>0</v>
      </c>
      <c r="O935" s="26">
        <f t="shared" si="47"/>
        <v>1</v>
      </c>
    </row>
    <row r="936" spans="10:15" ht="21.75" customHeight="1">
      <c r="J936" s="18">
        <f>'GİRDİ RAPORU'!J1729</f>
        <v>0</v>
      </c>
      <c r="K936" s="18">
        <f>'GİRDİ RAPORU'!K1729</f>
        <v>0</v>
      </c>
      <c r="L936" s="18">
        <f>'GİRDİ RAPORU'!L1729</f>
        <v>0</v>
      </c>
      <c r="M936" s="26">
        <f t="shared" si="45"/>
        <v>0</v>
      </c>
      <c r="N936" s="26">
        <f t="shared" si="46"/>
        <v>0</v>
      </c>
      <c r="O936" s="26">
        <f t="shared" si="47"/>
        <v>1</v>
      </c>
    </row>
    <row r="937" spans="10:15" ht="21.75" customHeight="1">
      <c r="J937" s="18">
        <f>'GİRDİ RAPORU'!J1730</f>
        <v>0</v>
      </c>
      <c r="K937" s="18">
        <f>'GİRDİ RAPORU'!K1730</f>
        <v>0</v>
      </c>
      <c r="L937" s="18">
        <f>'GİRDİ RAPORU'!L1730</f>
        <v>0</v>
      </c>
      <c r="M937" s="26">
        <f t="shared" si="45"/>
        <v>0</v>
      </c>
      <c r="N937" s="26">
        <f t="shared" si="46"/>
        <v>0</v>
      </c>
      <c r="O937" s="26">
        <f t="shared" si="47"/>
        <v>1</v>
      </c>
    </row>
    <row r="938" spans="10:15" ht="21.75" customHeight="1">
      <c r="J938" s="18">
        <f>'GİRDİ RAPORU'!J1731</f>
        <v>0</v>
      </c>
      <c r="K938" s="18">
        <f>'GİRDİ RAPORU'!K1731</f>
        <v>0</v>
      </c>
      <c r="L938" s="18">
        <f>'GİRDİ RAPORU'!L1731</f>
        <v>0</v>
      </c>
      <c r="M938" s="26">
        <f t="shared" si="45"/>
        <v>0</v>
      </c>
      <c r="N938" s="26">
        <f t="shared" si="46"/>
        <v>0</v>
      </c>
      <c r="O938" s="26">
        <f t="shared" si="47"/>
        <v>1</v>
      </c>
    </row>
    <row r="939" spans="10:15" ht="21.75" customHeight="1">
      <c r="J939" s="18">
        <f>'GİRDİ RAPORU'!J1732</f>
        <v>0</v>
      </c>
      <c r="K939" s="18">
        <f>'GİRDİ RAPORU'!K1732</f>
        <v>0</v>
      </c>
      <c r="L939" s="18">
        <f>'GİRDİ RAPORU'!L1732</f>
        <v>0</v>
      </c>
      <c r="M939" s="26">
        <f t="shared" si="45"/>
        <v>0</v>
      </c>
      <c r="N939" s="26">
        <f t="shared" si="46"/>
        <v>0</v>
      </c>
      <c r="O939" s="26">
        <f t="shared" si="47"/>
        <v>1</v>
      </c>
    </row>
    <row r="940" spans="10:15" ht="21.75" customHeight="1">
      <c r="J940" s="18">
        <f>'GİRDİ RAPORU'!J1733</f>
        <v>0</v>
      </c>
      <c r="K940" s="18">
        <f>'GİRDİ RAPORU'!K1733</f>
        <v>0</v>
      </c>
      <c r="L940" s="18">
        <f>'GİRDİ RAPORU'!L1733</f>
        <v>0</v>
      </c>
      <c r="M940" s="26">
        <f t="shared" si="45"/>
        <v>0</v>
      </c>
      <c r="N940" s="26">
        <f t="shared" si="46"/>
        <v>0</v>
      </c>
      <c r="O940" s="26">
        <f t="shared" si="47"/>
        <v>1</v>
      </c>
    </row>
    <row r="941" spans="10:15" ht="21.75" customHeight="1">
      <c r="J941" s="18">
        <f>'GİRDİ RAPORU'!J1734</f>
        <v>0</v>
      </c>
      <c r="K941" s="18">
        <f>'GİRDİ RAPORU'!K1734</f>
        <v>0</v>
      </c>
      <c r="L941" s="18">
        <f>'GİRDİ RAPORU'!L1734</f>
        <v>0</v>
      </c>
      <c r="M941" s="26">
        <f t="shared" si="45"/>
        <v>0</v>
      </c>
      <c r="N941" s="26">
        <f t="shared" si="46"/>
        <v>0</v>
      </c>
      <c r="O941" s="26">
        <f t="shared" si="47"/>
        <v>1</v>
      </c>
    </row>
    <row r="942" spans="10:15" ht="21.75" customHeight="1">
      <c r="J942" s="18">
        <f>'GİRDİ RAPORU'!J1735</f>
        <v>0</v>
      </c>
      <c r="K942" s="18">
        <f>'GİRDİ RAPORU'!K1735</f>
        <v>0</v>
      </c>
      <c r="L942" s="18">
        <f>'GİRDİ RAPORU'!L1735</f>
        <v>0</v>
      </c>
      <c r="M942" s="26">
        <f t="shared" si="45"/>
        <v>0</v>
      </c>
      <c r="N942" s="26">
        <f t="shared" si="46"/>
        <v>0</v>
      </c>
      <c r="O942" s="26">
        <f t="shared" si="47"/>
        <v>1</v>
      </c>
    </row>
    <row r="943" spans="10:15" ht="21.75" customHeight="1">
      <c r="J943" s="18">
        <f>'GİRDİ RAPORU'!J1736</f>
        <v>0</v>
      </c>
      <c r="K943" s="18">
        <f>'GİRDİ RAPORU'!K1736</f>
        <v>0</v>
      </c>
      <c r="L943" s="18">
        <f>'GİRDİ RAPORU'!L1736</f>
        <v>0</v>
      </c>
      <c r="M943" s="26">
        <f t="shared" si="45"/>
        <v>0</v>
      </c>
      <c r="N943" s="26">
        <f t="shared" si="46"/>
        <v>0</v>
      </c>
      <c r="O943" s="26">
        <f t="shared" si="47"/>
        <v>1</v>
      </c>
    </row>
    <row r="944" spans="10:15" ht="21.75" customHeight="1">
      <c r="J944" s="18">
        <f>'GİRDİ RAPORU'!J1737</f>
        <v>0</v>
      </c>
      <c r="K944" s="18">
        <f>'GİRDİ RAPORU'!K1737</f>
        <v>0</v>
      </c>
      <c r="L944" s="18">
        <f>'GİRDİ RAPORU'!L1737</f>
        <v>0</v>
      </c>
      <c r="M944" s="26">
        <f t="shared" si="45"/>
        <v>0</v>
      </c>
      <c r="N944" s="26">
        <f t="shared" si="46"/>
        <v>0</v>
      </c>
      <c r="O944" s="26">
        <f t="shared" si="47"/>
        <v>1</v>
      </c>
    </row>
    <row r="945" spans="10:15" ht="21.75" customHeight="1">
      <c r="J945" s="18">
        <f>'GİRDİ RAPORU'!J1738</f>
        <v>0</v>
      </c>
      <c r="K945" s="18">
        <f>'GİRDİ RAPORU'!K1738</f>
        <v>0</v>
      </c>
      <c r="L945" s="18">
        <f>'GİRDİ RAPORU'!L1738</f>
        <v>0</v>
      </c>
      <c r="M945" s="26">
        <f t="shared" si="45"/>
        <v>0</v>
      </c>
      <c r="N945" s="26">
        <f t="shared" si="46"/>
        <v>0</v>
      </c>
      <c r="O945" s="26">
        <f t="shared" si="47"/>
        <v>1</v>
      </c>
    </row>
    <row r="946" spans="10:15" ht="21.75" customHeight="1">
      <c r="J946" s="18">
        <f>'GİRDİ RAPORU'!J1739</f>
        <v>0</v>
      </c>
      <c r="K946" s="18">
        <f>'GİRDİ RAPORU'!K1739</f>
        <v>0</v>
      </c>
      <c r="L946" s="18">
        <f>'GİRDİ RAPORU'!L1739</f>
        <v>0</v>
      </c>
      <c r="M946" s="26">
        <f t="shared" si="45"/>
        <v>0</v>
      </c>
      <c r="N946" s="26">
        <f t="shared" si="46"/>
        <v>0</v>
      </c>
      <c r="O946" s="26">
        <f t="shared" si="47"/>
        <v>1</v>
      </c>
    </row>
    <row r="947" spans="10:15" ht="21.75" customHeight="1">
      <c r="J947" s="18">
        <f>'GİRDİ RAPORU'!J1740</f>
        <v>0</v>
      </c>
      <c r="K947" s="18">
        <f>'GİRDİ RAPORU'!K1740</f>
        <v>0</v>
      </c>
      <c r="L947" s="18">
        <f>'GİRDİ RAPORU'!L1740</f>
        <v>0</v>
      </c>
      <c r="M947" s="26">
        <f t="shared" si="45"/>
        <v>0</v>
      </c>
      <c r="N947" s="26">
        <f t="shared" si="46"/>
        <v>0</v>
      </c>
      <c r="O947" s="26">
        <f t="shared" si="47"/>
        <v>1</v>
      </c>
    </row>
    <row r="948" spans="10:15" ht="21.75" customHeight="1">
      <c r="J948" s="18">
        <f>'GİRDİ RAPORU'!J1741</f>
        <v>0</v>
      </c>
      <c r="K948" s="18">
        <f>'GİRDİ RAPORU'!K1741</f>
        <v>0</v>
      </c>
      <c r="L948" s="18">
        <f>'GİRDİ RAPORU'!L1741</f>
        <v>0</v>
      </c>
      <c r="M948" s="26">
        <f t="shared" si="45"/>
        <v>0</v>
      </c>
      <c r="N948" s="26">
        <f t="shared" si="46"/>
        <v>0</v>
      </c>
      <c r="O948" s="26">
        <f t="shared" si="47"/>
        <v>1</v>
      </c>
    </row>
    <row r="949" spans="10:15" ht="21.75" customHeight="1">
      <c r="J949" s="18">
        <f>'GİRDİ RAPORU'!J1742</f>
        <v>0</v>
      </c>
      <c r="K949" s="18">
        <f>'GİRDİ RAPORU'!K1742</f>
        <v>0</v>
      </c>
      <c r="L949" s="18">
        <f>'GİRDİ RAPORU'!L1742</f>
        <v>0</v>
      </c>
      <c r="M949" s="26">
        <f t="shared" si="45"/>
        <v>0</v>
      </c>
      <c r="N949" s="26">
        <f t="shared" si="46"/>
        <v>0</v>
      </c>
      <c r="O949" s="26">
        <f t="shared" si="47"/>
        <v>1</v>
      </c>
    </row>
    <row r="950" spans="10:15" ht="21.75" customHeight="1">
      <c r="J950" s="18">
        <f>'GİRDİ RAPORU'!J1743</f>
        <v>0</v>
      </c>
      <c r="K950" s="18">
        <f>'GİRDİ RAPORU'!K1743</f>
        <v>0</v>
      </c>
      <c r="L950" s="18">
        <f>'GİRDİ RAPORU'!L1743</f>
        <v>0</v>
      </c>
      <c r="M950" s="26">
        <f t="shared" si="45"/>
        <v>0</v>
      </c>
      <c r="N950" s="26">
        <f t="shared" si="46"/>
        <v>0</v>
      </c>
      <c r="O950" s="26">
        <f t="shared" si="47"/>
        <v>1</v>
      </c>
    </row>
    <row r="951" spans="10:15" ht="21.75" customHeight="1">
      <c r="J951" s="18">
        <f>'GİRDİ RAPORU'!J1744</f>
        <v>0</v>
      </c>
      <c r="K951" s="18">
        <f>'GİRDİ RAPORU'!K1744</f>
        <v>0</v>
      </c>
      <c r="L951" s="18">
        <f>'GİRDİ RAPORU'!L1744</f>
        <v>0</v>
      </c>
      <c r="M951" s="26">
        <f t="shared" si="45"/>
        <v>0</v>
      </c>
      <c r="N951" s="26">
        <f t="shared" si="46"/>
        <v>0</v>
      </c>
      <c r="O951" s="26">
        <f t="shared" si="47"/>
        <v>1</v>
      </c>
    </row>
    <row r="952" spans="10:15" ht="21.75" customHeight="1">
      <c r="J952" s="18">
        <f>'GİRDİ RAPORU'!J1745</f>
        <v>0</v>
      </c>
      <c r="K952" s="18">
        <f>'GİRDİ RAPORU'!K1745</f>
        <v>0</v>
      </c>
      <c r="L952" s="18">
        <f>'GİRDİ RAPORU'!L1745</f>
        <v>0</v>
      </c>
      <c r="M952" s="26">
        <f t="shared" si="45"/>
        <v>0</v>
      </c>
      <c r="N952" s="26">
        <f t="shared" si="46"/>
        <v>0</v>
      </c>
      <c r="O952" s="26">
        <f t="shared" si="47"/>
        <v>1</v>
      </c>
    </row>
    <row r="953" spans="10:15" ht="21.75" customHeight="1">
      <c r="J953" s="18">
        <f>'GİRDİ RAPORU'!J1746</f>
        <v>0</v>
      </c>
      <c r="K953" s="18">
        <f>'GİRDİ RAPORU'!K1746</f>
        <v>0</v>
      </c>
      <c r="L953" s="18">
        <f>'GİRDİ RAPORU'!L1746</f>
        <v>0</v>
      </c>
      <c r="M953" s="26">
        <f t="shared" si="45"/>
        <v>0</v>
      </c>
      <c r="N953" s="26">
        <f t="shared" si="46"/>
        <v>0</v>
      </c>
      <c r="O953" s="26">
        <f t="shared" si="47"/>
        <v>1</v>
      </c>
    </row>
    <row r="954" spans="10:15" ht="21.75" customHeight="1">
      <c r="J954" s="18">
        <f>'GİRDİ RAPORU'!J1747</f>
        <v>0</v>
      </c>
      <c r="K954" s="18">
        <f>'GİRDİ RAPORU'!K1747</f>
        <v>0</v>
      </c>
      <c r="L954" s="18">
        <f>'GİRDİ RAPORU'!L1747</f>
        <v>0</v>
      </c>
      <c r="M954" s="26">
        <f t="shared" si="45"/>
        <v>0</v>
      </c>
      <c r="N954" s="26">
        <f t="shared" si="46"/>
        <v>0</v>
      </c>
      <c r="O954" s="26">
        <f t="shared" si="47"/>
        <v>1</v>
      </c>
    </row>
    <row r="955" spans="10:15" ht="21.75" customHeight="1">
      <c r="J955" s="18">
        <f>'GİRDİ RAPORU'!J1748</f>
        <v>0</v>
      </c>
      <c r="K955" s="18">
        <f>'GİRDİ RAPORU'!K1748</f>
        <v>0</v>
      </c>
      <c r="L955" s="18">
        <f>'GİRDİ RAPORU'!L1748</f>
        <v>0</v>
      </c>
      <c r="M955" s="26">
        <f t="shared" si="45"/>
        <v>0</v>
      </c>
      <c r="N955" s="26">
        <f t="shared" si="46"/>
        <v>0</v>
      </c>
      <c r="O955" s="26">
        <f t="shared" si="47"/>
        <v>1</v>
      </c>
    </row>
    <row r="956" spans="10:15" ht="21.75" customHeight="1">
      <c r="J956" s="18">
        <f>'GİRDİ RAPORU'!J1749</f>
        <v>0</v>
      </c>
      <c r="K956" s="18">
        <f>'GİRDİ RAPORU'!K1749</f>
        <v>0</v>
      </c>
      <c r="L956" s="18">
        <f>'GİRDİ RAPORU'!L1749</f>
        <v>0</v>
      </c>
      <c r="M956" s="26">
        <f t="shared" ref="M956:M1004" si="48">(C956+D956)/750</f>
        <v>0</v>
      </c>
      <c r="N956" s="26">
        <f t="shared" ref="N956:N1004" si="49">(F956+H956+J956)/540</f>
        <v>0</v>
      </c>
      <c r="O956" s="26">
        <f t="shared" ref="O956:O1004" si="50">(540-F956-H956-J956)/540</f>
        <v>1</v>
      </c>
    </row>
    <row r="957" spans="10:15" ht="21.75" customHeight="1">
      <c r="J957" s="18">
        <f>'GİRDİ RAPORU'!J1750</f>
        <v>0</v>
      </c>
      <c r="K957" s="18">
        <f>'GİRDİ RAPORU'!K1750</f>
        <v>0</v>
      </c>
      <c r="L957" s="18">
        <f>'GİRDİ RAPORU'!L1750</f>
        <v>0</v>
      </c>
      <c r="M957" s="26">
        <f t="shared" si="48"/>
        <v>0</v>
      </c>
      <c r="N957" s="26">
        <f t="shared" si="49"/>
        <v>0</v>
      </c>
      <c r="O957" s="26">
        <f t="shared" si="50"/>
        <v>1</v>
      </c>
    </row>
    <row r="958" spans="10:15" ht="21.75" customHeight="1">
      <c r="J958" s="18">
        <f>'GİRDİ RAPORU'!J1751</f>
        <v>0</v>
      </c>
      <c r="K958" s="18">
        <f>'GİRDİ RAPORU'!K1751</f>
        <v>0</v>
      </c>
      <c r="L958" s="18">
        <f>'GİRDİ RAPORU'!L1751</f>
        <v>0</v>
      </c>
      <c r="M958" s="26">
        <f t="shared" si="48"/>
        <v>0</v>
      </c>
      <c r="N958" s="26">
        <f t="shared" si="49"/>
        <v>0</v>
      </c>
      <c r="O958" s="26">
        <f t="shared" si="50"/>
        <v>1</v>
      </c>
    </row>
    <row r="959" spans="10:15" ht="21.75" customHeight="1">
      <c r="J959" s="18">
        <f>'GİRDİ RAPORU'!J1752</f>
        <v>0</v>
      </c>
      <c r="K959" s="18">
        <f>'GİRDİ RAPORU'!K1752</f>
        <v>0</v>
      </c>
      <c r="L959" s="18">
        <f>'GİRDİ RAPORU'!L1752</f>
        <v>0</v>
      </c>
      <c r="M959" s="26">
        <f t="shared" si="48"/>
        <v>0</v>
      </c>
      <c r="N959" s="26">
        <f t="shared" si="49"/>
        <v>0</v>
      </c>
      <c r="O959" s="26">
        <f t="shared" si="50"/>
        <v>1</v>
      </c>
    </row>
    <row r="960" spans="10:15" ht="21.75" customHeight="1">
      <c r="J960" s="18">
        <f>'GİRDİ RAPORU'!J1753</f>
        <v>0</v>
      </c>
      <c r="K960" s="18">
        <f>'GİRDİ RAPORU'!K1753</f>
        <v>0</v>
      </c>
      <c r="L960" s="18">
        <f>'GİRDİ RAPORU'!L1753</f>
        <v>0</v>
      </c>
      <c r="M960" s="26">
        <f t="shared" si="48"/>
        <v>0</v>
      </c>
      <c r="N960" s="26">
        <f t="shared" si="49"/>
        <v>0</v>
      </c>
      <c r="O960" s="26">
        <f t="shared" si="50"/>
        <v>1</v>
      </c>
    </row>
    <row r="961" spans="10:15" ht="21.75" customHeight="1">
      <c r="J961" s="18">
        <f>'GİRDİ RAPORU'!J1754</f>
        <v>0</v>
      </c>
      <c r="K961" s="18">
        <f>'GİRDİ RAPORU'!K1754</f>
        <v>0</v>
      </c>
      <c r="L961" s="18">
        <f>'GİRDİ RAPORU'!L1754</f>
        <v>0</v>
      </c>
      <c r="M961" s="26">
        <f t="shared" si="48"/>
        <v>0</v>
      </c>
      <c r="N961" s="26">
        <f t="shared" si="49"/>
        <v>0</v>
      </c>
      <c r="O961" s="26">
        <f t="shared" si="50"/>
        <v>1</v>
      </c>
    </row>
    <row r="962" spans="10:15" ht="21.75" customHeight="1">
      <c r="J962" s="18">
        <f>'GİRDİ RAPORU'!J1755</f>
        <v>0</v>
      </c>
      <c r="K962" s="18">
        <f>'GİRDİ RAPORU'!K1755</f>
        <v>0</v>
      </c>
      <c r="L962" s="18">
        <f>'GİRDİ RAPORU'!L1755</f>
        <v>0</v>
      </c>
      <c r="M962" s="26">
        <f t="shared" si="48"/>
        <v>0</v>
      </c>
      <c r="N962" s="26">
        <f t="shared" si="49"/>
        <v>0</v>
      </c>
      <c r="O962" s="26">
        <f t="shared" si="50"/>
        <v>1</v>
      </c>
    </row>
    <row r="963" spans="10:15" ht="21.75" customHeight="1">
      <c r="J963" s="18">
        <f>'GİRDİ RAPORU'!J1756</f>
        <v>0</v>
      </c>
      <c r="K963" s="18">
        <f>'GİRDİ RAPORU'!K1756</f>
        <v>0</v>
      </c>
      <c r="L963" s="18">
        <f>'GİRDİ RAPORU'!L1756</f>
        <v>0</v>
      </c>
      <c r="M963" s="26">
        <f t="shared" si="48"/>
        <v>0</v>
      </c>
      <c r="N963" s="26">
        <f t="shared" si="49"/>
        <v>0</v>
      </c>
      <c r="O963" s="26">
        <f t="shared" si="50"/>
        <v>1</v>
      </c>
    </row>
    <row r="964" spans="10:15" ht="21.75" customHeight="1">
      <c r="J964" s="18">
        <f>'GİRDİ RAPORU'!J1757</f>
        <v>0</v>
      </c>
      <c r="K964" s="18">
        <f>'GİRDİ RAPORU'!K1757</f>
        <v>0</v>
      </c>
      <c r="L964" s="18">
        <f>'GİRDİ RAPORU'!L1757</f>
        <v>0</v>
      </c>
      <c r="M964" s="26">
        <f t="shared" si="48"/>
        <v>0</v>
      </c>
      <c r="N964" s="26">
        <f t="shared" si="49"/>
        <v>0</v>
      </c>
      <c r="O964" s="26">
        <f t="shared" si="50"/>
        <v>1</v>
      </c>
    </row>
    <row r="965" spans="10:15" ht="21.75" customHeight="1">
      <c r="J965" s="18">
        <f>'GİRDİ RAPORU'!J1758</f>
        <v>0</v>
      </c>
      <c r="K965" s="18">
        <f>'GİRDİ RAPORU'!K1758</f>
        <v>0</v>
      </c>
      <c r="L965" s="18">
        <f>'GİRDİ RAPORU'!L1758</f>
        <v>0</v>
      </c>
      <c r="M965" s="26">
        <f t="shared" si="48"/>
        <v>0</v>
      </c>
      <c r="N965" s="26">
        <f t="shared" si="49"/>
        <v>0</v>
      </c>
      <c r="O965" s="26">
        <f t="shared" si="50"/>
        <v>1</v>
      </c>
    </row>
    <row r="966" spans="10:15" ht="21.75" customHeight="1">
      <c r="J966" s="18">
        <f>'GİRDİ RAPORU'!J1759</f>
        <v>0</v>
      </c>
      <c r="K966" s="18">
        <f>'GİRDİ RAPORU'!K1759</f>
        <v>0</v>
      </c>
      <c r="L966" s="18">
        <f>'GİRDİ RAPORU'!L1759</f>
        <v>0</v>
      </c>
      <c r="M966" s="26">
        <f t="shared" si="48"/>
        <v>0</v>
      </c>
      <c r="N966" s="26">
        <f t="shared" si="49"/>
        <v>0</v>
      </c>
      <c r="O966" s="26">
        <f t="shared" si="50"/>
        <v>1</v>
      </c>
    </row>
    <row r="967" spans="10:15" ht="21.75" customHeight="1">
      <c r="J967" s="18">
        <f>'GİRDİ RAPORU'!J1760</f>
        <v>0</v>
      </c>
      <c r="K967" s="18">
        <f>'GİRDİ RAPORU'!K1760</f>
        <v>0</v>
      </c>
      <c r="L967" s="18">
        <f>'GİRDİ RAPORU'!L1760</f>
        <v>0</v>
      </c>
      <c r="M967" s="26">
        <f t="shared" si="48"/>
        <v>0</v>
      </c>
      <c r="N967" s="26">
        <f t="shared" si="49"/>
        <v>0</v>
      </c>
      <c r="O967" s="26">
        <f t="shared" si="50"/>
        <v>1</v>
      </c>
    </row>
    <row r="968" spans="10:15" ht="21.75" customHeight="1">
      <c r="J968" s="18">
        <f>'GİRDİ RAPORU'!J1761</f>
        <v>0</v>
      </c>
      <c r="K968" s="18">
        <f>'GİRDİ RAPORU'!K1761</f>
        <v>0</v>
      </c>
      <c r="L968" s="18">
        <f>'GİRDİ RAPORU'!L1761</f>
        <v>0</v>
      </c>
      <c r="M968" s="26">
        <f t="shared" si="48"/>
        <v>0</v>
      </c>
      <c r="N968" s="26">
        <f t="shared" si="49"/>
        <v>0</v>
      </c>
      <c r="O968" s="26">
        <f t="shared" si="50"/>
        <v>1</v>
      </c>
    </row>
    <row r="969" spans="10:15" ht="21.75" customHeight="1">
      <c r="J969" s="18">
        <f>'GİRDİ RAPORU'!J1762</f>
        <v>0</v>
      </c>
      <c r="K969" s="18">
        <f>'GİRDİ RAPORU'!K1762</f>
        <v>0</v>
      </c>
      <c r="L969" s="18">
        <f>'GİRDİ RAPORU'!L1762</f>
        <v>0</v>
      </c>
      <c r="M969" s="26">
        <f t="shared" si="48"/>
        <v>0</v>
      </c>
      <c r="N969" s="26">
        <f t="shared" si="49"/>
        <v>0</v>
      </c>
      <c r="O969" s="26">
        <f t="shared" si="50"/>
        <v>1</v>
      </c>
    </row>
    <row r="970" spans="10:15" ht="21.75" customHeight="1">
      <c r="J970" s="18">
        <f>'GİRDİ RAPORU'!J1763</f>
        <v>0</v>
      </c>
      <c r="K970" s="18">
        <f>'GİRDİ RAPORU'!K1763</f>
        <v>0</v>
      </c>
      <c r="L970" s="18">
        <f>'GİRDİ RAPORU'!L1763</f>
        <v>0</v>
      </c>
      <c r="M970" s="26">
        <f t="shared" si="48"/>
        <v>0</v>
      </c>
      <c r="N970" s="26">
        <f t="shared" si="49"/>
        <v>0</v>
      </c>
      <c r="O970" s="26">
        <f t="shared" si="50"/>
        <v>1</v>
      </c>
    </row>
    <row r="971" spans="10:15" ht="21.75" customHeight="1">
      <c r="J971" s="18">
        <f>'GİRDİ RAPORU'!J1764</f>
        <v>0</v>
      </c>
      <c r="K971" s="18">
        <f>'GİRDİ RAPORU'!K1764</f>
        <v>0</v>
      </c>
      <c r="L971" s="18">
        <f>'GİRDİ RAPORU'!L1764</f>
        <v>0</v>
      </c>
      <c r="M971" s="26">
        <f t="shared" si="48"/>
        <v>0</v>
      </c>
      <c r="N971" s="26">
        <f t="shared" si="49"/>
        <v>0</v>
      </c>
      <c r="O971" s="26">
        <f t="shared" si="50"/>
        <v>1</v>
      </c>
    </row>
    <row r="972" spans="10:15" ht="21.75" customHeight="1">
      <c r="J972" s="18">
        <f>'GİRDİ RAPORU'!J1765</f>
        <v>0</v>
      </c>
      <c r="K972" s="18">
        <f>'GİRDİ RAPORU'!K1765</f>
        <v>0</v>
      </c>
      <c r="L972" s="18">
        <f>'GİRDİ RAPORU'!L1765</f>
        <v>0</v>
      </c>
      <c r="M972" s="26">
        <f t="shared" si="48"/>
        <v>0</v>
      </c>
      <c r="N972" s="26">
        <f t="shared" si="49"/>
        <v>0</v>
      </c>
      <c r="O972" s="26">
        <f t="shared" si="50"/>
        <v>1</v>
      </c>
    </row>
    <row r="973" spans="10:15" ht="21.75" customHeight="1">
      <c r="J973" s="18">
        <f>'GİRDİ RAPORU'!J1766</f>
        <v>0</v>
      </c>
      <c r="K973" s="18">
        <f>'GİRDİ RAPORU'!K1766</f>
        <v>0</v>
      </c>
      <c r="L973" s="18">
        <f>'GİRDİ RAPORU'!L1766</f>
        <v>0</v>
      </c>
      <c r="M973" s="26">
        <f t="shared" si="48"/>
        <v>0</v>
      </c>
      <c r="N973" s="26">
        <f t="shared" si="49"/>
        <v>0</v>
      </c>
      <c r="O973" s="26">
        <f t="shared" si="50"/>
        <v>1</v>
      </c>
    </row>
    <row r="974" spans="10:15" ht="21.75" customHeight="1">
      <c r="J974" s="18">
        <f>'GİRDİ RAPORU'!J1767</f>
        <v>0</v>
      </c>
      <c r="K974" s="18">
        <f>'GİRDİ RAPORU'!K1767</f>
        <v>0</v>
      </c>
      <c r="L974" s="18">
        <f>'GİRDİ RAPORU'!L1767</f>
        <v>0</v>
      </c>
      <c r="M974" s="26">
        <f t="shared" si="48"/>
        <v>0</v>
      </c>
      <c r="N974" s="26">
        <f t="shared" si="49"/>
        <v>0</v>
      </c>
      <c r="O974" s="26">
        <f t="shared" si="50"/>
        <v>1</v>
      </c>
    </row>
    <row r="975" spans="10:15" ht="21.75" customHeight="1">
      <c r="J975" s="18">
        <f>'GİRDİ RAPORU'!J1768</f>
        <v>0</v>
      </c>
      <c r="K975" s="18">
        <f>'GİRDİ RAPORU'!K1768</f>
        <v>0</v>
      </c>
      <c r="L975" s="18">
        <f>'GİRDİ RAPORU'!L1768</f>
        <v>0</v>
      </c>
      <c r="M975" s="26">
        <f t="shared" si="48"/>
        <v>0</v>
      </c>
      <c r="N975" s="26">
        <f t="shared" si="49"/>
        <v>0</v>
      </c>
      <c r="O975" s="26">
        <f t="shared" si="50"/>
        <v>1</v>
      </c>
    </row>
    <row r="976" spans="10:15" ht="21.75" customHeight="1">
      <c r="J976" s="18">
        <f>'GİRDİ RAPORU'!J1769</f>
        <v>0</v>
      </c>
      <c r="K976" s="18">
        <f>'GİRDİ RAPORU'!K1769</f>
        <v>0</v>
      </c>
      <c r="L976" s="18">
        <f>'GİRDİ RAPORU'!L1769</f>
        <v>0</v>
      </c>
      <c r="M976" s="26">
        <f t="shared" si="48"/>
        <v>0</v>
      </c>
      <c r="N976" s="26">
        <f t="shared" si="49"/>
        <v>0</v>
      </c>
      <c r="O976" s="26">
        <f t="shared" si="50"/>
        <v>1</v>
      </c>
    </row>
    <row r="977" spans="10:15" ht="21.75" customHeight="1">
      <c r="J977" s="18">
        <f>'GİRDİ RAPORU'!J1770</f>
        <v>0</v>
      </c>
      <c r="K977" s="18">
        <f>'GİRDİ RAPORU'!K1770</f>
        <v>0</v>
      </c>
      <c r="L977" s="18">
        <f>'GİRDİ RAPORU'!L1770</f>
        <v>0</v>
      </c>
      <c r="M977" s="26">
        <f t="shared" si="48"/>
        <v>0</v>
      </c>
      <c r="N977" s="26">
        <f t="shared" si="49"/>
        <v>0</v>
      </c>
      <c r="O977" s="26">
        <f t="shared" si="50"/>
        <v>1</v>
      </c>
    </row>
    <row r="978" spans="10:15" ht="21.75" customHeight="1">
      <c r="J978" s="18">
        <f>'GİRDİ RAPORU'!J1771</f>
        <v>0</v>
      </c>
      <c r="K978" s="18">
        <f>'GİRDİ RAPORU'!K1771</f>
        <v>0</v>
      </c>
      <c r="L978" s="18">
        <f>'GİRDİ RAPORU'!L1771</f>
        <v>0</v>
      </c>
      <c r="M978" s="26">
        <f t="shared" si="48"/>
        <v>0</v>
      </c>
      <c r="N978" s="26">
        <f t="shared" si="49"/>
        <v>0</v>
      </c>
      <c r="O978" s="26">
        <f t="shared" si="50"/>
        <v>1</v>
      </c>
    </row>
    <row r="979" spans="10:15" ht="21.75" customHeight="1">
      <c r="J979" s="18">
        <f>'GİRDİ RAPORU'!J1772</f>
        <v>0</v>
      </c>
      <c r="K979" s="18">
        <f>'GİRDİ RAPORU'!K1772</f>
        <v>0</v>
      </c>
      <c r="L979" s="18">
        <f>'GİRDİ RAPORU'!L1772</f>
        <v>0</v>
      </c>
      <c r="M979" s="26">
        <f t="shared" si="48"/>
        <v>0</v>
      </c>
      <c r="N979" s="26">
        <f t="shared" si="49"/>
        <v>0</v>
      </c>
      <c r="O979" s="26">
        <f t="shared" si="50"/>
        <v>1</v>
      </c>
    </row>
    <row r="980" spans="10:15" ht="21.75" customHeight="1">
      <c r="J980" s="18">
        <f>'GİRDİ RAPORU'!J1773</f>
        <v>0</v>
      </c>
      <c r="K980" s="18">
        <f>'GİRDİ RAPORU'!K1773</f>
        <v>0</v>
      </c>
      <c r="L980" s="18">
        <f>'GİRDİ RAPORU'!L1773</f>
        <v>0</v>
      </c>
      <c r="M980" s="26">
        <f t="shared" si="48"/>
        <v>0</v>
      </c>
      <c r="N980" s="26">
        <f t="shared" si="49"/>
        <v>0</v>
      </c>
      <c r="O980" s="26">
        <f t="shared" si="50"/>
        <v>1</v>
      </c>
    </row>
    <row r="981" spans="10:15" ht="21.75" customHeight="1">
      <c r="J981" s="18">
        <f>'GİRDİ RAPORU'!J1774</f>
        <v>0</v>
      </c>
      <c r="K981" s="18">
        <f>'GİRDİ RAPORU'!K1774</f>
        <v>0</v>
      </c>
      <c r="L981" s="18">
        <f>'GİRDİ RAPORU'!L1774</f>
        <v>0</v>
      </c>
      <c r="M981" s="26">
        <f t="shared" si="48"/>
        <v>0</v>
      </c>
      <c r="N981" s="26">
        <f t="shared" si="49"/>
        <v>0</v>
      </c>
      <c r="O981" s="26">
        <f t="shared" si="50"/>
        <v>1</v>
      </c>
    </row>
    <row r="982" spans="10:15" ht="21.75" customHeight="1">
      <c r="J982" s="18">
        <f>'GİRDİ RAPORU'!J1775</f>
        <v>0</v>
      </c>
      <c r="K982" s="18">
        <f>'GİRDİ RAPORU'!K1775</f>
        <v>0</v>
      </c>
      <c r="L982" s="18">
        <f>'GİRDİ RAPORU'!L1775</f>
        <v>0</v>
      </c>
      <c r="M982" s="26">
        <f t="shared" si="48"/>
        <v>0</v>
      </c>
      <c r="N982" s="26">
        <f t="shared" si="49"/>
        <v>0</v>
      </c>
      <c r="O982" s="26">
        <f t="shared" si="50"/>
        <v>1</v>
      </c>
    </row>
    <row r="983" spans="10:15" ht="21.75" customHeight="1">
      <c r="J983" s="18">
        <f>'GİRDİ RAPORU'!J1776</f>
        <v>0</v>
      </c>
      <c r="K983" s="18">
        <f>'GİRDİ RAPORU'!K1776</f>
        <v>0</v>
      </c>
      <c r="L983" s="18">
        <f>'GİRDİ RAPORU'!L1776</f>
        <v>0</v>
      </c>
      <c r="M983" s="26">
        <f t="shared" si="48"/>
        <v>0</v>
      </c>
      <c r="N983" s="26">
        <f t="shared" si="49"/>
        <v>0</v>
      </c>
      <c r="O983" s="26">
        <f t="shared" si="50"/>
        <v>1</v>
      </c>
    </row>
    <row r="984" spans="10:15" ht="21.75" customHeight="1">
      <c r="J984" s="18">
        <f>'GİRDİ RAPORU'!J1777</f>
        <v>0</v>
      </c>
      <c r="K984" s="18">
        <f>'GİRDİ RAPORU'!K1777</f>
        <v>0</v>
      </c>
      <c r="L984" s="18">
        <f>'GİRDİ RAPORU'!L1777</f>
        <v>0</v>
      </c>
      <c r="M984" s="26">
        <f t="shared" si="48"/>
        <v>0</v>
      </c>
      <c r="N984" s="26">
        <f t="shared" si="49"/>
        <v>0</v>
      </c>
      <c r="O984" s="26">
        <f t="shared" si="50"/>
        <v>1</v>
      </c>
    </row>
    <row r="985" spans="10:15" ht="21.75" customHeight="1">
      <c r="J985" s="18">
        <f>'GİRDİ RAPORU'!J1778</f>
        <v>0</v>
      </c>
      <c r="K985" s="18">
        <f>'GİRDİ RAPORU'!K1778</f>
        <v>0</v>
      </c>
      <c r="L985" s="18">
        <f>'GİRDİ RAPORU'!L1778</f>
        <v>0</v>
      </c>
      <c r="M985" s="26">
        <f t="shared" si="48"/>
        <v>0</v>
      </c>
      <c r="N985" s="26">
        <f t="shared" si="49"/>
        <v>0</v>
      </c>
      <c r="O985" s="26">
        <f t="shared" si="50"/>
        <v>1</v>
      </c>
    </row>
    <row r="986" spans="10:15" ht="21.75" customHeight="1">
      <c r="J986" s="18">
        <f>'GİRDİ RAPORU'!J1779</f>
        <v>0</v>
      </c>
      <c r="K986" s="18">
        <f>'GİRDİ RAPORU'!K1779</f>
        <v>0</v>
      </c>
      <c r="L986" s="18">
        <f>'GİRDİ RAPORU'!L1779</f>
        <v>0</v>
      </c>
      <c r="M986" s="26">
        <f t="shared" si="48"/>
        <v>0</v>
      </c>
      <c r="N986" s="26">
        <f t="shared" si="49"/>
        <v>0</v>
      </c>
      <c r="O986" s="26">
        <f t="shared" si="50"/>
        <v>1</v>
      </c>
    </row>
    <row r="987" spans="10:15" ht="21.75" customHeight="1">
      <c r="J987" s="18">
        <f>'GİRDİ RAPORU'!J1780</f>
        <v>0</v>
      </c>
      <c r="K987" s="18">
        <f>'GİRDİ RAPORU'!K1780</f>
        <v>0</v>
      </c>
      <c r="L987" s="18">
        <f>'GİRDİ RAPORU'!L1780</f>
        <v>0</v>
      </c>
      <c r="M987" s="26">
        <f t="shared" si="48"/>
        <v>0</v>
      </c>
      <c r="N987" s="26">
        <f t="shared" si="49"/>
        <v>0</v>
      </c>
      <c r="O987" s="26">
        <f t="shared" si="50"/>
        <v>1</v>
      </c>
    </row>
    <row r="988" spans="10:15" ht="21.75" customHeight="1">
      <c r="J988" s="18">
        <f>'GİRDİ RAPORU'!J1781</f>
        <v>0</v>
      </c>
      <c r="K988" s="18">
        <f>'GİRDİ RAPORU'!K1781</f>
        <v>0</v>
      </c>
      <c r="L988" s="18">
        <f>'GİRDİ RAPORU'!L1781</f>
        <v>0</v>
      </c>
      <c r="M988" s="26">
        <f t="shared" si="48"/>
        <v>0</v>
      </c>
      <c r="N988" s="26">
        <f t="shared" si="49"/>
        <v>0</v>
      </c>
      <c r="O988" s="26">
        <f t="shared" si="50"/>
        <v>1</v>
      </c>
    </row>
    <row r="989" spans="10:15" ht="21.75" customHeight="1">
      <c r="J989" s="18">
        <f>'GİRDİ RAPORU'!J1782</f>
        <v>0</v>
      </c>
      <c r="K989" s="18">
        <f>'GİRDİ RAPORU'!K1782</f>
        <v>0</v>
      </c>
      <c r="L989" s="18">
        <f>'GİRDİ RAPORU'!L1782</f>
        <v>0</v>
      </c>
      <c r="M989" s="26">
        <f t="shared" si="48"/>
        <v>0</v>
      </c>
      <c r="N989" s="26">
        <f t="shared" si="49"/>
        <v>0</v>
      </c>
      <c r="O989" s="26">
        <f t="shared" si="50"/>
        <v>1</v>
      </c>
    </row>
    <row r="990" spans="10:15" ht="21.75" customHeight="1">
      <c r="J990" s="18">
        <f>'GİRDİ RAPORU'!J1783</f>
        <v>0</v>
      </c>
      <c r="K990" s="18">
        <f>'GİRDİ RAPORU'!K1783</f>
        <v>0</v>
      </c>
      <c r="L990" s="18">
        <f>'GİRDİ RAPORU'!L1783</f>
        <v>0</v>
      </c>
      <c r="M990" s="26">
        <f t="shared" si="48"/>
        <v>0</v>
      </c>
      <c r="N990" s="26">
        <f t="shared" si="49"/>
        <v>0</v>
      </c>
      <c r="O990" s="26">
        <f t="shared" si="50"/>
        <v>1</v>
      </c>
    </row>
    <row r="991" spans="10:15" ht="21.75" customHeight="1">
      <c r="J991" s="18">
        <f>'GİRDİ RAPORU'!J1784</f>
        <v>0</v>
      </c>
      <c r="K991" s="18">
        <f>'GİRDİ RAPORU'!K1784</f>
        <v>0</v>
      </c>
      <c r="L991" s="18">
        <f>'GİRDİ RAPORU'!L1784</f>
        <v>0</v>
      </c>
      <c r="M991" s="26">
        <f t="shared" si="48"/>
        <v>0</v>
      </c>
      <c r="N991" s="26">
        <f t="shared" si="49"/>
        <v>0</v>
      </c>
      <c r="O991" s="26">
        <f t="shared" si="50"/>
        <v>1</v>
      </c>
    </row>
    <row r="992" spans="10:15" ht="21.75" customHeight="1">
      <c r="J992" s="18">
        <f>'GİRDİ RAPORU'!J1785</f>
        <v>0</v>
      </c>
      <c r="K992" s="18">
        <f>'GİRDİ RAPORU'!K1785</f>
        <v>0</v>
      </c>
      <c r="L992" s="18">
        <f>'GİRDİ RAPORU'!L1785</f>
        <v>0</v>
      </c>
      <c r="M992" s="26">
        <f t="shared" si="48"/>
        <v>0</v>
      </c>
      <c r="N992" s="26">
        <f t="shared" si="49"/>
        <v>0</v>
      </c>
      <c r="O992" s="26">
        <f t="shared" si="50"/>
        <v>1</v>
      </c>
    </row>
    <row r="993" spans="10:15" ht="21.75" customHeight="1">
      <c r="J993" s="18">
        <f>'GİRDİ RAPORU'!J1786</f>
        <v>0</v>
      </c>
      <c r="K993" s="18">
        <f>'GİRDİ RAPORU'!K1786</f>
        <v>0</v>
      </c>
      <c r="L993" s="18">
        <f>'GİRDİ RAPORU'!L1786</f>
        <v>0</v>
      </c>
      <c r="M993" s="26">
        <f t="shared" si="48"/>
        <v>0</v>
      </c>
      <c r="N993" s="26">
        <f t="shared" si="49"/>
        <v>0</v>
      </c>
      <c r="O993" s="26">
        <f t="shared" si="50"/>
        <v>1</v>
      </c>
    </row>
    <row r="994" spans="10:15" ht="21.75" customHeight="1">
      <c r="J994" s="18">
        <f>'GİRDİ RAPORU'!J1787</f>
        <v>0</v>
      </c>
      <c r="K994" s="18">
        <f>'GİRDİ RAPORU'!K1787</f>
        <v>0</v>
      </c>
      <c r="L994" s="18">
        <f>'GİRDİ RAPORU'!L1787</f>
        <v>0</v>
      </c>
      <c r="M994" s="26">
        <f t="shared" si="48"/>
        <v>0</v>
      </c>
      <c r="N994" s="26">
        <f t="shared" si="49"/>
        <v>0</v>
      </c>
      <c r="O994" s="26">
        <f t="shared" si="50"/>
        <v>1</v>
      </c>
    </row>
    <row r="995" spans="10:15" ht="21.75" customHeight="1">
      <c r="J995" s="18">
        <f>'GİRDİ RAPORU'!J1788</f>
        <v>0</v>
      </c>
      <c r="K995" s="18">
        <f>'GİRDİ RAPORU'!K1788</f>
        <v>0</v>
      </c>
      <c r="L995" s="18">
        <f>'GİRDİ RAPORU'!L1788</f>
        <v>0</v>
      </c>
      <c r="M995" s="26">
        <f t="shared" si="48"/>
        <v>0</v>
      </c>
      <c r="N995" s="26">
        <f t="shared" si="49"/>
        <v>0</v>
      </c>
      <c r="O995" s="26">
        <f t="shared" si="50"/>
        <v>1</v>
      </c>
    </row>
    <row r="996" spans="10:15" ht="21.75" customHeight="1">
      <c r="J996" s="18">
        <f>'GİRDİ RAPORU'!J1789</f>
        <v>0</v>
      </c>
      <c r="K996" s="18">
        <f>'GİRDİ RAPORU'!K1789</f>
        <v>0</v>
      </c>
      <c r="L996" s="18">
        <f>'GİRDİ RAPORU'!L1789</f>
        <v>0</v>
      </c>
      <c r="M996" s="26">
        <f t="shared" si="48"/>
        <v>0</v>
      </c>
      <c r="N996" s="26">
        <f t="shared" si="49"/>
        <v>0</v>
      </c>
      <c r="O996" s="26">
        <f t="shared" si="50"/>
        <v>1</v>
      </c>
    </row>
    <row r="997" spans="10:15" ht="21.75" customHeight="1">
      <c r="J997" s="18">
        <f>'GİRDİ RAPORU'!J1790</f>
        <v>0</v>
      </c>
      <c r="K997" s="18">
        <f>'GİRDİ RAPORU'!K1790</f>
        <v>0</v>
      </c>
      <c r="L997" s="18">
        <f>'GİRDİ RAPORU'!L1790</f>
        <v>0</v>
      </c>
      <c r="M997" s="26">
        <f t="shared" si="48"/>
        <v>0</v>
      </c>
      <c r="N997" s="26">
        <f t="shared" si="49"/>
        <v>0</v>
      </c>
      <c r="O997" s="26">
        <f t="shared" si="50"/>
        <v>1</v>
      </c>
    </row>
    <row r="998" spans="10:15" ht="21.75" customHeight="1">
      <c r="J998" s="18">
        <f>'GİRDİ RAPORU'!J1791</f>
        <v>0</v>
      </c>
      <c r="K998" s="18">
        <f>'GİRDİ RAPORU'!K1791</f>
        <v>0</v>
      </c>
      <c r="L998" s="18">
        <f>'GİRDİ RAPORU'!L1791</f>
        <v>0</v>
      </c>
      <c r="M998" s="26">
        <f t="shared" si="48"/>
        <v>0</v>
      </c>
      <c r="N998" s="26">
        <f t="shared" si="49"/>
        <v>0</v>
      </c>
      <c r="O998" s="26">
        <f t="shared" si="50"/>
        <v>1</v>
      </c>
    </row>
    <row r="999" spans="10:15" ht="21.75" customHeight="1">
      <c r="J999" s="18">
        <f>'GİRDİ RAPORU'!J1792</f>
        <v>0</v>
      </c>
      <c r="K999" s="18">
        <f>'GİRDİ RAPORU'!K1792</f>
        <v>0</v>
      </c>
      <c r="L999" s="18">
        <f>'GİRDİ RAPORU'!L1792</f>
        <v>0</v>
      </c>
      <c r="M999" s="26">
        <f t="shared" si="48"/>
        <v>0</v>
      </c>
      <c r="N999" s="26">
        <f t="shared" si="49"/>
        <v>0</v>
      </c>
      <c r="O999" s="26">
        <f t="shared" si="50"/>
        <v>1</v>
      </c>
    </row>
    <row r="1000" spans="10:15" ht="21.75" customHeight="1">
      <c r="J1000" s="18">
        <f>'GİRDİ RAPORU'!J1793</f>
        <v>0</v>
      </c>
      <c r="K1000" s="18">
        <f>'GİRDİ RAPORU'!K1793</f>
        <v>0</v>
      </c>
      <c r="L1000" s="18">
        <f>'GİRDİ RAPORU'!L1793</f>
        <v>0</v>
      </c>
      <c r="M1000" s="26">
        <f t="shared" si="48"/>
        <v>0</v>
      </c>
      <c r="N1000" s="26">
        <f t="shared" si="49"/>
        <v>0</v>
      </c>
      <c r="O1000" s="26">
        <f t="shared" si="50"/>
        <v>1</v>
      </c>
    </row>
    <row r="1001" spans="10:15" ht="21.75" customHeight="1">
      <c r="J1001" s="18">
        <f>'GİRDİ RAPORU'!J1794</f>
        <v>0</v>
      </c>
      <c r="K1001" s="18">
        <f>'GİRDİ RAPORU'!K1794</f>
        <v>0</v>
      </c>
      <c r="L1001" s="18">
        <f>'GİRDİ RAPORU'!L1794</f>
        <v>0</v>
      </c>
      <c r="M1001" s="26">
        <f t="shared" si="48"/>
        <v>0</v>
      </c>
      <c r="N1001" s="26">
        <f t="shared" si="49"/>
        <v>0</v>
      </c>
      <c r="O1001" s="26">
        <f t="shared" si="50"/>
        <v>1</v>
      </c>
    </row>
    <row r="1002" spans="10:15" ht="21.75" customHeight="1">
      <c r="J1002" s="18">
        <f>'GİRDİ RAPORU'!J1795</f>
        <v>0</v>
      </c>
      <c r="K1002" s="18">
        <f>'GİRDİ RAPORU'!K1795</f>
        <v>0</v>
      </c>
      <c r="L1002" s="18">
        <f>'GİRDİ RAPORU'!L1795</f>
        <v>0</v>
      </c>
      <c r="M1002" s="26">
        <f t="shared" si="48"/>
        <v>0</v>
      </c>
      <c r="N1002" s="26">
        <f t="shared" si="49"/>
        <v>0</v>
      </c>
      <c r="O1002" s="26">
        <f t="shared" si="50"/>
        <v>1</v>
      </c>
    </row>
    <row r="1003" spans="10:15" ht="21.75" customHeight="1">
      <c r="J1003" s="18">
        <f>'GİRDİ RAPORU'!J1796</f>
        <v>0</v>
      </c>
      <c r="K1003" s="18">
        <f>'GİRDİ RAPORU'!K1796</f>
        <v>0</v>
      </c>
      <c r="L1003" s="18">
        <f>'GİRDİ RAPORU'!L1796</f>
        <v>0</v>
      </c>
      <c r="M1003" s="26">
        <f t="shared" si="48"/>
        <v>0</v>
      </c>
      <c r="N1003" s="26">
        <f t="shared" si="49"/>
        <v>0</v>
      </c>
      <c r="O1003" s="26">
        <f t="shared" si="50"/>
        <v>1</v>
      </c>
    </row>
    <row r="1004" spans="10:15" ht="21.75" customHeight="1">
      <c r="J1004" s="18">
        <f>'GİRDİ RAPORU'!J1797</f>
        <v>0</v>
      </c>
      <c r="K1004" s="18">
        <f>'GİRDİ RAPORU'!K1797</f>
        <v>0</v>
      </c>
      <c r="L1004" s="18">
        <f>'GİRDİ RAPORU'!L1797</f>
        <v>0</v>
      </c>
      <c r="M1004" s="26">
        <f t="shared" si="48"/>
        <v>0</v>
      </c>
      <c r="N1004" s="26">
        <f t="shared" si="49"/>
        <v>0</v>
      </c>
      <c r="O1004" s="26">
        <f t="shared" si="50"/>
        <v>1</v>
      </c>
    </row>
  </sheetData>
  <autoFilter ref="A1:O905">
    <filterColumn colId="0">
      <filters>
        <dateGroupItem year="2026" dateTimeGrouping="year"/>
      </filters>
    </filterColumn>
    <sortState ref="A2:O719">
      <sortCondition ref="A1:A905"/>
    </sortState>
  </autoFilter>
  <sortState ref="A2:O915">
    <sortCondition descending="1" ref="A1:A915"/>
  </sortState>
  <phoneticPr fontId="17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L820"/>
  <sheetViews>
    <sheetView topLeftCell="A776" workbookViewId="0">
      <selection activeCell="L820" sqref="L820"/>
    </sheetView>
  </sheetViews>
  <sheetFormatPr defaultRowHeight="15.75"/>
  <cols>
    <col min="1" max="1" width="23.1328125" style="6" bestFit="1" customWidth="1"/>
    <col min="2" max="2" width="15.59765625" style="7" bestFit="1" customWidth="1"/>
    <col min="3" max="3" width="18.59765625" style="7" bestFit="1" customWidth="1"/>
    <col min="4" max="4" width="30.1328125" style="7" bestFit="1" customWidth="1"/>
    <col min="5" max="5" width="24.59765625" style="7" bestFit="1" customWidth="1"/>
    <col min="6" max="6" width="37" style="7" bestFit="1" customWidth="1"/>
    <col min="7" max="7" width="30.59765625" style="7" bestFit="1" customWidth="1"/>
    <col min="8" max="8" width="37" style="7" bestFit="1" customWidth="1"/>
    <col min="9" max="9" width="30.59765625" style="7" bestFit="1" customWidth="1"/>
    <col min="10" max="10" width="37" style="7" bestFit="1" customWidth="1"/>
    <col min="11" max="11" width="30.59765625" style="7" bestFit="1" customWidth="1"/>
    <col min="12" max="12" width="16.1328125" style="15" bestFit="1" customWidth="1"/>
  </cols>
  <sheetData>
    <row r="1" spans="1:12" ht="20.25">
      <c r="A1" s="11" t="s">
        <v>0</v>
      </c>
      <c r="B1" s="11" t="s">
        <v>1</v>
      </c>
      <c r="C1" s="11" t="s">
        <v>17</v>
      </c>
      <c r="D1" s="11" t="s">
        <v>18</v>
      </c>
      <c r="E1" s="11" t="s">
        <v>34</v>
      </c>
      <c r="F1" s="11" t="s">
        <v>19</v>
      </c>
      <c r="G1" s="11" t="s">
        <v>20</v>
      </c>
      <c r="H1" s="11" t="s">
        <v>21</v>
      </c>
      <c r="I1" s="11" t="s">
        <v>22</v>
      </c>
      <c r="J1" s="11" t="s">
        <v>23</v>
      </c>
      <c r="K1" s="11" t="s">
        <v>24</v>
      </c>
      <c r="L1" s="14" t="s">
        <v>3</v>
      </c>
    </row>
    <row r="2" spans="1:12">
      <c r="A2" s="6">
        <v>44998</v>
      </c>
      <c r="B2" s="7">
        <v>2</v>
      </c>
      <c r="C2" s="7">
        <v>483</v>
      </c>
      <c r="D2" s="7">
        <v>62</v>
      </c>
      <c r="E2" s="7" t="s">
        <v>31</v>
      </c>
      <c r="F2" s="7">
        <v>30</v>
      </c>
      <c r="G2" s="7" t="s">
        <v>5</v>
      </c>
    </row>
    <row r="3" spans="1:12">
      <c r="A3" s="6">
        <v>45000.336027662037</v>
      </c>
      <c r="B3" s="7">
        <v>2</v>
      </c>
      <c r="C3" s="7">
        <v>168</v>
      </c>
      <c r="D3" s="7">
        <v>11</v>
      </c>
      <c r="E3" s="7" t="s">
        <v>31</v>
      </c>
      <c r="F3" s="7">
        <v>20</v>
      </c>
      <c r="G3" s="7" t="s">
        <v>5</v>
      </c>
    </row>
    <row r="4" spans="1:12">
      <c r="A4" s="6">
        <v>45001.337187500001</v>
      </c>
      <c r="B4" s="7">
        <v>2</v>
      </c>
      <c r="C4" s="7">
        <v>472</v>
      </c>
      <c r="D4" s="7">
        <v>10</v>
      </c>
      <c r="E4" s="7" t="s">
        <v>31</v>
      </c>
      <c r="F4" s="7">
        <v>70</v>
      </c>
      <c r="G4" s="7" t="s">
        <v>5</v>
      </c>
    </row>
    <row r="5" spans="1:12">
      <c r="A5" s="6">
        <v>45000.705625000002</v>
      </c>
      <c r="B5" s="7">
        <v>2</v>
      </c>
      <c r="C5" s="7">
        <v>238</v>
      </c>
      <c r="D5" s="7">
        <v>19</v>
      </c>
      <c r="E5" s="7" t="s">
        <v>31</v>
      </c>
      <c r="F5" s="7">
        <v>20</v>
      </c>
      <c r="G5" s="7" t="s">
        <v>5</v>
      </c>
    </row>
    <row r="6" spans="1:12">
      <c r="A6" s="6">
        <v>45002.749882407406</v>
      </c>
      <c r="B6" s="7">
        <v>2</v>
      </c>
      <c r="C6" s="7">
        <v>134</v>
      </c>
      <c r="D6" s="7">
        <v>12</v>
      </c>
      <c r="E6" s="7" t="s">
        <v>31</v>
      </c>
      <c r="F6" s="7">
        <v>25</v>
      </c>
      <c r="G6" s="7" t="s">
        <v>5</v>
      </c>
      <c r="H6" s="7">
        <v>100</v>
      </c>
      <c r="I6" s="7" t="s">
        <v>8</v>
      </c>
      <c r="J6" s="7">
        <v>60</v>
      </c>
      <c r="K6" s="7" t="s">
        <v>4</v>
      </c>
    </row>
    <row r="7" spans="1:12">
      <c r="A7" s="6">
        <v>45005.332974537036</v>
      </c>
      <c r="B7" s="7">
        <v>2</v>
      </c>
      <c r="C7" s="7">
        <v>447</v>
      </c>
      <c r="D7" s="7">
        <v>46</v>
      </c>
      <c r="E7" s="7" t="s">
        <v>31</v>
      </c>
      <c r="F7" s="7">
        <v>25</v>
      </c>
      <c r="G7" s="7" t="s">
        <v>5</v>
      </c>
    </row>
    <row r="8" spans="1:12">
      <c r="A8" s="6">
        <v>45006.76547662037</v>
      </c>
      <c r="B8" s="7">
        <v>2</v>
      </c>
      <c r="C8" s="7">
        <v>558</v>
      </c>
      <c r="D8" s="7">
        <v>15</v>
      </c>
      <c r="E8" s="7" t="s">
        <v>31</v>
      </c>
      <c r="F8" s="7">
        <v>25</v>
      </c>
      <c r="G8" s="7" t="s">
        <v>12</v>
      </c>
      <c r="H8" s="7">
        <v>30</v>
      </c>
      <c r="I8" s="7" t="s">
        <v>5</v>
      </c>
    </row>
    <row r="9" spans="1:12">
      <c r="A9" s="6">
        <v>45007.574293981481</v>
      </c>
      <c r="B9" s="7">
        <v>2</v>
      </c>
      <c r="C9" s="7">
        <v>114</v>
      </c>
      <c r="D9" s="7">
        <v>37</v>
      </c>
      <c r="E9" s="7" t="s">
        <v>31</v>
      </c>
      <c r="F9" s="7">
        <v>30</v>
      </c>
      <c r="G9" s="7" t="s">
        <v>5</v>
      </c>
    </row>
    <row r="10" spans="1:12">
      <c r="A10" s="6">
        <v>45008.715810648151</v>
      </c>
      <c r="B10" s="7">
        <v>2</v>
      </c>
      <c r="C10" s="7">
        <v>454</v>
      </c>
      <c r="D10" s="7">
        <v>160</v>
      </c>
      <c r="E10" s="7" t="s">
        <v>31</v>
      </c>
      <c r="F10" s="7">
        <v>27</v>
      </c>
      <c r="G10" s="7" t="s">
        <v>5</v>
      </c>
    </row>
    <row r="11" spans="1:12">
      <c r="A11" s="6">
        <v>45009.699867939817</v>
      </c>
      <c r="B11" s="7">
        <v>2</v>
      </c>
      <c r="C11" s="7">
        <v>274</v>
      </c>
      <c r="D11" s="7">
        <v>160</v>
      </c>
      <c r="E11" s="7" t="s">
        <v>31</v>
      </c>
      <c r="F11" s="7">
        <v>27</v>
      </c>
      <c r="G11" s="7" t="s">
        <v>5</v>
      </c>
      <c r="H11" s="7">
        <v>50</v>
      </c>
      <c r="I11" s="7" t="s">
        <v>4</v>
      </c>
    </row>
    <row r="12" spans="1:12">
      <c r="A12" s="6">
        <v>45012.33320601852</v>
      </c>
      <c r="B12" s="7">
        <v>2</v>
      </c>
      <c r="C12" s="7">
        <v>235</v>
      </c>
      <c r="D12" s="7">
        <v>10</v>
      </c>
      <c r="E12" s="7" t="s">
        <v>31</v>
      </c>
      <c r="F12" s="7">
        <v>20</v>
      </c>
      <c r="G12" s="7" t="s">
        <v>5</v>
      </c>
    </row>
    <row r="13" spans="1:12">
      <c r="A13" s="6">
        <v>45013.333738425928</v>
      </c>
      <c r="B13" s="7">
        <v>2</v>
      </c>
      <c r="C13" s="7">
        <v>204</v>
      </c>
      <c r="D13" s="7">
        <v>20</v>
      </c>
      <c r="E13" s="7" t="s">
        <v>31</v>
      </c>
      <c r="F13" s="7">
        <v>20</v>
      </c>
      <c r="G13" s="7" t="s">
        <v>5</v>
      </c>
    </row>
    <row r="14" spans="1:12">
      <c r="A14" s="6">
        <v>45014.716958217592</v>
      </c>
      <c r="B14" s="7">
        <v>2</v>
      </c>
      <c r="C14" s="7">
        <v>255</v>
      </c>
      <c r="D14" s="7">
        <v>10</v>
      </c>
      <c r="E14" s="7" t="s">
        <v>31</v>
      </c>
      <c r="F14" s="7">
        <v>20</v>
      </c>
      <c r="G14" s="7" t="s">
        <v>5</v>
      </c>
      <c r="H14" s="7">
        <v>240</v>
      </c>
      <c r="I14" s="7" t="s">
        <v>8</v>
      </c>
    </row>
    <row r="15" spans="1:12">
      <c r="A15" s="6">
        <v>45015.71500358796</v>
      </c>
      <c r="B15" s="7">
        <v>2</v>
      </c>
      <c r="C15" s="7">
        <v>201</v>
      </c>
      <c r="D15" s="7">
        <v>12</v>
      </c>
      <c r="E15" s="7" t="s">
        <v>31</v>
      </c>
      <c r="F15" s="7">
        <v>20</v>
      </c>
      <c r="G15" s="7" t="s">
        <v>5</v>
      </c>
      <c r="H15" s="7">
        <v>240</v>
      </c>
      <c r="I15" s="7" t="s">
        <v>8</v>
      </c>
    </row>
    <row r="16" spans="1:12">
      <c r="A16" s="6">
        <v>45016.69948333333</v>
      </c>
      <c r="B16" s="7">
        <v>4</v>
      </c>
      <c r="C16" s="7">
        <v>0</v>
      </c>
      <c r="D16" s="7">
        <v>0</v>
      </c>
      <c r="E16" s="7" t="s">
        <v>31</v>
      </c>
      <c r="F16" s="7">
        <v>540</v>
      </c>
      <c r="G16" s="7" t="s">
        <v>8</v>
      </c>
    </row>
    <row r="17" spans="1:9">
      <c r="A17" s="6">
        <v>45019.71643576389</v>
      </c>
      <c r="B17" s="7">
        <v>2</v>
      </c>
      <c r="C17" s="7">
        <v>238</v>
      </c>
      <c r="D17" s="7">
        <v>30</v>
      </c>
      <c r="E17" s="7" t="s">
        <v>31</v>
      </c>
      <c r="F17" s="7">
        <v>20</v>
      </c>
      <c r="G17" s="7" t="s">
        <v>5</v>
      </c>
      <c r="H17" s="7">
        <v>180</v>
      </c>
      <c r="I17" s="7" t="s">
        <v>8</v>
      </c>
    </row>
    <row r="18" spans="1:9">
      <c r="A18" s="6">
        <v>45020.71434027778</v>
      </c>
      <c r="B18" s="7">
        <v>2</v>
      </c>
      <c r="C18" s="7">
        <v>0</v>
      </c>
      <c r="D18" s="7">
        <v>0</v>
      </c>
      <c r="E18" s="7" t="s">
        <v>31</v>
      </c>
      <c r="F18" s="7">
        <v>540</v>
      </c>
      <c r="G18" s="7" t="s">
        <v>8</v>
      </c>
    </row>
    <row r="19" spans="1:9">
      <c r="A19" s="6">
        <v>45021.714687615742</v>
      </c>
      <c r="B19" s="7">
        <v>2</v>
      </c>
      <c r="C19" s="7">
        <v>384</v>
      </c>
      <c r="D19" s="7">
        <v>156</v>
      </c>
      <c r="E19" s="7" t="s">
        <v>31</v>
      </c>
      <c r="F19" s="7">
        <v>20</v>
      </c>
      <c r="G19" s="7" t="s">
        <v>5</v>
      </c>
    </row>
    <row r="20" spans="1:9">
      <c r="A20" s="6">
        <v>45022.716986805557</v>
      </c>
      <c r="B20" s="7">
        <v>2</v>
      </c>
      <c r="C20" s="7">
        <v>190</v>
      </c>
      <c r="D20" s="7">
        <v>90</v>
      </c>
      <c r="E20" s="7" t="s">
        <v>31</v>
      </c>
      <c r="F20" s="7">
        <v>20</v>
      </c>
      <c r="G20" s="7" t="s">
        <v>5</v>
      </c>
    </row>
    <row r="21" spans="1:9">
      <c r="A21" s="6">
        <v>45023.705645138885</v>
      </c>
      <c r="B21" s="7">
        <v>2</v>
      </c>
      <c r="C21" s="7">
        <v>342</v>
      </c>
      <c r="D21" s="7">
        <v>342</v>
      </c>
      <c r="E21" s="7" t="s">
        <v>31</v>
      </c>
      <c r="F21" s="7">
        <v>120</v>
      </c>
      <c r="G21" s="7" t="s">
        <v>8</v>
      </c>
      <c r="H21" s="7">
        <v>20</v>
      </c>
      <c r="I21" s="7" t="s">
        <v>5</v>
      </c>
    </row>
    <row r="22" spans="1:9">
      <c r="A22" s="6">
        <v>45026.353634259256</v>
      </c>
      <c r="B22" s="7">
        <v>2</v>
      </c>
      <c r="C22" s="7">
        <v>266</v>
      </c>
      <c r="D22" s="7">
        <v>50</v>
      </c>
      <c r="E22" s="7" t="s">
        <v>31</v>
      </c>
      <c r="F22" s="7">
        <v>30</v>
      </c>
      <c r="G22" s="7" t="s">
        <v>5</v>
      </c>
    </row>
    <row r="23" spans="1:9">
      <c r="A23" s="6">
        <v>45027.715002777775</v>
      </c>
      <c r="B23" s="7">
        <v>2</v>
      </c>
      <c r="C23" s="7">
        <v>450</v>
      </c>
      <c r="D23" s="7">
        <v>100</v>
      </c>
      <c r="E23" s="7" t="s">
        <v>31</v>
      </c>
      <c r="F23" s="7">
        <v>20</v>
      </c>
      <c r="G23" s="7" t="s">
        <v>5</v>
      </c>
    </row>
    <row r="24" spans="1:9">
      <c r="A24" s="6">
        <v>45028.715452430559</v>
      </c>
      <c r="B24" s="7">
        <v>2</v>
      </c>
      <c r="C24" s="7">
        <v>135</v>
      </c>
      <c r="D24" s="7">
        <v>5</v>
      </c>
      <c r="E24" s="7" t="s">
        <v>31</v>
      </c>
      <c r="F24" s="7">
        <v>200</v>
      </c>
      <c r="G24" s="7" t="s">
        <v>8</v>
      </c>
      <c r="H24" s="7">
        <v>20</v>
      </c>
      <c r="I24" s="7" t="s">
        <v>5</v>
      </c>
    </row>
    <row r="25" spans="1:9">
      <c r="A25" s="6">
        <v>45029.719580092591</v>
      </c>
      <c r="B25" s="7">
        <v>2</v>
      </c>
      <c r="C25" s="7">
        <v>344</v>
      </c>
      <c r="D25" s="7">
        <v>50</v>
      </c>
      <c r="E25" s="7" t="s">
        <v>31</v>
      </c>
      <c r="F25" s="7">
        <v>20</v>
      </c>
      <c r="G25" s="7" t="s">
        <v>5</v>
      </c>
    </row>
    <row r="26" spans="1:9">
      <c r="A26" s="6">
        <v>45030.450497685182</v>
      </c>
      <c r="B26" s="7">
        <v>2</v>
      </c>
      <c r="C26" s="7">
        <v>292</v>
      </c>
      <c r="D26" s="7">
        <v>80</v>
      </c>
      <c r="E26" s="7" t="s">
        <v>31</v>
      </c>
      <c r="F26" s="7">
        <v>20</v>
      </c>
      <c r="G26" s="7" t="s">
        <v>5</v>
      </c>
    </row>
    <row r="27" spans="1:9">
      <c r="A27" s="6">
        <v>45033.328310185185</v>
      </c>
      <c r="B27" s="7">
        <v>2</v>
      </c>
      <c r="C27" s="7">
        <v>450</v>
      </c>
      <c r="D27" s="7">
        <v>100</v>
      </c>
      <c r="E27" s="7" t="s">
        <v>31</v>
      </c>
      <c r="F27" s="7">
        <v>20</v>
      </c>
      <c r="G27" s="7" t="s">
        <v>5</v>
      </c>
    </row>
    <row r="28" spans="1:9">
      <c r="A28" s="6">
        <v>45034.716157986113</v>
      </c>
      <c r="B28" s="7">
        <v>2</v>
      </c>
      <c r="C28" s="7">
        <v>470</v>
      </c>
      <c r="D28" s="7">
        <v>10</v>
      </c>
      <c r="E28" s="7" t="s">
        <v>31</v>
      </c>
      <c r="F28" s="7">
        <v>12</v>
      </c>
      <c r="G28" s="7" t="s">
        <v>5</v>
      </c>
    </row>
    <row r="29" spans="1:9">
      <c r="A29" s="6">
        <v>45035.671200810182</v>
      </c>
      <c r="B29" s="7">
        <v>2</v>
      </c>
      <c r="C29" s="7">
        <v>390</v>
      </c>
      <c r="D29" s="7">
        <v>50</v>
      </c>
      <c r="E29" s="7" t="s">
        <v>31</v>
      </c>
      <c r="F29" s="7">
        <v>20</v>
      </c>
      <c r="G29" s="7" t="s">
        <v>5</v>
      </c>
    </row>
    <row r="30" spans="1:9">
      <c r="A30" s="6">
        <v>45040.761973958332</v>
      </c>
      <c r="B30" s="7">
        <v>2</v>
      </c>
      <c r="C30" s="7">
        <v>165</v>
      </c>
      <c r="D30" s="7">
        <v>10</v>
      </c>
      <c r="E30" s="7" t="s">
        <v>31</v>
      </c>
      <c r="F30" s="7">
        <v>250</v>
      </c>
      <c r="G30" s="7" t="s">
        <v>8</v>
      </c>
      <c r="H30" s="7">
        <v>20</v>
      </c>
      <c r="I30" s="7" t="s">
        <v>5</v>
      </c>
    </row>
    <row r="31" spans="1:9">
      <c r="A31" s="6">
        <v>45041.772595023147</v>
      </c>
      <c r="B31" s="7">
        <v>2</v>
      </c>
      <c r="C31" s="7">
        <v>100</v>
      </c>
      <c r="D31" s="7">
        <v>10</v>
      </c>
      <c r="E31" s="7" t="s">
        <v>31</v>
      </c>
      <c r="F31" s="7">
        <v>300</v>
      </c>
      <c r="G31" s="7" t="s">
        <v>8</v>
      </c>
    </row>
    <row r="32" spans="1:9">
      <c r="A32" s="6">
        <v>45042.761352083333</v>
      </c>
      <c r="B32" s="7">
        <v>2</v>
      </c>
      <c r="C32" s="7">
        <v>260</v>
      </c>
      <c r="D32" s="7">
        <v>21</v>
      </c>
      <c r="E32" s="7" t="s">
        <v>31</v>
      </c>
      <c r="F32" s="7">
        <v>20</v>
      </c>
      <c r="G32" s="7" t="s">
        <v>5</v>
      </c>
    </row>
    <row r="33" spans="1:12">
      <c r="A33" s="6">
        <v>45043.759587384258</v>
      </c>
      <c r="B33" s="7">
        <v>2</v>
      </c>
      <c r="C33" s="7">
        <v>312</v>
      </c>
      <c r="D33" s="7">
        <v>20</v>
      </c>
      <c r="E33" s="7" t="s">
        <v>31</v>
      </c>
      <c r="F33" s="7">
        <v>20</v>
      </c>
      <c r="G33" s="7" t="s">
        <v>5</v>
      </c>
    </row>
    <row r="34" spans="1:12">
      <c r="A34" s="6">
        <v>45044.743199421297</v>
      </c>
      <c r="B34" s="7">
        <v>2</v>
      </c>
      <c r="C34" s="7">
        <v>250</v>
      </c>
      <c r="D34" s="7">
        <v>10</v>
      </c>
      <c r="E34" s="7" t="s">
        <v>31</v>
      </c>
      <c r="F34" s="7">
        <v>30</v>
      </c>
      <c r="G34" s="7" t="s">
        <v>5</v>
      </c>
    </row>
    <row r="35" spans="1:12">
      <c r="A35" s="6">
        <v>45048.765648148146</v>
      </c>
      <c r="B35" s="7">
        <v>2</v>
      </c>
      <c r="C35" s="7">
        <v>350</v>
      </c>
      <c r="D35" s="7">
        <v>20</v>
      </c>
      <c r="E35" s="7" t="s">
        <v>31</v>
      </c>
      <c r="F35" s="7">
        <v>20</v>
      </c>
      <c r="G35" s="7" t="s">
        <v>5</v>
      </c>
    </row>
    <row r="36" spans="1:12">
      <c r="A36" s="6">
        <v>45049.768200810184</v>
      </c>
      <c r="B36" s="7">
        <v>2</v>
      </c>
      <c r="C36" s="7">
        <v>350</v>
      </c>
      <c r="D36" s="7">
        <v>200</v>
      </c>
      <c r="E36" s="7" t="s">
        <v>31</v>
      </c>
      <c r="F36" s="7">
        <v>20</v>
      </c>
      <c r="G36" s="7" t="s">
        <v>5</v>
      </c>
    </row>
    <row r="37" spans="1:12">
      <c r="A37" s="6">
        <v>45050.769820949077</v>
      </c>
      <c r="B37" s="7">
        <v>2</v>
      </c>
      <c r="C37" s="7">
        <v>200</v>
      </c>
      <c r="D37" s="7">
        <v>190</v>
      </c>
      <c r="E37" s="7" t="s">
        <v>31</v>
      </c>
      <c r="F37" s="7">
        <v>240</v>
      </c>
      <c r="G37" s="7" t="s">
        <v>12</v>
      </c>
      <c r="H37" s="7">
        <v>22</v>
      </c>
      <c r="I37" s="7" t="s">
        <v>5</v>
      </c>
    </row>
    <row r="38" spans="1:12">
      <c r="A38" s="6">
        <v>45051.769085648149</v>
      </c>
      <c r="B38" s="7">
        <v>2</v>
      </c>
      <c r="C38" s="7">
        <v>350</v>
      </c>
      <c r="D38" s="7">
        <v>50</v>
      </c>
      <c r="E38" s="7" t="s">
        <v>31</v>
      </c>
      <c r="F38" s="7">
        <v>20</v>
      </c>
      <c r="G38" s="7" t="s">
        <v>5</v>
      </c>
    </row>
    <row r="39" spans="1:12">
      <c r="A39" s="6">
        <v>45054.767106481479</v>
      </c>
      <c r="B39" s="7">
        <v>2</v>
      </c>
      <c r="C39" s="7">
        <v>340</v>
      </c>
      <c r="D39" s="7">
        <v>25</v>
      </c>
      <c r="E39" s="7" t="s">
        <v>31</v>
      </c>
      <c r="F39" s="7">
        <v>20</v>
      </c>
      <c r="G39" s="7" t="s">
        <v>5</v>
      </c>
    </row>
    <row r="40" spans="1:12">
      <c r="A40" s="6">
        <v>45055.76489583333</v>
      </c>
      <c r="B40" s="7">
        <v>2</v>
      </c>
      <c r="C40" s="7">
        <v>410</v>
      </c>
      <c r="D40" s="7">
        <v>100</v>
      </c>
      <c r="E40" s="7" t="s">
        <v>31</v>
      </c>
      <c r="F40" s="7">
        <v>20</v>
      </c>
      <c r="G40" s="7" t="s">
        <v>8</v>
      </c>
    </row>
    <row r="41" spans="1:12">
      <c r="A41" s="6">
        <v>45056.76054398148</v>
      </c>
      <c r="B41" s="7">
        <v>2</v>
      </c>
      <c r="C41" s="7">
        <v>350</v>
      </c>
      <c r="D41" s="7">
        <v>100</v>
      </c>
      <c r="E41" s="7" t="s">
        <v>31</v>
      </c>
      <c r="F41" s="7">
        <v>23</v>
      </c>
      <c r="G41" s="7" t="s">
        <v>5</v>
      </c>
    </row>
    <row r="42" spans="1:12">
      <c r="A42" s="6">
        <v>45057.766006944446</v>
      </c>
      <c r="B42" s="7">
        <v>2</v>
      </c>
      <c r="C42" s="7">
        <v>410</v>
      </c>
      <c r="D42" s="7">
        <v>52</v>
      </c>
      <c r="E42" s="7" t="s">
        <v>31</v>
      </c>
      <c r="F42" s="7">
        <v>25</v>
      </c>
      <c r="G42" s="7" t="s">
        <v>5</v>
      </c>
    </row>
    <row r="43" spans="1:12">
      <c r="A43" s="6">
        <v>45058.767858796295</v>
      </c>
      <c r="B43" s="7">
        <v>2</v>
      </c>
      <c r="C43" s="7">
        <v>500</v>
      </c>
      <c r="D43" s="7">
        <v>120</v>
      </c>
      <c r="E43" s="7" t="s">
        <v>31</v>
      </c>
      <c r="F43" s="7">
        <v>20</v>
      </c>
      <c r="G43" s="7" t="s">
        <v>5</v>
      </c>
    </row>
    <row r="44" spans="1:12">
      <c r="A44" s="6">
        <v>45061.820415509261</v>
      </c>
      <c r="B44" s="7">
        <v>2</v>
      </c>
      <c r="C44" s="7">
        <v>385</v>
      </c>
      <c r="D44" s="7">
        <v>25</v>
      </c>
      <c r="E44" s="7" t="s">
        <v>31</v>
      </c>
      <c r="F44" s="7">
        <v>20</v>
      </c>
      <c r="G44" s="7" t="s">
        <v>5</v>
      </c>
    </row>
    <row r="45" spans="1:12">
      <c r="A45" s="6">
        <v>45062.940804976854</v>
      </c>
      <c r="B45" s="7">
        <v>2</v>
      </c>
      <c r="C45" s="7">
        <v>690</v>
      </c>
      <c r="D45" s="7">
        <v>500</v>
      </c>
      <c r="E45" s="7" t="s">
        <v>31</v>
      </c>
      <c r="F45" s="7">
        <v>20</v>
      </c>
      <c r="G45" s="7" t="s">
        <v>5</v>
      </c>
      <c r="L45" s="15" t="s">
        <v>29</v>
      </c>
    </row>
    <row r="46" spans="1:12">
      <c r="A46" s="6">
        <v>45063.759699074071</v>
      </c>
      <c r="B46" s="7">
        <v>2</v>
      </c>
      <c r="C46" s="7">
        <v>680</v>
      </c>
      <c r="D46" s="7">
        <v>80</v>
      </c>
      <c r="E46" s="7" t="s">
        <v>31</v>
      </c>
      <c r="F46" s="7">
        <v>20</v>
      </c>
      <c r="G46" s="7" t="s">
        <v>5</v>
      </c>
    </row>
    <row r="47" spans="1:12">
      <c r="A47" s="6">
        <v>45064.769930555558</v>
      </c>
      <c r="B47" s="7">
        <v>2</v>
      </c>
      <c r="C47" s="7">
        <v>650</v>
      </c>
      <c r="D47" s="7">
        <v>40</v>
      </c>
      <c r="E47" s="7" t="s">
        <v>31</v>
      </c>
      <c r="F47" s="7">
        <v>20</v>
      </c>
      <c r="G47" s="7" t="s">
        <v>5</v>
      </c>
    </row>
    <row r="48" spans="1:12">
      <c r="A48" s="6">
        <v>45065.770439814813</v>
      </c>
      <c r="B48" s="7">
        <v>2</v>
      </c>
      <c r="C48" s="7">
        <v>630</v>
      </c>
      <c r="D48" s="7">
        <v>70</v>
      </c>
      <c r="E48" s="7" t="s">
        <v>31</v>
      </c>
      <c r="F48" s="7">
        <v>20</v>
      </c>
      <c r="G48" s="7" t="s">
        <v>5</v>
      </c>
    </row>
    <row r="49" spans="1:7">
      <c r="A49" s="6">
        <v>45068.766516203701</v>
      </c>
      <c r="B49" s="7">
        <v>2</v>
      </c>
      <c r="C49" s="7">
        <v>300</v>
      </c>
      <c r="D49" s="7">
        <v>50</v>
      </c>
      <c r="E49" s="7" t="s">
        <v>31</v>
      </c>
      <c r="F49" s="7">
        <v>20</v>
      </c>
      <c r="G49" s="7" t="s">
        <v>5</v>
      </c>
    </row>
    <row r="50" spans="1:7">
      <c r="A50" s="6">
        <v>45069.766338425929</v>
      </c>
      <c r="B50" s="7">
        <v>2</v>
      </c>
      <c r="C50" s="7">
        <v>320</v>
      </c>
      <c r="D50" s="7">
        <v>85</v>
      </c>
      <c r="E50" s="7" t="s">
        <v>31</v>
      </c>
      <c r="F50" s="7">
        <v>20</v>
      </c>
      <c r="G50" s="7" t="s">
        <v>5</v>
      </c>
    </row>
    <row r="51" spans="1:7">
      <c r="A51" s="6">
        <v>45070.769004629627</v>
      </c>
      <c r="B51" s="7">
        <v>2</v>
      </c>
      <c r="C51" s="7">
        <v>350</v>
      </c>
      <c r="D51" s="7">
        <v>50</v>
      </c>
      <c r="E51" s="7" t="s">
        <v>31</v>
      </c>
      <c r="F51" s="7">
        <v>20</v>
      </c>
      <c r="G51" s="7" t="s">
        <v>5</v>
      </c>
    </row>
    <row r="52" spans="1:7">
      <c r="A52" s="6">
        <v>45071.761828703704</v>
      </c>
      <c r="B52" s="7">
        <v>2</v>
      </c>
      <c r="C52" s="7">
        <v>280</v>
      </c>
      <c r="D52" s="7">
        <v>50</v>
      </c>
      <c r="E52" s="7" t="s">
        <v>31</v>
      </c>
      <c r="F52" s="7">
        <v>20</v>
      </c>
      <c r="G52" s="7" t="s">
        <v>5</v>
      </c>
    </row>
    <row r="53" spans="1:7">
      <c r="A53" s="6">
        <v>45072.76494212963</v>
      </c>
      <c r="B53" s="7">
        <v>2</v>
      </c>
      <c r="C53" s="7">
        <v>280</v>
      </c>
      <c r="D53" s="7">
        <v>50</v>
      </c>
      <c r="E53" s="7" t="s">
        <v>31</v>
      </c>
      <c r="F53" s="7">
        <v>20</v>
      </c>
      <c r="G53" s="7" t="s">
        <v>5</v>
      </c>
    </row>
    <row r="54" spans="1:7">
      <c r="A54" s="6">
        <v>45075.764907407407</v>
      </c>
      <c r="B54" s="7">
        <v>2</v>
      </c>
      <c r="C54" s="7">
        <v>192</v>
      </c>
      <c r="D54" s="7">
        <v>130</v>
      </c>
      <c r="E54" s="7" t="s">
        <v>31</v>
      </c>
      <c r="F54" s="7">
        <v>20</v>
      </c>
      <c r="G54" s="7" t="s">
        <v>5</v>
      </c>
    </row>
    <row r="55" spans="1:7">
      <c r="A55" s="6">
        <v>45076.753275462965</v>
      </c>
      <c r="B55" s="7">
        <v>2</v>
      </c>
      <c r="C55" s="7">
        <v>250</v>
      </c>
      <c r="D55" s="7">
        <v>50</v>
      </c>
      <c r="E55" s="7" t="s">
        <v>31</v>
      </c>
      <c r="F55" s="7">
        <v>20</v>
      </c>
      <c r="G55" s="7" t="s">
        <v>5</v>
      </c>
    </row>
    <row r="56" spans="1:7">
      <c r="A56" s="6">
        <v>45077.759930555556</v>
      </c>
      <c r="B56" s="7">
        <v>2</v>
      </c>
      <c r="C56" s="7">
        <v>200</v>
      </c>
      <c r="D56" s="7">
        <v>50</v>
      </c>
      <c r="E56" s="7" t="s">
        <v>31</v>
      </c>
      <c r="F56" s="7">
        <v>20</v>
      </c>
      <c r="G56" s="7" t="s">
        <v>5</v>
      </c>
    </row>
    <row r="57" spans="1:7">
      <c r="A57" s="6">
        <v>45078.765601851854</v>
      </c>
      <c r="B57" s="7">
        <v>2</v>
      </c>
      <c r="C57" s="7">
        <v>250</v>
      </c>
      <c r="D57" s="7">
        <v>0</v>
      </c>
      <c r="E57" s="7" t="s">
        <v>31</v>
      </c>
      <c r="F57" s="7">
        <v>20</v>
      </c>
      <c r="G57" s="7" t="s">
        <v>5</v>
      </c>
    </row>
    <row r="58" spans="1:7">
      <c r="A58" s="6">
        <v>45079.763969907406</v>
      </c>
      <c r="B58" s="7">
        <v>2</v>
      </c>
      <c r="C58" s="7">
        <v>320</v>
      </c>
      <c r="D58" s="7">
        <v>100</v>
      </c>
      <c r="E58" s="7" t="s">
        <v>31</v>
      </c>
      <c r="F58" s="7">
        <v>25</v>
      </c>
      <c r="G58" s="7" t="s">
        <v>5</v>
      </c>
    </row>
    <row r="59" spans="1:7">
      <c r="A59" s="6">
        <v>45082.769606481481</v>
      </c>
      <c r="B59" s="7">
        <v>2</v>
      </c>
      <c r="C59" s="7">
        <v>280</v>
      </c>
      <c r="D59" s="7">
        <v>60</v>
      </c>
      <c r="E59" s="7" t="s">
        <v>31</v>
      </c>
      <c r="F59" s="7">
        <v>26</v>
      </c>
      <c r="G59" s="7" t="s">
        <v>5</v>
      </c>
    </row>
    <row r="60" spans="1:7">
      <c r="A60" s="6">
        <v>45083.761284722219</v>
      </c>
      <c r="B60" s="7">
        <v>2</v>
      </c>
      <c r="C60" s="7">
        <v>255</v>
      </c>
      <c r="D60" s="7">
        <v>52</v>
      </c>
      <c r="E60" s="7" t="s">
        <v>31</v>
      </c>
      <c r="F60" s="7">
        <v>20</v>
      </c>
      <c r="G60" s="7" t="s">
        <v>5</v>
      </c>
    </row>
    <row r="61" spans="1:7">
      <c r="A61" s="6">
        <v>45084.766655092593</v>
      </c>
      <c r="B61" s="7">
        <v>2</v>
      </c>
      <c r="C61" s="7">
        <v>245</v>
      </c>
      <c r="D61" s="7">
        <v>25</v>
      </c>
      <c r="E61" s="7" t="s">
        <v>31</v>
      </c>
      <c r="F61" s="7">
        <v>30</v>
      </c>
      <c r="G61" s="7" t="s">
        <v>5</v>
      </c>
    </row>
    <row r="62" spans="1:7">
      <c r="A62" s="6">
        <v>45085.768067129633</v>
      </c>
      <c r="B62" s="7">
        <v>2</v>
      </c>
      <c r="C62" s="7">
        <v>260</v>
      </c>
      <c r="D62" s="7">
        <v>60</v>
      </c>
      <c r="E62" s="7" t="s">
        <v>31</v>
      </c>
      <c r="F62" s="7">
        <v>20</v>
      </c>
      <c r="G62" s="7" t="s">
        <v>5</v>
      </c>
    </row>
    <row r="63" spans="1:7">
      <c r="A63" s="6">
        <v>45086.766273148147</v>
      </c>
      <c r="B63" s="7">
        <v>2</v>
      </c>
      <c r="C63" s="7">
        <v>260</v>
      </c>
      <c r="D63" s="7">
        <v>50</v>
      </c>
      <c r="E63" s="7" t="s">
        <v>31</v>
      </c>
      <c r="F63" s="7">
        <v>20</v>
      </c>
      <c r="G63" s="7" t="s">
        <v>5</v>
      </c>
    </row>
    <row r="64" spans="1:7">
      <c r="A64" s="6">
        <v>45089.763958333337</v>
      </c>
      <c r="B64" s="7">
        <v>2</v>
      </c>
      <c r="C64" s="7">
        <v>240</v>
      </c>
      <c r="D64" s="7">
        <v>30</v>
      </c>
      <c r="E64" s="7" t="s">
        <v>31</v>
      </c>
      <c r="F64" s="7">
        <v>20</v>
      </c>
      <c r="G64" s="7" t="s">
        <v>5</v>
      </c>
    </row>
    <row r="65" spans="1:9">
      <c r="A65" s="6">
        <v>45090.768113425926</v>
      </c>
      <c r="B65" s="7">
        <v>2</v>
      </c>
      <c r="C65" s="7">
        <v>280</v>
      </c>
      <c r="D65" s="7">
        <v>30</v>
      </c>
      <c r="E65" s="7" t="s">
        <v>31</v>
      </c>
      <c r="F65" s="7">
        <v>25</v>
      </c>
      <c r="G65" s="7" t="s">
        <v>5</v>
      </c>
    </row>
    <row r="66" spans="1:9">
      <c r="A66" s="6">
        <v>45091.755219907405</v>
      </c>
      <c r="B66" s="7">
        <v>2</v>
      </c>
      <c r="C66" s="7">
        <v>320</v>
      </c>
      <c r="E66" s="7" t="s">
        <v>31</v>
      </c>
      <c r="F66" s="7">
        <v>20</v>
      </c>
      <c r="G66" s="7" t="s">
        <v>5</v>
      </c>
    </row>
    <row r="67" spans="1:9">
      <c r="A67" s="6">
        <v>45092.766770833332</v>
      </c>
      <c r="B67" s="7">
        <v>2</v>
      </c>
      <c r="C67" s="7">
        <v>295</v>
      </c>
      <c r="D67" s="7">
        <v>50</v>
      </c>
      <c r="E67" s="7" t="s">
        <v>31</v>
      </c>
      <c r="F67" s="7">
        <v>20</v>
      </c>
      <c r="G67" s="7" t="s">
        <v>5</v>
      </c>
    </row>
    <row r="68" spans="1:9">
      <c r="A68" s="6">
        <v>45093.757060185184</v>
      </c>
      <c r="B68" s="7">
        <v>2</v>
      </c>
      <c r="C68" s="7">
        <v>310</v>
      </c>
      <c r="D68" s="7">
        <v>40</v>
      </c>
      <c r="E68" s="7" t="s">
        <v>31</v>
      </c>
      <c r="F68" s="7">
        <v>20</v>
      </c>
      <c r="G68" s="7" t="s">
        <v>5</v>
      </c>
    </row>
    <row r="69" spans="1:9">
      <c r="A69" s="6">
        <v>45096.770567129628</v>
      </c>
      <c r="B69" s="7">
        <v>2</v>
      </c>
      <c r="C69" s="7">
        <v>0</v>
      </c>
      <c r="D69" s="7">
        <v>0</v>
      </c>
      <c r="E69" s="7" t="s">
        <v>31</v>
      </c>
      <c r="F69" s="7">
        <v>540</v>
      </c>
      <c r="G69" s="7" t="s">
        <v>12</v>
      </c>
    </row>
    <row r="70" spans="1:9">
      <c r="A70" s="6">
        <v>45097.765752314815</v>
      </c>
      <c r="B70" s="7">
        <v>2</v>
      </c>
      <c r="C70" s="7">
        <v>420</v>
      </c>
      <c r="D70" s="7">
        <v>20</v>
      </c>
      <c r="E70" s="7" t="s">
        <v>31</v>
      </c>
      <c r="F70" s="7">
        <v>20</v>
      </c>
      <c r="G70" s="7" t="s">
        <v>5</v>
      </c>
    </row>
    <row r="71" spans="1:9">
      <c r="A71" s="6">
        <v>45098.768645833334</v>
      </c>
      <c r="B71" s="7">
        <v>2</v>
      </c>
      <c r="C71" s="7">
        <v>380</v>
      </c>
      <c r="D71" s="7">
        <v>20</v>
      </c>
      <c r="E71" s="7" t="s">
        <v>31</v>
      </c>
      <c r="F71" s="7">
        <v>23</v>
      </c>
      <c r="G71" s="7" t="s">
        <v>5</v>
      </c>
    </row>
    <row r="72" spans="1:9">
      <c r="A72" s="6">
        <v>45099.766956018517</v>
      </c>
      <c r="B72" s="7">
        <v>2</v>
      </c>
      <c r="C72" s="7">
        <v>210</v>
      </c>
      <c r="D72" s="7">
        <v>100</v>
      </c>
      <c r="E72" s="7" t="s">
        <v>31</v>
      </c>
      <c r="F72" s="7">
        <v>20</v>
      </c>
      <c r="G72" s="7" t="s">
        <v>5</v>
      </c>
    </row>
    <row r="73" spans="1:9">
      <c r="A73" s="6">
        <v>45100.76761574074</v>
      </c>
      <c r="B73" s="7">
        <v>2</v>
      </c>
      <c r="C73" s="7">
        <v>210</v>
      </c>
      <c r="D73" s="7">
        <v>100</v>
      </c>
      <c r="E73" s="7" t="s">
        <v>31</v>
      </c>
      <c r="F73" s="7">
        <v>20</v>
      </c>
      <c r="G73" s="7" t="s">
        <v>5</v>
      </c>
    </row>
    <row r="74" spans="1:9">
      <c r="A74" s="6">
        <v>45101.755196759259</v>
      </c>
      <c r="B74" s="7">
        <v>2</v>
      </c>
      <c r="C74" s="7">
        <v>210</v>
      </c>
      <c r="D74" s="7">
        <v>52</v>
      </c>
      <c r="E74" s="7" t="s">
        <v>31</v>
      </c>
      <c r="F74" s="7">
        <v>12</v>
      </c>
      <c r="G74" s="7" t="s">
        <v>5</v>
      </c>
      <c r="H74" s="7">
        <v>120</v>
      </c>
      <c r="I74" s="7" t="s">
        <v>4</v>
      </c>
    </row>
    <row r="75" spans="1:9">
      <c r="A75" s="6">
        <v>45110.766539351855</v>
      </c>
      <c r="B75" s="7">
        <v>2</v>
      </c>
      <c r="C75" s="7">
        <v>230</v>
      </c>
      <c r="D75" s="7">
        <v>54</v>
      </c>
      <c r="E75" s="7" t="s">
        <v>31</v>
      </c>
      <c r="F75" s="7">
        <v>20</v>
      </c>
      <c r="G75" s="7" t="s">
        <v>5</v>
      </c>
      <c r="H75" s="7">
        <v>10</v>
      </c>
      <c r="I75" s="7" t="s">
        <v>4</v>
      </c>
    </row>
    <row r="76" spans="1:9">
      <c r="A76" s="6">
        <v>45111.757453703707</v>
      </c>
      <c r="B76" s="7">
        <v>2</v>
      </c>
      <c r="C76" s="7">
        <v>242</v>
      </c>
      <c r="D76" s="7">
        <v>23</v>
      </c>
      <c r="E76" s="7" t="s">
        <v>31</v>
      </c>
      <c r="F76" s="7">
        <v>20</v>
      </c>
      <c r="G76" s="7" t="s">
        <v>5</v>
      </c>
    </row>
    <row r="77" spans="1:9">
      <c r="A77" s="6">
        <v>45112.756805555553</v>
      </c>
      <c r="B77" s="7">
        <v>2</v>
      </c>
      <c r="C77" s="7">
        <v>242</v>
      </c>
      <c r="D77" s="7">
        <v>50</v>
      </c>
      <c r="E77" s="7" t="s">
        <v>31</v>
      </c>
      <c r="F77" s="7">
        <v>23</v>
      </c>
      <c r="G77" s="7" t="s">
        <v>5</v>
      </c>
    </row>
    <row r="78" spans="1:9">
      <c r="A78" s="6">
        <v>45113.761111111111</v>
      </c>
      <c r="B78" s="7">
        <v>2</v>
      </c>
      <c r="C78" s="7">
        <v>263</v>
      </c>
      <c r="D78" s="7">
        <v>12</v>
      </c>
      <c r="E78" s="7" t="s">
        <v>31</v>
      </c>
      <c r="F78" s="7">
        <v>21</v>
      </c>
      <c r="G78" s="7" t="s">
        <v>5</v>
      </c>
    </row>
    <row r="79" spans="1:9">
      <c r="A79" s="6">
        <v>45114.765289351853</v>
      </c>
      <c r="B79" s="7">
        <v>2</v>
      </c>
      <c r="C79" s="7">
        <v>120</v>
      </c>
      <c r="D79" s="7">
        <v>10</v>
      </c>
      <c r="E79" s="7" t="s">
        <v>31</v>
      </c>
      <c r="F79" s="7">
        <v>20</v>
      </c>
      <c r="G79" s="7" t="s">
        <v>5</v>
      </c>
    </row>
    <row r="80" spans="1:9">
      <c r="A80" s="6">
        <v>45117.84689270833</v>
      </c>
      <c r="B80" s="7">
        <v>2</v>
      </c>
      <c r="C80" s="7">
        <v>230</v>
      </c>
      <c r="D80" s="7">
        <v>1</v>
      </c>
      <c r="E80" s="7" t="s">
        <v>31</v>
      </c>
      <c r="F80" s="7">
        <v>12</v>
      </c>
      <c r="G80" s="7" t="s">
        <v>5</v>
      </c>
    </row>
    <row r="81" spans="1:7">
      <c r="A81" s="6">
        <v>45118.750659722224</v>
      </c>
      <c r="B81" s="7">
        <v>2</v>
      </c>
      <c r="C81" s="7">
        <v>200</v>
      </c>
      <c r="D81" s="7">
        <v>10</v>
      </c>
      <c r="E81" s="7" t="s">
        <v>31</v>
      </c>
      <c r="F81" s="7">
        <v>12</v>
      </c>
      <c r="G81" s="7" t="s">
        <v>5</v>
      </c>
    </row>
    <row r="82" spans="1:7">
      <c r="A82" s="6">
        <v>45119.770694444444</v>
      </c>
      <c r="B82" s="7">
        <v>2</v>
      </c>
      <c r="C82" s="7">
        <v>0</v>
      </c>
      <c r="D82" s="7">
        <v>0</v>
      </c>
      <c r="E82" s="7" t="s">
        <v>31</v>
      </c>
      <c r="F82" s="7">
        <v>540</v>
      </c>
      <c r="G82" s="7" t="s">
        <v>12</v>
      </c>
    </row>
    <row r="83" spans="1:7">
      <c r="A83" s="6">
        <v>45120.75818287037</v>
      </c>
      <c r="B83" s="7">
        <v>2</v>
      </c>
      <c r="C83" s="7">
        <v>2</v>
      </c>
      <c r="D83" s="7">
        <v>256</v>
      </c>
      <c r="E83" s="7" t="s">
        <v>31</v>
      </c>
      <c r="F83" s="7">
        <v>20</v>
      </c>
      <c r="G83" s="7" t="s">
        <v>5</v>
      </c>
    </row>
    <row r="84" spans="1:7">
      <c r="A84" s="6">
        <v>45121.75885416667</v>
      </c>
      <c r="B84" s="7">
        <v>2</v>
      </c>
      <c r="C84" s="7">
        <v>345</v>
      </c>
      <c r="D84" s="7">
        <v>0</v>
      </c>
      <c r="E84" s="7" t="s">
        <v>31</v>
      </c>
      <c r="F84" s="7">
        <v>30</v>
      </c>
      <c r="G84" s="7" t="s">
        <v>5</v>
      </c>
    </row>
    <row r="85" spans="1:7">
      <c r="A85" s="6">
        <v>45124.75675925926</v>
      </c>
      <c r="B85" s="7">
        <v>2</v>
      </c>
      <c r="C85" s="7">
        <v>0</v>
      </c>
      <c r="D85" s="7">
        <v>0</v>
      </c>
      <c r="E85" s="7" t="s">
        <v>31</v>
      </c>
      <c r="F85" s="7">
        <v>540</v>
      </c>
      <c r="G85" s="7" t="s">
        <v>12</v>
      </c>
    </row>
    <row r="86" spans="1:7">
      <c r="A86" s="6">
        <v>45125.754930555559</v>
      </c>
      <c r="B86" s="7">
        <v>2</v>
      </c>
      <c r="C86" s="7">
        <v>289</v>
      </c>
      <c r="D86" s="7">
        <v>23</v>
      </c>
      <c r="E86" s="7" t="s">
        <v>31</v>
      </c>
      <c r="F86" s="7">
        <v>25</v>
      </c>
      <c r="G86" s="7" t="s">
        <v>5</v>
      </c>
    </row>
    <row r="87" spans="1:7">
      <c r="A87" s="6">
        <v>45126.767442129632</v>
      </c>
      <c r="B87" s="7">
        <v>2</v>
      </c>
      <c r="C87" s="7">
        <v>286</v>
      </c>
      <c r="D87" s="7">
        <v>30</v>
      </c>
      <c r="E87" s="7" t="s">
        <v>31</v>
      </c>
      <c r="F87" s="7">
        <v>25</v>
      </c>
      <c r="G87" s="7" t="s">
        <v>5</v>
      </c>
    </row>
    <row r="88" spans="1:7">
      <c r="A88" s="6">
        <v>45127.760740740741</v>
      </c>
      <c r="B88" s="7">
        <v>2</v>
      </c>
      <c r="C88" s="7">
        <v>250</v>
      </c>
      <c r="D88" s="7">
        <v>22</v>
      </c>
      <c r="E88" s="7" t="s">
        <v>31</v>
      </c>
      <c r="F88" s="7">
        <v>25</v>
      </c>
      <c r="G88" s="7" t="s">
        <v>5</v>
      </c>
    </row>
    <row r="89" spans="1:7">
      <c r="A89" s="6">
        <v>45128.77008101852</v>
      </c>
      <c r="B89" s="7">
        <v>2</v>
      </c>
      <c r="C89" s="7">
        <v>0</v>
      </c>
      <c r="D89" s="7">
        <v>380</v>
      </c>
      <c r="E89" s="7" t="s">
        <v>31</v>
      </c>
      <c r="F89" s="7">
        <v>20</v>
      </c>
      <c r="G89" s="7" t="s">
        <v>5</v>
      </c>
    </row>
    <row r="90" spans="1:7">
      <c r="A90" s="6">
        <v>45129.683379629627</v>
      </c>
      <c r="B90" s="7">
        <v>2</v>
      </c>
      <c r="C90" s="7">
        <v>255</v>
      </c>
      <c r="D90" s="7">
        <v>12</v>
      </c>
      <c r="E90" s="7" t="s">
        <v>31</v>
      </c>
      <c r="F90" s="7">
        <v>22</v>
      </c>
      <c r="G90" s="7" t="s">
        <v>5</v>
      </c>
    </row>
    <row r="91" spans="1:7">
      <c r="A91" s="6">
        <v>45131.764178240737</v>
      </c>
      <c r="B91" s="7">
        <v>2</v>
      </c>
      <c r="C91" s="7">
        <v>282</v>
      </c>
      <c r="D91" s="7">
        <v>0</v>
      </c>
      <c r="E91" s="7" t="s">
        <v>31</v>
      </c>
      <c r="F91" s="7">
        <v>22</v>
      </c>
      <c r="G91" s="7" t="s">
        <v>5</v>
      </c>
    </row>
    <row r="92" spans="1:7">
      <c r="A92" s="6">
        <v>45132.764699074076</v>
      </c>
      <c r="B92" s="7">
        <v>2</v>
      </c>
      <c r="C92" s="7">
        <v>200</v>
      </c>
      <c r="D92" s="7">
        <v>85</v>
      </c>
      <c r="E92" s="7" t="s">
        <v>31</v>
      </c>
      <c r="F92" s="7">
        <v>20</v>
      </c>
      <c r="G92" s="7" t="s">
        <v>5</v>
      </c>
    </row>
    <row r="93" spans="1:7">
      <c r="A93" s="6">
        <v>45133.747052199076</v>
      </c>
      <c r="B93" s="7">
        <v>2</v>
      </c>
      <c r="C93" s="7">
        <v>320</v>
      </c>
      <c r="D93" s="7">
        <v>20</v>
      </c>
      <c r="E93" s="7" t="s">
        <v>31</v>
      </c>
      <c r="F93" s="7">
        <v>20</v>
      </c>
      <c r="G93" s="7" t="s">
        <v>5</v>
      </c>
    </row>
    <row r="94" spans="1:7">
      <c r="A94" s="6">
        <v>45134.753946759258</v>
      </c>
      <c r="B94" s="7">
        <v>2</v>
      </c>
      <c r="C94" s="7">
        <v>250</v>
      </c>
      <c r="D94" s="7">
        <v>100</v>
      </c>
      <c r="E94" s="7" t="s">
        <v>31</v>
      </c>
      <c r="F94" s="7">
        <v>20</v>
      </c>
      <c r="G94" s="7" t="s">
        <v>5</v>
      </c>
    </row>
    <row r="95" spans="1:7">
      <c r="A95" s="6">
        <v>45135.749673842591</v>
      </c>
      <c r="B95" s="7">
        <v>2</v>
      </c>
      <c r="C95" s="7">
        <v>220</v>
      </c>
      <c r="D95" s="7">
        <v>50</v>
      </c>
      <c r="E95" s="7" t="s">
        <v>31</v>
      </c>
      <c r="F95" s="7">
        <v>25</v>
      </c>
      <c r="G95" s="7" t="s">
        <v>5</v>
      </c>
    </row>
    <row r="96" spans="1:7">
      <c r="A96" s="6">
        <v>45138.761817129627</v>
      </c>
      <c r="B96" s="7">
        <v>2</v>
      </c>
      <c r="C96" s="7">
        <v>295</v>
      </c>
      <c r="D96" s="7">
        <v>28</v>
      </c>
      <c r="E96" s="7" t="s">
        <v>31</v>
      </c>
      <c r="F96" s="7">
        <v>28</v>
      </c>
      <c r="G96" s="7" t="s">
        <v>5</v>
      </c>
    </row>
    <row r="97" spans="1:9">
      <c r="A97" s="6">
        <v>45139.766932870371</v>
      </c>
      <c r="B97" s="7">
        <v>2</v>
      </c>
      <c r="C97" s="7">
        <v>292</v>
      </c>
      <c r="D97" s="7">
        <v>0</v>
      </c>
      <c r="E97" s="7" t="s">
        <v>31</v>
      </c>
      <c r="F97" s="7">
        <v>20</v>
      </c>
      <c r="G97" s="7" t="s">
        <v>5</v>
      </c>
    </row>
    <row r="98" spans="1:9">
      <c r="A98" s="6">
        <v>45140.766527777778</v>
      </c>
      <c r="B98" s="7">
        <v>2</v>
      </c>
      <c r="C98" s="7">
        <v>302</v>
      </c>
      <c r="D98" s="7">
        <v>0</v>
      </c>
      <c r="E98" s="7" t="s">
        <v>31</v>
      </c>
      <c r="F98" s="7">
        <v>30</v>
      </c>
      <c r="G98" s="7" t="s">
        <v>5</v>
      </c>
    </row>
    <row r="99" spans="1:9">
      <c r="A99" s="6">
        <v>45141.764131944445</v>
      </c>
      <c r="B99" s="7">
        <v>2</v>
      </c>
      <c r="C99" s="7">
        <v>310</v>
      </c>
      <c r="D99" s="7">
        <v>0</v>
      </c>
      <c r="E99" s="7" t="s">
        <v>31</v>
      </c>
      <c r="F99" s="7">
        <v>20</v>
      </c>
      <c r="G99" s="7" t="s">
        <v>5</v>
      </c>
    </row>
    <row r="100" spans="1:9">
      <c r="A100" s="6">
        <v>45142.768865740742</v>
      </c>
      <c r="B100" s="7">
        <v>2</v>
      </c>
      <c r="C100" s="7">
        <v>245</v>
      </c>
      <c r="D100" s="7">
        <v>80</v>
      </c>
      <c r="E100" s="7" t="s">
        <v>31</v>
      </c>
      <c r="F100" s="7">
        <v>28</v>
      </c>
      <c r="G100" s="7" t="s">
        <v>5</v>
      </c>
    </row>
    <row r="101" spans="1:9">
      <c r="A101" s="6">
        <v>45145.770277777781</v>
      </c>
      <c r="B101" s="7">
        <v>2</v>
      </c>
      <c r="C101" s="7">
        <v>250</v>
      </c>
      <c r="D101" s="7">
        <v>23</v>
      </c>
      <c r="E101" s="7" t="s">
        <v>31</v>
      </c>
      <c r="F101" s="7">
        <v>20</v>
      </c>
      <c r="G101" s="7" t="s">
        <v>5</v>
      </c>
    </row>
    <row r="102" spans="1:9">
      <c r="A102" s="6">
        <v>45146.762094907404</v>
      </c>
      <c r="B102" s="7">
        <v>2</v>
      </c>
      <c r="C102" s="7">
        <v>262</v>
      </c>
      <c r="D102" s="7">
        <v>0</v>
      </c>
      <c r="E102" s="7" t="s">
        <v>31</v>
      </c>
      <c r="F102" s="7">
        <v>20</v>
      </c>
      <c r="G102" s="7" t="s">
        <v>5</v>
      </c>
    </row>
    <row r="103" spans="1:9">
      <c r="A103" s="6">
        <v>45147.767372685186</v>
      </c>
      <c r="B103" s="7">
        <v>2</v>
      </c>
      <c r="C103" s="7">
        <v>310</v>
      </c>
      <c r="D103" s="7">
        <v>0</v>
      </c>
      <c r="E103" s="7" t="s">
        <v>31</v>
      </c>
      <c r="F103" s="7">
        <v>20</v>
      </c>
      <c r="G103" s="7" t="s">
        <v>5</v>
      </c>
      <c r="H103" s="7">
        <v>10</v>
      </c>
      <c r="I103" s="7" t="s">
        <v>4</v>
      </c>
    </row>
    <row r="104" spans="1:9">
      <c r="A104" s="6">
        <v>45148.764016203706</v>
      </c>
      <c r="B104" s="7">
        <v>2</v>
      </c>
      <c r="C104" s="7">
        <v>210</v>
      </c>
      <c r="D104" s="7">
        <v>0</v>
      </c>
      <c r="E104" s="7" t="s">
        <v>31</v>
      </c>
      <c r="F104" s="7">
        <v>20</v>
      </c>
      <c r="G104" s="7" t="s">
        <v>5</v>
      </c>
      <c r="H104" s="7">
        <v>10</v>
      </c>
      <c r="I104" s="7" t="s">
        <v>4</v>
      </c>
    </row>
    <row r="105" spans="1:9">
      <c r="A105" s="6">
        <v>45149.769050925926</v>
      </c>
      <c r="B105" s="7">
        <v>2</v>
      </c>
      <c r="C105" s="7">
        <v>210</v>
      </c>
      <c r="D105" s="7">
        <v>50</v>
      </c>
      <c r="E105" s="7" t="s">
        <v>31</v>
      </c>
      <c r="F105" s="7">
        <v>20</v>
      </c>
      <c r="G105" s="7" t="s">
        <v>5</v>
      </c>
      <c r="H105" s="7">
        <v>60</v>
      </c>
      <c r="I105" s="7" t="s">
        <v>4</v>
      </c>
    </row>
    <row r="106" spans="1:9">
      <c r="A106" s="6">
        <v>45152.763067129628</v>
      </c>
      <c r="B106" s="7">
        <v>2</v>
      </c>
      <c r="C106" s="7">
        <v>380</v>
      </c>
      <c r="D106" s="7">
        <v>0</v>
      </c>
      <c r="E106" s="7" t="s">
        <v>31</v>
      </c>
      <c r="F106" s="7">
        <v>20</v>
      </c>
      <c r="G106" s="7" t="s">
        <v>5</v>
      </c>
      <c r="H106" s="7">
        <v>10</v>
      </c>
      <c r="I106" s="7" t="s">
        <v>4</v>
      </c>
    </row>
    <row r="107" spans="1:9">
      <c r="A107" s="6">
        <v>45153.76771990741</v>
      </c>
      <c r="B107" s="7">
        <v>2</v>
      </c>
      <c r="C107" s="7">
        <v>210</v>
      </c>
      <c r="D107" s="7">
        <v>59</v>
      </c>
      <c r="E107" s="7" t="s">
        <v>31</v>
      </c>
      <c r="F107" s="7">
        <v>20</v>
      </c>
      <c r="G107" s="7" t="s">
        <v>5</v>
      </c>
      <c r="H107" s="7">
        <v>60</v>
      </c>
      <c r="I107" s="7" t="s">
        <v>16</v>
      </c>
    </row>
    <row r="108" spans="1:9">
      <c r="A108" s="6">
        <v>45154.769178240742</v>
      </c>
      <c r="B108" s="7">
        <v>2</v>
      </c>
      <c r="C108" s="7">
        <v>280</v>
      </c>
      <c r="D108" s="7">
        <v>25</v>
      </c>
      <c r="E108" s="7" t="s">
        <v>31</v>
      </c>
      <c r="F108" s="7">
        <v>25</v>
      </c>
      <c r="G108" s="7" t="s">
        <v>5</v>
      </c>
      <c r="H108" s="7">
        <v>72</v>
      </c>
      <c r="I108" s="7" t="s">
        <v>8</v>
      </c>
    </row>
    <row r="109" spans="1:9">
      <c r="A109" s="6">
        <v>45155.767546296294</v>
      </c>
      <c r="B109" s="7">
        <v>2</v>
      </c>
      <c r="C109" s="7">
        <v>250</v>
      </c>
      <c r="D109" s="7">
        <v>40</v>
      </c>
      <c r="E109" s="7" t="s">
        <v>31</v>
      </c>
      <c r="F109" s="7">
        <v>20</v>
      </c>
      <c r="G109" s="7" t="s">
        <v>10</v>
      </c>
      <c r="H109" s="7">
        <v>100</v>
      </c>
      <c r="I109" s="7" t="s">
        <v>5</v>
      </c>
    </row>
    <row r="110" spans="1:9">
      <c r="A110" s="6">
        <v>45155.861319444448</v>
      </c>
      <c r="B110" s="7">
        <v>2</v>
      </c>
      <c r="C110" s="7">
        <v>40</v>
      </c>
      <c r="D110" s="7">
        <v>10</v>
      </c>
      <c r="E110" s="7" t="s">
        <v>32</v>
      </c>
      <c r="F110" s="7">
        <v>10</v>
      </c>
      <c r="G110" s="7" t="s">
        <v>4</v>
      </c>
    </row>
    <row r="111" spans="1:9">
      <c r="A111" s="6">
        <v>45156.763483796298</v>
      </c>
      <c r="B111" s="7">
        <v>2</v>
      </c>
      <c r="C111" s="7">
        <v>273</v>
      </c>
      <c r="D111" s="7">
        <v>34</v>
      </c>
      <c r="E111" s="7" t="s">
        <v>31</v>
      </c>
      <c r="F111" s="7">
        <v>20</v>
      </c>
      <c r="G111" s="7" t="s">
        <v>5</v>
      </c>
      <c r="H111" s="7">
        <v>60</v>
      </c>
      <c r="I111" s="7" t="s">
        <v>4</v>
      </c>
    </row>
    <row r="112" spans="1:9">
      <c r="A112" s="6">
        <v>45159.769849537035</v>
      </c>
      <c r="B112" s="7">
        <v>2</v>
      </c>
      <c r="C112" s="7">
        <v>275</v>
      </c>
      <c r="D112" s="7">
        <v>50</v>
      </c>
      <c r="E112" s="7" t="s">
        <v>31</v>
      </c>
      <c r="F112" s="7">
        <v>20</v>
      </c>
      <c r="G112" s="7" t="s">
        <v>5</v>
      </c>
      <c r="H112" s="7">
        <v>10</v>
      </c>
      <c r="I112" s="7" t="s">
        <v>4</v>
      </c>
    </row>
    <row r="113" spans="1:9">
      <c r="A113" s="6">
        <v>45160.759479166663</v>
      </c>
      <c r="B113" s="7">
        <v>2</v>
      </c>
      <c r="C113" s="7">
        <v>310</v>
      </c>
      <c r="D113" s="7">
        <v>25</v>
      </c>
      <c r="E113" s="7" t="s">
        <v>31</v>
      </c>
      <c r="F113" s="7">
        <v>20</v>
      </c>
      <c r="G113" s="7" t="s">
        <v>5</v>
      </c>
      <c r="H113" s="7">
        <v>10</v>
      </c>
      <c r="I113" s="7" t="s">
        <v>4</v>
      </c>
    </row>
    <row r="114" spans="1:9">
      <c r="A114" s="6">
        <v>45161.765763888892</v>
      </c>
      <c r="B114" s="7">
        <v>2</v>
      </c>
      <c r="C114" s="7">
        <v>285</v>
      </c>
      <c r="D114" s="7">
        <v>50</v>
      </c>
      <c r="E114" s="7" t="s">
        <v>31</v>
      </c>
      <c r="F114" s="7">
        <v>20</v>
      </c>
      <c r="G114" s="7" t="s">
        <v>5</v>
      </c>
      <c r="H114" s="7">
        <v>60</v>
      </c>
      <c r="I114" s="7" t="s">
        <v>11</v>
      </c>
    </row>
    <row r="115" spans="1:9">
      <c r="A115" s="6">
        <v>45162.762199074074</v>
      </c>
      <c r="B115" s="7">
        <v>2</v>
      </c>
      <c r="C115" s="7">
        <v>260</v>
      </c>
      <c r="D115" s="7">
        <v>35</v>
      </c>
      <c r="E115" s="7" t="s">
        <v>31</v>
      </c>
      <c r="F115" s="7">
        <v>25</v>
      </c>
      <c r="G115" s="7" t="s">
        <v>5</v>
      </c>
    </row>
    <row r="116" spans="1:9">
      <c r="A116" s="6">
        <v>45163.766597222224</v>
      </c>
      <c r="B116" s="7">
        <v>2</v>
      </c>
      <c r="C116" s="7">
        <v>280</v>
      </c>
      <c r="D116" s="7">
        <v>50</v>
      </c>
      <c r="E116" s="7" t="s">
        <v>31</v>
      </c>
      <c r="F116" s="7">
        <v>20</v>
      </c>
      <c r="G116" s="7" t="s">
        <v>5</v>
      </c>
      <c r="H116" s="7">
        <v>60</v>
      </c>
      <c r="I116" s="7" t="s">
        <v>4</v>
      </c>
    </row>
    <row r="117" spans="1:9">
      <c r="A117" s="6">
        <v>45166.765115740738</v>
      </c>
      <c r="B117" s="7">
        <v>2</v>
      </c>
      <c r="C117" s="7">
        <v>310</v>
      </c>
      <c r="D117" s="7">
        <v>0</v>
      </c>
      <c r="E117" s="7" t="s">
        <v>31</v>
      </c>
      <c r="F117" s="7">
        <v>20</v>
      </c>
      <c r="G117" s="7" t="s">
        <v>5</v>
      </c>
      <c r="H117" s="7">
        <v>10</v>
      </c>
      <c r="I117" s="7" t="s">
        <v>4</v>
      </c>
    </row>
    <row r="118" spans="1:9">
      <c r="A118" s="6">
        <v>45167.769456018519</v>
      </c>
      <c r="B118" s="7">
        <v>2</v>
      </c>
      <c r="C118" s="7">
        <v>260</v>
      </c>
      <c r="D118" s="7">
        <v>58</v>
      </c>
      <c r="E118" s="7" t="s">
        <v>31</v>
      </c>
      <c r="F118" s="7">
        <v>20</v>
      </c>
      <c r="G118" s="7" t="s">
        <v>5</v>
      </c>
    </row>
    <row r="119" spans="1:9">
      <c r="A119" s="6">
        <v>45169.760289351849</v>
      </c>
      <c r="B119" s="7">
        <v>2</v>
      </c>
      <c r="C119" s="7">
        <v>110</v>
      </c>
      <c r="D119" s="7">
        <v>0</v>
      </c>
      <c r="E119" s="7" t="s">
        <v>31</v>
      </c>
      <c r="F119" s="7">
        <v>20</v>
      </c>
      <c r="G119" s="7" t="s">
        <v>5</v>
      </c>
    </row>
    <row r="120" spans="1:9">
      <c r="A120" s="6">
        <v>45170.764421296299</v>
      </c>
      <c r="B120" s="7">
        <v>2</v>
      </c>
      <c r="C120" s="7">
        <v>120</v>
      </c>
      <c r="D120" s="7">
        <v>0</v>
      </c>
      <c r="E120" s="7" t="s">
        <v>31</v>
      </c>
      <c r="F120" s="7">
        <v>20</v>
      </c>
      <c r="G120" s="7" t="s">
        <v>5</v>
      </c>
      <c r="H120" s="7">
        <v>60</v>
      </c>
      <c r="I120" s="7" t="s">
        <v>4</v>
      </c>
    </row>
    <row r="121" spans="1:9">
      <c r="A121" s="6">
        <v>45173.770266203705</v>
      </c>
      <c r="B121" s="7">
        <v>2</v>
      </c>
      <c r="C121" s="7">
        <v>180</v>
      </c>
      <c r="D121" s="7">
        <v>10</v>
      </c>
      <c r="E121" s="7" t="s">
        <v>31</v>
      </c>
      <c r="F121" s="7">
        <v>20</v>
      </c>
      <c r="G121" s="7" t="s">
        <v>5</v>
      </c>
      <c r="H121" s="7">
        <v>10</v>
      </c>
      <c r="I121" s="7" t="s">
        <v>4</v>
      </c>
    </row>
    <row r="122" spans="1:9">
      <c r="A122" s="6">
        <v>45174.761516203704</v>
      </c>
      <c r="B122" s="7">
        <v>2</v>
      </c>
      <c r="C122" s="7">
        <v>232</v>
      </c>
      <c r="D122" s="7">
        <v>12</v>
      </c>
      <c r="E122" s="7" t="s">
        <v>31</v>
      </c>
      <c r="F122" s="7">
        <v>22</v>
      </c>
      <c r="G122" s="7" t="s">
        <v>5</v>
      </c>
    </row>
    <row r="123" spans="1:9">
      <c r="A123" s="6">
        <v>45175.763645833336</v>
      </c>
      <c r="B123" s="7">
        <v>2</v>
      </c>
      <c r="C123" s="7">
        <v>290</v>
      </c>
      <c r="D123" s="7">
        <v>20</v>
      </c>
      <c r="E123" s="7" t="s">
        <v>31</v>
      </c>
      <c r="F123" s="7">
        <v>20</v>
      </c>
      <c r="G123" s="7" t="s">
        <v>5</v>
      </c>
      <c r="H123" s="7">
        <v>10</v>
      </c>
      <c r="I123" s="7" t="s">
        <v>4</v>
      </c>
    </row>
    <row r="124" spans="1:9">
      <c r="A124" s="6">
        <v>45176.764340277776</v>
      </c>
      <c r="B124" s="7">
        <v>2</v>
      </c>
      <c r="C124" s="7">
        <v>256</v>
      </c>
      <c r="D124" s="7">
        <v>0</v>
      </c>
      <c r="E124" s="7" t="s">
        <v>31</v>
      </c>
      <c r="F124" s="7">
        <v>20</v>
      </c>
      <c r="G124" s="7" t="s">
        <v>5</v>
      </c>
      <c r="H124" s="7">
        <v>10</v>
      </c>
      <c r="I124" s="7" t="s">
        <v>4</v>
      </c>
    </row>
    <row r="125" spans="1:9">
      <c r="A125" s="6">
        <v>45177.758379629631</v>
      </c>
      <c r="B125" s="7">
        <v>2</v>
      </c>
      <c r="C125" s="7">
        <v>350</v>
      </c>
      <c r="D125" s="7">
        <v>19</v>
      </c>
      <c r="E125" s="7" t="s">
        <v>31</v>
      </c>
      <c r="F125" s="7">
        <v>20</v>
      </c>
      <c r="G125" s="7" t="s">
        <v>5</v>
      </c>
    </row>
    <row r="126" spans="1:9">
      <c r="A126" s="6">
        <v>45180.769907407404</v>
      </c>
      <c r="B126" s="7">
        <v>2</v>
      </c>
      <c r="C126" s="7">
        <v>310</v>
      </c>
      <c r="D126" s="7">
        <v>10</v>
      </c>
      <c r="E126" s="7" t="s">
        <v>31</v>
      </c>
      <c r="F126" s="7">
        <v>20</v>
      </c>
      <c r="G126" s="7" t="s">
        <v>5</v>
      </c>
    </row>
    <row r="127" spans="1:9">
      <c r="A127" s="6">
        <v>45180.859537037039</v>
      </c>
      <c r="B127" s="7">
        <v>2</v>
      </c>
      <c r="C127" s="7">
        <v>100</v>
      </c>
      <c r="D127" s="7">
        <v>0</v>
      </c>
      <c r="E127" s="7" t="s">
        <v>32</v>
      </c>
      <c r="F127" s="7">
        <v>10</v>
      </c>
      <c r="G127" s="7" t="s">
        <v>4</v>
      </c>
    </row>
    <row r="128" spans="1:9">
      <c r="A128" s="6">
        <v>45181.764456018522</v>
      </c>
      <c r="B128" s="7">
        <v>2</v>
      </c>
      <c r="C128" s="7">
        <v>290</v>
      </c>
      <c r="D128" s="7">
        <v>23</v>
      </c>
      <c r="E128" s="7" t="s">
        <v>31</v>
      </c>
      <c r="F128" s="7">
        <v>20</v>
      </c>
      <c r="G128" s="7" t="s">
        <v>5</v>
      </c>
      <c r="H128" s="7">
        <v>10</v>
      </c>
      <c r="I128" s="7" t="s">
        <v>4</v>
      </c>
    </row>
    <row r="129" spans="1:12">
      <c r="A129" s="6">
        <v>45182.76599537037</v>
      </c>
      <c r="B129" s="7">
        <v>2</v>
      </c>
      <c r="C129" s="7">
        <v>310</v>
      </c>
      <c r="D129" s="7">
        <v>10</v>
      </c>
      <c r="E129" s="7" t="s">
        <v>31</v>
      </c>
      <c r="F129" s="7">
        <v>20</v>
      </c>
      <c r="G129" s="7" t="s">
        <v>5</v>
      </c>
    </row>
    <row r="130" spans="1:12">
      <c r="A130" s="6">
        <v>45183.853263888886</v>
      </c>
      <c r="B130" s="7">
        <v>2</v>
      </c>
      <c r="C130" s="7">
        <v>400</v>
      </c>
      <c r="D130" s="7">
        <v>10</v>
      </c>
      <c r="E130" s="7" t="s">
        <v>32</v>
      </c>
      <c r="F130" s="7">
        <v>20</v>
      </c>
      <c r="G130" s="7" t="s">
        <v>5</v>
      </c>
    </row>
    <row r="131" spans="1:12">
      <c r="A131" s="6">
        <v>45184.858182870368</v>
      </c>
      <c r="B131" s="7">
        <v>2</v>
      </c>
      <c r="C131" s="7">
        <v>500</v>
      </c>
      <c r="D131" s="7">
        <v>18</v>
      </c>
      <c r="E131" s="7" t="s">
        <v>32</v>
      </c>
      <c r="F131" s="7">
        <v>25</v>
      </c>
      <c r="G131" s="7" t="s">
        <v>5</v>
      </c>
    </row>
    <row r="132" spans="1:12">
      <c r="A132" s="6">
        <v>45187.768645833334</v>
      </c>
      <c r="B132" s="7">
        <v>2</v>
      </c>
      <c r="C132" s="7">
        <v>260</v>
      </c>
      <c r="D132" s="7">
        <v>43</v>
      </c>
      <c r="E132" s="7" t="s">
        <v>31</v>
      </c>
      <c r="F132" s="7">
        <v>20</v>
      </c>
      <c r="G132" s="7" t="s">
        <v>5</v>
      </c>
      <c r="H132" s="7">
        <v>10</v>
      </c>
      <c r="I132" s="7" t="s">
        <v>4</v>
      </c>
    </row>
    <row r="133" spans="1:12">
      <c r="A133" s="6">
        <v>45188.767893518518</v>
      </c>
      <c r="B133" s="7">
        <v>2</v>
      </c>
      <c r="C133" s="7">
        <v>540</v>
      </c>
      <c r="D133" s="7">
        <v>25</v>
      </c>
      <c r="E133" s="7" t="s">
        <v>31</v>
      </c>
      <c r="F133" s="7">
        <v>20</v>
      </c>
      <c r="G133" s="7" t="s">
        <v>5</v>
      </c>
    </row>
    <row r="134" spans="1:12">
      <c r="A134" s="6">
        <v>45189.762592592589</v>
      </c>
      <c r="B134" s="7">
        <v>2</v>
      </c>
      <c r="C134" s="7">
        <v>520</v>
      </c>
      <c r="D134" s="7">
        <v>0</v>
      </c>
      <c r="E134" s="7" t="s">
        <v>31</v>
      </c>
      <c r="F134" s="7">
        <v>25</v>
      </c>
      <c r="G134" s="7" t="s">
        <v>5</v>
      </c>
    </row>
    <row r="135" spans="1:12">
      <c r="A135" s="6">
        <v>45190.765787037039</v>
      </c>
      <c r="B135" s="7">
        <v>2</v>
      </c>
      <c r="C135" s="7">
        <v>510</v>
      </c>
      <c r="D135" s="7">
        <v>2</v>
      </c>
      <c r="E135" s="7" t="s">
        <v>31</v>
      </c>
      <c r="F135" s="7">
        <v>20</v>
      </c>
      <c r="G135" s="7" t="s">
        <v>5</v>
      </c>
    </row>
    <row r="136" spans="1:12">
      <c r="A136" s="6">
        <v>45191.751736111109</v>
      </c>
      <c r="B136" s="7">
        <v>2</v>
      </c>
      <c r="C136" s="7">
        <v>428</v>
      </c>
      <c r="D136" s="7">
        <v>20</v>
      </c>
      <c r="E136" s="7" t="s">
        <v>31</v>
      </c>
      <c r="F136" s="7">
        <v>20</v>
      </c>
      <c r="G136" s="7" t="s">
        <v>5</v>
      </c>
      <c r="H136" s="7">
        <v>50</v>
      </c>
      <c r="I136" s="7" t="s">
        <v>4</v>
      </c>
    </row>
    <row r="137" spans="1:12">
      <c r="A137" s="6">
        <v>45194.750659722224</v>
      </c>
      <c r="B137" s="7">
        <v>2</v>
      </c>
      <c r="C137" s="7">
        <v>520</v>
      </c>
      <c r="D137" s="7">
        <v>12</v>
      </c>
      <c r="E137" s="7" t="s">
        <v>31</v>
      </c>
      <c r="F137" s="7">
        <v>20</v>
      </c>
      <c r="G137" s="7" t="s">
        <v>5</v>
      </c>
    </row>
    <row r="138" spans="1:12">
      <c r="A138" s="6">
        <v>45195.753796296296</v>
      </c>
      <c r="B138" s="7">
        <v>2</v>
      </c>
      <c r="C138" s="7">
        <v>482</v>
      </c>
      <c r="D138" s="7">
        <v>28</v>
      </c>
      <c r="E138" s="7" t="s">
        <v>31</v>
      </c>
      <c r="F138" s="7">
        <v>20</v>
      </c>
      <c r="G138" s="7" t="s">
        <v>5</v>
      </c>
    </row>
    <row r="139" spans="1:12">
      <c r="A139" s="6">
        <v>45196.751793981479</v>
      </c>
      <c r="B139" s="7">
        <v>2</v>
      </c>
      <c r="C139" s="7">
        <v>411</v>
      </c>
      <c r="D139" s="7">
        <v>19</v>
      </c>
      <c r="E139" s="7" t="s">
        <v>31</v>
      </c>
      <c r="F139" s="7">
        <v>26</v>
      </c>
      <c r="G139" s="7" t="s">
        <v>5</v>
      </c>
    </row>
    <row r="140" spans="1:12">
      <c r="A140" s="6">
        <v>45197.753692129627</v>
      </c>
      <c r="B140" s="7">
        <v>2</v>
      </c>
      <c r="C140" s="7">
        <v>452</v>
      </c>
      <c r="D140" s="7">
        <v>18</v>
      </c>
      <c r="E140" s="7" t="s">
        <v>31</v>
      </c>
      <c r="F140" s="7">
        <v>20</v>
      </c>
      <c r="G140" s="7" t="s">
        <v>5</v>
      </c>
    </row>
    <row r="141" spans="1:12">
      <c r="A141" s="6">
        <v>45198.767685185187</v>
      </c>
      <c r="B141" s="7">
        <v>2</v>
      </c>
      <c r="C141" s="7">
        <v>225</v>
      </c>
      <c r="D141" s="7">
        <v>13</v>
      </c>
      <c r="E141" s="7" t="s">
        <v>31</v>
      </c>
      <c r="F141" s="7">
        <v>20</v>
      </c>
      <c r="G141" s="7" t="s">
        <v>5</v>
      </c>
    </row>
    <row r="142" spans="1:12">
      <c r="A142" s="6">
        <v>45201.763668981483</v>
      </c>
      <c r="B142" s="7">
        <v>2</v>
      </c>
      <c r="C142" s="7">
        <v>180</v>
      </c>
      <c r="D142" s="7">
        <v>5</v>
      </c>
      <c r="E142" s="7" t="s">
        <v>31</v>
      </c>
      <c r="F142" s="7">
        <v>20</v>
      </c>
      <c r="G142" s="7" t="s">
        <v>5</v>
      </c>
      <c r="L142" s="15" t="s">
        <v>35</v>
      </c>
    </row>
    <row r="143" spans="1:12">
      <c r="A143" s="6">
        <v>45202.754074074073</v>
      </c>
      <c r="B143" s="7">
        <v>2</v>
      </c>
      <c r="C143" s="7">
        <v>200</v>
      </c>
      <c r="D143" s="7">
        <v>0</v>
      </c>
      <c r="E143" s="7" t="s">
        <v>31</v>
      </c>
      <c r="F143" s="7">
        <v>20</v>
      </c>
      <c r="G143" s="7" t="s">
        <v>5</v>
      </c>
      <c r="L143" s="15" t="s">
        <v>36</v>
      </c>
    </row>
    <row r="144" spans="1:12">
      <c r="A144" s="6">
        <v>45203.75953703704</v>
      </c>
      <c r="B144" s="7">
        <v>2</v>
      </c>
      <c r="C144" s="7">
        <v>212</v>
      </c>
      <c r="D144" s="7">
        <v>15</v>
      </c>
      <c r="E144" s="7" t="s">
        <v>31</v>
      </c>
      <c r="F144" s="7">
        <v>20</v>
      </c>
      <c r="G144" s="7" t="s">
        <v>5</v>
      </c>
      <c r="L144" s="15" t="s">
        <v>37</v>
      </c>
    </row>
    <row r="145" spans="1:12">
      <c r="A145" s="6">
        <v>45204.754791666666</v>
      </c>
      <c r="B145" s="7">
        <v>2</v>
      </c>
      <c r="C145" s="7">
        <v>274</v>
      </c>
      <c r="D145" s="7">
        <v>35</v>
      </c>
      <c r="E145" s="7" t="s">
        <v>31</v>
      </c>
      <c r="F145" s="7">
        <v>20</v>
      </c>
      <c r="G145" s="7" t="s">
        <v>5</v>
      </c>
      <c r="L145" s="15" t="s">
        <v>37</v>
      </c>
    </row>
    <row r="146" spans="1:12">
      <c r="A146" s="6">
        <v>45205.764641203707</v>
      </c>
      <c r="B146" s="7">
        <v>2</v>
      </c>
      <c r="C146" s="7">
        <v>375</v>
      </c>
      <c r="D146" s="7">
        <v>0</v>
      </c>
      <c r="E146" s="7" t="s">
        <v>31</v>
      </c>
      <c r="F146" s="7">
        <v>20</v>
      </c>
      <c r="G146" s="7" t="s">
        <v>5</v>
      </c>
      <c r="H146" s="7">
        <v>60</v>
      </c>
      <c r="I146" s="7" t="s">
        <v>4</v>
      </c>
    </row>
    <row r="147" spans="1:12">
      <c r="A147" s="6">
        <v>45208.76965509259</v>
      </c>
      <c r="B147" s="7">
        <v>2</v>
      </c>
      <c r="C147" s="7">
        <v>313</v>
      </c>
      <c r="D147" s="7">
        <v>18</v>
      </c>
      <c r="E147" s="7" t="s">
        <v>31</v>
      </c>
      <c r="F147" s="7">
        <v>20</v>
      </c>
      <c r="G147" s="7" t="s">
        <v>5</v>
      </c>
      <c r="H147" s="7">
        <v>20</v>
      </c>
      <c r="I147" s="7" t="s">
        <v>8</v>
      </c>
    </row>
    <row r="148" spans="1:12">
      <c r="A148" s="6">
        <v>45209.764869791667</v>
      </c>
      <c r="B148" s="7">
        <v>2</v>
      </c>
      <c r="C148" s="7">
        <v>380</v>
      </c>
      <c r="D148" s="7">
        <v>50</v>
      </c>
      <c r="E148" s="7" t="s">
        <v>31</v>
      </c>
      <c r="F148" s="7">
        <v>20</v>
      </c>
      <c r="G148" s="7" t="s">
        <v>5</v>
      </c>
      <c r="H148" s="7">
        <v>20</v>
      </c>
      <c r="I148" s="7" t="s">
        <v>8</v>
      </c>
    </row>
    <row r="149" spans="1:12">
      <c r="A149" s="6">
        <v>45210.765138888892</v>
      </c>
      <c r="B149" s="7">
        <v>2</v>
      </c>
      <c r="C149" s="7">
        <v>130</v>
      </c>
      <c r="D149" s="7">
        <v>50</v>
      </c>
      <c r="E149" s="7" t="s">
        <v>31</v>
      </c>
      <c r="F149" s="7">
        <v>20</v>
      </c>
      <c r="G149" s="7" t="s">
        <v>5</v>
      </c>
    </row>
    <row r="150" spans="1:12">
      <c r="A150" s="6">
        <v>45211.767713425928</v>
      </c>
      <c r="B150" s="7">
        <v>2</v>
      </c>
      <c r="C150" s="7">
        <v>234</v>
      </c>
      <c r="D150" s="7">
        <v>59</v>
      </c>
      <c r="E150" s="7" t="s">
        <v>31</v>
      </c>
      <c r="F150" s="7">
        <v>20</v>
      </c>
      <c r="G150" s="7" t="s">
        <v>5</v>
      </c>
      <c r="H150" s="7">
        <v>15</v>
      </c>
      <c r="I150" s="7" t="s">
        <v>8</v>
      </c>
    </row>
    <row r="151" spans="1:12">
      <c r="A151" s="6">
        <v>45212.752199074072</v>
      </c>
      <c r="B151" s="7">
        <v>2</v>
      </c>
      <c r="C151" s="7">
        <v>245</v>
      </c>
      <c r="D151" s="7">
        <v>37</v>
      </c>
      <c r="E151" s="7" t="s">
        <v>31</v>
      </c>
      <c r="F151" s="7">
        <v>20</v>
      </c>
      <c r="G151" s="7" t="s">
        <v>5</v>
      </c>
      <c r="H151" s="7">
        <v>60</v>
      </c>
      <c r="I151" s="7" t="s">
        <v>4</v>
      </c>
    </row>
    <row r="152" spans="1:12">
      <c r="A152" s="6">
        <v>45215.765023495369</v>
      </c>
      <c r="B152" s="7">
        <v>2</v>
      </c>
      <c r="C152" s="7">
        <v>172</v>
      </c>
      <c r="D152" s="7">
        <v>79</v>
      </c>
      <c r="E152" s="7" t="s">
        <v>31</v>
      </c>
      <c r="F152" s="7">
        <v>20</v>
      </c>
      <c r="G152" s="7" t="s">
        <v>5</v>
      </c>
      <c r="H152" s="7">
        <v>180</v>
      </c>
      <c r="I152" s="7" t="s">
        <v>8</v>
      </c>
    </row>
    <row r="153" spans="1:12">
      <c r="A153" s="6">
        <v>45216.769178240742</v>
      </c>
      <c r="B153" s="7">
        <v>2</v>
      </c>
      <c r="C153" s="7">
        <v>135</v>
      </c>
      <c r="D153" s="7">
        <v>110</v>
      </c>
      <c r="E153" s="7" t="s">
        <v>31</v>
      </c>
      <c r="F153" s="7">
        <v>20</v>
      </c>
      <c r="G153" s="7" t="s">
        <v>5</v>
      </c>
      <c r="H153" s="7">
        <v>90</v>
      </c>
      <c r="I153" s="7" t="s">
        <v>8</v>
      </c>
    </row>
    <row r="154" spans="1:12">
      <c r="A154" s="6">
        <v>45217.760103587963</v>
      </c>
      <c r="B154" s="7">
        <v>2</v>
      </c>
      <c r="C154" s="7">
        <v>367</v>
      </c>
      <c r="D154" s="7">
        <v>40</v>
      </c>
      <c r="E154" s="7" t="s">
        <v>31</v>
      </c>
      <c r="F154" s="7">
        <v>20</v>
      </c>
      <c r="G154" s="7" t="s">
        <v>5</v>
      </c>
      <c r="H154" s="7">
        <v>20</v>
      </c>
      <c r="I154" s="7" t="s">
        <v>8</v>
      </c>
    </row>
    <row r="155" spans="1:12">
      <c r="A155" s="6">
        <v>45218.754837962966</v>
      </c>
      <c r="B155" s="7">
        <v>2</v>
      </c>
      <c r="C155" s="7">
        <v>249</v>
      </c>
      <c r="D155" s="7">
        <v>69</v>
      </c>
      <c r="E155" s="7" t="s">
        <v>31</v>
      </c>
      <c r="F155" s="7">
        <v>20</v>
      </c>
      <c r="G155" s="7" t="s">
        <v>5</v>
      </c>
      <c r="H155" s="7">
        <v>80</v>
      </c>
      <c r="I155" s="7" t="s">
        <v>8</v>
      </c>
    </row>
    <row r="156" spans="1:12">
      <c r="A156" s="6">
        <v>45219.766377314816</v>
      </c>
      <c r="B156" s="7">
        <v>2</v>
      </c>
      <c r="C156" s="7">
        <v>233</v>
      </c>
      <c r="D156" s="7">
        <v>38</v>
      </c>
      <c r="E156" s="7" t="s">
        <v>31</v>
      </c>
      <c r="F156" s="7">
        <v>20</v>
      </c>
      <c r="G156" s="7" t="s">
        <v>5</v>
      </c>
      <c r="H156" s="7">
        <v>60</v>
      </c>
      <c r="I156" s="7" t="s">
        <v>4</v>
      </c>
    </row>
    <row r="157" spans="1:12">
      <c r="A157" s="6">
        <v>45222.766232638889</v>
      </c>
      <c r="B157" s="7">
        <v>2</v>
      </c>
      <c r="C157" s="7">
        <v>274</v>
      </c>
      <c r="D157" s="7">
        <v>35</v>
      </c>
      <c r="E157" s="7" t="s">
        <v>31</v>
      </c>
      <c r="F157" s="7">
        <v>20</v>
      </c>
      <c r="G157" s="7" t="s">
        <v>5</v>
      </c>
      <c r="H157" s="7">
        <v>60</v>
      </c>
      <c r="I157" s="7" t="s">
        <v>8</v>
      </c>
      <c r="J157" s="7">
        <v>15</v>
      </c>
      <c r="K157" s="7" t="s">
        <v>16</v>
      </c>
    </row>
    <row r="158" spans="1:12">
      <c r="A158" s="6">
        <v>45223.763791087964</v>
      </c>
      <c r="B158" s="7">
        <v>2</v>
      </c>
      <c r="C158" s="7">
        <v>247</v>
      </c>
      <c r="D158" s="7">
        <v>76</v>
      </c>
      <c r="E158" s="7" t="s">
        <v>31</v>
      </c>
      <c r="F158" s="7">
        <v>20</v>
      </c>
      <c r="G158" s="7" t="s">
        <v>5</v>
      </c>
      <c r="H158" s="7">
        <v>60</v>
      </c>
      <c r="I158" s="7" t="s">
        <v>8</v>
      </c>
    </row>
    <row r="159" spans="1:12">
      <c r="A159" s="6">
        <v>45224.763731250001</v>
      </c>
      <c r="B159" s="7">
        <v>2</v>
      </c>
      <c r="C159" s="7">
        <v>224</v>
      </c>
      <c r="D159" s="7">
        <v>105</v>
      </c>
      <c r="E159" s="7" t="s">
        <v>31</v>
      </c>
      <c r="F159" s="7">
        <v>20</v>
      </c>
      <c r="G159" s="7" t="s">
        <v>5</v>
      </c>
      <c r="H159" s="7">
        <v>20</v>
      </c>
      <c r="I159" s="7" t="s">
        <v>8</v>
      </c>
    </row>
    <row r="160" spans="1:12">
      <c r="A160" s="6">
        <v>45225.766597222224</v>
      </c>
      <c r="B160" s="7">
        <v>2</v>
      </c>
      <c r="C160" s="7">
        <v>274</v>
      </c>
      <c r="D160" s="7">
        <v>116</v>
      </c>
      <c r="E160" s="7" t="s">
        <v>31</v>
      </c>
      <c r="F160" s="7">
        <v>20</v>
      </c>
      <c r="G160" s="7" t="s">
        <v>5</v>
      </c>
      <c r="H160" s="7">
        <v>65</v>
      </c>
      <c r="I160" s="7" t="s">
        <v>8</v>
      </c>
    </row>
    <row r="161" spans="1:11">
      <c r="A161" s="6">
        <v>45226.76711458333</v>
      </c>
      <c r="B161" s="7">
        <v>2</v>
      </c>
      <c r="C161" s="7">
        <v>257</v>
      </c>
      <c r="D161" s="7">
        <v>55</v>
      </c>
      <c r="E161" s="7" t="s">
        <v>31</v>
      </c>
      <c r="F161" s="7">
        <v>20</v>
      </c>
      <c r="G161" s="7" t="s">
        <v>5</v>
      </c>
      <c r="H161" s="7">
        <v>60</v>
      </c>
      <c r="I161" s="7" t="s">
        <v>8</v>
      </c>
    </row>
    <row r="162" spans="1:11">
      <c r="A162" s="6">
        <v>45229.767361111109</v>
      </c>
      <c r="B162" s="7">
        <v>2</v>
      </c>
      <c r="C162" s="7">
        <v>100</v>
      </c>
      <c r="D162" s="7">
        <v>10</v>
      </c>
      <c r="E162" s="7" t="s">
        <v>31</v>
      </c>
      <c r="F162" s="7">
        <v>60</v>
      </c>
      <c r="G162" s="7" t="s">
        <v>5</v>
      </c>
    </row>
    <row r="163" spans="1:11">
      <c r="A163" s="6">
        <v>45230.769502314812</v>
      </c>
      <c r="B163" s="7">
        <v>2</v>
      </c>
      <c r="C163" s="7">
        <v>200</v>
      </c>
      <c r="D163" s="7">
        <v>10</v>
      </c>
      <c r="E163" s="7" t="s">
        <v>31</v>
      </c>
      <c r="F163" s="7">
        <v>30</v>
      </c>
      <c r="G163" s="7" t="s">
        <v>5</v>
      </c>
    </row>
    <row r="164" spans="1:11">
      <c r="A164" s="6">
        <v>45231.763372222224</v>
      </c>
      <c r="B164" s="7">
        <v>2</v>
      </c>
      <c r="C164" s="7">
        <v>250</v>
      </c>
      <c r="D164" s="7">
        <v>80</v>
      </c>
      <c r="E164" s="7" t="s">
        <v>31</v>
      </c>
      <c r="F164" s="7">
        <v>20</v>
      </c>
      <c r="G164" s="7" t="s">
        <v>5</v>
      </c>
      <c r="H164" s="7">
        <v>30</v>
      </c>
      <c r="I164" s="7" t="s">
        <v>8</v>
      </c>
    </row>
    <row r="165" spans="1:11">
      <c r="A165" s="6">
        <v>45232.763194444444</v>
      </c>
      <c r="B165" s="7">
        <v>2</v>
      </c>
      <c r="C165" s="7">
        <v>185</v>
      </c>
      <c r="D165" s="7">
        <v>116</v>
      </c>
      <c r="E165" s="7" t="s">
        <v>31</v>
      </c>
      <c r="F165" s="7">
        <v>20</v>
      </c>
      <c r="G165" s="7" t="s">
        <v>5</v>
      </c>
      <c r="H165" s="7">
        <v>35</v>
      </c>
      <c r="I165" s="7" t="s">
        <v>8</v>
      </c>
    </row>
    <row r="166" spans="1:11">
      <c r="A166" s="6">
        <v>45233.75195810185</v>
      </c>
      <c r="B166" s="7">
        <v>2</v>
      </c>
      <c r="C166" s="7">
        <v>152</v>
      </c>
      <c r="D166" s="7">
        <v>74</v>
      </c>
      <c r="E166" s="7" t="s">
        <v>31</v>
      </c>
      <c r="F166" s="7">
        <v>40</v>
      </c>
      <c r="G166" s="7" t="s">
        <v>5</v>
      </c>
      <c r="H166" s="7">
        <v>45</v>
      </c>
      <c r="I166" s="7" t="s">
        <v>8</v>
      </c>
      <c r="J166" s="7">
        <v>60</v>
      </c>
      <c r="K166" s="7" t="s">
        <v>4</v>
      </c>
    </row>
    <row r="167" spans="1:11">
      <c r="A167" s="6">
        <v>45236.766474768519</v>
      </c>
      <c r="B167" s="7">
        <v>2</v>
      </c>
      <c r="C167" s="7">
        <v>155</v>
      </c>
      <c r="D167" s="7">
        <v>57</v>
      </c>
      <c r="E167" s="7" t="s">
        <v>31</v>
      </c>
      <c r="F167" s="7">
        <v>20</v>
      </c>
      <c r="G167" s="7" t="s">
        <v>5</v>
      </c>
      <c r="H167" s="7">
        <v>15</v>
      </c>
      <c r="I167" s="7" t="s">
        <v>8</v>
      </c>
      <c r="J167" s="7">
        <v>30</v>
      </c>
      <c r="K167" s="7" t="s">
        <v>6</v>
      </c>
    </row>
    <row r="168" spans="1:11">
      <c r="A168" s="6">
        <v>45237.761704745368</v>
      </c>
      <c r="B168" s="7">
        <v>2</v>
      </c>
      <c r="C168" s="7">
        <v>342</v>
      </c>
      <c r="D168" s="7">
        <v>55</v>
      </c>
      <c r="E168" s="7" t="s">
        <v>31</v>
      </c>
      <c r="F168" s="7">
        <v>20</v>
      </c>
      <c r="G168" s="7" t="s">
        <v>5</v>
      </c>
    </row>
    <row r="169" spans="1:11">
      <c r="A169" s="6">
        <v>45238.762729050926</v>
      </c>
      <c r="B169" s="7">
        <v>2</v>
      </c>
      <c r="C169" s="7">
        <v>278</v>
      </c>
      <c r="D169" s="7">
        <v>113</v>
      </c>
      <c r="E169" s="7" t="s">
        <v>31</v>
      </c>
      <c r="F169" s="7">
        <v>20</v>
      </c>
      <c r="G169" s="7" t="s">
        <v>5</v>
      </c>
      <c r="H169" s="7">
        <v>45</v>
      </c>
      <c r="I169" s="7" t="s">
        <v>8</v>
      </c>
    </row>
    <row r="170" spans="1:11">
      <c r="A170" s="6">
        <v>45239.766805555555</v>
      </c>
      <c r="B170" s="7">
        <v>2</v>
      </c>
      <c r="C170" s="7">
        <v>300</v>
      </c>
      <c r="D170" s="7">
        <v>12</v>
      </c>
      <c r="E170" s="7" t="s">
        <v>31</v>
      </c>
      <c r="F170" s="7">
        <v>20</v>
      </c>
      <c r="G170" s="7" t="s">
        <v>5</v>
      </c>
    </row>
    <row r="171" spans="1:11">
      <c r="A171" s="6">
        <v>45240.769687499997</v>
      </c>
      <c r="B171" s="7">
        <v>2</v>
      </c>
      <c r="C171" s="7">
        <v>400</v>
      </c>
      <c r="D171" s="7">
        <v>28</v>
      </c>
      <c r="E171" s="7" t="s">
        <v>31</v>
      </c>
      <c r="F171" s="7">
        <v>60</v>
      </c>
      <c r="G171" s="7" t="s">
        <v>5</v>
      </c>
      <c r="H171" s="7">
        <v>15</v>
      </c>
      <c r="I171" s="7" t="s">
        <v>8</v>
      </c>
      <c r="J171" s="7">
        <v>60</v>
      </c>
      <c r="K171" s="7" t="s">
        <v>4</v>
      </c>
    </row>
    <row r="172" spans="1:11">
      <c r="A172" s="6">
        <v>45243.762880787035</v>
      </c>
      <c r="B172" s="7">
        <v>2</v>
      </c>
      <c r="C172" s="7">
        <v>326</v>
      </c>
      <c r="D172" s="7">
        <v>65</v>
      </c>
      <c r="E172" s="7" t="s">
        <v>31</v>
      </c>
      <c r="F172" s="7">
        <v>30</v>
      </c>
      <c r="G172" s="7" t="s">
        <v>5</v>
      </c>
    </row>
    <row r="173" spans="1:11">
      <c r="A173" s="6">
        <v>45244.752905092595</v>
      </c>
      <c r="B173" s="7">
        <v>2</v>
      </c>
      <c r="C173" s="7">
        <v>239</v>
      </c>
      <c r="D173" s="7">
        <v>15</v>
      </c>
      <c r="E173" s="7" t="s">
        <v>31</v>
      </c>
      <c r="F173" s="7">
        <v>20</v>
      </c>
      <c r="G173" s="7" t="s">
        <v>5</v>
      </c>
    </row>
    <row r="174" spans="1:11">
      <c r="A174" s="6">
        <v>45245.768125000002</v>
      </c>
      <c r="B174" s="7">
        <v>2</v>
      </c>
      <c r="C174" s="7">
        <v>250</v>
      </c>
      <c r="D174" s="7">
        <v>12</v>
      </c>
      <c r="E174" s="7" t="s">
        <v>31</v>
      </c>
      <c r="F174" s="7">
        <v>20</v>
      </c>
      <c r="G174" s="7" t="s">
        <v>5</v>
      </c>
    </row>
    <row r="175" spans="1:11">
      <c r="A175" s="6">
        <v>45246.769108796296</v>
      </c>
      <c r="B175" s="7">
        <v>2</v>
      </c>
      <c r="C175" s="7">
        <v>280</v>
      </c>
      <c r="D175" s="7">
        <v>20</v>
      </c>
      <c r="E175" s="7" t="s">
        <v>31</v>
      </c>
      <c r="F175" s="7">
        <v>20</v>
      </c>
      <c r="G175" s="7" t="s">
        <v>5</v>
      </c>
    </row>
    <row r="176" spans="1:11">
      <c r="A176" s="6">
        <v>45247.765821759262</v>
      </c>
      <c r="B176" s="7">
        <v>2</v>
      </c>
      <c r="C176" s="7">
        <v>249</v>
      </c>
      <c r="D176" s="7">
        <v>12</v>
      </c>
      <c r="E176" s="7" t="s">
        <v>31</v>
      </c>
      <c r="F176" s="7">
        <v>20</v>
      </c>
      <c r="G176" s="7" t="s">
        <v>5</v>
      </c>
      <c r="H176" s="7">
        <v>60</v>
      </c>
      <c r="I176" s="7" t="s">
        <v>4</v>
      </c>
    </row>
    <row r="177" spans="1:11">
      <c r="A177" s="6">
        <v>45250.759698379632</v>
      </c>
      <c r="B177" s="7">
        <v>2</v>
      </c>
      <c r="C177" s="7">
        <v>370</v>
      </c>
      <c r="D177" s="7">
        <v>154</v>
      </c>
      <c r="E177" s="7" t="s">
        <v>31</v>
      </c>
      <c r="F177" s="7">
        <v>20</v>
      </c>
      <c r="G177" s="7" t="s">
        <v>5</v>
      </c>
      <c r="H177" s="7">
        <v>30</v>
      </c>
      <c r="I177" s="7" t="s">
        <v>8</v>
      </c>
    </row>
    <row r="178" spans="1:11">
      <c r="A178" s="6">
        <v>45251.759745370371</v>
      </c>
      <c r="B178" s="7">
        <v>2</v>
      </c>
      <c r="C178" s="7">
        <v>275</v>
      </c>
      <c r="D178" s="7">
        <v>168</v>
      </c>
      <c r="E178" s="7" t="s">
        <v>31</v>
      </c>
      <c r="F178" s="7">
        <v>25</v>
      </c>
      <c r="G178" s="7" t="s">
        <v>5</v>
      </c>
      <c r="H178" s="7">
        <v>45</v>
      </c>
      <c r="I178" s="7" t="s">
        <v>8</v>
      </c>
    </row>
    <row r="179" spans="1:11">
      <c r="A179" s="6">
        <v>45252.764872685184</v>
      </c>
      <c r="B179" s="7">
        <v>2</v>
      </c>
      <c r="C179" s="7">
        <v>274</v>
      </c>
      <c r="D179" s="7">
        <v>118</v>
      </c>
      <c r="E179" s="7" t="s">
        <v>31</v>
      </c>
      <c r="F179" s="7">
        <v>20</v>
      </c>
      <c r="G179" s="7" t="s">
        <v>5</v>
      </c>
      <c r="H179" s="7">
        <v>30</v>
      </c>
      <c r="I179" s="7" t="s">
        <v>8</v>
      </c>
    </row>
    <row r="180" spans="1:11">
      <c r="A180" s="6">
        <v>45253.762766203705</v>
      </c>
      <c r="B180" s="7">
        <v>2</v>
      </c>
      <c r="C180" s="7">
        <v>245</v>
      </c>
      <c r="D180" s="7">
        <v>133</v>
      </c>
      <c r="E180" s="7" t="s">
        <v>31</v>
      </c>
      <c r="F180" s="7">
        <v>20</v>
      </c>
      <c r="G180" s="7" t="s">
        <v>5</v>
      </c>
      <c r="H180" s="7">
        <v>45</v>
      </c>
      <c r="I180" s="7" t="s">
        <v>8</v>
      </c>
    </row>
    <row r="181" spans="1:11">
      <c r="A181" s="6">
        <v>45254.751217939818</v>
      </c>
      <c r="B181" s="7">
        <v>2</v>
      </c>
      <c r="C181" s="7">
        <v>138</v>
      </c>
      <c r="D181" s="7">
        <v>118</v>
      </c>
      <c r="E181" s="7" t="s">
        <v>31</v>
      </c>
      <c r="F181" s="7">
        <v>30</v>
      </c>
      <c r="G181" s="7" t="s">
        <v>5</v>
      </c>
      <c r="H181" s="7">
        <v>20</v>
      </c>
      <c r="I181" s="7" t="s">
        <v>16</v>
      </c>
      <c r="J181" s="7">
        <v>90</v>
      </c>
      <c r="K181" s="7" t="s">
        <v>4</v>
      </c>
    </row>
    <row r="182" spans="1:11">
      <c r="A182" s="6">
        <v>45257.763439930553</v>
      </c>
      <c r="B182" s="7">
        <v>2</v>
      </c>
      <c r="C182" s="7">
        <v>194</v>
      </c>
      <c r="D182" s="7">
        <v>94</v>
      </c>
      <c r="E182" s="7" t="s">
        <v>31</v>
      </c>
      <c r="F182" s="7">
        <v>30</v>
      </c>
      <c r="G182" s="7" t="s">
        <v>5</v>
      </c>
    </row>
    <row r="183" spans="1:11">
      <c r="A183" s="6">
        <v>45258.75488414352</v>
      </c>
      <c r="B183" s="7">
        <v>2</v>
      </c>
      <c r="C183" s="7">
        <v>345</v>
      </c>
      <c r="D183" s="7">
        <v>61</v>
      </c>
      <c r="E183" s="7" t="s">
        <v>31</v>
      </c>
      <c r="F183" s="7">
        <v>20</v>
      </c>
      <c r="G183" s="7" t="s">
        <v>5</v>
      </c>
    </row>
    <row r="184" spans="1:11">
      <c r="A184" s="6">
        <v>45259.764872685184</v>
      </c>
      <c r="B184" s="7">
        <v>2</v>
      </c>
      <c r="C184" s="7">
        <v>362</v>
      </c>
      <c r="D184" s="7">
        <v>113</v>
      </c>
      <c r="E184" s="7" t="s">
        <v>31</v>
      </c>
      <c r="F184" s="7">
        <v>20</v>
      </c>
      <c r="G184" s="7" t="s">
        <v>5</v>
      </c>
      <c r="H184" s="7">
        <v>40</v>
      </c>
      <c r="I184" s="7" t="s">
        <v>16</v>
      </c>
    </row>
    <row r="185" spans="1:11">
      <c r="A185" s="6">
        <v>45260.764502314814</v>
      </c>
      <c r="B185" s="7">
        <v>2</v>
      </c>
      <c r="C185" s="7">
        <v>216</v>
      </c>
      <c r="D185" s="7">
        <v>79</v>
      </c>
      <c r="E185" s="7" t="s">
        <v>31</v>
      </c>
      <c r="F185" s="7">
        <v>20</v>
      </c>
      <c r="G185" s="7" t="s">
        <v>5</v>
      </c>
      <c r="H185" s="7">
        <v>60</v>
      </c>
      <c r="I185" s="7" t="s">
        <v>8</v>
      </c>
    </row>
    <row r="186" spans="1:11">
      <c r="A186" s="6">
        <v>45261.760995370372</v>
      </c>
      <c r="B186" s="7">
        <v>2</v>
      </c>
      <c r="C186" s="7">
        <v>273</v>
      </c>
      <c r="D186" s="7">
        <v>46</v>
      </c>
      <c r="E186" s="7" t="s">
        <v>31</v>
      </c>
      <c r="F186" s="7">
        <v>20</v>
      </c>
      <c r="G186" s="7" t="s">
        <v>5</v>
      </c>
      <c r="H186" s="7">
        <v>60</v>
      </c>
      <c r="I186" s="7" t="s">
        <v>4</v>
      </c>
    </row>
    <row r="187" spans="1:11">
      <c r="A187" s="6">
        <v>45264.763009259259</v>
      </c>
      <c r="B187" s="7">
        <v>2</v>
      </c>
      <c r="C187" s="7">
        <v>256</v>
      </c>
      <c r="D187" s="7">
        <v>89</v>
      </c>
      <c r="E187" s="7" t="s">
        <v>31</v>
      </c>
      <c r="F187" s="7">
        <v>30</v>
      </c>
      <c r="G187" s="7" t="s">
        <v>5</v>
      </c>
    </row>
    <row r="188" spans="1:11">
      <c r="A188" s="6">
        <v>45265.764795138886</v>
      </c>
      <c r="B188" s="7">
        <v>2</v>
      </c>
      <c r="C188" s="7">
        <v>171</v>
      </c>
      <c r="D188" s="7">
        <v>98</v>
      </c>
      <c r="E188" s="7" t="s">
        <v>31</v>
      </c>
      <c r="F188" s="7">
        <v>30</v>
      </c>
      <c r="G188" s="7" t="s">
        <v>5</v>
      </c>
      <c r="H188" s="7">
        <v>20</v>
      </c>
      <c r="I188" s="7" t="s">
        <v>11</v>
      </c>
      <c r="J188" s="7">
        <v>40</v>
      </c>
      <c r="K188" s="7" t="s">
        <v>8</v>
      </c>
    </row>
    <row r="189" spans="1:11">
      <c r="A189" s="6">
        <v>45266.744212152778</v>
      </c>
      <c r="B189" s="7">
        <v>2</v>
      </c>
      <c r="C189" s="7">
        <v>185</v>
      </c>
      <c r="D189" s="7">
        <v>126</v>
      </c>
      <c r="E189" s="7" t="s">
        <v>31</v>
      </c>
      <c r="F189" s="7">
        <v>20</v>
      </c>
      <c r="G189" s="7" t="s">
        <v>5</v>
      </c>
      <c r="H189" s="7">
        <v>30</v>
      </c>
      <c r="I189" s="7" t="s">
        <v>8</v>
      </c>
    </row>
    <row r="190" spans="1:11">
      <c r="A190" s="6">
        <v>45267.761157407411</v>
      </c>
      <c r="B190" s="7">
        <v>2</v>
      </c>
      <c r="C190" s="7">
        <v>263</v>
      </c>
      <c r="D190" s="7">
        <v>188</v>
      </c>
      <c r="E190" s="7" t="s">
        <v>31</v>
      </c>
      <c r="F190" s="7">
        <v>20</v>
      </c>
      <c r="G190" s="7" t="s">
        <v>5</v>
      </c>
      <c r="H190" s="7">
        <v>30</v>
      </c>
      <c r="I190" s="7" t="s">
        <v>8</v>
      </c>
    </row>
    <row r="191" spans="1:11">
      <c r="A191" s="6">
        <v>45268.764027777775</v>
      </c>
      <c r="B191" s="7">
        <v>2</v>
      </c>
      <c r="C191" s="7">
        <v>194</v>
      </c>
      <c r="D191" s="7">
        <v>87</v>
      </c>
      <c r="E191" s="7" t="s">
        <v>31</v>
      </c>
      <c r="F191" s="7">
        <v>20</v>
      </c>
      <c r="G191" s="7" t="s">
        <v>5</v>
      </c>
      <c r="H191" s="7">
        <v>60</v>
      </c>
      <c r="I191" s="7" t="s">
        <v>4</v>
      </c>
    </row>
    <row r="192" spans="1:11">
      <c r="A192" s="6">
        <v>45271.761483680559</v>
      </c>
      <c r="B192" s="7">
        <v>2</v>
      </c>
      <c r="C192" s="7">
        <v>301</v>
      </c>
      <c r="D192" s="7">
        <v>160</v>
      </c>
      <c r="E192" s="7" t="s">
        <v>31</v>
      </c>
      <c r="F192" s="7">
        <v>20</v>
      </c>
      <c r="G192" s="7" t="s">
        <v>5</v>
      </c>
      <c r="H192" s="7">
        <v>50</v>
      </c>
      <c r="I192" s="7" t="s">
        <v>8</v>
      </c>
    </row>
    <row r="193" spans="1:11">
      <c r="A193" s="6">
        <v>45272.762086458337</v>
      </c>
      <c r="B193" s="7">
        <v>2</v>
      </c>
      <c r="C193" s="7">
        <v>84</v>
      </c>
      <c r="D193" s="7">
        <v>195</v>
      </c>
      <c r="E193" s="7" t="s">
        <v>31</v>
      </c>
      <c r="F193" s="7">
        <v>20</v>
      </c>
      <c r="G193" s="7" t="s">
        <v>5</v>
      </c>
      <c r="H193" s="7">
        <v>150</v>
      </c>
      <c r="I193" s="7" t="s">
        <v>8</v>
      </c>
    </row>
    <row r="194" spans="1:11">
      <c r="A194" s="6">
        <v>45273.767500000002</v>
      </c>
      <c r="B194" s="7">
        <v>2</v>
      </c>
      <c r="C194" s="7">
        <v>73</v>
      </c>
      <c r="D194" s="7">
        <v>251</v>
      </c>
      <c r="E194" s="7" t="s">
        <v>31</v>
      </c>
      <c r="F194" s="7">
        <v>20</v>
      </c>
      <c r="G194" s="7" t="s">
        <v>5</v>
      </c>
      <c r="H194" s="7">
        <v>20</v>
      </c>
      <c r="I194" s="7" t="s">
        <v>4</v>
      </c>
    </row>
    <row r="195" spans="1:11">
      <c r="A195" s="6">
        <v>45274.76939814815</v>
      </c>
      <c r="B195" s="7">
        <v>2</v>
      </c>
      <c r="C195" s="7">
        <v>68</v>
      </c>
      <c r="D195" s="7">
        <v>286</v>
      </c>
      <c r="E195" s="7" t="s">
        <v>31</v>
      </c>
      <c r="F195" s="7">
        <v>20</v>
      </c>
      <c r="G195" s="7" t="s">
        <v>5</v>
      </c>
      <c r="H195" s="7">
        <v>20</v>
      </c>
      <c r="I195" s="7" t="s">
        <v>4</v>
      </c>
    </row>
    <row r="196" spans="1:11">
      <c r="A196" s="6">
        <v>45275.766226851854</v>
      </c>
      <c r="B196" s="7">
        <v>2</v>
      </c>
      <c r="C196" s="7">
        <v>200</v>
      </c>
      <c r="D196" s="7">
        <v>200</v>
      </c>
      <c r="E196" s="7" t="s">
        <v>31</v>
      </c>
      <c r="F196" s="7">
        <v>20</v>
      </c>
      <c r="G196" s="7" t="s">
        <v>5</v>
      </c>
      <c r="H196" s="7">
        <v>60</v>
      </c>
      <c r="I196" s="7" t="s">
        <v>4</v>
      </c>
    </row>
    <row r="197" spans="1:11">
      <c r="A197" s="6">
        <v>45278.759641203702</v>
      </c>
      <c r="B197" s="7">
        <v>2</v>
      </c>
      <c r="C197" s="7">
        <v>200</v>
      </c>
      <c r="D197" s="7">
        <v>200</v>
      </c>
      <c r="E197" s="7" t="s">
        <v>31</v>
      </c>
      <c r="F197" s="7">
        <v>20</v>
      </c>
      <c r="G197" s="7" t="s">
        <v>5</v>
      </c>
      <c r="H197" s="7">
        <v>10</v>
      </c>
      <c r="I197" s="7" t="s">
        <v>4</v>
      </c>
    </row>
    <row r="198" spans="1:11">
      <c r="A198" s="6">
        <v>45279.763993055552</v>
      </c>
      <c r="B198" s="7">
        <v>2</v>
      </c>
      <c r="C198" s="7">
        <v>75</v>
      </c>
      <c r="D198" s="7">
        <v>153</v>
      </c>
      <c r="E198" s="7" t="s">
        <v>31</v>
      </c>
      <c r="F198" s="7">
        <v>20</v>
      </c>
      <c r="G198" s="7" t="s">
        <v>5</v>
      </c>
      <c r="H198" s="7">
        <v>10</v>
      </c>
      <c r="I198" s="7" t="s">
        <v>4</v>
      </c>
    </row>
    <row r="199" spans="1:11">
      <c r="A199" s="6">
        <v>45280.861787731483</v>
      </c>
      <c r="B199" s="7">
        <v>2</v>
      </c>
      <c r="C199" s="7">
        <v>450</v>
      </c>
      <c r="D199" s="7">
        <v>80</v>
      </c>
      <c r="E199" s="7" t="s">
        <v>31</v>
      </c>
      <c r="F199" s="7">
        <v>20</v>
      </c>
      <c r="G199" s="7" t="s">
        <v>5</v>
      </c>
      <c r="H199" s="7">
        <v>10</v>
      </c>
      <c r="I199" s="7" t="s">
        <v>4</v>
      </c>
    </row>
    <row r="200" spans="1:11">
      <c r="A200" s="6">
        <v>45281.751575115741</v>
      </c>
      <c r="B200" s="7">
        <v>2</v>
      </c>
      <c r="C200" s="7">
        <v>267</v>
      </c>
      <c r="D200" s="7">
        <v>109</v>
      </c>
      <c r="E200" s="7" t="s">
        <v>31</v>
      </c>
      <c r="F200" s="7">
        <v>20</v>
      </c>
      <c r="G200" s="7" t="s">
        <v>5</v>
      </c>
    </row>
    <row r="201" spans="1:11">
      <c r="A201" s="6">
        <v>45282.757002314815</v>
      </c>
      <c r="B201" s="7">
        <v>2</v>
      </c>
      <c r="C201" s="7">
        <v>356</v>
      </c>
      <c r="D201" s="7">
        <v>148</v>
      </c>
      <c r="E201" s="7" t="s">
        <v>31</v>
      </c>
      <c r="F201" s="7">
        <v>20</v>
      </c>
      <c r="G201" s="7" t="s">
        <v>5</v>
      </c>
    </row>
    <row r="202" spans="1:11">
      <c r="A202" s="6">
        <v>45285.765259490741</v>
      </c>
      <c r="B202" s="7">
        <v>2</v>
      </c>
      <c r="C202" s="7">
        <v>278</v>
      </c>
      <c r="D202" s="7">
        <v>125</v>
      </c>
      <c r="E202" s="7" t="s">
        <v>31</v>
      </c>
      <c r="F202" s="7">
        <v>20</v>
      </c>
      <c r="G202" s="7" t="s">
        <v>5</v>
      </c>
      <c r="H202" s="7">
        <v>60</v>
      </c>
      <c r="I202" s="7" t="s">
        <v>8</v>
      </c>
    </row>
    <row r="203" spans="1:11">
      <c r="A203" s="6">
        <v>45286.76353009259</v>
      </c>
      <c r="B203" s="7">
        <v>2</v>
      </c>
      <c r="C203" s="7">
        <v>253</v>
      </c>
      <c r="D203" s="7">
        <v>116</v>
      </c>
      <c r="E203" s="7" t="s">
        <v>31</v>
      </c>
      <c r="F203" s="7">
        <v>20</v>
      </c>
      <c r="G203" s="7" t="s">
        <v>5</v>
      </c>
    </row>
    <row r="204" spans="1:11">
      <c r="A204" s="6">
        <v>45287.757710763886</v>
      </c>
      <c r="B204" s="7">
        <v>2</v>
      </c>
      <c r="C204" s="7">
        <v>215</v>
      </c>
      <c r="D204" s="7">
        <v>130</v>
      </c>
      <c r="E204" s="7" t="s">
        <v>31</v>
      </c>
      <c r="F204" s="7">
        <v>20</v>
      </c>
      <c r="G204" s="7" t="s">
        <v>5</v>
      </c>
      <c r="H204" s="7">
        <v>120</v>
      </c>
      <c r="I204" s="7" t="s">
        <v>8</v>
      </c>
    </row>
    <row r="205" spans="1:11">
      <c r="A205" s="6">
        <v>45288.749514814815</v>
      </c>
      <c r="B205" s="7">
        <v>2</v>
      </c>
      <c r="C205" s="7">
        <v>235</v>
      </c>
      <c r="D205" s="7">
        <v>120</v>
      </c>
      <c r="E205" s="7" t="s">
        <v>31</v>
      </c>
      <c r="F205" s="7">
        <v>20</v>
      </c>
      <c r="G205" s="7" t="s">
        <v>5</v>
      </c>
      <c r="H205" s="7">
        <v>60</v>
      </c>
      <c r="I205" s="7" t="s">
        <v>8</v>
      </c>
    </row>
    <row r="206" spans="1:11">
      <c r="A206" s="6">
        <v>45289.757746875002</v>
      </c>
      <c r="B206" s="7">
        <v>2</v>
      </c>
      <c r="C206" s="7">
        <v>290</v>
      </c>
      <c r="D206" s="7">
        <v>85</v>
      </c>
      <c r="E206" s="7" t="s">
        <v>31</v>
      </c>
      <c r="F206" s="7">
        <v>20</v>
      </c>
      <c r="G206" s="7" t="s">
        <v>5</v>
      </c>
      <c r="H206" s="7">
        <v>60</v>
      </c>
      <c r="I206" s="7" t="s">
        <v>8</v>
      </c>
    </row>
    <row r="207" spans="1:11">
      <c r="A207" s="6">
        <v>45293.855243634258</v>
      </c>
      <c r="B207" s="7">
        <v>2</v>
      </c>
      <c r="C207" s="7">
        <v>360</v>
      </c>
      <c r="D207" s="7">
        <v>145</v>
      </c>
      <c r="E207" s="7" t="s">
        <v>31</v>
      </c>
      <c r="F207" s="7">
        <v>20</v>
      </c>
      <c r="G207" s="7" t="s">
        <v>5</v>
      </c>
      <c r="H207" s="7">
        <v>45</v>
      </c>
      <c r="I207" s="7" t="s">
        <v>8</v>
      </c>
      <c r="J207" s="7">
        <v>10</v>
      </c>
      <c r="K207" s="7" t="s">
        <v>11</v>
      </c>
    </row>
    <row r="208" spans="1:11">
      <c r="A208" s="6">
        <v>45294.856875925929</v>
      </c>
      <c r="B208" s="7">
        <v>2</v>
      </c>
      <c r="C208" s="7">
        <v>150</v>
      </c>
      <c r="D208" s="7">
        <v>250</v>
      </c>
      <c r="E208" s="7" t="s">
        <v>31</v>
      </c>
      <c r="F208" s="7">
        <v>20</v>
      </c>
      <c r="G208" s="7" t="s">
        <v>5</v>
      </c>
      <c r="H208" s="7">
        <v>60</v>
      </c>
      <c r="I208" s="7" t="s">
        <v>8</v>
      </c>
      <c r="J208" s="7">
        <v>20</v>
      </c>
      <c r="K208" s="7" t="s">
        <v>11</v>
      </c>
    </row>
    <row r="209" spans="1:12">
      <c r="A209" s="6">
        <v>45295.856416435185</v>
      </c>
      <c r="B209" s="7">
        <v>2</v>
      </c>
      <c r="C209" s="7">
        <v>273</v>
      </c>
      <c r="D209" s="7">
        <v>95</v>
      </c>
      <c r="E209" s="7" t="s">
        <v>31</v>
      </c>
      <c r="F209" s="7">
        <v>20</v>
      </c>
      <c r="G209" s="7" t="s">
        <v>5</v>
      </c>
      <c r="H209" s="7">
        <v>180</v>
      </c>
      <c r="I209" s="7" t="s">
        <v>8</v>
      </c>
      <c r="J209" s="7">
        <v>20</v>
      </c>
      <c r="K209" s="7" t="s">
        <v>11</v>
      </c>
    </row>
    <row r="210" spans="1:12">
      <c r="A210" s="6">
        <v>45296.853845717589</v>
      </c>
      <c r="B210" s="7">
        <v>2</v>
      </c>
      <c r="C210" s="7">
        <v>175</v>
      </c>
      <c r="D210" s="7">
        <v>60</v>
      </c>
      <c r="E210" s="7" t="s">
        <v>31</v>
      </c>
      <c r="F210" s="7">
        <v>20</v>
      </c>
      <c r="G210" s="7" t="s">
        <v>5</v>
      </c>
      <c r="H210" s="7">
        <v>250</v>
      </c>
      <c r="I210" s="7" t="s">
        <v>6</v>
      </c>
      <c r="J210" s="7">
        <v>20</v>
      </c>
      <c r="K210" s="7" t="s">
        <v>11</v>
      </c>
    </row>
    <row r="211" spans="1:12">
      <c r="A211" s="6">
        <v>45297.725113541666</v>
      </c>
      <c r="B211" s="7">
        <v>2</v>
      </c>
      <c r="C211" s="7">
        <v>250</v>
      </c>
      <c r="D211" s="7">
        <v>139</v>
      </c>
      <c r="E211" s="7" t="s">
        <v>31</v>
      </c>
      <c r="F211" s="7">
        <v>20</v>
      </c>
      <c r="G211" s="7" t="s">
        <v>5</v>
      </c>
      <c r="H211" s="7">
        <v>20</v>
      </c>
      <c r="I211" s="7" t="s">
        <v>11</v>
      </c>
    </row>
    <row r="212" spans="1:12">
      <c r="A212" s="6">
        <v>45299.855790624999</v>
      </c>
      <c r="B212" s="7">
        <v>2</v>
      </c>
      <c r="C212" s="7">
        <v>350</v>
      </c>
      <c r="D212" s="7">
        <v>109</v>
      </c>
      <c r="E212" s="7" t="s">
        <v>31</v>
      </c>
      <c r="F212" s="7">
        <v>20</v>
      </c>
      <c r="G212" s="7" t="s">
        <v>5</v>
      </c>
      <c r="H212" s="7">
        <v>60</v>
      </c>
      <c r="I212" s="7" t="s">
        <v>8</v>
      </c>
    </row>
    <row r="213" spans="1:12">
      <c r="A213" s="6">
        <v>45300.861385763892</v>
      </c>
      <c r="B213" s="7">
        <v>2</v>
      </c>
      <c r="C213" s="7">
        <v>390</v>
      </c>
      <c r="D213" s="7">
        <v>77</v>
      </c>
      <c r="E213" s="7" t="s">
        <v>31</v>
      </c>
      <c r="F213" s="7">
        <v>20</v>
      </c>
      <c r="G213" s="7" t="s">
        <v>5</v>
      </c>
    </row>
    <row r="214" spans="1:12">
      <c r="A214" s="6">
        <v>45301.85592800926</v>
      </c>
      <c r="B214" s="7">
        <v>2</v>
      </c>
      <c r="C214" s="7">
        <v>350</v>
      </c>
      <c r="D214" s="7">
        <v>110</v>
      </c>
      <c r="E214" s="7" t="s">
        <v>32</v>
      </c>
      <c r="F214" s="7">
        <v>20</v>
      </c>
      <c r="G214" s="7" t="s">
        <v>5</v>
      </c>
      <c r="H214" s="7">
        <v>30</v>
      </c>
      <c r="I214" s="7" t="s">
        <v>8</v>
      </c>
    </row>
    <row r="215" spans="1:12">
      <c r="A215" s="6">
        <v>45302.762401273147</v>
      </c>
      <c r="B215" s="7">
        <v>2</v>
      </c>
      <c r="C215" s="7">
        <v>150</v>
      </c>
      <c r="D215" s="7">
        <v>70</v>
      </c>
      <c r="E215" s="7" t="s">
        <v>31</v>
      </c>
      <c r="F215" s="7">
        <v>20</v>
      </c>
      <c r="G215" s="7" t="s">
        <v>5</v>
      </c>
      <c r="H215" s="7">
        <v>240</v>
      </c>
      <c r="I215" s="7" t="s">
        <v>8</v>
      </c>
    </row>
    <row r="216" spans="1:12">
      <c r="A216" s="6">
        <v>45303.764097222222</v>
      </c>
      <c r="B216" s="7">
        <v>2</v>
      </c>
      <c r="C216" s="7">
        <v>250</v>
      </c>
      <c r="D216" s="7">
        <v>10</v>
      </c>
      <c r="E216" s="7" t="s">
        <v>31</v>
      </c>
      <c r="F216" s="7">
        <v>25</v>
      </c>
      <c r="G216" s="7" t="s">
        <v>5</v>
      </c>
    </row>
    <row r="217" spans="1:12">
      <c r="A217" s="6">
        <v>45306.857914004628</v>
      </c>
      <c r="B217" s="7">
        <v>2</v>
      </c>
      <c r="C217" s="7">
        <v>320</v>
      </c>
      <c r="D217" s="7">
        <v>138</v>
      </c>
      <c r="E217" s="7" t="s">
        <v>32</v>
      </c>
      <c r="F217" s="7">
        <v>20</v>
      </c>
      <c r="G217" s="7" t="s">
        <v>5</v>
      </c>
      <c r="H217" s="7">
        <v>90</v>
      </c>
      <c r="I217" s="7" t="s">
        <v>12</v>
      </c>
      <c r="J217" s="7">
        <v>60</v>
      </c>
      <c r="K217" s="7" t="s">
        <v>8</v>
      </c>
    </row>
    <row r="218" spans="1:12">
      <c r="A218" s="6">
        <v>45307.859329629631</v>
      </c>
      <c r="B218" s="7">
        <v>2</v>
      </c>
      <c r="C218" s="7">
        <v>290</v>
      </c>
      <c r="D218" s="7">
        <v>76</v>
      </c>
      <c r="E218" s="7" t="s">
        <v>32</v>
      </c>
      <c r="F218" s="7">
        <v>20</v>
      </c>
      <c r="G218" s="7" t="s">
        <v>5</v>
      </c>
      <c r="H218" s="7">
        <v>150</v>
      </c>
      <c r="I218" s="7" t="s">
        <v>8</v>
      </c>
      <c r="L218" s="15" t="s">
        <v>38</v>
      </c>
    </row>
    <row r="219" spans="1:12">
      <c r="A219" s="6">
        <v>45308.858019675929</v>
      </c>
      <c r="B219" s="7">
        <v>2</v>
      </c>
      <c r="C219" s="7">
        <v>410</v>
      </c>
      <c r="D219" s="7">
        <v>80</v>
      </c>
      <c r="E219" s="7" t="s">
        <v>32</v>
      </c>
      <c r="F219" s="7">
        <v>20</v>
      </c>
      <c r="G219" s="7" t="s">
        <v>5</v>
      </c>
      <c r="H219" s="7">
        <v>20</v>
      </c>
      <c r="I219" s="7" t="s">
        <v>8</v>
      </c>
    </row>
    <row r="220" spans="1:12">
      <c r="A220" s="6">
        <v>45309.764119328705</v>
      </c>
      <c r="B220" s="7">
        <v>2</v>
      </c>
      <c r="C220" s="7">
        <v>350</v>
      </c>
      <c r="D220" s="7">
        <v>90</v>
      </c>
      <c r="E220" s="7" t="s">
        <v>31</v>
      </c>
      <c r="F220" s="7">
        <v>20</v>
      </c>
      <c r="G220" s="7" t="s">
        <v>5</v>
      </c>
      <c r="H220" s="7">
        <v>30</v>
      </c>
      <c r="I220" s="7" t="s">
        <v>6</v>
      </c>
    </row>
    <row r="221" spans="1:12">
      <c r="A221" s="6">
        <v>45310.759826388887</v>
      </c>
      <c r="B221" s="7">
        <v>2</v>
      </c>
      <c r="C221" s="7">
        <v>255</v>
      </c>
      <c r="D221" s="7">
        <v>213</v>
      </c>
      <c r="E221" s="7" t="s">
        <v>31</v>
      </c>
      <c r="F221" s="7">
        <v>20</v>
      </c>
      <c r="G221" s="7" t="s">
        <v>5</v>
      </c>
      <c r="H221" s="7">
        <v>30</v>
      </c>
      <c r="I221" s="7" t="s">
        <v>4</v>
      </c>
    </row>
    <row r="222" spans="1:12">
      <c r="A222" s="6">
        <v>45313.76209837963</v>
      </c>
      <c r="B222" s="7">
        <v>2</v>
      </c>
      <c r="C222" s="7">
        <v>289</v>
      </c>
      <c r="D222" s="7">
        <v>120</v>
      </c>
      <c r="E222" s="7" t="s">
        <v>31</v>
      </c>
      <c r="F222" s="7">
        <v>20</v>
      </c>
      <c r="G222" s="7" t="s">
        <v>5</v>
      </c>
      <c r="H222" s="7">
        <v>40</v>
      </c>
      <c r="I222" s="7" t="s">
        <v>8</v>
      </c>
    </row>
    <row r="223" spans="1:12">
      <c r="A223" s="6">
        <v>45314.762951157405</v>
      </c>
      <c r="B223" s="7">
        <v>2</v>
      </c>
      <c r="C223" s="7">
        <v>250</v>
      </c>
      <c r="D223" s="7">
        <v>150</v>
      </c>
      <c r="E223" s="7" t="s">
        <v>31</v>
      </c>
      <c r="F223" s="7">
        <v>20</v>
      </c>
      <c r="G223" s="7" t="s">
        <v>5</v>
      </c>
      <c r="H223" s="7">
        <v>30</v>
      </c>
      <c r="I223" s="7" t="s">
        <v>8</v>
      </c>
      <c r="J223" s="7">
        <v>20</v>
      </c>
      <c r="K223" s="7" t="s">
        <v>12</v>
      </c>
    </row>
    <row r="224" spans="1:12">
      <c r="A224" s="6">
        <v>45315.761836458332</v>
      </c>
      <c r="B224" s="7">
        <v>2</v>
      </c>
      <c r="C224" s="7">
        <v>230</v>
      </c>
      <c r="D224" s="7">
        <v>130</v>
      </c>
      <c r="E224" s="7" t="s">
        <v>31</v>
      </c>
      <c r="F224" s="7">
        <v>20</v>
      </c>
      <c r="G224" s="7" t="s">
        <v>5</v>
      </c>
      <c r="H224" s="7">
        <v>20</v>
      </c>
      <c r="I224" s="7" t="s">
        <v>8</v>
      </c>
      <c r="J224" s="7">
        <v>20</v>
      </c>
      <c r="K224" s="7" t="s">
        <v>6</v>
      </c>
    </row>
    <row r="225" spans="1:11">
      <c r="A225" s="6">
        <v>45316.764593749998</v>
      </c>
      <c r="B225" s="7">
        <v>2</v>
      </c>
      <c r="C225" s="7">
        <v>230</v>
      </c>
      <c r="D225" s="7">
        <v>150</v>
      </c>
      <c r="E225" s="7" t="s">
        <v>31</v>
      </c>
      <c r="F225" s="7">
        <v>20</v>
      </c>
      <c r="G225" s="7" t="s">
        <v>5</v>
      </c>
      <c r="H225" s="7">
        <v>20</v>
      </c>
      <c r="I225" s="7" t="s">
        <v>6</v>
      </c>
    </row>
    <row r="226" spans="1:11">
      <c r="A226" s="6">
        <v>45317.762395833335</v>
      </c>
      <c r="B226" s="7">
        <v>2</v>
      </c>
      <c r="C226" s="7">
        <v>260</v>
      </c>
      <c r="D226" s="7">
        <v>120</v>
      </c>
      <c r="E226" s="7" t="s">
        <v>31</v>
      </c>
      <c r="F226" s="7">
        <v>20</v>
      </c>
      <c r="G226" s="7" t="s">
        <v>5</v>
      </c>
      <c r="H226" s="7">
        <v>60</v>
      </c>
      <c r="I226" s="7" t="s">
        <v>4</v>
      </c>
    </row>
    <row r="227" spans="1:11">
      <c r="A227" s="6">
        <v>45320.761221643515</v>
      </c>
      <c r="B227" s="7">
        <v>2</v>
      </c>
      <c r="C227" s="7">
        <v>200</v>
      </c>
      <c r="D227" s="7">
        <v>70</v>
      </c>
      <c r="E227" s="7" t="s">
        <v>31</v>
      </c>
      <c r="F227" s="7">
        <v>50</v>
      </c>
      <c r="G227" s="7" t="s">
        <v>5</v>
      </c>
      <c r="H227" s="7">
        <v>90</v>
      </c>
      <c r="I227" s="7" t="s">
        <v>28</v>
      </c>
    </row>
    <row r="228" spans="1:11">
      <c r="A228" s="6">
        <v>45321.858616319441</v>
      </c>
      <c r="B228" s="7">
        <v>2</v>
      </c>
      <c r="C228" s="7">
        <v>290</v>
      </c>
      <c r="D228" s="7">
        <v>100</v>
      </c>
      <c r="E228" s="7" t="s">
        <v>31</v>
      </c>
      <c r="F228" s="7">
        <v>50</v>
      </c>
      <c r="G228" s="7" t="s">
        <v>5</v>
      </c>
      <c r="H228" s="7">
        <v>90</v>
      </c>
      <c r="I228" s="7" t="s">
        <v>28</v>
      </c>
    </row>
    <row r="229" spans="1:11">
      <c r="A229" s="6">
        <v>45322.763497106484</v>
      </c>
      <c r="B229" s="7">
        <v>2</v>
      </c>
      <c r="C229" s="7">
        <v>250</v>
      </c>
      <c r="D229" s="7">
        <v>130</v>
      </c>
      <c r="E229" s="7" t="s">
        <v>31</v>
      </c>
      <c r="F229" s="7">
        <v>20</v>
      </c>
      <c r="G229" s="7" t="s">
        <v>5</v>
      </c>
      <c r="H229" s="7">
        <v>10</v>
      </c>
      <c r="I229" s="7" t="s">
        <v>6</v>
      </c>
      <c r="J229" s="7">
        <v>10</v>
      </c>
      <c r="K229" s="7" t="s">
        <v>8</v>
      </c>
    </row>
    <row r="230" spans="1:11">
      <c r="A230" s="6">
        <v>45327.761151620369</v>
      </c>
      <c r="B230" s="7">
        <v>2</v>
      </c>
      <c r="C230" s="7">
        <v>350</v>
      </c>
      <c r="D230" s="7">
        <v>112</v>
      </c>
      <c r="E230" s="7" t="s">
        <v>31</v>
      </c>
      <c r="F230" s="7">
        <v>20</v>
      </c>
      <c r="G230" s="7" t="s">
        <v>5</v>
      </c>
      <c r="I230" s="7" t="s">
        <v>4</v>
      </c>
      <c r="J230" s="7">
        <v>10</v>
      </c>
      <c r="K230" s="7" t="s">
        <v>8</v>
      </c>
    </row>
    <row r="231" spans="1:11">
      <c r="A231" s="6">
        <v>45328.763298379628</v>
      </c>
      <c r="B231" s="7">
        <v>2</v>
      </c>
      <c r="C231" s="7">
        <v>250</v>
      </c>
      <c r="D231" s="7">
        <v>120</v>
      </c>
      <c r="E231" s="7" t="s">
        <v>31</v>
      </c>
      <c r="F231" s="7">
        <v>20</v>
      </c>
      <c r="G231" s="7" t="s">
        <v>5</v>
      </c>
      <c r="H231" s="7">
        <v>50</v>
      </c>
      <c r="I231" s="7" t="s">
        <v>16</v>
      </c>
      <c r="J231" s="7">
        <v>10</v>
      </c>
      <c r="K231" s="7" t="s">
        <v>11</v>
      </c>
    </row>
    <row r="232" spans="1:11">
      <c r="A232" s="6">
        <v>45329.764465162036</v>
      </c>
      <c r="B232" s="7">
        <v>2</v>
      </c>
      <c r="C232" s="7">
        <v>280</v>
      </c>
      <c r="D232" s="7">
        <v>95</v>
      </c>
      <c r="E232" s="7" t="s">
        <v>31</v>
      </c>
      <c r="F232" s="7">
        <v>20</v>
      </c>
      <c r="G232" s="7" t="s">
        <v>5</v>
      </c>
      <c r="I232" s="7" t="s">
        <v>16</v>
      </c>
      <c r="K232" s="7" t="s">
        <v>11</v>
      </c>
    </row>
    <row r="233" spans="1:11">
      <c r="A233" s="6">
        <v>45330.76509050926</v>
      </c>
      <c r="B233" s="7">
        <v>2</v>
      </c>
      <c r="C233" s="7">
        <v>356</v>
      </c>
      <c r="D233" s="7">
        <v>168</v>
      </c>
      <c r="E233" s="7" t="s">
        <v>31</v>
      </c>
      <c r="F233" s="7">
        <v>20</v>
      </c>
      <c r="G233" s="7" t="s">
        <v>5</v>
      </c>
      <c r="I233" s="7" t="s">
        <v>16</v>
      </c>
      <c r="K233" s="7" t="s">
        <v>11</v>
      </c>
    </row>
    <row r="234" spans="1:11">
      <c r="A234" s="6">
        <v>45331.760539699077</v>
      </c>
      <c r="B234" s="7">
        <v>2</v>
      </c>
      <c r="C234" s="7">
        <v>290</v>
      </c>
      <c r="D234" s="7">
        <v>141</v>
      </c>
      <c r="E234" s="7" t="s">
        <v>31</v>
      </c>
      <c r="F234" s="7">
        <v>20</v>
      </c>
      <c r="G234" s="7" t="s">
        <v>5</v>
      </c>
      <c r="I234" s="7" t="s">
        <v>8</v>
      </c>
      <c r="J234" s="7">
        <v>30</v>
      </c>
      <c r="K234" s="7" t="s">
        <v>11</v>
      </c>
    </row>
    <row r="235" spans="1:11">
      <c r="A235" s="6">
        <v>45334.763809143522</v>
      </c>
      <c r="B235" s="7">
        <v>2</v>
      </c>
      <c r="C235" s="7">
        <v>360</v>
      </c>
      <c r="D235" s="7">
        <v>80</v>
      </c>
      <c r="E235" s="7" t="s">
        <v>31</v>
      </c>
      <c r="F235" s="7">
        <v>20</v>
      </c>
      <c r="G235" s="7" t="s">
        <v>5</v>
      </c>
      <c r="I235" s="7" t="s">
        <v>28</v>
      </c>
      <c r="J235" s="7">
        <v>30</v>
      </c>
      <c r="K235" s="7" t="s">
        <v>11</v>
      </c>
    </row>
    <row r="236" spans="1:11">
      <c r="A236" s="6">
        <v>45335.858710995373</v>
      </c>
      <c r="B236" s="7">
        <v>2</v>
      </c>
      <c r="C236" s="7">
        <v>390</v>
      </c>
      <c r="D236" s="7">
        <v>80</v>
      </c>
      <c r="E236" s="7" t="s">
        <v>32</v>
      </c>
      <c r="F236" s="7">
        <v>20</v>
      </c>
      <c r="G236" s="7" t="s">
        <v>5</v>
      </c>
      <c r="I236" s="7" t="s">
        <v>8</v>
      </c>
      <c r="J236" s="7">
        <v>55</v>
      </c>
      <c r="K236" s="7" t="s">
        <v>11</v>
      </c>
    </row>
    <row r="237" spans="1:11">
      <c r="A237" s="6">
        <v>45335.858774421293</v>
      </c>
      <c r="B237" s="7">
        <v>2</v>
      </c>
      <c r="C237" s="7">
        <v>390</v>
      </c>
      <c r="D237" s="7">
        <v>80</v>
      </c>
      <c r="E237" s="7" t="s">
        <v>32</v>
      </c>
      <c r="F237" s="7">
        <v>20</v>
      </c>
      <c r="G237" s="7" t="s">
        <v>5</v>
      </c>
      <c r="I237" s="7" t="s">
        <v>8</v>
      </c>
      <c r="J237" s="7">
        <v>55</v>
      </c>
      <c r="K237" s="7" t="s">
        <v>11</v>
      </c>
    </row>
    <row r="238" spans="1:11">
      <c r="A238" s="6">
        <v>45335.858785416669</v>
      </c>
      <c r="B238" s="7">
        <v>2</v>
      </c>
      <c r="C238" s="7">
        <v>390</v>
      </c>
      <c r="D238" s="7">
        <v>80</v>
      </c>
      <c r="E238" s="7" t="s">
        <v>32</v>
      </c>
      <c r="F238" s="7">
        <v>20</v>
      </c>
      <c r="G238" s="7" t="s">
        <v>5</v>
      </c>
      <c r="I238" s="7" t="s">
        <v>8</v>
      </c>
      <c r="J238" s="7">
        <v>55</v>
      </c>
      <c r="K238" s="7" t="s">
        <v>11</v>
      </c>
    </row>
    <row r="239" spans="1:11">
      <c r="A239" s="6">
        <v>45336.859281018522</v>
      </c>
      <c r="B239" s="7">
        <v>2</v>
      </c>
      <c r="C239" s="7">
        <v>370</v>
      </c>
      <c r="D239" s="7">
        <v>138</v>
      </c>
      <c r="E239" s="7" t="s">
        <v>32</v>
      </c>
      <c r="F239" s="7">
        <v>20</v>
      </c>
      <c r="G239" s="7" t="s">
        <v>5</v>
      </c>
      <c r="I239" s="7" t="s">
        <v>8</v>
      </c>
      <c r="K239" s="7" t="s">
        <v>11</v>
      </c>
    </row>
    <row r="240" spans="1:11">
      <c r="A240" s="6">
        <v>45337.861114004627</v>
      </c>
      <c r="B240" s="7">
        <v>2</v>
      </c>
      <c r="C240" s="7">
        <v>490</v>
      </c>
      <c r="D240" s="7">
        <v>80</v>
      </c>
      <c r="E240" s="7" t="s">
        <v>32</v>
      </c>
      <c r="F240" s="7">
        <v>20</v>
      </c>
      <c r="G240" s="7" t="s">
        <v>5</v>
      </c>
      <c r="I240" s="7" t="s">
        <v>8</v>
      </c>
      <c r="K240" s="7" t="s">
        <v>11</v>
      </c>
    </row>
    <row r="241" spans="1:11">
      <c r="A241" s="6">
        <v>45341.761279513892</v>
      </c>
      <c r="B241" s="7">
        <v>2</v>
      </c>
      <c r="C241" s="7">
        <v>258</v>
      </c>
      <c r="D241" s="7">
        <v>112</v>
      </c>
      <c r="E241" s="7" t="s">
        <v>31</v>
      </c>
      <c r="F241" s="7">
        <v>20</v>
      </c>
      <c r="G241" s="7" t="s">
        <v>5</v>
      </c>
      <c r="I241" s="7" t="s">
        <v>8</v>
      </c>
      <c r="K241" s="7" t="s">
        <v>11</v>
      </c>
    </row>
    <row r="242" spans="1:11">
      <c r="A242" s="6">
        <v>45342.860746296297</v>
      </c>
      <c r="B242" s="7">
        <v>2</v>
      </c>
      <c r="C242" s="7">
        <v>390</v>
      </c>
      <c r="D242" s="7">
        <v>80</v>
      </c>
      <c r="E242" s="7" t="s">
        <v>32</v>
      </c>
      <c r="F242" s="7">
        <v>20</v>
      </c>
      <c r="G242" s="7" t="s">
        <v>5</v>
      </c>
      <c r="I242" s="7" t="s">
        <v>8</v>
      </c>
      <c r="K242" s="7" t="s">
        <v>11</v>
      </c>
    </row>
    <row r="243" spans="1:11">
      <c r="A243" s="6">
        <v>45343.763245254631</v>
      </c>
      <c r="B243" s="7">
        <v>2</v>
      </c>
      <c r="C243" s="7">
        <v>250</v>
      </c>
      <c r="D243" s="7">
        <v>70</v>
      </c>
      <c r="E243" s="7" t="s">
        <v>31</v>
      </c>
      <c r="F243" s="7">
        <v>20</v>
      </c>
      <c r="G243" s="7" t="s">
        <v>5</v>
      </c>
      <c r="I243" s="7" t="s">
        <v>28</v>
      </c>
      <c r="J243" s="7">
        <v>150</v>
      </c>
      <c r="K243" s="7" t="s">
        <v>11</v>
      </c>
    </row>
    <row r="244" spans="1:11">
      <c r="A244" s="6">
        <v>45344.764320949071</v>
      </c>
      <c r="B244" s="7">
        <v>2</v>
      </c>
      <c r="C244" s="7">
        <v>380</v>
      </c>
      <c r="D244" s="7">
        <v>64</v>
      </c>
      <c r="E244" s="7" t="s">
        <v>31</v>
      </c>
      <c r="F244" s="7">
        <v>20</v>
      </c>
      <c r="G244" s="7" t="s">
        <v>5</v>
      </c>
      <c r="I244" s="7" t="s">
        <v>28</v>
      </c>
      <c r="J244" s="7">
        <v>0</v>
      </c>
      <c r="K244" s="7" t="s">
        <v>11</v>
      </c>
    </row>
    <row r="245" spans="1:11">
      <c r="A245" s="6">
        <v>45345.852483680559</v>
      </c>
      <c r="B245" s="7">
        <v>2</v>
      </c>
      <c r="C245" s="7">
        <v>481</v>
      </c>
      <c r="D245" s="7">
        <v>82.5</v>
      </c>
      <c r="E245" s="7" t="s">
        <v>31</v>
      </c>
      <c r="F245" s="7">
        <v>20</v>
      </c>
      <c r="G245" s="7" t="s">
        <v>5</v>
      </c>
      <c r="I245" s="7" t="s">
        <v>28</v>
      </c>
      <c r="J245" s="7">
        <v>0</v>
      </c>
      <c r="K245" s="7" t="s">
        <v>11</v>
      </c>
    </row>
    <row r="246" spans="1:11">
      <c r="A246" s="6">
        <v>45345.852517361112</v>
      </c>
      <c r="B246" s="7">
        <v>2</v>
      </c>
      <c r="C246" s="7">
        <v>481</v>
      </c>
      <c r="D246" s="7">
        <v>82.5</v>
      </c>
      <c r="E246" s="7" t="s">
        <v>31</v>
      </c>
      <c r="F246" s="7">
        <v>20</v>
      </c>
      <c r="G246" s="7" t="s">
        <v>5</v>
      </c>
      <c r="I246" s="7" t="s">
        <v>28</v>
      </c>
      <c r="J246" s="7">
        <v>0</v>
      </c>
      <c r="K246" s="7" t="s">
        <v>11</v>
      </c>
    </row>
    <row r="247" spans="1:11">
      <c r="A247" s="6">
        <v>45348.76473703704</v>
      </c>
      <c r="B247" s="7">
        <v>2</v>
      </c>
      <c r="C247" s="7">
        <v>414</v>
      </c>
      <c r="D247" s="7">
        <v>76</v>
      </c>
      <c r="E247" s="7" t="s">
        <v>31</v>
      </c>
      <c r="F247" s="7">
        <v>20</v>
      </c>
      <c r="G247" s="7" t="s">
        <v>5</v>
      </c>
      <c r="I247" s="7" t="s">
        <v>28</v>
      </c>
      <c r="J247" s="7">
        <v>0</v>
      </c>
      <c r="K247" s="7" t="s">
        <v>11</v>
      </c>
    </row>
    <row r="248" spans="1:11">
      <c r="A248" s="6">
        <v>45349.76280034722</v>
      </c>
      <c r="B248" s="7">
        <v>2</v>
      </c>
      <c r="C248" s="7">
        <v>293</v>
      </c>
      <c r="D248" s="7">
        <v>116</v>
      </c>
      <c r="E248" s="7" t="s">
        <v>31</v>
      </c>
      <c r="F248" s="7">
        <v>20</v>
      </c>
      <c r="G248" s="7" t="s">
        <v>5</v>
      </c>
      <c r="I248" s="7" t="s">
        <v>28</v>
      </c>
      <c r="J248" s="7">
        <v>0</v>
      </c>
      <c r="K248" s="7" t="s">
        <v>11</v>
      </c>
    </row>
    <row r="249" spans="1:11">
      <c r="A249" s="6">
        <v>45350.764384259259</v>
      </c>
      <c r="B249" s="7">
        <v>2</v>
      </c>
      <c r="C249" s="7">
        <v>265</v>
      </c>
      <c r="D249" s="7">
        <v>55</v>
      </c>
      <c r="E249" s="7" t="s">
        <v>31</v>
      </c>
      <c r="F249" s="7">
        <v>20</v>
      </c>
      <c r="G249" s="7" t="s">
        <v>5</v>
      </c>
      <c r="I249" s="7" t="s">
        <v>28</v>
      </c>
      <c r="J249" s="7">
        <v>0</v>
      </c>
      <c r="K249" s="7" t="s">
        <v>11</v>
      </c>
    </row>
    <row r="250" spans="1:11">
      <c r="A250" s="6">
        <v>45351.901881481484</v>
      </c>
      <c r="B250" s="7">
        <v>2</v>
      </c>
      <c r="C250" s="7">
        <v>396</v>
      </c>
      <c r="D250" s="7">
        <v>110</v>
      </c>
      <c r="E250" s="7" t="s">
        <v>32</v>
      </c>
      <c r="F250" s="7">
        <v>20</v>
      </c>
      <c r="G250" s="7" t="s">
        <v>5</v>
      </c>
      <c r="I250" s="7" t="s">
        <v>28</v>
      </c>
      <c r="J250" s="7">
        <v>0</v>
      </c>
      <c r="K250" s="7" t="s">
        <v>11</v>
      </c>
    </row>
    <row r="251" spans="1:11">
      <c r="A251" s="6">
        <v>45352.89817025463</v>
      </c>
      <c r="B251" s="7">
        <v>2</v>
      </c>
      <c r="C251" s="7">
        <v>375</v>
      </c>
      <c r="D251" s="7">
        <v>145</v>
      </c>
      <c r="E251" s="7" t="s">
        <v>32</v>
      </c>
      <c r="F251" s="7">
        <v>20</v>
      </c>
      <c r="G251" s="7" t="s">
        <v>5</v>
      </c>
      <c r="I251" s="7" t="s">
        <v>28</v>
      </c>
      <c r="J251" s="7">
        <v>0</v>
      </c>
      <c r="K251" s="7" t="s">
        <v>11</v>
      </c>
    </row>
    <row r="252" spans="1:11">
      <c r="A252" s="6">
        <v>45355.763569675924</v>
      </c>
      <c r="B252" s="7">
        <v>2</v>
      </c>
      <c r="C252" s="7">
        <v>311</v>
      </c>
      <c r="D252" s="7">
        <v>160</v>
      </c>
      <c r="E252" s="7" t="s">
        <v>31</v>
      </c>
      <c r="F252" s="7">
        <v>20</v>
      </c>
      <c r="G252" s="7" t="s">
        <v>5</v>
      </c>
      <c r="I252" s="7" t="s">
        <v>28</v>
      </c>
      <c r="J252" s="7">
        <v>0</v>
      </c>
      <c r="K252" s="7" t="s">
        <v>11</v>
      </c>
    </row>
    <row r="253" spans="1:11">
      <c r="A253" s="6">
        <v>45356.762331481485</v>
      </c>
      <c r="B253" s="7">
        <v>2</v>
      </c>
      <c r="C253" s="7">
        <v>196</v>
      </c>
      <c r="D253" s="7">
        <v>220</v>
      </c>
      <c r="E253" s="7" t="s">
        <v>31</v>
      </c>
      <c r="F253" s="7">
        <v>20</v>
      </c>
      <c r="G253" s="7" t="s">
        <v>5</v>
      </c>
      <c r="I253" s="7" t="s">
        <v>28</v>
      </c>
      <c r="J253" s="7">
        <v>0</v>
      </c>
      <c r="K253" s="7" t="s">
        <v>11</v>
      </c>
    </row>
    <row r="254" spans="1:11">
      <c r="A254" s="6">
        <v>45357.76563321759</v>
      </c>
      <c r="B254" s="7">
        <v>2</v>
      </c>
      <c r="C254" s="7">
        <v>336</v>
      </c>
      <c r="D254" s="7">
        <v>88</v>
      </c>
      <c r="E254" s="7" t="s">
        <v>31</v>
      </c>
      <c r="F254" s="7">
        <v>20</v>
      </c>
      <c r="G254" s="7" t="s">
        <v>5</v>
      </c>
      <c r="I254" s="7" t="s">
        <v>8</v>
      </c>
      <c r="J254" s="7">
        <v>20</v>
      </c>
      <c r="K254" s="7" t="s">
        <v>11</v>
      </c>
    </row>
    <row r="255" spans="1:11">
      <c r="A255" s="6">
        <v>45358.767420370372</v>
      </c>
      <c r="B255" s="7">
        <v>2</v>
      </c>
      <c r="C255" s="7">
        <v>250</v>
      </c>
      <c r="D255" s="7">
        <v>59</v>
      </c>
      <c r="E255" s="7" t="s">
        <v>31</v>
      </c>
      <c r="F255" s="7">
        <v>20</v>
      </c>
      <c r="G255" s="7" t="s">
        <v>5</v>
      </c>
      <c r="I255" s="7" t="s">
        <v>8</v>
      </c>
      <c r="J255" s="7">
        <v>60</v>
      </c>
      <c r="K255" s="7" t="s">
        <v>11</v>
      </c>
    </row>
    <row r="256" spans="1:11">
      <c r="A256" s="6">
        <v>45359.763915277777</v>
      </c>
      <c r="B256" s="7">
        <v>2</v>
      </c>
      <c r="C256" s="7">
        <v>320</v>
      </c>
      <c r="D256" s="7">
        <v>50</v>
      </c>
      <c r="E256" s="7" t="s">
        <v>31</v>
      </c>
      <c r="F256" s="7">
        <v>20</v>
      </c>
      <c r="G256" s="7" t="s">
        <v>5</v>
      </c>
      <c r="I256" s="7" t="s">
        <v>8</v>
      </c>
      <c r="J256" s="7">
        <v>0</v>
      </c>
      <c r="K256" s="7" t="s">
        <v>11</v>
      </c>
    </row>
    <row r="257" spans="1:12">
      <c r="A257" s="6">
        <v>45363.710881712963</v>
      </c>
      <c r="B257" s="7">
        <v>2</v>
      </c>
      <c r="C257" s="7">
        <v>210</v>
      </c>
      <c r="D257" s="7">
        <v>136</v>
      </c>
      <c r="E257" s="7" t="s">
        <v>31</v>
      </c>
      <c r="F257" s="7">
        <v>20</v>
      </c>
      <c r="G257" s="7" t="s">
        <v>5</v>
      </c>
      <c r="H257" s="7">
        <v>45</v>
      </c>
      <c r="I257" s="7" t="s">
        <v>8</v>
      </c>
      <c r="J257" s="7">
        <v>0</v>
      </c>
      <c r="K257" s="7" t="s">
        <v>11</v>
      </c>
      <c r="L257" s="15">
        <v>0</v>
      </c>
    </row>
    <row r="258" spans="1:12">
      <c r="A258" s="6">
        <v>45364.715050694445</v>
      </c>
      <c r="B258" s="7">
        <v>2</v>
      </c>
      <c r="C258" s="7">
        <v>350</v>
      </c>
      <c r="D258" s="7">
        <v>96</v>
      </c>
      <c r="E258" s="7" t="s">
        <v>31</v>
      </c>
      <c r="F258" s="7">
        <v>20</v>
      </c>
      <c r="G258" s="7" t="s">
        <v>5</v>
      </c>
      <c r="H258" s="7">
        <v>0</v>
      </c>
      <c r="I258" s="7" t="s">
        <v>8</v>
      </c>
      <c r="J258" s="7">
        <v>0</v>
      </c>
      <c r="K258" s="7" t="s">
        <v>11</v>
      </c>
      <c r="L258" s="15">
        <v>0</v>
      </c>
    </row>
    <row r="259" spans="1:12">
      <c r="A259" s="6">
        <v>45365.713410069446</v>
      </c>
      <c r="B259" s="7">
        <v>2</v>
      </c>
      <c r="C259" s="7">
        <v>283</v>
      </c>
      <c r="D259" s="7">
        <v>75</v>
      </c>
      <c r="E259" s="7" t="s">
        <v>31</v>
      </c>
      <c r="F259" s="7">
        <v>20</v>
      </c>
      <c r="G259" s="7" t="s">
        <v>5</v>
      </c>
      <c r="H259" s="7">
        <v>0</v>
      </c>
      <c r="I259" s="7" t="s">
        <v>8</v>
      </c>
      <c r="J259" s="7">
        <v>0</v>
      </c>
      <c r="K259" s="7" t="s">
        <v>11</v>
      </c>
      <c r="L259" s="15">
        <v>0</v>
      </c>
    </row>
    <row r="260" spans="1:12">
      <c r="A260" s="6">
        <v>45369.712589699076</v>
      </c>
      <c r="B260" s="7">
        <v>2</v>
      </c>
      <c r="C260" s="7">
        <v>300</v>
      </c>
      <c r="D260" s="7">
        <v>90</v>
      </c>
      <c r="E260" s="7" t="s">
        <v>31</v>
      </c>
      <c r="F260" s="7">
        <v>20</v>
      </c>
      <c r="G260" s="7" t="s">
        <v>5</v>
      </c>
      <c r="H260" s="7">
        <v>0</v>
      </c>
      <c r="I260" s="7" t="s">
        <v>8</v>
      </c>
      <c r="J260" s="7">
        <v>0</v>
      </c>
      <c r="K260" s="7" t="s">
        <v>11</v>
      </c>
      <c r="L260" s="15">
        <v>0</v>
      </c>
    </row>
    <row r="261" spans="1:12">
      <c r="A261" s="6">
        <v>45370.70964155093</v>
      </c>
      <c r="B261" s="7">
        <v>2</v>
      </c>
      <c r="C261" s="7">
        <v>312</v>
      </c>
      <c r="D261" s="7">
        <v>130</v>
      </c>
      <c r="E261" s="7" t="s">
        <v>31</v>
      </c>
      <c r="F261" s="7">
        <v>20</v>
      </c>
      <c r="G261" s="7" t="s">
        <v>5</v>
      </c>
      <c r="H261" s="7">
        <v>0</v>
      </c>
      <c r="I261" s="7" t="s">
        <v>8</v>
      </c>
      <c r="J261" s="7">
        <v>0</v>
      </c>
      <c r="K261" s="7" t="s">
        <v>11</v>
      </c>
      <c r="L261" s="15">
        <v>0</v>
      </c>
    </row>
    <row r="262" spans="1:12">
      <c r="A262" s="6">
        <v>45371.710810763892</v>
      </c>
      <c r="B262" s="7">
        <v>2</v>
      </c>
      <c r="C262" s="7">
        <v>280</v>
      </c>
      <c r="D262" s="7">
        <v>80</v>
      </c>
      <c r="E262" s="7" t="s">
        <v>31</v>
      </c>
      <c r="F262" s="7">
        <v>20</v>
      </c>
      <c r="G262" s="7" t="s">
        <v>5</v>
      </c>
      <c r="H262" s="7">
        <v>0</v>
      </c>
      <c r="I262" s="7" t="s">
        <v>8</v>
      </c>
      <c r="J262" s="7">
        <v>0</v>
      </c>
      <c r="K262" s="7" t="s">
        <v>11</v>
      </c>
      <c r="L262" s="15">
        <v>0</v>
      </c>
    </row>
    <row r="263" spans="1:12">
      <c r="A263" s="6">
        <v>45372.711569212966</v>
      </c>
      <c r="B263" s="7">
        <v>2</v>
      </c>
      <c r="C263" s="7">
        <v>310</v>
      </c>
      <c r="D263" s="7">
        <v>50</v>
      </c>
      <c r="E263" s="7" t="s">
        <v>31</v>
      </c>
      <c r="F263" s="7">
        <v>20</v>
      </c>
      <c r="G263" s="7" t="s">
        <v>5</v>
      </c>
      <c r="H263" s="7">
        <v>0</v>
      </c>
      <c r="I263" s="7" t="s">
        <v>8</v>
      </c>
      <c r="J263" s="7">
        <v>0</v>
      </c>
      <c r="K263" s="7" t="s">
        <v>11</v>
      </c>
      <c r="L263" s="15">
        <v>0</v>
      </c>
    </row>
    <row r="264" spans="1:12">
      <c r="A264" s="6">
        <v>45380.712388310189</v>
      </c>
      <c r="B264" s="7">
        <v>2</v>
      </c>
      <c r="C264" s="7">
        <v>350</v>
      </c>
      <c r="D264" s="7">
        <v>80</v>
      </c>
      <c r="E264" s="7" t="s">
        <v>31</v>
      </c>
      <c r="F264" s="7">
        <v>20</v>
      </c>
      <c r="G264" s="7" t="s">
        <v>5</v>
      </c>
      <c r="H264" s="7">
        <v>30</v>
      </c>
      <c r="I264" s="7" t="s">
        <v>4</v>
      </c>
      <c r="J264" s="7">
        <v>0</v>
      </c>
      <c r="K264" s="7" t="s">
        <v>11</v>
      </c>
      <c r="L264" s="15">
        <v>0</v>
      </c>
    </row>
    <row r="265" spans="1:12">
      <c r="A265" s="6">
        <v>45383.711305208337</v>
      </c>
      <c r="B265" s="7">
        <v>2</v>
      </c>
      <c r="C265" s="7">
        <v>310</v>
      </c>
      <c r="D265" s="7">
        <v>70</v>
      </c>
      <c r="E265" s="7" t="s">
        <v>31</v>
      </c>
      <c r="F265" s="7">
        <v>20</v>
      </c>
      <c r="G265" s="7" t="s">
        <v>5</v>
      </c>
      <c r="H265" s="7">
        <v>0</v>
      </c>
      <c r="I265" s="7" t="s">
        <v>4</v>
      </c>
      <c r="J265" s="7">
        <v>0</v>
      </c>
      <c r="K265" s="7" t="s">
        <v>11</v>
      </c>
      <c r="L265" s="15" t="s">
        <v>39</v>
      </c>
    </row>
    <row r="266" spans="1:12">
      <c r="A266" s="6">
        <v>45384.717439699074</v>
      </c>
      <c r="B266" s="7">
        <v>2</v>
      </c>
      <c r="C266" s="7">
        <v>290</v>
      </c>
      <c r="D266" s="7">
        <v>85</v>
      </c>
      <c r="E266" s="7" t="s">
        <v>31</v>
      </c>
      <c r="F266" s="7">
        <v>20</v>
      </c>
      <c r="G266" s="7" t="s">
        <v>5</v>
      </c>
      <c r="H266" s="7">
        <v>0</v>
      </c>
      <c r="I266" s="7" t="s">
        <v>4</v>
      </c>
      <c r="J266" s="7">
        <v>0</v>
      </c>
      <c r="K266" s="7" t="s">
        <v>11</v>
      </c>
      <c r="L266" s="15" t="s">
        <v>40</v>
      </c>
    </row>
    <row r="267" spans="1:12">
      <c r="A267" s="6">
        <v>45385.710884143518</v>
      </c>
      <c r="B267" s="7">
        <v>2</v>
      </c>
      <c r="C267" s="7">
        <v>310</v>
      </c>
      <c r="D267" s="7">
        <v>70</v>
      </c>
      <c r="E267" s="7" t="s">
        <v>31</v>
      </c>
      <c r="F267" s="7">
        <v>20</v>
      </c>
      <c r="G267" s="7" t="s">
        <v>5</v>
      </c>
      <c r="H267" s="7">
        <v>0</v>
      </c>
      <c r="I267" s="7" t="s">
        <v>4</v>
      </c>
      <c r="J267" s="7">
        <v>0</v>
      </c>
      <c r="K267" s="7" t="s">
        <v>11</v>
      </c>
      <c r="L267" s="15" t="s">
        <v>40</v>
      </c>
    </row>
    <row r="268" spans="1:12">
      <c r="A268" s="6">
        <v>45387.599069212964</v>
      </c>
      <c r="B268" s="7">
        <v>2</v>
      </c>
      <c r="C268" s="7">
        <v>310</v>
      </c>
      <c r="D268" s="7">
        <v>70</v>
      </c>
      <c r="E268" s="7" t="s">
        <v>31</v>
      </c>
      <c r="F268" s="7">
        <v>20</v>
      </c>
      <c r="G268" s="7" t="s">
        <v>5</v>
      </c>
      <c r="H268" s="7">
        <v>0</v>
      </c>
      <c r="I268" s="7" t="s">
        <v>4</v>
      </c>
      <c r="J268" s="7">
        <v>0</v>
      </c>
      <c r="K268" s="7" t="s">
        <v>11</v>
      </c>
      <c r="L268" s="15" t="s">
        <v>40</v>
      </c>
    </row>
    <row r="269" spans="1:12">
      <c r="A269" s="6">
        <v>45387.706003703701</v>
      </c>
      <c r="B269" s="7">
        <v>2</v>
      </c>
      <c r="C269" s="7">
        <v>350</v>
      </c>
      <c r="D269" s="7">
        <v>40</v>
      </c>
      <c r="E269" s="7" t="s">
        <v>31</v>
      </c>
      <c r="F269" s="7">
        <v>20</v>
      </c>
      <c r="G269" s="7" t="s">
        <v>5</v>
      </c>
      <c r="H269" s="7">
        <v>0</v>
      </c>
      <c r="I269" s="7" t="s">
        <v>4</v>
      </c>
      <c r="J269" s="7">
        <v>0</v>
      </c>
      <c r="K269" s="7" t="s">
        <v>11</v>
      </c>
      <c r="L269" s="15" t="s">
        <v>41</v>
      </c>
    </row>
    <row r="270" spans="1:12">
      <c r="A270" s="6">
        <v>45387.706775115737</v>
      </c>
      <c r="B270" s="7">
        <v>2</v>
      </c>
      <c r="C270" s="7">
        <v>300</v>
      </c>
      <c r="D270" s="7">
        <v>40</v>
      </c>
      <c r="E270" s="7" t="s">
        <v>31</v>
      </c>
      <c r="F270" s="7">
        <v>20</v>
      </c>
      <c r="G270" s="7" t="s">
        <v>5</v>
      </c>
      <c r="H270" s="7">
        <v>180</v>
      </c>
      <c r="I270" s="7" t="s">
        <v>4</v>
      </c>
      <c r="J270" s="7">
        <v>0</v>
      </c>
      <c r="K270" s="7" t="s">
        <v>11</v>
      </c>
    </row>
    <row r="271" spans="1:12">
      <c r="A271" s="6">
        <v>45404.763397569448</v>
      </c>
      <c r="B271" s="7">
        <v>2</v>
      </c>
      <c r="C271" s="7">
        <v>390</v>
      </c>
      <c r="D271" s="7">
        <v>60</v>
      </c>
      <c r="E271" s="7" t="s">
        <v>31</v>
      </c>
      <c r="F271" s="7">
        <v>20</v>
      </c>
      <c r="G271" s="7" t="s">
        <v>5</v>
      </c>
      <c r="H271" s="7">
        <v>0</v>
      </c>
      <c r="I271" s="7" t="s">
        <v>4</v>
      </c>
      <c r="J271" s="7">
        <v>0</v>
      </c>
      <c r="K271" s="7" t="s">
        <v>11</v>
      </c>
    </row>
    <row r="272" spans="1:12">
      <c r="A272" s="6">
        <v>45406.76248229167</v>
      </c>
      <c r="B272" s="7">
        <v>2</v>
      </c>
      <c r="C272" s="7">
        <v>495</v>
      </c>
      <c r="D272" s="7">
        <v>98</v>
      </c>
      <c r="E272" s="7" t="s">
        <v>31</v>
      </c>
      <c r="F272" s="7">
        <v>20</v>
      </c>
      <c r="G272" s="7" t="s">
        <v>5</v>
      </c>
      <c r="H272" s="7">
        <v>0</v>
      </c>
      <c r="I272" s="7" t="s">
        <v>4</v>
      </c>
      <c r="J272" s="7">
        <v>0</v>
      </c>
      <c r="K272" s="7" t="s">
        <v>11</v>
      </c>
    </row>
    <row r="273" spans="1:11">
      <c r="A273" s="6">
        <v>45407.762412615739</v>
      </c>
      <c r="B273" s="7">
        <v>2</v>
      </c>
      <c r="C273" s="7">
        <v>395</v>
      </c>
      <c r="D273" s="7">
        <v>110</v>
      </c>
      <c r="E273" s="7" t="s">
        <v>31</v>
      </c>
      <c r="F273" s="7">
        <v>20</v>
      </c>
      <c r="G273" s="7" t="s">
        <v>5</v>
      </c>
      <c r="H273" s="7">
        <v>0</v>
      </c>
      <c r="I273" s="7" t="s">
        <v>4</v>
      </c>
      <c r="J273" s="7">
        <v>0</v>
      </c>
      <c r="K273" s="7" t="s">
        <v>11</v>
      </c>
    </row>
    <row r="274" spans="1:11">
      <c r="A274" s="6">
        <v>45408.756330439814</v>
      </c>
      <c r="B274" s="7">
        <v>2</v>
      </c>
      <c r="C274" s="7">
        <v>450</v>
      </c>
      <c r="D274" s="7">
        <v>70</v>
      </c>
      <c r="E274" s="7" t="s">
        <v>31</v>
      </c>
      <c r="F274" s="7">
        <v>20</v>
      </c>
      <c r="G274" s="7" t="s">
        <v>5</v>
      </c>
      <c r="H274" s="7">
        <v>0</v>
      </c>
      <c r="I274" s="7" t="s">
        <v>4</v>
      </c>
      <c r="J274" s="7">
        <v>0</v>
      </c>
      <c r="K274" s="7" t="s">
        <v>11</v>
      </c>
    </row>
    <row r="275" spans="1:11">
      <c r="A275" s="6">
        <v>45411.766443981483</v>
      </c>
      <c r="B275" s="7">
        <v>2</v>
      </c>
      <c r="C275" s="7">
        <v>361</v>
      </c>
      <c r="D275" s="7">
        <v>75</v>
      </c>
      <c r="E275" s="7" t="s">
        <v>31</v>
      </c>
      <c r="F275" s="7">
        <v>20</v>
      </c>
      <c r="G275" s="7" t="s">
        <v>5</v>
      </c>
      <c r="H275" s="7">
        <v>0</v>
      </c>
      <c r="I275" s="7" t="s">
        <v>4</v>
      </c>
      <c r="J275" s="7">
        <v>0</v>
      </c>
      <c r="K275" s="7" t="s">
        <v>11</v>
      </c>
    </row>
    <row r="276" spans="1:11">
      <c r="A276" s="6">
        <v>45412.769241782407</v>
      </c>
      <c r="B276" s="7">
        <v>2</v>
      </c>
      <c r="C276" s="7">
        <v>390</v>
      </c>
      <c r="D276" s="7">
        <v>51</v>
      </c>
      <c r="E276" s="7" t="s">
        <v>31</v>
      </c>
      <c r="F276" s="7">
        <v>20</v>
      </c>
      <c r="G276" s="7" t="s">
        <v>5</v>
      </c>
      <c r="H276" s="7">
        <v>0</v>
      </c>
      <c r="I276" s="7" t="s">
        <v>4</v>
      </c>
      <c r="J276" s="7">
        <v>0</v>
      </c>
      <c r="K276" s="7" t="s">
        <v>11</v>
      </c>
    </row>
    <row r="277" spans="1:11">
      <c r="A277" s="6">
        <v>45414.764773958334</v>
      </c>
      <c r="B277" s="7">
        <v>2</v>
      </c>
      <c r="C277" s="7">
        <v>315</v>
      </c>
      <c r="D277" s="7">
        <v>35</v>
      </c>
      <c r="E277" s="7" t="s">
        <v>31</v>
      </c>
      <c r="F277" s="7">
        <v>20</v>
      </c>
      <c r="G277" s="7" t="s">
        <v>5</v>
      </c>
      <c r="H277" s="7">
        <v>0</v>
      </c>
      <c r="I277" s="7" t="s">
        <v>4</v>
      </c>
      <c r="J277" s="7">
        <v>0</v>
      </c>
      <c r="K277" s="7" t="s">
        <v>11</v>
      </c>
    </row>
    <row r="278" spans="1:11">
      <c r="A278" s="6">
        <v>45418.760399768522</v>
      </c>
      <c r="B278" s="7">
        <v>2</v>
      </c>
      <c r="C278" s="7">
        <v>810</v>
      </c>
      <c r="D278" s="7">
        <v>6</v>
      </c>
      <c r="E278" s="7" t="s">
        <v>31</v>
      </c>
      <c r="F278" s="7">
        <v>20</v>
      </c>
      <c r="G278" s="7" t="s">
        <v>5</v>
      </c>
      <c r="H278" s="7">
        <v>0</v>
      </c>
      <c r="I278" s="7" t="s">
        <v>4</v>
      </c>
      <c r="J278" s="7">
        <v>0</v>
      </c>
      <c r="K278" s="7" t="s">
        <v>11</v>
      </c>
    </row>
    <row r="279" spans="1:11">
      <c r="A279" s="6">
        <v>45419.760732523151</v>
      </c>
      <c r="B279" s="7">
        <v>2</v>
      </c>
      <c r="C279" s="7">
        <v>590</v>
      </c>
      <c r="D279" s="7">
        <v>80</v>
      </c>
      <c r="E279" s="7" t="s">
        <v>31</v>
      </c>
      <c r="F279" s="7">
        <v>20</v>
      </c>
      <c r="G279" s="7" t="s">
        <v>5</v>
      </c>
      <c r="H279" s="7">
        <v>0</v>
      </c>
      <c r="I279" s="7" t="s">
        <v>4</v>
      </c>
      <c r="J279" s="7">
        <v>0</v>
      </c>
      <c r="K279" s="7" t="s">
        <v>11</v>
      </c>
    </row>
    <row r="280" spans="1:11">
      <c r="A280" s="6">
        <v>45420.770093402774</v>
      </c>
      <c r="B280" s="7">
        <v>2</v>
      </c>
      <c r="C280" s="7">
        <v>450</v>
      </c>
      <c r="D280" s="7">
        <v>76</v>
      </c>
      <c r="E280" s="7" t="s">
        <v>31</v>
      </c>
      <c r="F280" s="7">
        <v>20</v>
      </c>
      <c r="G280" s="7" t="s">
        <v>5</v>
      </c>
      <c r="H280" s="7">
        <v>0</v>
      </c>
      <c r="I280" s="7" t="s">
        <v>4</v>
      </c>
      <c r="J280" s="7">
        <v>0</v>
      </c>
      <c r="K280" s="7" t="s">
        <v>11</v>
      </c>
    </row>
    <row r="281" spans="1:11">
      <c r="A281" s="6">
        <v>45421.765368055552</v>
      </c>
      <c r="B281" s="7">
        <v>2</v>
      </c>
      <c r="C281" s="7">
        <v>280</v>
      </c>
      <c r="D281" s="7">
        <v>36</v>
      </c>
      <c r="E281" s="7" t="s">
        <v>31</v>
      </c>
      <c r="F281" s="7">
        <v>20</v>
      </c>
      <c r="G281" s="7" t="s">
        <v>5</v>
      </c>
      <c r="H281" s="7">
        <v>0</v>
      </c>
      <c r="I281" s="7" t="s">
        <v>4</v>
      </c>
      <c r="J281" s="7">
        <v>0</v>
      </c>
      <c r="K281" s="7" t="s">
        <v>11</v>
      </c>
    </row>
    <row r="282" spans="1:11">
      <c r="A282" s="6">
        <v>45422.755918055555</v>
      </c>
      <c r="B282" s="7">
        <v>2</v>
      </c>
      <c r="C282" s="7">
        <v>272</v>
      </c>
      <c r="D282" s="7">
        <v>56</v>
      </c>
      <c r="E282" s="7" t="s">
        <v>31</v>
      </c>
      <c r="F282" s="7">
        <v>20</v>
      </c>
      <c r="G282" s="7" t="s">
        <v>5</v>
      </c>
      <c r="H282" s="7">
        <v>25</v>
      </c>
      <c r="I282" s="7" t="s">
        <v>4</v>
      </c>
      <c r="J282" s="7">
        <v>0</v>
      </c>
      <c r="K282" s="7" t="s">
        <v>11</v>
      </c>
    </row>
    <row r="283" spans="1:11">
      <c r="A283" s="6">
        <v>45425.859894097222</v>
      </c>
      <c r="B283" s="7">
        <v>2</v>
      </c>
      <c r="C283" s="7">
        <v>432</v>
      </c>
      <c r="D283" s="7">
        <v>98</v>
      </c>
      <c r="E283" s="7" t="s">
        <v>32</v>
      </c>
      <c r="F283" s="7">
        <v>20</v>
      </c>
      <c r="G283" s="7" t="s">
        <v>5</v>
      </c>
    </row>
    <row r="284" spans="1:11">
      <c r="A284" s="6">
        <v>45426.856187152778</v>
      </c>
      <c r="B284" s="7">
        <v>2</v>
      </c>
      <c r="C284" s="7">
        <v>390</v>
      </c>
      <c r="D284" s="7">
        <v>85</v>
      </c>
      <c r="E284" s="7" t="s">
        <v>32</v>
      </c>
      <c r="F284" s="7">
        <v>20</v>
      </c>
      <c r="G284" s="7" t="s">
        <v>5</v>
      </c>
    </row>
    <row r="285" spans="1:11">
      <c r="A285" s="6">
        <v>45427.766889351849</v>
      </c>
      <c r="B285" s="7">
        <v>2</v>
      </c>
      <c r="C285" s="7">
        <v>410</v>
      </c>
      <c r="D285" s="7">
        <v>55</v>
      </c>
      <c r="E285" s="7" t="s">
        <v>31</v>
      </c>
      <c r="F285" s="7">
        <v>20</v>
      </c>
      <c r="G285" s="7" t="s">
        <v>5</v>
      </c>
    </row>
    <row r="286" spans="1:11">
      <c r="A286" s="6">
        <v>45428.765810416669</v>
      </c>
      <c r="B286" s="7">
        <v>2</v>
      </c>
      <c r="C286" s="7">
        <v>320</v>
      </c>
      <c r="D286" s="7">
        <v>110</v>
      </c>
      <c r="E286" s="7" t="s">
        <v>31</v>
      </c>
      <c r="F286" s="7">
        <v>20</v>
      </c>
      <c r="G286" s="7" t="s">
        <v>5</v>
      </c>
    </row>
    <row r="287" spans="1:11">
      <c r="A287" s="6">
        <v>45429.766235300929</v>
      </c>
      <c r="B287" s="7">
        <v>2</v>
      </c>
      <c r="C287" s="7">
        <v>218</v>
      </c>
      <c r="D287" s="7">
        <v>89</v>
      </c>
      <c r="E287" s="7" t="s">
        <v>31</v>
      </c>
      <c r="F287" s="7">
        <v>20</v>
      </c>
      <c r="G287" s="7" t="s">
        <v>5</v>
      </c>
      <c r="H287" s="7">
        <v>60</v>
      </c>
      <c r="I287" s="7" t="s">
        <v>4</v>
      </c>
    </row>
    <row r="288" spans="1:11">
      <c r="A288" s="6">
        <v>45432.761852430558</v>
      </c>
      <c r="B288" s="7">
        <v>2</v>
      </c>
      <c r="C288" s="7">
        <v>221</v>
      </c>
      <c r="D288" s="7">
        <v>73</v>
      </c>
      <c r="E288" s="7" t="s">
        <v>31</v>
      </c>
      <c r="F288" s="7">
        <v>20</v>
      </c>
      <c r="G288" s="7" t="s">
        <v>5</v>
      </c>
    </row>
    <row r="289" spans="1:12">
      <c r="A289" s="6">
        <v>45433.766957754633</v>
      </c>
      <c r="B289" s="7">
        <v>2</v>
      </c>
      <c r="C289" s="7">
        <v>258</v>
      </c>
      <c r="D289" s="7">
        <v>80</v>
      </c>
      <c r="E289" s="7" t="s">
        <v>31</v>
      </c>
      <c r="F289" s="7">
        <v>20</v>
      </c>
      <c r="G289" s="7" t="s">
        <v>5</v>
      </c>
    </row>
    <row r="290" spans="1:12">
      <c r="A290" s="6">
        <v>45434.765924421299</v>
      </c>
      <c r="B290" s="7">
        <v>2</v>
      </c>
      <c r="C290" s="7">
        <v>399</v>
      </c>
      <c r="D290" s="7">
        <v>115</v>
      </c>
      <c r="E290" s="7" t="s">
        <v>31</v>
      </c>
      <c r="F290" s="7">
        <v>20</v>
      </c>
      <c r="G290" s="7" t="s">
        <v>5</v>
      </c>
    </row>
    <row r="291" spans="1:12">
      <c r="A291" s="6">
        <v>45435.761180787034</v>
      </c>
      <c r="B291" s="7">
        <v>2</v>
      </c>
      <c r="C291" s="7">
        <v>330</v>
      </c>
      <c r="D291" s="7">
        <v>126</v>
      </c>
      <c r="E291" s="7" t="s">
        <v>31</v>
      </c>
      <c r="F291" s="7">
        <v>20</v>
      </c>
      <c r="G291" s="7" t="s">
        <v>5</v>
      </c>
    </row>
    <row r="292" spans="1:12">
      <c r="A292" s="6">
        <v>45436.755965277778</v>
      </c>
      <c r="B292" s="7">
        <v>2</v>
      </c>
      <c r="C292" s="7">
        <v>239</v>
      </c>
      <c r="D292" s="7">
        <v>75</v>
      </c>
      <c r="E292" s="7" t="s">
        <v>31</v>
      </c>
      <c r="F292" s="7">
        <v>20</v>
      </c>
      <c r="G292" s="7" t="s">
        <v>5</v>
      </c>
      <c r="H292" s="7">
        <v>60</v>
      </c>
      <c r="I292" s="7" t="s">
        <v>4</v>
      </c>
    </row>
    <row r="293" spans="1:12">
      <c r="A293" s="6">
        <v>45439.76228101852</v>
      </c>
      <c r="B293" s="7">
        <v>2</v>
      </c>
      <c r="C293" s="7">
        <v>324</v>
      </c>
      <c r="D293" s="7">
        <v>94</v>
      </c>
      <c r="E293" s="7" t="s">
        <v>31</v>
      </c>
      <c r="F293" s="7">
        <v>20</v>
      </c>
      <c r="G293" s="7" t="s">
        <v>5</v>
      </c>
    </row>
    <row r="294" spans="1:12">
      <c r="A294" s="6">
        <v>45440.763787037038</v>
      </c>
      <c r="B294" s="7">
        <v>2</v>
      </c>
      <c r="C294" s="7">
        <v>258</v>
      </c>
      <c r="D294" s="7">
        <v>112</v>
      </c>
      <c r="E294" s="7" t="s">
        <v>31</v>
      </c>
      <c r="F294" s="7">
        <v>20</v>
      </c>
      <c r="G294" s="7" t="s">
        <v>5</v>
      </c>
    </row>
    <row r="295" spans="1:12">
      <c r="A295" s="6">
        <v>45441.767747453705</v>
      </c>
      <c r="B295" s="7">
        <v>2</v>
      </c>
      <c r="C295" s="7">
        <v>207</v>
      </c>
      <c r="D295" s="7">
        <v>85</v>
      </c>
      <c r="E295" s="7" t="s">
        <v>31</v>
      </c>
      <c r="F295" s="7">
        <v>20</v>
      </c>
      <c r="G295" s="7" t="s">
        <v>5</v>
      </c>
      <c r="H295" s="7">
        <v>60</v>
      </c>
      <c r="I295" s="7" t="s">
        <v>6</v>
      </c>
    </row>
    <row r="296" spans="1:12">
      <c r="A296" s="6">
        <v>45442.764269791667</v>
      </c>
      <c r="B296" s="7">
        <v>2</v>
      </c>
      <c r="C296" s="7">
        <v>212</v>
      </c>
      <c r="D296" s="7">
        <v>65</v>
      </c>
      <c r="E296" s="7" t="s">
        <v>31</v>
      </c>
      <c r="F296" s="7">
        <v>20</v>
      </c>
      <c r="G296" s="7" t="s">
        <v>5</v>
      </c>
      <c r="L296" s="15" t="s">
        <v>37</v>
      </c>
    </row>
    <row r="297" spans="1:12">
      <c r="A297" s="6">
        <v>45446.337899421298</v>
      </c>
      <c r="B297" s="7">
        <v>2</v>
      </c>
      <c r="C297" s="7">
        <v>156</v>
      </c>
      <c r="D297" s="7">
        <v>73</v>
      </c>
      <c r="E297" s="7" t="s">
        <v>31</v>
      </c>
      <c r="F297" s="7">
        <v>20</v>
      </c>
      <c r="G297" s="7" t="s">
        <v>5</v>
      </c>
      <c r="H297" s="7">
        <v>50</v>
      </c>
      <c r="I297" s="7" t="s">
        <v>4</v>
      </c>
      <c r="L297" s="15" t="s">
        <v>37</v>
      </c>
    </row>
    <row r="298" spans="1:12">
      <c r="A298" s="6">
        <v>45446.762586689816</v>
      </c>
      <c r="B298" s="7">
        <v>2</v>
      </c>
      <c r="C298" s="7">
        <v>119</v>
      </c>
      <c r="D298" s="7">
        <v>65</v>
      </c>
      <c r="E298" s="7" t="s">
        <v>31</v>
      </c>
      <c r="F298" s="7">
        <v>20</v>
      </c>
      <c r="G298" s="7" t="s">
        <v>5</v>
      </c>
      <c r="L298" s="15" t="s">
        <v>37</v>
      </c>
    </row>
    <row r="299" spans="1:12">
      <c r="A299" s="6">
        <v>45447.764522453705</v>
      </c>
      <c r="B299" s="7">
        <v>2</v>
      </c>
      <c r="C299" s="7">
        <v>156</v>
      </c>
      <c r="D299" s="7">
        <v>52</v>
      </c>
      <c r="E299" s="7" t="s">
        <v>31</v>
      </c>
      <c r="F299" s="7">
        <v>20</v>
      </c>
      <c r="G299" s="7" t="s">
        <v>5</v>
      </c>
      <c r="H299" s="7">
        <v>20</v>
      </c>
      <c r="I299" s="7" t="s">
        <v>11</v>
      </c>
      <c r="L299" s="15" t="s">
        <v>37</v>
      </c>
    </row>
    <row r="300" spans="1:12">
      <c r="A300" s="6">
        <v>45448.760031712962</v>
      </c>
      <c r="B300" s="7">
        <v>2</v>
      </c>
      <c r="C300" s="7">
        <v>233</v>
      </c>
      <c r="D300" s="7">
        <v>79</v>
      </c>
      <c r="E300" s="7" t="s">
        <v>31</v>
      </c>
      <c r="F300" s="7">
        <v>20</v>
      </c>
      <c r="G300" s="7" t="s">
        <v>5</v>
      </c>
      <c r="L300" s="15" t="s">
        <v>40</v>
      </c>
    </row>
    <row r="301" spans="1:12">
      <c r="A301" s="6">
        <v>45449.860177199072</v>
      </c>
      <c r="B301" s="7">
        <v>2</v>
      </c>
      <c r="C301" s="7">
        <v>251</v>
      </c>
      <c r="D301" s="7">
        <v>74</v>
      </c>
      <c r="E301" s="7" t="s">
        <v>42</v>
      </c>
      <c r="F301" s="7">
        <v>20</v>
      </c>
      <c r="G301" s="7" t="s">
        <v>5</v>
      </c>
      <c r="L301" s="15" t="s">
        <v>40</v>
      </c>
    </row>
    <row r="302" spans="1:12">
      <c r="A302" s="6">
        <v>45450.762488194443</v>
      </c>
      <c r="B302" s="7">
        <v>2</v>
      </c>
      <c r="C302" s="7">
        <v>427</v>
      </c>
      <c r="D302" s="7">
        <v>125</v>
      </c>
      <c r="E302" s="7" t="s">
        <v>31</v>
      </c>
      <c r="F302" s="7">
        <v>20</v>
      </c>
      <c r="G302" s="7" t="s">
        <v>5</v>
      </c>
      <c r="H302" s="7">
        <v>60</v>
      </c>
      <c r="I302" s="7" t="s">
        <v>4</v>
      </c>
      <c r="L302" s="15" t="s">
        <v>40</v>
      </c>
    </row>
    <row r="303" spans="1:12">
      <c r="A303" s="6">
        <v>45453.769961805556</v>
      </c>
      <c r="B303" s="7">
        <v>2</v>
      </c>
      <c r="C303" s="7">
        <v>298</v>
      </c>
      <c r="D303" s="7">
        <v>70</v>
      </c>
      <c r="E303" s="7" t="s">
        <v>31</v>
      </c>
      <c r="F303" s="7">
        <v>20</v>
      </c>
      <c r="G303" s="7" t="s">
        <v>5</v>
      </c>
      <c r="L303" s="15" t="s">
        <v>40</v>
      </c>
    </row>
    <row r="304" spans="1:12">
      <c r="A304" s="6">
        <v>45454.763594675926</v>
      </c>
      <c r="B304" s="7">
        <v>2</v>
      </c>
      <c r="C304" s="7">
        <v>281</v>
      </c>
      <c r="D304" s="7">
        <v>45</v>
      </c>
      <c r="E304" s="7" t="s">
        <v>31</v>
      </c>
      <c r="F304" s="7">
        <v>20</v>
      </c>
      <c r="G304" s="7" t="s">
        <v>5</v>
      </c>
      <c r="L304" s="15" t="s">
        <v>40</v>
      </c>
    </row>
    <row r="305" spans="1:12">
      <c r="A305" s="6">
        <v>45455.761981944444</v>
      </c>
      <c r="B305" s="7">
        <v>2</v>
      </c>
      <c r="C305" s="7">
        <v>225</v>
      </c>
      <c r="D305" s="7">
        <v>65</v>
      </c>
      <c r="E305" s="7" t="s">
        <v>31</v>
      </c>
      <c r="F305" s="7">
        <v>20</v>
      </c>
      <c r="G305" s="7" t="s">
        <v>5</v>
      </c>
      <c r="H305" s="7">
        <v>60</v>
      </c>
      <c r="I305" s="7" t="s">
        <v>8</v>
      </c>
      <c r="L305" s="15" t="s">
        <v>40</v>
      </c>
    </row>
    <row r="306" spans="1:12">
      <c r="A306" s="6">
        <v>45456.761978703704</v>
      </c>
      <c r="B306" s="7">
        <v>2</v>
      </c>
      <c r="C306" s="7">
        <v>309</v>
      </c>
      <c r="D306" s="7">
        <v>67</v>
      </c>
      <c r="E306" s="7" t="s">
        <v>31</v>
      </c>
      <c r="F306" s="7">
        <v>20</v>
      </c>
      <c r="G306" s="7" t="s">
        <v>5</v>
      </c>
      <c r="L306" s="15" t="s">
        <v>40</v>
      </c>
    </row>
    <row r="307" spans="1:12">
      <c r="A307" s="6">
        <v>45457.763667476851</v>
      </c>
      <c r="B307" s="7">
        <v>2</v>
      </c>
      <c r="C307" s="7">
        <v>211</v>
      </c>
      <c r="D307" s="7">
        <v>55</v>
      </c>
      <c r="E307" s="7" t="s">
        <v>31</v>
      </c>
      <c r="F307" s="7">
        <v>20</v>
      </c>
      <c r="G307" s="7" t="s">
        <v>5</v>
      </c>
      <c r="H307" s="7">
        <v>40</v>
      </c>
      <c r="I307" s="7" t="s">
        <v>6</v>
      </c>
      <c r="J307" s="7">
        <v>70</v>
      </c>
      <c r="K307" s="7" t="s">
        <v>4</v>
      </c>
      <c r="L307" s="15" t="s">
        <v>40</v>
      </c>
    </row>
    <row r="308" spans="1:12">
      <c r="A308" s="6">
        <v>45463.764432175929</v>
      </c>
      <c r="B308" s="7">
        <v>2</v>
      </c>
      <c r="C308" s="7">
        <v>291</v>
      </c>
      <c r="D308" s="7">
        <v>63</v>
      </c>
      <c r="E308" s="7" t="s">
        <v>31</v>
      </c>
      <c r="F308" s="7">
        <v>20</v>
      </c>
      <c r="G308" s="7" t="s">
        <v>5</v>
      </c>
      <c r="H308" s="7">
        <v>20</v>
      </c>
      <c r="I308" s="7" t="s">
        <v>11</v>
      </c>
      <c r="J308" s="7">
        <v>20</v>
      </c>
      <c r="K308" s="7" t="s">
        <v>12</v>
      </c>
      <c r="L308" s="15" t="s">
        <v>40</v>
      </c>
    </row>
    <row r="309" spans="1:12">
      <c r="A309" s="6">
        <v>45464.768200462961</v>
      </c>
      <c r="B309" s="7">
        <v>2</v>
      </c>
      <c r="C309" s="7">
        <v>343</v>
      </c>
      <c r="D309" s="7">
        <v>55</v>
      </c>
      <c r="E309" s="7" t="s">
        <v>31</v>
      </c>
      <c r="F309" s="7">
        <v>20</v>
      </c>
      <c r="G309" s="7" t="s">
        <v>5</v>
      </c>
      <c r="H309" s="7">
        <v>40</v>
      </c>
      <c r="I309" s="7" t="s">
        <v>4</v>
      </c>
      <c r="J309" s="7">
        <v>10</v>
      </c>
      <c r="K309" s="7" t="s">
        <v>12</v>
      </c>
      <c r="L309" s="15" t="s">
        <v>40</v>
      </c>
    </row>
    <row r="310" spans="1:12">
      <c r="A310" s="6">
        <v>45467.764001041665</v>
      </c>
      <c r="B310" s="7">
        <v>2</v>
      </c>
      <c r="C310" s="7">
        <v>114</v>
      </c>
      <c r="D310" s="7">
        <v>25</v>
      </c>
      <c r="E310" s="7" t="s">
        <v>31</v>
      </c>
      <c r="F310" s="7">
        <v>20</v>
      </c>
      <c r="G310" s="7" t="s">
        <v>5</v>
      </c>
      <c r="H310" s="7">
        <v>180</v>
      </c>
      <c r="I310" s="7" t="s">
        <v>6</v>
      </c>
      <c r="L310" s="15" t="s">
        <v>40</v>
      </c>
    </row>
    <row r="311" spans="1:12">
      <c r="A311" s="6">
        <v>45468.761560185187</v>
      </c>
      <c r="B311" s="7">
        <v>1</v>
      </c>
      <c r="C311" s="7">
        <v>186</v>
      </c>
      <c r="D311" s="7">
        <v>9</v>
      </c>
      <c r="E311" s="7" t="s">
        <v>31</v>
      </c>
      <c r="F311" s="7">
        <v>20</v>
      </c>
      <c r="G311" s="7" t="s">
        <v>5</v>
      </c>
      <c r="H311" s="7">
        <v>240</v>
      </c>
      <c r="I311" s="7" t="s">
        <v>6</v>
      </c>
      <c r="L311" s="15" t="s">
        <v>40</v>
      </c>
    </row>
    <row r="312" spans="1:12">
      <c r="A312" s="6">
        <v>45470.857583333331</v>
      </c>
      <c r="B312" s="7">
        <v>2</v>
      </c>
      <c r="C312" s="7">
        <v>287</v>
      </c>
      <c r="D312" s="7">
        <v>43</v>
      </c>
      <c r="E312" s="7" t="s">
        <v>32</v>
      </c>
      <c r="F312" s="7">
        <v>20</v>
      </c>
      <c r="G312" s="7" t="s">
        <v>5</v>
      </c>
      <c r="H312" s="7">
        <v>60</v>
      </c>
      <c r="I312" s="7" t="s">
        <v>6</v>
      </c>
      <c r="L312" s="15" t="s">
        <v>40</v>
      </c>
    </row>
    <row r="313" spans="1:12">
      <c r="A313" s="6">
        <v>45471.752749768515</v>
      </c>
      <c r="B313" s="7">
        <v>2</v>
      </c>
      <c r="C313" s="7">
        <v>209</v>
      </c>
      <c r="D313" s="7">
        <v>56</v>
      </c>
      <c r="E313" s="7" t="s">
        <v>31</v>
      </c>
      <c r="F313" s="7">
        <v>60</v>
      </c>
      <c r="G313" s="7" t="s">
        <v>5</v>
      </c>
      <c r="J313" s="7">
        <v>30</v>
      </c>
      <c r="K313" s="7" t="s">
        <v>4</v>
      </c>
      <c r="L313" s="15" t="s">
        <v>40</v>
      </c>
    </row>
    <row r="314" spans="1:12">
      <c r="A314" s="6">
        <v>45474.856972800924</v>
      </c>
      <c r="B314" s="7">
        <v>2</v>
      </c>
      <c r="C314" s="7">
        <v>173</v>
      </c>
      <c r="D314" s="7">
        <v>75</v>
      </c>
      <c r="E314" s="7" t="s">
        <v>32</v>
      </c>
      <c r="F314" s="7">
        <v>60</v>
      </c>
      <c r="G314" s="7" t="s">
        <v>5</v>
      </c>
      <c r="L314" s="15" t="s">
        <v>40</v>
      </c>
    </row>
    <row r="315" spans="1:12">
      <c r="A315" s="6">
        <v>45475.765209375</v>
      </c>
      <c r="B315" s="7">
        <v>2</v>
      </c>
      <c r="C315" s="7">
        <v>376</v>
      </c>
      <c r="D315" s="7">
        <v>55</v>
      </c>
      <c r="E315" s="7" t="s">
        <v>31</v>
      </c>
      <c r="F315" s="7">
        <v>30</v>
      </c>
      <c r="G315" s="7" t="s">
        <v>5</v>
      </c>
      <c r="L315" s="15" t="s">
        <v>40</v>
      </c>
    </row>
    <row r="316" spans="1:12">
      <c r="A316" s="6">
        <v>45476.763909259258</v>
      </c>
      <c r="B316" s="7">
        <v>2</v>
      </c>
      <c r="C316" s="7">
        <v>229</v>
      </c>
      <c r="D316" s="7">
        <v>49</v>
      </c>
      <c r="E316" s="7" t="s">
        <v>31</v>
      </c>
      <c r="F316" s="7">
        <v>45</v>
      </c>
      <c r="G316" s="7" t="s">
        <v>5</v>
      </c>
      <c r="L316" s="15" t="s">
        <v>40</v>
      </c>
    </row>
    <row r="317" spans="1:12">
      <c r="A317" s="6">
        <v>45477.7678900463</v>
      </c>
      <c r="B317" s="7">
        <v>2</v>
      </c>
      <c r="C317" s="7">
        <v>265</v>
      </c>
      <c r="D317" s="7">
        <v>53</v>
      </c>
      <c r="E317" s="7" t="s">
        <v>31</v>
      </c>
      <c r="F317" s="7">
        <v>60</v>
      </c>
      <c r="G317" s="7" t="s">
        <v>5</v>
      </c>
      <c r="L317" s="15" t="s">
        <v>40</v>
      </c>
    </row>
    <row r="318" spans="1:12">
      <c r="A318" s="6">
        <v>45478.762470486108</v>
      </c>
      <c r="B318" s="7">
        <v>2</v>
      </c>
      <c r="C318" s="7">
        <v>246</v>
      </c>
      <c r="D318" s="7">
        <v>66</v>
      </c>
      <c r="E318" s="7" t="s">
        <v>31</v>
      </c>
      <c r="F318" s="7">
        <v>40</v>
      </c>
      <c r="G318" s="7" t="s">
        <v>5</v>
      </c>
      <c r="H318" s="7">
        <v>60</v>
      </c>
      <c r="I318" s="7" t="s">
        <v>4</v>
      </c>
      <c r="L318" s="15" t="s">
        <v>40</v>
      </c>
    </row>
    <row r="319" spans="1:12">
      <c r="A319" s="6">
        <v>45481.764012268519</v>
      </c>
      <c r="B319" s="7">
        <v>2</v>
      </c>
      <c r="C319" s="7">
        <v>623</v>
      </c>
      <c r="D319" s="7">
        <v>35</v>
      </c>
      <c r="E319" s="7" t="s">
        <v>31</v>
      </c>
      <c r="F319" s="7">
        <v>20</v>
      </c>
      <c r="G319" s="7" t="s">
        <v>5</v>
      </c>
      <c r="L319" s="15" t="s">
        <v>40</v>
      </c>
    </row>
    <row r="320" spans="1:12">
      <c r="A320" s="6">
        <v>45482.762236458337</v>
      </c>
      <c r="B320" s="7">
        <v>2</v>
      </c>
      <c r="C320" s="7">
        <v>433</v>
      </c>
      <c r="D320" s="7">
        <v>25</v>
      </c>
      <c r="E320" s="7" t="s">
        <v>31</v>
      </c>
      <c r="F320" s="7">
        <v>20</v>
      </c>
      <c r="G320" s="7" t="s">
        <v>5</v>
      </c>
      <c r="L320" s="15" t="s">
        <v>40</v>
      </c>
    </row>
    <row r="321" spans="1:12">
      <c r="A321" s="6">
        <v>45484.861258333331</v>
      </c>
      <c r="B321" s="7">
        <v>2</v>
      </c>
      <c r="C321" s="7">
        <v>395</v>
      </c>
      <c r="D321" s="7">
        <v>41</v>
      </c>
      <c r="E321" s="7" t="s">
        <v>32</v>
      </c>
      <c r="F321" s="7">
        <v>40</v>
      </c>
      <c r="G321" s="7" t="s">
        <v>5</v>
      </c>
      <c r="L321" s="15" t="s">
        <v>40</v>
      </c>
    </row>
    <row r="322" spans="1:12">
      <c r="A322" s="6">
        <v>45485.737982523147</v>
      </c>
      <c r="B322" s="7">
        <v>2</v>
      </c>
      <c r="C322" s="7">
        <v>126</v>
      </c>
      <c r="D322" s="7">
        <v>390</v>
      </c>
      <c r="E322" s="7" t="s">
        <v>31</v>
      </c>
      <c r="F322" s="7">
        <v>20</v>
      </c>
      <c r="G322" s="7" t="s">
        <v>5</v>
      </c>
      <c r="L322" s="15" t="s">
        <v>40</v>
      </c>
    </row>
    <row r="323" spans="1:12">
      <c r="A323" s="6">
        <v>45485.738106712961</v>
      </c>
      <c r="B323" s="7">
        <v>2</v>
      </c>
      <c r="C323" s="7">
        <v>126</v>
      </c>
      <c r="D323" s="7">
        <v>390</v>
      </c>
      <c r="E323" s="7" t="s">
        <v>31</v>
      </c>
      <c r="F323" s="7">
        <v>20</v>
      </c>
      <c r="G323" s="7" t="s">
        <v>5</v>
      </c>
      <c r="L323" s="15" t="s">
        <v>40</v>
      </c>
    </row>
    <row r="324" spans="1:12">
      <c r="A324" s="6">
        <v>45486.727900578706</v>
      </c>
      <c r="B324" s="7">
        <v>2</v>
      </c>
      <c r="C324" s="7">
        <v>500</v>
      </c>
      <c r="E324" s="7" t="s">
        <v>31</v>
      </c>
      <c r="F324" s="7">
        <v>20</v>
      </c>
      <c r="G324" s="7" t="s">
        <v>5</v>
      </c>
      <c r="L324" s="15" t="s">
        <v>40</v>
      </c>
    </row>
    <row r="325" spans="1:12">
      <c r="A325" s="6">
        <v>45488.725873379626</v>
      </c>
      <c r="B325" s="7">
        <v>2</v>
      </c>
      <c r="C325" s="7">
        <v>606</v>
      </c>
      <c r="E325" s="7" t="s">
        <v>31</v>
      </c>
      <c r="F325" s="7">
        <v>10</v>
      </c>
      <c r="G325" s="7" t="s">
        <v>5</v>
      </c>
      <c r="L325" s="15" t="s">
        <v>40</v>
      </c>
    </row>
    <row r="326" spans="1:12">
      <c r="A326" s="6">
        <v>45489.859539930556</v>
      </c>
      <c r="B326" s="7">
        <v>2</v>
      </c>
      <c r="C326" s="7">
        <v>650</v>
      </c>
      <c r="D326" s="7">
        <v>50</v>
      </c>
      <c r="E326" s="7" t="s">
        <v>32</v>
      </c>
      <c r="F326" s="7">
        <v>20</v>
      </c>
      <c r="G326" s="7" t="s">
        <v>5</v>
      </c>
      <c r="L326" s="15" t="s">
        <v>40</v>
      </c>
    </row>
    <row r="327" spans="1:12">
      <c r="A327" s="6">
        <v>45490.85835347222</v>
      </c>
      <c r="B327" s="7">
        <v>2</v>
      </c>
      <c r="C327" s="7">
        <v>556</v>
      </c>
      <c r="D327" s="7">
        <v>64</v>
      </c>
      <c r="E327" s="7" t="s">
        <v>32</v>
      </c>
      <c r="F327" s="7">
        <v>20</v>
      </c>
      <c r="G327" s="7" t="s">
        <v>5</v>
      </c>
      <c r="L327" s="15" t="s">
        <v>40</v>
      </c>
    </row>
    <row r="328" spans="1:12">
      <c r="A328" s="6">
        <v>45491.857761226849</v>
      </c>
      <c r="B328" s="7">
        <v>2</v>
      </c>
      <c r="C328" s="7">
        <v>245</v>
      </c>
      <c r="D328" s="7">
        <v>41</v>
      </c>
      <c r="E328" s="7" t="s">
        <v>32</v>
      </c>
      <c r="F328" s="7">
        <v>40</v>
      </c>
      <c r="G328" s="7" t="s">
        <v>5</v>
      </c>
      <c r="H328" s="7">
        <v>30</v>
      </c>
      <c r="I328" s="7" t="s">
        <v>6</v>
      </c>
      <c r="J328" s="7">
        <v>20</v>
      </c>
      <c r="K328" s="7" t="s">
        <v>8</v>
      </c>
      <c r="L328" s="15" t="s">
        <v>40</v>
      </c>
    </row>
    <row r="329" spans="1:12">
      <c r="A329" s="6">
        <v>45492.862927083333</v>
      </c>
      <c r="B329" s="7">
        <v>2</v>
      </c>
      <c r="C329" s="7">
        <v>481</v>
      </c>
      <c r="D329" s="7">
        <v>63</v>
      </c>
      <c r="E329" s="7" t="s">
        <v>32</v>
      </c>
      <c r="F329" s="7">
        <v>40</v>
      </c>
      <c r="G329" s="7" t="s">
        <v>5</v>
      </c>
      <c r="L329" s="15" t="s">
        <v>40</v>
      </c>
    </row>
    <row r="330" spans="1:12">
      <c r="A330" s="6">
        <v>45493.71466041667</v>
      </c>
      <c r="B330" s="7">
        <v>2</v>
      </c>
      <c r="C330" s="7">
        <v>445</v>
      </c>
      <c r="D330" s="7">
        <v>48</v>
      </c>
      <c r="E330" s="7" t="s">
        <v>31</v>
      </c>
      <c r="F330" s="7">
        <v>20</v>
      </c>
      <c r="G330" s="7" t="s">
        <v>5</v>
      </c>
      <c r="L330" s="15" t="s">
        <v>40</v>
      </c>
    </row>
    <row r="331" spans="1:12">
      <c r="A331" s="6">
        <v>45495.858764814817</v>
      </c>
      <c r="B331" s="7">
        <v>2</v>
      </c>
      <c r="C331" s="7">
        <v>328</v>
      </c>
      <c r="D331" s="7">
        <v>71</v>
      </c>
      <c r="E331" s="7" t="s">
        <v>32</v>
      </c>
      <c r="F331" s="7">
        <v>20</v>
      </c>
      <c r="G331" s="7" t="s">
        <v>5</v>
      </c>
      <c r="H331" s="7">
        <v>20</v>
      </c>
      <c r="I331" s="7" t="s">
        <v>16</v>
      </c>
      <c r="L331" s="15" t="s">
        <v>40</v>
      </c>
    </row>
    <row r="332" spans="1:12">
      <c r="A332" s="6">
        <v>45496.855820370372</v>
      </c>
      <c r="B332" s="7">
        <v>2</v>
      </c>
      <c r="C332" s="7">
        <v>267</v>
      </c>
      <c r="D332" s="7">
        <v>55</v>
      </c>
      <c r="E332" s="7" t="s">
        <v>32</v>
      </c>
      <c r="F332" s="7">
        <v>20</v>
      </c>
      <c r="G332" s="7" t="s">
        <v>5</v>
      </c>
      <c r="H332" s="7">
        <v>40</v>
      </c>
      <c r="I332" s="7" t="s">
        <v>6</v>
      </c>
      <c r="L332" s="15" t="s">
        <v>40</v>
      </c>
    </row>
    <row r="333" spans="1:12">
      <c r="A333" s="6">
        <v>45497.856685763887</v>
      </c>
      <c r="B333" s="7">
        <v>2</v>
      </c>
      <c r="C333" s="7">
        <v>228</v>
      </c>
      <c r="D333" s="7">
        <v>194</v>
      </c>
      <c r="E333" s="7" t="s">
        <v>32</v>
      </c>
      <c r="F333" s="7">
        <v>20</v>
      </c>
      <c r="G333" s="7" t="s">
        <v>5</v>
      </c>
      <c r="H333" s="7">
        <v>30</v>
      </c>
      <c r="I333" s="7" t="s">
        <v>6</v>
      </c>
      <c r="L333" s="15" t="s">
        <v>40</v>
      </c>
    </row>
    <row r="334" spans="1:12">
      <c r="A334" s="6">
        <v>45498.761616087962</v>
      </c>
      <c r="B334" s="7">
        <v>2</v>
      </c>
      <c r="C334" s="7">
        <v>468</v>
      </c>
      <c r="D334" s="7">
        <v>68</v>
      </c>
      <c r="E334" s="7" t="s">
        <v>31</v>
      </c>
      <c r="F334" s="7">
        <v>20</v>
      </c>
      <c r="G334" s="7" t="s">
        <v>5</v>
      </c>
      <c r="L334" s="15" t="s">
        <v>40</v>
      </c>
    </row>
    <row r="335" spans="1:12">
      <c r="A335" s="6">
        <v>45551.769165046295</v>
      </c>
      <c r="B335" s="7">
        <v>2</v>
      </c>
      <c r="C335" s="7">
        <v>200</v>
      </c>
      <c r="D335" s="7">
        <v>30</v>
      </c>
      <c r="E335" s="7" t="s">
        <v>31</v>
      </c>
      <c r="F335" s="7">
        <v>20</v>
      </c>
      <c r="G335" s="7" t="s">
        <v>5</v>
      </c>
      <c r="H335" s="7">
        <v>60</v>
      </c>
      <c r="I335" s="7" t="s">
        <v>6</v>
      </c>
      <c r="L335" s="15" t="s">
        <v>40</v>
      </c>
    </row>
    <row r="336" spans="1:12">
      <c r="A336" s="6">
        <v>45552.769645370368</v>
      </c>
      <c r="B336" s="7">
        <v>2</v>
      </c>
      <c r="C336" s="7">
        <v>35</v>
      </c>
      <c r="D336" s="7">
        <v>227</v>
      </c>
      <c r="E336" s="7" t="s">
        <v>31</v>
      </c>
      <c r="F336" s="7">
        <v>20</v>
      </c>
      <c r="G336" s="7" t="s">
        <v>5</v>
      </c>
      <c r="H336" s="7">
        <v>240</v>
      </c>
      <c r="I336" s="7" t="s">
        <v>6</v>
      </c>
      <c r="L336" s="15" t="s">
        <v>40</v>
      </c>
    </row>
    <row r="337" spans="1:12">
      <c r="A337" s="6">
        <v>45553.767559375003</v>
      </c>
      <c r="B337" s="7">
        <v>2</v>
      </c>
      <c r="C337" s="7">
        <v>260</v>
      </c>
      <c r="D337" s="7">
        <v>55</v>
      </c>
      <c r="E337" s="7" t="s">
        <v>31</v>
      </c>
      <c r="F337" s="7">
        <v>20</v>
      </c>
      <c r="G337" s="7" t="s">
        <v>5</v>
      </c>
      <c r="L337" s="15" t="s">
        <v>40</v>
      </c>
    </row>
    <row r="338" spans="1:12">
      <c r="A338" s="6">
        <v>45555.341174652778</v>
      </c>
      <c r="B338" s="7">
        <v>2</v>
      </c>
      <c r="C338" s="7">
        <v>212</v>
      </c>
      <c r="D338" s="7">
        <v>22</v>
      </c>
      <c r="E338" s="7" t="s">
        <v>31</v>
      </c>
      <c r="F338" s="7">
        <v>20</v>
      </c>
      <c r="G338" s="7" t="s">
        <v>5</v>
      </c>
      <c r="H338" s="7">
        <v>30</v>
      </c>
      <c r="I338" s="7" t="s">
        <v>8</v>
      </c>
      <c r="L338" s="15" t="s">
        <v>40</v>
      </c>
    </row>
    <row r="339" spans="1:12">
      <c r="A339" s="6">
        <v>45556.723309953704</v>
      </c>
      <c r="B339" s="7">
        <v>2</v>
      </c>
      <c r="C339" s="7">
        <v>50</v>
      </c>
      <c r="E339" s="7" t="s">
        <v>31</v>
      </c>
      <c r="F339" s="7">
        <v>20</v>
      </c>
      <c r="G339" s="7" t="s">
        <v>5</v>
      </c>
      <c r="H339" s="7">
        <v>360</v>
      </c>
      <c r="I339" s="7" t="s">
        <v>8</v>
      </c>
      <c r="L339" s="15" t="s">
        <v>40</v>
      </c>
    </row>
    <row r="340" spans="1:12">
      <c r="A340" s="6">
        <v>45556.724354976854</v>
      </c>
      <c r="B340" s="7">
        <v>2</v>
      </c>
      <c r="C340" s="7">
        <v>184</v>
      </c>
      <c r="D340" s="7">
        <v>32</v>
      </c>
      <c r="E340" s="7" t="s">
        <v>32</v>
      </c>
      <c r="F340" s="7">
        <v>20</v>
      </c>
      <c r="G340" s="7" t="s">
        <v>5</v>
      </c>
      <c r="L340" s="15" t="s">
        <v>40</v>
      </c>
    </row>
    <row r="341" spans="1:12">
      <c r="A341" s="6">
        <v>45558.857676851854</v>
      </c>
      <c r="B341" s="7">
        <v>2</v>
      </c>
      <c r="C341" s="7">
        <v>311</v>
      </c>
      <c r="D341" s="7">
        <v>38</v>
      </c>
      <c r="E341" s="7" t="s">
        <v>32</v>
      </c>
      <c r="F341" s="7">
        <v>20</v>
      </c>
      <c r="G341" s="7" t="s">
        <v>5</v>
      </c>
      <c r="L341" s="15" t="s">
        <v>40</v>
      </c>
    </row>
    <row r="342" spans="1:12">
      <c r="A342" s="6">
        <v>45560.33325891204</v>
      </c>
      <c r="B342" s="7">
        <v>2</v>
      </c>
      <c r="C342" s="7">
        <v>312</v>
      </c>
      <c r="D342" s="7">
        <v>98</v>
      </c>
      <c r="E342" s="7" t="s">
        <v>32</v>
      </c>
      <c r="F342" s="7">
        <v>20</v>
      </c>
      <c r="G342" s="7" t="s">
        <v>5</v>
      </c>
      <c r="L342" s="15" t="s">
        <v>40</v>
      </c>
    </row>
    <row r="343" spans="1:12">
      <c r="A343" s="6">
        <v>45560.855112384263</v>
      </c>
      <c r="B343" s="7">
        <v>2</v>
      </c>
      <c r="C343" s="7">
        <v>378</v>
      </c>
      <c r="D343" s="7">
        <v>54</v>
      </c>
      <c r="E343" s="7" t="s">
        <v>32</v>
      </c>
      <c r="F343" s="7">
        <v>20</v>
      </c>
      <c r="G343" s="7" t="s">
        <v>5</v>
      </c>
      <c r="L343" s="15" t="s">
        <v>40</v>
      </c>
    </row>
    <row r="344" spans="1:12">
      <c r="A344" s="6">
        <v>45562.356021990738</v>
      </c>
      <c r="B344" s="7">
        <v>2</v>
      </c>
      <c r="C344" s="7">
        <v>402</v>
      </c>
      <c r="D344" s="7">
        <v>174</v>
      </c>
      <c r="E344" s="7" t="s">
        <v>32</v>
      </c>
      <c r="F344" s="7">
        <v>20</v>
      </c>
      <c r="G344" s="7" t="s">
        <v>5</v>
      </c>
      <c r="L344" s="15" t="s">
        <v>40</v>
      </c>
    </row>
    <row r="345" spans="1:12">
      <c r="A345" s="6">
        <v>45562.763171759259</v>
      </c>
      <c r="B345" s="7">
        <v>2</v>
      </c>
      <c r="C345" s="7">
        <v>285</v>
      </c>
      <c r="D345" s="7">
        <v>184</v>
      </c>
      <c r="E345" s="7" t="s">
        <v>31</v>
      </c>
      <c r="F345" s="7">
        <v>20</v>
      </c>
      <c r="G345" s="7" t="s">
        <v>5</v>
      </c>
      <c r="L345" s="15" t="s">
        <v>40</v>
      </c>
    </row>
    <row r="346" spans="1:12">
      <c r="A346" s="6">
        <v>45565.86214513889</v>
      </c>
      <c r="B346" s="7">
        <v>2</v>
      </c>
      <c r="C346" s="7">
        <v>184</v>
      </c>
      <c r="D346" s="7">
        <v>400</v>
      </c>
      <c r="E346" s="7" t="s">
        <v>32</v>
      </c>
      <c r="F346" s="7">
        <v>20</v>
      </c>
      <c r="G346" s="7" t="s">
        <v>5</v>
      </c>
      <c r="L346" s="15" t="s">
        <v>40</v>
      </c>
    </row>
    <row r="347" spans="1:12">
      <c r="A347" s="6">
        <v>45566.863372800923</v>
      </c>
      <c r="B347" s="7">
        <v>2</v>
      </c>
      <c r="C347" s="7">
        <v>167</v>
      </c>
      <c r="D347" s="7">
        <v>194</v>
      </c>
      <c r="E347" s="7" t="s">
        <v>32</v>
      </c>
      <c r="F347" s="7">
        <v>20</v>
      </c>
      <c r="G347" s="7" t="s">
        <v>5</v>
      </c>
      <c r="H347" s="7">
        <v>120</v>
      </c>
      <c r="L347" s="15" t="s">
        <v>43</v>
      </c>
    </row>
    <row r="348" spans="1:12">
      <c r="A348" s="6">
        <v>45569.760828240738</v>
      </c>
      <c r="B348" s="7">
        <v>2</v>
      </c>
      <c r="C348" s="7">
        <v>114</v>
      </c>
      <c r="D348" s="7">
        <v>280</v>
      </c>
      <c r="E348" s="7" t="s">
        <v>31</v>
      </c>
      <c r="F348" s="7">
        <v>20</v>
      </c>
      <c r="G348" s="7" t="s">
        <v>5</v>
      </c>
      <c r="L348" s="15" t="s">
        <v>40</v>
      </c>
    </row>
    <row r="349" spans="1:12">
      <c r="A349" s="6">
        <v>45572.76582685185</v>
      </c>
      <c r="B349" s="7">
        <v>2</v>
      </c>
      <c r="C349" s="7">
        <v>253</v>
      </c>
      <c r="D349" s="7">
        <v>45</v>
      </c>
      <c r="E349" s="7" t="s">
        <v>31</v>
      </c>
      <c r="F349" s="7">
        <v>20</v>
      </c>
      <c r="G349" s="7" t="s">
        <v>5</v>
      </c>
      <c r="H349" s="7">
        <v>20</v>
      </c>
      <c r="I349" s="7" t="s">
        <v>6</v>
      </c>
      <c r="L349" s="15" t="s">
        <v>40</v>
      </c>
    </row>
    <row r="350" spans="1:12">
      <c r="A350" s="6">
        <v>45573.392296874998</v>
      </c>
      <c r="B350" s="7">
        <v>2</v>
      </c>
      <c r="C350" s="7">
        <v>75</v>
      </c>
      <c r="D350" s="7">
        <v>25</v>
      </c>
      <c r="E350" s="7" t="s">
        <v>32</v>
      </c>
      <c r="L350" s="15" t="s">
        <v>40</v>
      </c>
    </row>
    <row r="351" spans="1:12">
      <c r="A351" s="6">
        <v>45573.392324884262</v>
      </c>
      <c r="B351" s="7">
        <v>2</v>
      </c>
      <c r="C351" s="7">
        <v>75</v>
      </c>
      <c r="D351" s="7">
        <v>25</v>
      </c>
      <c r="E351" s="7" t="s">
        <v>32</v>
      </c>
      <c r="L351" s="15" t="s">
        <v>40</v>
      </c>
    </row>
    <row r="352" spans="1:12">
      <c r="A352" s="6">
        <v>45573.77507152778</v>
      </c>
      <c r="B352" s="7">
        <v>2</v>
      </c>
      <c r="C352" s="7">
        <v>140</v>
      </c>
      <c r="D352" s="7">
        <v>55</v>
      </c>
      <c r="E352" s="7" t="s">
        <v>31</v>
      </c>
      <c r="L352" s="15" t="s">
        <v>40</v>
      </c>
    </row>
    <row r="353" spans="1:12">
      <c r="A353" s="6">
        <v>45573.859945370372</v>
      </c>
      <c r="B353" s="7">
        <v>2</v>
      </c>
      <c r="C353" s="7">
        <v>83</v>
      </c>
      <c r="D353" s="7">
        <v>21</v>
      </c>
      <c r="E353" s="7" t="s">
        <v>32</v>
      </c>
      <c r="F353" s="7">
        <v>20</v>
      </c>
      <c r="G353" s="7" t="s">
        <v>5</v>
      </c>
      <c r="L353" s="15" t="s">
        <v>40</v>
      </c>
    </row>
    <row r="354" spans="1:12">
      <c r="A354" s="6">
        <v>45574.772769212963</v>
      </c>
      <c r="B354" s="7">
        <v>2</v>
      </c>
      <c r="C354" s="7">
        <v>303</v>
      </c>
      <c r="D354" s="7">
        <v>68</v>
      </c>
      <c r="E354" s="7" t="s">
        <v>31</v>
      </c>
      <c r="F354" s="7">
        <v>40</v>
      </c>
      <c r="G354" s="7" t="s">
        <v>5</v>
      </c>
      <c r="L354" s="15" t="s">
        <v>40</v>
      </c>
    </row>
    <row r="355" spans="1:12">
      <c r="A355" s="6">
        <v>45574.859087962963</v>
      </c>
      <c r="B355" s="7">
        <v>2</v>
      </c>
      <c r="C355" s="7">
        <v>130</v>
      </c>
      <c r="D355" s="7">
        <v>1</v>
      </c>
      <c r="E355" s="7" t="s">
        <v>32</v>
      </c>
      <c r="F355" s="7">
        <v>10</v>
      </c>
      <c r="G355" s="7" t="s">
        <v>4</v>
      </c>
      <c r="L355" s="15" t="s">
        <v>40</v>
      </c>
    </row>
    <row r="356" spans="1:12">
      <c r="A356" s="6">
        <v>45575.76973472222</v>
      </c>
      <c r="B356" s="7">
        <v>2</v>
      </c>
      <c r="C356" s="7">
        <v>207</v>
      </c>
      <c r="D356" s="7">
        <v>55</v>
      </c>
      <c r="E356" s="7" t="s">
        <v>31</v>
      </c>
      <c r="F356" s="7">
        <v>60</v>
      </c>
      <c r="G356" s="7" t="s">
        <v>5</v>
      </c>
      <c r="L356" s="15" t="s">
        <v>40</v>
      </c>
    </row>
    <row r="357" spans="1:12">
      <c r="A357" s="6">
        <v>45575.862314120372</v>
      </c>
      <c r="B357" s="7">
        <v>2</v>
      </c>
      <c r="C357" s="7">
        <v>75</v>
      </c>
      <c r="D357" s="7">
        <v>10</v>
      </c>
      <c r="E357" s="7" t="s">
        <v>32</v>
      </c>
      <c r="L357" s="15" t="s">
        <v>40</v>
      </c>
    </row>
    <row r="358" spans="1:12">
      <c r="A358" s="6">
        <v>45576.769869791664</v>
      </c>
      <c r="B358" s="7">
        <v>2</v>
      </c>
      <c r="C358" s="7">
        <v>164</v>
      </c>
      <c r="D358" s="7">
        <v>75</v>
      </c>
      <c r="E358" s="7" t="s">
        <v>31</v>
      </c>
      <c r="F358" s="7">
        <v>30</v>
      </c>
      <c r="G358" s="7" t="s">
        <v>4</v>
      </c>
      <c r="H358" s="7">
        <v>30</v>
      </c>
      <c r="I358" s="7" t="s">
        <v>5</v>
      </c>
      <c r="L358" s="15" t="s">
        <v>40</v>
      </c>
    </row>
    <row r="359" spans="1:12">
      <c r="A359" s="6">
        <v>45579.858347337962</v>
      </c>
      <c r="B359" s="7">
        <v>2</v>
      </c>
      <c r="C359" s="7">
        <v>194</v>
      </c>
      <c r="D359" s="7">
        <v>118</v>
      </c>
      <c r="E359" s="7" t="s">
        <v>32</v>
      </c>
      <c r="F359" s="7">
        <v>30</v>
      </c>
      <c r="G359" s="7" t="s">
        <v>4</v>
      </c>
      <c r="H359" s="7">
        <v>30</v>
      </c>
      <c r="I359" s="7" t="s">
        <v>5</v>
      </c>
      <c r="L359" s="15" t="s">
        <v>40</v>
      </c>
    </row>
    <row r="360" spans="1:12">
      <c r="A360" s="6">
        <v>45581.828167824075</v>
      </c>
      <c r="B360" s="7">
        <v>2</v>
      </c>
      <c r="C360" s="7">
        <v>341</v>
      </c>
      <c r="D360" s="7">
        <v>25</v>
      </c>
      <c r="E360" s="7" t="s">
        <v>31</v>
      </c>
      <c r="F360" s="7" t="s">
        <v>44</v>
      </c>
      <c r="G360" s="7" t="s">
        <v>12</v>
      </c>
      <c r="I360" s="7" t="s">
        <v>5</v>
      </c>
      <c r="L360" s="15" t="s">
        <v>40</v>
      </c>
    </row>
    <row r="361" spans="1:12">
      <c r="A361" s="6">
        <v>45583.765697685187</v>
      </c>
      <c r="B361" s="7">
        <v>2</v>
      </c>
      <c r="C361" s="7">
        <v>112</v>
      </c>
      <c r="D361" s="7">
        <v>0</v>
      </c>
      <c r="E361" s="7" t="s">
        <v>31</v>
      </c>
      <c r="I361" s="7" t="s">
        <v>5</v>
      </c>
      <c r="L361" s="15" t="s">
        <v>40</v>
      </c>
    </row>
    <row r="362" spans="1:12">
      <c r="A362" s="6">
        <v>45586</v>
      </c>
      <c r="B362" s="7">
        <v>2</v>
      </c>
      <c r="C362" s="7">
        <v>70</v>
      </c>
      <c r="D362" s="7">
        <v>0</v>
      </c>
      <c r="E362" s="7" t="s">
        <v>31</v>
      </c>
      <c r="F362" s="7" t="s">
        <v>45</v>
      </c>
      <c r="G362" s="7" t="s">
        <v>12</v>
      </c>
      <c r="I362" s="7" t="s">
        <v>5</v>
      </c>
      <c r="L362" s="15" t="s">
        <v>40</v>
      </c>
    </row>
    <row r="363" spans="1:12">
      <c r="A363" s="6">
        <v>45587</v>
      </c>
      <c r="B363" s="7">
        <v>2</v>
      </c>
      <c r="C363" s="7">
        <v>20</v>
      </c>
      <c r="D363" s="7">
        <v>0</v>
      </c>
      <c r="E363" s="7" t="s">
        <v>31</v>
      </c>
      <c r="F363" s="7" t="s">
        <v>45</v>
      </c>
      <c r="G363" s="7" t="s">
        <v>12</v>
      </c>
      <c r="I363" s="7" t="s">
        <v>5</v>
      </c>
      <c r="L363" s="15" t="s">
        <v>40</v>
      </c>
    </row>
    <row r="364" spans="1:12">
      <c r="A364" s="6">
        <v>45588</v>
      </c>
      <c r="B364" s="7">
        <v>2</v>
      </c>
      <c r="C364" s="7">
        <v>35</v>
      </c>
      <c r="D364" s="7">
        <v>15</v>
      </c>
      <c r="E364" s="7" t="s">
        <v>31</v>
      </c>
      <c r="F364" s="7" t="s">
        <v>45</v>
      </c>
      <c r="G364" s="7" t="s">
        <v>12</v>
      </c>
      <c r="I364" s="7" t="s">
        <v>5</v>
      </c>
      <c r="L364" s="15" t="s">
        <v>40</v>
      </c>
    </row>
    <row r="365" spans="1:12">
      <c r="A365" s="6">
        <v>45588</v>
      </c>
      <c r="B365" s="7">
        <v>2</v>
      </c>
      <c r="C365" s="7">
        <v>35</v>
      </c>
      <c r="D365" s="7">
        <v>15</v>
      </c>
      <c r="E365" s="7" t="s">
        <v>31</v>
      </c>
      <c r="F365" s="7" t="s">
        <v>45</v>
      </c>
      <c r="G365" s="7" t="s">
        <v>12</v>
      </c>
      <c r="I365" s="7" t="s">
        <v>5</v>
      </c>
      <c r="L365" s="15" t="s">
        <v>40</v>
      </c>
    </row>
    <row r="366" spans="1:12">
      <c r="A366" s="6">
        <v>45588</v>
      </c>
      <c r="B366" s="7">
        <v>2</v>
      </c>
      <c r="C366" s="7">
        <v>140</v>
      </c>
      <c r="D366" s="7">
        <v>35</v>
      </c>
      <c r="E366" s="7" t="s">
        <v>31</v>
      </c>
      <c r="F366" s="7">
        <v>15</v>
      </c>
      <c r="G366" s="7" t="s">
        <v>5</v>
      </c>
      <c r="H366" s="7">
        <v>15</v>
      </c>
      <c r="I366" s="7" t="s">
        <v>6</v>
      </c>
      <c r="L366" s="15" t="s">
        <v>40</v>
      </c>
    </row>
    <row r="367" spans="1:12">
      <c r="A367" s="6">
        <v>45589</v>
      </c>
      <c r="B367" s="7">
        <v>2</v>
      </c>
      <c r="C367" s="7">
        <v>140</v>
      </c>
      <c r="D367" s="7">
        <v>35</v>
      </c>
      <c r="E367" s="7" t="s">
        <v>31</v>
      </c>
      <c r="F367" s="7">
        <v>15</v>
      </c>
      <c r="G367" s="7" t="s">
        <v>5</v>
      </c>
      <c r="H367" s="7">
        <v>15</v>
      </c>
      <c r="I367" s="7" t="s">
        <v>6</v>
      </c>
      <c r="L367" s="15" t="s">
        <v>40</v>
      </c>
    </row>
    <row r="368" spans="1:12">
      <c r="A368" s="6">
        <v>45589</v>
      </c>
      <c r="B368" s="7">
        <v>2</v>
      </c>
      <c r="C368" s="7">
        <v>40</v>
      </c>
      <c r="D368" s="7">
        <v>15</v>
      </c>
      <c r="E368" s="7" t="s">
        <v>32</v>
      </c>
      <c r="L368" s="15" t="s">
        <v>40</v>
      </c>
    </row>
    <row r="369" spans="1:12">
      <c r="A369" s="6">
        <v>45593</v>
      </c>
      <c r="B369" s="7">
        <v>2</v>
      </c>
      <c r="C369" s="7">
        <v>40</v>
      </c>
      <c r="D369" s="7">
        <v>222</v>
      </c>
      <c r="E369" s="7" t="s">
        <v>32</v>
      </c>
      <c r="L369" s="15" t="s">
        <v>40</v>
      </c>
    </row>
    <row r="370" spans="1:12">
      <c r="A370" s="6">
        <v>45593</v>
      </c>
      <c r="B370" s="7">
        <v>2</v>
      </c>
      <c r="C370" s="7">
        <v>340</v>
      </c>
      <c r="D370" s="7">
        <v>36</v>
      </c>
      <c r="E370" s="7" t="s">
        <v>32</v>
      </c>
      <c r="L370" s="15" t="s">
        <v>40</v>
      </c>
    </row>
    <row r="371" spans="1:12">
      <c r="A371" s="6">
        <v>45595</v>
      </c>
      <c r="B371" s="7">
        <v>2</v>
      </c>
      <c r="C371" s="7">
        <v>340</v>
      </c>
      <c r="D371" s="7">
        <v>36</v>
      </c>
      <c r="E371" s="7" t="s">
        <v>32</v>
      </c>
      <c r="L371" s="15" t="s">
        <v>40</v>
      </c>
    </row>
    <row r="372" spans="1:12">
      <c r="A372" s="6">
        <v>45595</v>
      </c>
      <c r="B372" s="7">
        <v>2</v>
      </c>
      <c r="C372" s="7">
        <v>340</v>
      </c>
      <c r="D372" s="7">
        <v>36</v>
      </c>
      <c r="E372" s="7" t="s">
        <v>32</v>
      </c>
      <c r="L372" s="15" t="s">
        <v>40</v>
      </c>
    </row>
    <row r="373" spans="1:12">
      <c r="A373" s="6">
        <v>45595</v>
      </c>
      <c r="B373" s="7">
        <v>2</v>
      </c>
      <c r="C373" s="7">
        <v>180</v>
      </c>
      <c r="D373" s="7">
        <v>45</v>
      </c>
      <c r="E373" s="7" t="s">
        <v>31</v>
      </c>
      <c r="L373" s="15" t="s">
        <v>40</v>
      </c>
    </row>
    <row r="374" spans="1:12">
      <c r="A374" s="6">
        <v>45595</v>
      </c>
      <c r="B374" s="7">
        <v>2</v>
      </c>
      <c r="C374" s="7">
        <v>180</v>
      </c>
      <c r="D374" s="7">
        <v>45</v>
      </c>
      <c r="E374" s="7" t="s">
        <v>31</v>
      </c>
      <c r="L374" s="15" t="s">
        <v>40</v>
      </c>
    </row>
    <row r="375" spans="1:12">
      <c r="A375" s="6">
        <v>45600</v>
      </c>
      <c r="B375" s="7">
        <v>2</v>
      </c>
      <c r="C375" s="7">
        <v>280</v>
      </c>
      <c r="D375" s="7">
        <v>110</v>
      </c>
      <c r="E375" s="7" t="s">
        <v>31</v>
      </c>
      <c r="L375" s="15" t="s">
        <v>40</v>
      </c>
    </row>
    <row r="376" spans="1:12">
      <c r="A376" s="6">
        <v>45600</v>
      </c>
      <c r="B376" s="7">
        <v>2</v>
      </c>
      <c r="C376" s="7">
        <v>280</v>
      </c>
      <c r="D376" s="7">
        <v>110</v>
      </c>
      <c r="E376" s="7" t="s">
        <v>31</v>
      </c>
      <c r="L376" s="15" t="s">
        <v>40</v>
      </c>
    </row>
    <row r="377" spans="1:12">
      <c r="A377" s="6">
        <v>45600</v>
      </c>
      <c r="B377" s="7">
        <v>2</v>
      </c>
      <c r="C377" s="7">
        <v>132</v>
      </c>
      <c r="D377" s="7">
        <v>12</v>
      </c>
      <c r="E377" s="7" t="s">
        <v>31</v>
      </c>
      <c r="L377" s="15" t="s">
        <v>40</v>
      </c>
    </row>
    <row r="378" spans="1:12">
      <c r="A378" s="6">
        <v>45597</v>
      </c>
      <c r="B378" s="7">
        <v>2</v>
      </c>
      <c r="C378" s="7">
        <v>110</v>
      </c>
      <c r="D378" s="7">
        <v>22</v>
      </c>
      <c r="E378" s="7" t="s">
        <v>31</v>
      </c>
      <c r="L378" s="15" t="s">
        <v>40</v>
      </c>
    </row>
    <row r="379" spans="1:12">
      <c r="A379" s="6">
        <v>45602</v>
      </c>
      <c r="B379" s="7">
        <v>2</v>
      </c>
      <c r="C379" s="7">
        <v>206</v>
      </c>
      <c r="D379" s="7">
        <v>44</v>
      </c>
      <c r="E379" s="7" t="s">
        <v>31</v>
      </c>
      <c r="F379" s="7">
        <v>30</v>
      </c>
      <c r="G379" s="7" t="s">
        <v>8</v>
      </c>
      <c r="L379" s="15" t="s">
        <v>40</v>
      </c>
    </row>
    <row r="380" spans="1:12">
      <c r="A380" s="6">
        <v>45603</v>
      </c>
      <c r="B380" s="7">
        <v>2</v>
      </c>
      <c r="C380" s="7">
        <v>328</v>
      </c>
      <c r="D380" s="7">
        <v>16</v>
      </c>
      <c r="E380" s="7" t="s">
        <v>31</v>
      </c>
      <c r="L380" s="15" t="s">
        <v>40</v>
      </c>
    </row>
    <row r="381" spans="1:12">
      <c r="A381" s="6">
        <v>45604</v>
      </c>
      <c r="B381" s="7">
        <v>2</v>
      </c>
      <c r="C381" s="7">
        <v>260</v>
      </c>
      <c r="D381" s="7">
        <v>16</v>
      </c>
      <c r="E381" s="7" t="s">
        <v>31</v>
      </c>
      <c r="L381" s="15" t="s">
        <v>40</v>
      </c>
    </row>
    <row r="382" spans="1:12">
      <c r="A382" s="6">
        <v>45604</v>
      </c>
      <c r="B382" s="7">
        <v>2</v>
      </c>
      <c r="C382" s="7">
        <v>247</v>
      </c>
      <c r="D382" s="7">
        <v>58</v>
      </c>
      <c r="E382" s="7" t="s">
        <v>31</v>
      </c>
      <c r="F382" s="7">
        <v>15</v>
      </c>
      <c r="G382" s="7" t="s">
        <v>11</v>
      </c>
      <c r="L382" s="15" t="s">
        <v>40</v>
      </c>
    </row>
    <row r="383" spans="1:12">
      <c r="A383" s="6">
        <v>45608.767781828705</v>
      </c>
      <c r="B383" s="7">
        <v>2</v>
      </c>
      <c r="C383" s="7">
        <v>371</v>
      </c>
      <c r="D383" s="7">
        <v>68</v>
      </c>
      <c r="E383" s="7" t="s">
        <v>31</v>
      </c>
      <c r="L383" s="15" t="s">
        <v>40</v>
      </c>
    </row>
    <row r="384" spans="1:12">
      <c r="A384" s="6">
        <v>45609.761322222221</v>
      </c>
      <c r="B384" s="7">
        <v>2</v>
      </c>
      <c r="C384" s="7">
        <v>263</v>
      </c>
      <c r="D384" s="7">
        <v>49</v>
      </c>
      <c r="E384" s="7" t="s">
        <v>31</v>
      </c>
      <c r="F384" s="7">
        <v>15</v>
      </c>
      <c r="G384" s="7" t="s">
        <v>11</v>
      </c>
      <c r="L384" s="15" t="s">
        <v>40</v>
      </c>
    </row>
    <row r="385" spans="1:12">
      <c r="A385" s="6">
        <v>45610.766032523148</v>
      </c>
      <c r="B385" s="7">
        <v>2</v>
      </c>
      <c r="C385" s="7">
        <v>267</v>
      </c>
      <c r="D385" s="7">
        <v>65</v>
      </c>
      <c r="E385" s="7" t="s">
        <v>31</v>
      </c>
      <c r="F385" s="7">
        <v>5</v>
      </c>
      <c r="G385" s="7" t="s">
        <v>11</v>
      </c>
      <c r="L385" s="15" t="s">
        <v>40</v>
      </c>
    </row>
    <row r="386" spans="1:12">
      <c r="A386" s="6">
        <v>45614.444919791669</v>
      </c>
      <c r="B386" s="7">
        <v>2</v>
      </c>
      <c r="C386" s="7">
        <v>209</v>
      </c>
      <c r="D386" s="7">
        <v>210</v>
      </c>
      <c r="E386" s="7" t="s">
        <v>31</v>
      </c>
      <c r="F386" s="7">
        <v>60</v>
      </c>
      <c r="G386" s="7" t="s">
        <v>4</v>
      </c>
      <c r="L386" s="15" t="s">
        <v>40</v>
      </c>
    </row>
    <row r="387" spans="1:12">
      <c r="A387" s="6">
        <v>45614.764160763887</v>
      </c>
      <c r="B387" s="7">
        <v>2</v>
      </c>
      <c r="C387" s="7">
        <v>210</v>
      </c>
      <c r="D387" s="7">
        <v>210</v>
      </c>
      <c r="E387" s="7" t="s">
        <v>31</v>
      </c>
      <c r="L387" s="15" t="s">
        <v>40</v>
      </c>
    </row>
    <row r="388" spans="1:12">
      <c r="A388" s="6">
        <v>45614.764162962965</v>
      </c>
      <c r="B388" s="7">
        <v>2</v>
      </c>
      <c r="C388" s="7">
        <v>210</v>
      </c>
      <c r="D388" s="7">
        <v>210</v>
      </c>
      <c r="E388" s="7" t="s">
        <v>31</v>
      </c>
      <c r="L388" s="15" t="s">
        <v>40</v>
      </c>
    </row>
    <row r="389" spans="1:12">
      <c r="A389" s="6">
        <v>45615.863964236109</v>
      </c>
      <c r="B389" s="7">
        <v>2</v>
      </c>
      <c r="C389" s="7">
        <v>366</v>
      </c>
      <c r="D389" s="7">
        <v>42</v>
      </c>
      <c r="E389" s="7" t="s">
        <v>31</v>
      </c>
      <c r="L389" s="15" t="s">
        <v>40</v>
      </c>
    </row>
    <row r="390" spans="1:12">
      <c r="A390" s="6">
        <v>45615.864546412035</v>
      </c>
      <c r="B390" s="7">
        <v>2</v>
      </c>
      <c r="C390" s="7">
        <v>56</v>
      </c>
      <c r="D390" s="7">
        <v>42</v>
      </c>
      <c r="E390" s="7" t="s">
        <v>32</v>
      </c>
      <c r="L390" s="15" t="s">
        <v>40</v>
      </c>
    </row>
    <row r="391" spans="1:12">
      <c r="A391" s="6">
        <v>45616.768136342595</v>
      </c>
      <c r="B391" s="7">
        <v>2</v>
      </c>
      <c r="C391" s="7">
        <v>360</v>
      </c>
      <c r="D391" s="7">
        <v>156</v>
      </c>
      <c r="E391" s="7" t="s">
        <v>31</v>
      </c>
      <c r="L391" s="15" t="s">
        <v>40</v>
      </c>
    </row>
    <row r="392" spans="1:12">
      <c r="A392" s="6">
        <v>45616.768169675925</v>
      </c>
      <c r="B392" s="7">
        <v>2</v>
      </c>
      <c r="C392" s="7">
        <v>360</v>
      </c>
      <c r="D392" s="7">
        <v>156</v>
      </c>
      <c r="E392" s="7" t="s">
        <v>31</v>
      </c>
      <c r="L392" s="15" t="s">
        <v>40</v>
      </c>
    </row>
    <row r="393" spans="1:12">
      <c r="A393" s="6">
        <v>45617.805128009262</v>
      </c>
      <c r="B393" s="7">
        <v>2</v>
      </c>
      <c r="C393" s="7">
        <v>240</v>
      </c>
      <c r="D393" s="7">
        <v>35</v>
      </c>
      <c r="E393" s="7" t="s">
        <v>31</v>
      </c>
      <c r="L393" s="15" t="s">
        <v>40</v>
      </c>
    </row>
    <row r="394" spans="1:12">
      <c r="A394" s="6">
        <v>45617.80512986111</v>
      </c>
      <c r="B394" s="7">
        <v>2</v>
      </c>
      <c r="C394" s="7">
        <v>240</v>
      </c>
      <c r="D394" s="7">
        <v>35</v>
      </c>
      <c r="E394" s="7" t="s">
        <v>31</v>
      </c>
      <c r="L394" s="15" t="s">
        <v>40</v>
      </c>
    </row>
    <row r="395" spans="1:12">
      <c r="A395" s="6">
        <v>45617.861417939814</v>
      </c>
      <c r="B395" s="7">
        <v>2</v>
      </c>
      <c r="C395" s="7">
        <v>55</v>
      </c>
      <c r="D395" s="7">
        <v>8</v>
      </c>
      <c r="E395" s="7" t="s">
        <v>32</v>
      </c>
      <c r="L395" s="15" t="s">
        <v>40</v>
      </c>
    </row>
    <row r="396" spans="1:12">
      <c r="A396" s="6">
        <v>45617.861430092591</v>
      </c>
      <c r="B396" s="7">
        <v>2</v>
      </c>
      <c r="C396" s="7">
        <v>55</v>
      </c>
      <c r="D396" s="7">
        <v>8</v>
      </c>
      <c r="E396" s="7" t="s">
        <v>32</v>
      </c>
      <c r="L396" s="15" t="s">
        <v>40</v>
      </c>
    </row>
    <row r="397" spans="1:12">
      <c r="A397" s="6">
        <v>45617.861449421296</v>
      </c>
      <c r="B397" s="7">
        <v>2</v>
      </c>
      <c r="C397" s="7">
        <v>55</v>
      </c>
      <c r="D397" s="7">
        <v>8</v>
      </c>
      <c r="E397" s="7" t="s">
        <v>32</v>
      </c>
      <c r="L397" s="15" t="s">
        <v>40</v>
      </c>
    </row>
    <row r="398" spans="1:12">
      <c r="A398" s="6">
        <v>45618.767690393521</v>
      </c>
      <c r="B398" s="7">
        <v>2</v>
      </c>
      <c r="C398" s="7">
        <v>134</v>
      </c>
      <c r="D398" s="7">
        <v>132</v>
      </c>
      <c r="E398" s="7" t="s">
        <v>31</v>
      </c>
      <c r="L398" s="15" t="s">
        <v>40</v>
      </c>
    </row>
    <row r="399" spans="1:12">
      <c r="A399" s="6">
        <v>45618.767702546298</v>
      </c>
      <c r="B399" s="7">
        <v>2</v>
      </c>
      <c r="C399" s="7">
        <v>134</v>
      </c>
      <c r="D399" s="7">
        <v>132</v>
      </c>
      <c r="E399" s="7" t="s">
        <v>31</v>
      </c>
      <c r="L399" s="15" t="s">
        <v>40</v>
      </c>
    </row>
    <row r="400" spans="1:12">
      <c r="A400" s="6">
        <v>45621.763450578706</v>
      </c>
      <c r="B400" s="7">
        <v>2</v>
      </c>
      <c r="C400" s="7">
        <v>1109</v>
      </c>
      <c r="D400" s="7">
        <v>144</v>
      </c>
      <c r="E400" s="7" t="s">
        <v>31</v>
      </c>
      <c r="L400" s="15" t="s">
        <v>40</v>
      </c>
    </row>
    <row r="401" spans="1:12">
      <c r="A401" s="6">
        <v>45622.766769097223</v>
      </c>
      <c r="B401" s="7">
        <v>2</v>
      </c>
      <c r="C401" s="7">
        <v>128</v>
      </c>
      <c r="D401" s="7">
        <v>55</v>
      </c>
      <c r="E401" s="7" t="s">
        <v>31</v>
      </c>
      <c r="L401" s="15" t="s">
        <v>40</v>
      </c>
    </row>
    <row r="402" spans="1:12">
      <c r="A402" s="6">
        <v>45622.76677037037</v>
      </c>
      <c r="B402" s="7">
        <v>2</v>
      </c>
      <c r="C402" s="7">
        <v>128</v>
      </c>
      <c r="D402" s="7">
        <v>55</v>
      </c>
      <c r="E402" s="7" t="s">
        <v>31</v>
      </c>
      <c r="L402" s="15" t="s">
        <v>40</v>
      </c>
    </row>
    <row r="403" spans="1:12">
      <c r="A403" s="6">
        <v>45623.765842129629</v>
      </c>
      <c r="B403" s="7">
        <v>2</v>
      </c>
      <c r="C403" s="7">
        <v>231</v>
      </c>
      <c r="D403" s="7">
        <v>80</v>
      </c>
      <c r="E403" s="7" t="s">
        <v>31</v>
      </c>
      <c r="L403" s="15" t="s">
        <v>40</v>
      </c>
    </row>
    <row r="404" spans="1:12">
      <c r="A404" s="6">
        <v>45623.765905208333</v>
      </c>
      <c r="B404" s="7">
        <v>2</v>
      </c>
      <c r="C404" s="7">
        <v>231</v>
      </c>
      <c r="D404" s="7">
        <v>80</v>
      </c>
      <c r="E404" s="7" t="s">
        <v>31</v>
      </c>
      <c r="L404" s="15" t="s">
        <v>40</v>
      </c>
    </row>
    <row r="405" spans="1:12">
      <c r="A405" s="6">
        <v>45624.766410069446</v>
      </c>
      <c r="B405" s="7">
        <v>2</v>
      </c>
      <c r="C405" s="7">
        <v>192</v>
      </c>
      <c r="D405" s="7">
        <v>110</v>
      </c>
      <c r="E405" s="7" t="s">
        <v>31</v>
      </c>
      <c r="L405" s="15" t="s">
        <v>40</v>
      </c>
    </row>
    <row r="406" spans="1:12">
      <c r="A406" s="6">
        <v>45624.766411921293</v>
      </c>
      <c r="B406" s="7">
        <v>2</v>
      </c>
      <c r="C406" s="7">
        <v>192</v>
      </c>
      <c r="D406" s="7">
        <v>110</v>
      </c>
      <c r="E406" s="7" t="s">
        <v>31</v>
      </c>
      <c r="L406" s="15" t="s">
        <v>40</v>
      </c>
    </row>
    <row r="407" spans="1:12">
      <c r="A407" s="6">
        <v>45625.764671064811</v>
      </c>
      <c r="B407" s="7">
        <v>2</v>
      </c>
      <c r="C407" s="7">
        <v>142</v>
      </c>
      <c r="D407" s="7">
        <v>110</v>
      </c>
      <c r="E407" s="7" t="s">
        <v>31</v>
      </c>
      <c r="L407" s="15" t="s">
        <v>40</v>
      </c>
    </row>
    <row r="408" spans="1:12">
      <c r="A408" s="6">
        <v>45626.723201967594</v>
      </c>
      <c r="B408" s="7">
        <v>2</v>
      </c>
      <c r="C408" s="7">
        <v>480</v>
      </c>
      <c r="D408" s="7">
        <v>115</v>
      </c>
      <c r="E408" s="7" t="s">
        <v>31</v>
      </c>
      <c r="L408" s="15" t="s">
        <v>40</v>
      </c>
    </row>
    <row r="409" spans="1:12">
      <c r="A409" s="6">
        <v>45628.765045138891</v>
      </c>
      <c r="B409" s="7">
        <v>2</v>
      </c>
      <c r="C409" s="7">
        <v>122</v>
      </c>
      <c r="D409" s="7">
        <v>106</v>
      </c>
      <c r="E409" s="7" t="s">
        <v>31</v>
      </c>
      <c r="L409" s="15" t="s">
        <v>40</v>
      </c>
    </row>
    <row r="410" spans="1:12">
      <c r="A410" s="6">
        <v>45628.765046990738</v>
      </c>
      <c r="B410" s="7">
        <v>2</v>
      </c>
      <c r="C410" s="7">
        <v>122</v>
      </c>
      <c r="D410" s="7">
        <v>106</v>
      </c>
      <c r="E410" s="7" t="s">
        <v>31</v>
      </c>
      <c r="L410" s="15" t="s">
        <v>40</v>
      </c>
    </row>
    <row r="411" spans="1:12">
      <c r="A411" s="6">
        <v>45629.76566921296</v>
      </c>
      <c r="B411" s="7">
        <v>2</v>
      </c>
      <c r="C411" s="7">
        <v>132</v>
      </c>
      <c r="D411" s="7">
        <v>33</v>
      </c>
      <c r="E411" s="7" t="s">
        <v>31</v>
      </c>
      <c r="L411" s="15" t="s">
        <v>40</v>
      </c>
    </row>
    <row r="412" spans="1:12">
      <c r="A412" s="6">
        <v>45629.765670601853</v>
      </c>
      <c r="B412" s="7">
        <v>2</v>
      </c>
      <c r="C412" s="7">
        <v>132</v>
      </c>
      <c r="D412" s="7">
        <v>33</v>
      </c>
      <c r="E412" s="7" t="s">
        <v>31</v>
      </c>
      <c r="L412" s="15" t="s">
        <v>40</v>
      </c>
    </row>
    <row r="413" spans="1:12">
      <c r="A413" s="6">
        <v>45630.767574884259</v>
      </c>
      <c r="B413" s="7">
        <v>2</v>
      </c>
      <c r="C413" s="7">
        <v>208</v>
      </c>
      <c r="D413" s="7">
        <v>30</v>
      </c>
      <c r="E413" s="7" t="s">
        <v>31</v>
      </c>
      <c r="L413" s="15" t="s">
        <v>40</v>
      </c>
    </row>
    <row r="414" spans="1:12">
      <c r="A414" s="6">
        <v>45631.76482546296</v>
      </c>
      <c r="B414" s="7">
        <v>2</v>
      </c>
      <c r="C414" s="7">
        <v>162</v>
      </c>
      <c r="D414" s="7">
        <v>65</v>
      </c>
      <c r="E414" s="7" t="s">
        <v>31</v>
      </c>
      <c r="L414" s="15" t="s">
        <v>40</v>
      </c>
    </row>
    <row r="415" spans="1:12">
      <c r="A415" s="6">
        <v>45632.766896412038</v>
      </c>
      <c r="B415" s="7">
        <v>1</v>
      </c>
      <c r="C415" s="7">
        <v>252</v>
      </c>
      <c r="D415" s="7">
        <v>44</v>
      </c>
      <c r="E415" s="7" t="s">
        <v>31</v>
      </c>
      <c r="F415" s="7">
        <v>40</v>
      </c>
      <c r="G415" s="7" t="s">
        <v>6</v>
      </c>
      <c r="L415" s="15" t="s">
        <v>40</v>
      </c>
    </row>
    <row r="416" spans="1:12">
      <c r="A416" s="6">
        <v>45632.766910416663</v>
      </c>
      <c r="B416" s="7">
        <v>1</v>
      </c>
      <c r="C416" s="7">
        <v>252</v>
      </c>
      <c r="D416" s="7">
        <v>44</v>
      </c>
      <c r="E416" s="7" t="s">
        <v>31</v>
      </c>
      <c r="F416" s="7">
        <v>40</v>
      </c>
      <c r="G416" s="7" t="s">
        <v>6</v>
      </c>
      <c r="L416" s="15" t="s">
        <v>40</v>
      </c>
    </row>
    <row r="417" spans="1:12">
      <c r="A417" s="6">
        <v>45635.764984259258</v>
      </c>
      <c r="B417" s="7">
        <v>2</v>
      </c>
      <c r="C417" s="7">
        <v>342</v>
      </c>
      <c r="D417" s="7">
        <v>173</v>
      </c>
      <c r="E417" s="7" t="s">
        <v>31</v>
      </c>
      <c r="F417" s="7">
        <v>30</v>
      </c>
      <c r="G417" s="7" t="s">
        <v>6</v>
      </c>
      <c r="L417" s="15" t="s">
        <v>40</v>
      </c>
    </row>
    <row r="418" spans="1:12">
      <c r="A418" s="6">
        <v>45635.765011226853</v>
      </c>
      <c r="B418" s="7">
        <v>2</v>
      </c>
      <c r="C418" s="7">
        <v>342</v>
      </c>
      <c r="D418" s="7">
        <v>173</v>
      </c>
      <c r="E418" s="7" t="s">
        <v>31</v>
      </c>
      <c r="F418" s="7">
        <v>30</v>
      </c>
      <c r="G418" s="7" t="s">
        <v>6</v>
      </c>
      <c r="L418" s="15" t="s">
        <v>40</v>
      </c>
    </row>
    <row r="419" spans="1:12">
      <c r="A419" s="6">
        <v>45635.765019328705</v>
      </c>
      <c r="B419" s="7">
        <v>2</v>
      </c>
      <c r="C419" s="7">
        <v>342</v>
      </c>
      <c r="D419" s="7">
        <v>173</v>
      </c>
      <c r="E419" s="7" t="s">
        <v>31</v>
      </c>
      <c r="F419" s="7">
        <v>30</v>
      </c>
      <c r="G419" s="7" t="s">
        <v>6</v>
      </c>
      <c r="L419" s="15" t="s">
        <v>40</v>
      </c>
    </row>
    <row r="420" spans="1:12">
      <c r="A420" s="6">
        <v>45635.765024652777</v>
      </c>
      <c r="B420" s="7">
        <v>2</v>
      </c>
      <c r="C420" s="7">
        <v>342</v>
      </c>
      <c r="D420" s="7">
        <v>173</v>
      </c>
      <c r="E420" s="7" t="s">
        <v>31</v>
      </c>
      <c r="F420" s="7">
        <v>30</v>
      </c>
      <c r="G420" s="7" t="s">
        <v>6</v>
      </c>
      <c r="L420" s="15" t="s">
        <v>40</v>
      </c>
    </row>
    <row r="421" spans="1:12">
      <c r="A421" s="6">
        <v>45636.764642361108</v>
      </c>
      <c r="B421" s="7">
        <v>2</v>
      </c>
      <c r="C421" s="7">
        <v>65</v>
      </c>
      <c r="D421" s="7">
        <v>208</v>
      </c>
      <c r="E421" s="7" t="s">
        <v>31</v>
      </c>
      <c r="F421" s="7">
        <v>10</v>
      </c>
      <c r="G421" s="7" t="s">
        <v>4</v>
      </c>
      <c r="L421" s="15" t="s">
        <v>40</v>
      </c>
    </row>
    <row r="422" spans="1:12">
      <c r="A422" s="6">
        <v>45636.764644212963</v>
      </c>
      <c r="B422" s="7">
        <v>2</v>
      </c>
      <c r="C422" s="7">
        <v>65</v>
      </c>
      <c r="D422" s="7">
        <v>208</v>
      </c>
      <c r="E422" s="7" t="s">
        <v>31</v>
      </c>
      <c r="F422" s="7">
        <v>10</v>
      </c>
      <c r="G422" s="7" t="s">
        <v>4</v>
      </c>
      <c r="L422" s="15" t="s">
        <v>40</v>
      </c>
    </row>
    <row r="423" spans="1:12">
      <c r="A423" s="6">
        <v>45637.765452777778</v>
      </c>
      <c r="B423" s="7">
        <v>2</v>
      </c>
      <c r="C423" s="7">
        <v>278</v>
      </c>
      <c r="D423" s="7">
        <v>70</v>
      </c>
      <c r="E423" s="7" t="s">
        <v>31</v>
      </c>
      <c r="F423" s="7">
        <v>10</v>
      </c>
      <c r="G423" s="7" t="s">
        <v>4</v>
      </c>
      <c r="L423" s="15" t="s">
        <v>40</v>
      </c>
    </row>
    <row r="424" spans="1:12">
      <c r="A424" s="6">
        <v>45637.765454166663</v>
      </c>
      <c r="B424" s="7">
        <v>2</v>
      </c>
      <c r="C424" s="7">
        <v>278</v>
      </c>
      <c r="D424" s="7">
        <v>70</v>
      </c>
      <c r="E424" s="7" t="s">
        <v>31</v>
      </c>
      <c r="F424" s="7">
        <v>10</v>
      </c>
      <c r="G424" s="7" t="s">
        <v>4</v>
      </c>
      <c r="L424" s="15" t="s">
        <v>40</v>
      </c>
    </row>
    <row r="425" spans="1:12">
      <c r="A425" s="6">
        <v>45638.764170833332</v>
      </c>
      <c r="B425" s="7">
        <v>2</v>
      </c>
      <c r="C425" s="7">
        <v>196</v>
      </c>
      <c r="D425" s="7">
        <v>92</v>
      </c>
      <c r="E425" s="7" t="s">
        <v>31</v>
      </c>
      <c r="F425" s="7">
        <v>10</v>
      </c>
      <c r="G425" s="7" t="s">
        <v>4</v>
      </c>
      <c r="L425" s="15" t="s">
        <v>40</v>
      </c>
    </row>
    <row r="426" spans="1:12">
      <c r="A426" s="6">
        <v>45639.768740856482</v>
      </c>
      <c r="B426" s="7">
        <v>2</v>
      </c>
      <c r="C426" s="7">
        <v>133</v>
      </c>
      <c r="D426" s="7">
        <v>78</v>
      </c>
      <c r="E426" s="7" t="s">
        <v>31</v>
      </c>
      <c r="F426" s="7">
        <v>45</v>
      </c>
      <c r="G426" s="7" t="s">
        <v>4</v>
      </c>
      <c r="L426" s="15" t="s">
        <v>40</v>
      </c>
    </row>
    <row r="427" spans="1:12">
      <c r="A427" s="6">
        <v>45642.764058912035</v>
      </c>
      <c r="B427" s="7">
        <v>2</v>
      </c>
      <c r="C427" s="7">
        <v>219</v>
      </c>
      <c r="D427" s="7">
        <v>89</v>
      </c>
      <c r="E427" s="7" t="s">
        <v>31</v>
      </c>
      <c r="F427" s="7">
        <v>15</v>
      </c>
      <c r="G427" s="7" t="s">
        <v>4</v>
      </c>
      <c r="L427" s="15" t="s">
        <v>40</v>
      </c>
    </row>
    <row r="428" spans="1:12">
      <c r="A428" s="6">
        <v>45640</v>
      </c>
      <c r="B428" s="7">
        <v>2</v>
      </c>
      <c r="C428" s="7">
        <v>628</v>
      </c>
      <c r="D428" s="7">
        <v>89</v>
      </c>
      <c r="E428" s="7" t="s">
        <v>32</v>
      </c>
      <c r="F428" s="7">
        <v>15</v>
      </c>
      <c r="G428" s="7" t="s">
        <v>4</v>
      </c>
      <c r="L428" s="15" t="s">
        <v>40</v>
      </c>
    </row>
    <row r="429" spans="1:12">
      <c r="A429" s="6">
        <v>45643</v>
      </c>
      <c r="B429" s="7">
        <v>2</v>
      </c>
      <c r="C429" s="7">
        <v>312</v>
      </c>
      <c r="D429" s="7">
        <v>83</v>
      </c>
      <c r="E429" s="7" t="s">
        <v>31</v>
      </c>
      <c r="F429" s="7">
        <v>15</v>
      </c>
      <c r="G429" s="7" t="s">
        <v>4</v>
      </c>
      <c r="L429" s="15" t="s">
        <v>40</v>
      </c>
    </row>
    <row r="430" spans="1:12">
      <c r="A430" s="6">
        <v>45643</v>
      </c>
      <c r="B430" s="7">
        <v>2</v>
      </c>
      <c r="C430" s="7">
        <v>280</v>
      </c>
      <c r="D430" s="7">
        <v>84</v>
      </c>
      <c r="E430" s="7" t="s">
        <v>31</v>
      </c>
      <c r="F430" s="7">
        <v>15</v>
      </c>
      <c r="G430" s="7" t="s">
        <v>4</v>
      </c>
      <c r="L430" s="15" t="s">
        <v>40</v>
      </c>
    </row>
    <row r="431" spans="1:12">
      <c r="A431" s="6">
        <v>45643</v>
      </c>
      <c r="B431" s="7">
        <v>2</v>
      </c>
      <c r="C431" s="7">
        <v>266</v>
      </c>
      <c r="D431" s="7">
        <v>180</v>
      </c>
      <c r="E431" s="7" t="s">
        <v>31</v>
      </c>
      <c r="F431" s="7">
        <v>15</v>
      </c>
      <c r="G431" s="7" t="s">
        <v>4</v>
      </c>
      <c r="L431" s="15" t="s">
        <v>40</v>
      </c>
    </row>
    <row r="432" spans="1:12">
      <c r="A432" s="6">
        <v>45643</v>
      </c>
      <c r="B432" s="7">
        <v>2</v>
      </c>
      <c r="C432" s="7">
        <v>284</v>
      </c>
      <c r="D432" s="7">
        <v>94</v>
      </c>
      <c r="E432" s="7" t="s">
        <v>31</v>
      </c>
      <c r="F432" s="7">
        <v>55</v>
      </c>
      <c r="G432" s="7" t="s">
        <v>4</v>
      </c>
      <c r="L432" s="15" t="s">
        <v>40</v>
      </c>
    </row>
    <row r="433" spans="1:12">
      <c r="A433" s="6">
        <v>45643</v>
      </c>
      <c r="B433" s="7">
        <v>2</v>
      </c>
      <c r="C433" s="7">
        <v>260</v>
      </c>
      <c r="D433" s="7">
        <v>216</v>
      </c>
      <c r="E433" s="7" t="s">
        <v>31</v>
      </c>
      <c r="F433" s="7">
        <v>15</v>
      </c>
      <c r="G433" s="7" t="s">
        <v>4</v>
      </c>
      <c r="L433" s="15" t="s">
        <v>40</v>
      </c>
    </row>
    <row r="434" spans="1:12">
      <c r="A434" s="6">
        <v>45649</v>
      </c>
      <c r="B434" s="7">
        <v>2</v>
      </c>
      <c r="C434" s="7">
        <v>260</v>
      </c>
      <c r="D434" s="7">
        <v>216</v>
      </c>
      <c r="E434" s="7" t="s">
        <v>31</v>
      </c>
      <c r="F434" s="7">
        <v>15</v>
      </c>
      <c r="G434" s="7" t="s">
        <v>4</v>
      </c>
      <c r="L434" s="15" t="s">
        <v>40</v>
      </c>
    </row>
    <row r="435" spans="1:12">
      <c r="A435" s="6">
        <v>45652</v>
      </c>
      <c r="B435" s="7">
        <v>2</v>
      </c>
      <c r="C435" s="7">
        <v>227</v>
      </c>
      <c r="D435" s="7">
        <v>15</v>
      </c>
      <c r="E435" s="7" t="s">
        <v>31</v>
      </c>
      <c r="F435" s="7">
        <v>45416</v>
      </c>
      <c r="G435" s="7" t="s">
        <v>12</v>
      </c>
      <c r="L435" s="15" t="s">
        <v>40</v>
      </c>
    </row>
    <row r="436" spans="1:12">
      <c r="A436" s="6">
        <v>45650</v>
      </c>
      <c r="B436" s="7">
        <v>2</v>
      </c>
      <c r="C436" s="7">
        <v>312</v>
      </c>
      <c r="E436" s="7" t="s">
        <v>31</v>
      </c>
      <c r="F436" s="7">
        <v>15</v>
      </c>
      <c r="G436" s="7" t="s">
        <v>4</v>
      </c>
      <c r="L436" s="15" t="s">
        <v>40</v>
      </c>
    </row>
    <row r="437" spans="1:12">
      <c r="A437" s="6">
        <v>45650</v>
      </c>
      <c r="B437" s="7">
        <v>2</v>
      </c>
      <c r="C437" s="7">
        <v>312</v>
      </c>
      <c r="D437" s="7">
        <v>80</v>
      </c>
      <c r="E437" s="7" t="s">
        <v>31</v>
      </c>
      <c r="F437" s="7">
        <v>15</v>
      </c>
      <c r="G437" s="7" t="s">
        <v>4</v>
      </c>
      <c r="L437" s="15" t="s">
        <v>40</v>
      </c>
    </row>
    <row r="438" spans="1:12">
      <c r="A438" s="6">
        <v>45651</v>
      </c>
      <c r="B438" s="7">
        <v>2</v>
      </c>
      <c r="C438" s="7">
        <v>480</v>
      </c>
      <c r="D438" s="7">
        <v>25</v>
      </c>
      <c r="E438" s="7" t="s">
        <v>31</v>
      </c>
      <c r="F438" s="7">
        <v>15</v>
      </c>
      <c r="G438" s="7" t="s">
        <v>4</v>
      </c>
      <c r="L438" s="15" t="s">
        <v>40</v>
      </c>
    </row>
    <row r="439" spans="1:12">
      <c r="A439" s="6">
        <v>45653</v>
      </c>
      <c r="B439" s="7">
        <v>2</v>
      </c>
      <c r="C439" s="7">
        <v>184</v>
      </c>
      <c r="D439" s="7">
        <v>184</v>
      </c>
      <c r="E439" s="7" t="s">
        <v>31</v>
      </c>
      <c r="F439" s="7">
        <v>30</v>
      </c>
      <c r="G439" s="7" t="s">
        <v>4</v>
      </c>
      <c r="L439" s="15" t="s">
        <v>40</v>
      </c>
    </row>
    <row r="440" spans="1:12">
      <c r="A440" s="6">
        <v>45653</v>
      </c>
      <c r="B440" s="7">
        <v>2</v>
      </c>
      <c r="C440" s="7">
        <v>184</v>
      </c>
      <c r="D440" s="7">
        <v>184</v>
      </c>
      <c r="E440" s="7" t="s">
        <v>31</v>
      </c>
      <c r="F440" s="7">
        <v>360</v>
      </c>
      <c r="G440" s="7" t="s">
        <v>4</v>
      </c>
      <c r="L440" s="15" t="s">
        <v>40</v>
      </c>
    </row>
    <row r="441" spans="1:12">
      <c r="A441" s="6">
        <v>45653</v>
      </c>
      <c r="B441" s="7">
        <v>2</v>
      </c>
      <c r="C441" s="7">
        <v>184</v>
      </c>
      <c r="D441" s="7">
        <v>184</v>
      </c>
      <c r="E441" s="7" t="s">
        <v>31</v>
      </c>
      <c r="F441" s="7">
        <v>360</v>
      </c>
      <c r="G441" s="7" t="s">
        <v>12</v>
      </c>
      <c r="L441" s="15" t="s">
        <v>40</v>
      </c>
    </row>
    <row r="442" spans="1:12">
      <c r="A442" s="6">
        <v>45656</v>
      </c>
      <c r="B442" s="7">
        <v>2</v>
      </c>
      <c r="C442" s="7">
        <v>240</v>
      </c>
      <c r="D442" s="7">
        <v>0</v>
      </c>
      <c r="E442" s="7" t="s">
        <v>31</v>
      </c>
      <c r="F442" s="7">
        <v>120</v>
      </c>
      <c r="G442" s="7" t="s">
        <v>12</v>
      </c>
      <c r="L442" s="15" t="s">
        <v>40</v>
      </c>
    </row>
    <row r="443" spans="1:12">
      <c r="A443" s="6">
        <v>45657</v>
      </c>
      <c r="B443" s="7">
        <v>2</v>
      </c>
      <c r="C443" s="7">
        <v>189</v>
      </c>
      <c r="D443" s="7">
        <v>0</v>
      </c>
      <c r="E443" s="7" t="s">
        <v>31</v>
      </c>
      <c r="F443" s="7">
        <v>240</v>
      </c>
      <c r="G443" s="7" t="s">
        <v>12</v>
      </c>
      <c r="L443" s="15" t="s">
        <v>40</v>
      </c>
    </row>
    <row r="444" spans="1:12">
      <c r="A444" s="6">
        <v>45659</v>
      </c>
      <c r="B444" s="7">
        <v>2</v>
      </c>
      <c r="C444" s="7">
        <v>522</v>
      </c>
      <c r="D444" s="7">
        <v>522</v>
      </c>
      <c r="E444" s="7" t="s">
        <v>31</v>
      </c>
      <c r="F444" s="7">
        <v>15</v>
      </c>
      <c r="G444" s="7" t="s">
        <v>4</v>
      </c>
      <c r="L444" s="15" t="s">
        <v>40</v>
      </c>
    </row>
    <row r="445" spans="1:12">
      <c r="A445" s="6">
        <v>45660</v>
      </c>
      <c r="B445" s="7">
        <v>2</v>
      </c>
      <c r="C445" s="7">
        <v>245</v>
      </c>
      <c r="D445" s="7">
        <v>245</v>
      </c>
      <c r="E445" s="7" t="s">
        <v>31</v>
      </c>
      <c r="F445" s="7">
        <v>15</v>
      </c>
      <c r="G445" s="7" t="s">
        <v>4</v>
      </c>
      <c r="L445" s="15" t="s">
        <v>40</v>
      </c>
    </row>
    <row r="446" spans="1:12">
      <c r="A446" s="6">
        <v>45663</v>
      </c>
      <c r="B446" s="7">
        <v>2</v>
      </c>
      <c r="C446" s="7">
        <v>25</v>
      </c>
      <c r="D446" s="7">
        <v>25</v>
      </c>
      <c r="E446" s="7" t="s">
        <v>31</v>
      </c>
      <c r="F446" s="7">
        <v>540</v>
      </c>
      <c r="G446" s="7" t="s">
        <v>12</v>
      </c>
      <c r="L446" s="15" t="s">
        <v>40</v>
      </c>
    </row>
    <row r="447" spans="1:12">
      <c r="A447" s="6">
        <v>45663</v>
      </c>
      <c r="B447" s="7">
        <v>2</v>
      </c>
      <c r="C447" s="7">
        <v>382</v>
      </c>
      <c r="E447" s="7" t="s">
        <v>31</v>
      </c>
      <c r="F447" s="7">
        <v>15</v>
      </c>
      <c r="G447" s="7" t="s">
        <v>4</v>
      </c>
      <c r="L447" s="15" t="s">
        <v>40</v>
      </c>
    </row>
    <row r="448" spans="1:12">
      <c r="A448" s="6">
        <v>45664</v>
      </c>
      <c r="B448" s="7">
        <v>2</v>
      </c>
      <c r="C448" s="7">
        <v>382</v>
      </c>
      <c r="E448" s="7" t="s">
        <v>31</v>
      </c>
      <c r="F448" s="7">
        <v>15</v>
      </c>
      <c r="G448" s="7" t="s">
        <v>4</v>
      </c>
      <c r="L448" s="15" t="s">
        <v>40</v>
      </c>
    </row>
    <row r="449" spans="1:12">
      <c r="A449" s="6">
        <v>45665</v>
      </c>
      <c r="B449" s="7">
        <v>2</v>
      </c>
      <c r="C449" s="7">
        <v>100</v>
      </c>
      <c r="D449" s="7">
        <v>148</v>
      </c>
      <c r="E449" s="7" t="s">
        <v>31</v>
      </c>
      <c r="F449" s="7">
        <v>420</v>
      </c>
      <c r="G449" s="7" t="s">
        <v>28</v>
      </c>
      <c r="L449" s="15" t="s">
        <v>40</v>
      </c>
    </row>
    <row r="450" spans="1:12">
      <c r="A450" s="6">
        <v>45666</v>
      </c>
      <c r="B450" s="7">
        <v>2</v>
      </c>
      <c r="C450" s="7">
        <v>382</v>
      </c>
      <c r="D450" s="7">
        <v>118</v>
      </c>
      <c r="E450" s="7" t="s">
        <v>31</v>
      </c>
      <c r="F450" s="7">
        <v>15</v>
      </c>
      <c r="G450" s="7" t="s">
        <v>4</v>
      </c>
      <c r="L450" s="15" t="s">
        <v>40</v>
      </c>
    </row>
    <row r="451" spans="1:12">
      <c r="A451" s="6">
        <v>45666</v>
      </c>
      <c r="B451" s="7">
        <v>2</v>
      </c>
      <c r="C451" s="7">
        <v>0</v>
      </c>
      <c r="D451" s="7">
        <v>568</v>
      </c>
      <c r="E451" s="7" t="s">
        <v>31</v>
      </c>
      <c r="F451" s="7">
        <v>15</v>
      </c>
      <c r="G451" s="7" t="s">
        <v>4</v>
      </c>
      <c r="L451" s="15" t="s">
        <v>40</v>
      </c>
    </row>
    <row r="452" spans="1:12">
      <c r="A452" s="6">
        <v>45666</v>
      </c>
      <c r="B452" s="7">
        <v>2</v>
      </c>
      <c r="C452" s="7">
        <v>0</v>
      </c>
      <c r="D452" s="7">
        <v>450</v>
      </c>
      <c r="E452" s="7" t="s">
        <v>31</v>
      </c>
      <c r="F452" s="7">
        <v>15</v>
      </c>
      <c r="G452" s="7" t="s">
        <v>4</v>
      </c>
      <c r="L452" s="15" t="s">
        <v>40</v>
      </c>
    </row>
    <row r="453" spans="1:12">
      <c r="A453" s="6">
        <v>45666</v>
      </c>
      <c r="B453" s="7">
        <v>2</v>
      </c>
      <c r="C453" s="7">
        <v>0</v>
      </c>
      <c r="D453" s="7">
        <v>528</v>
      </c>
      <c r="E453" s="7" t="s">
        <v>31</v>
      </c>
      <c r="F453" s="7">
        <v>15</v>
      </c>
      <c r="G453" s="7" t="s">
        <v>4</v>
      </c>
      <c r="L453" s="15" t="s">
        <v>40</v>
      </c>
    </row>
    <row r="454" spans="1:12">
      <c r="A454" s="6">
        <v>45666</v>
      </c>
      <c r="B454" s="7">
        <v>2</v>
      </c>
      <c r="C454" s="7">
        <v>0</v>
      </c>
      <c r="D454" s="7">
        <v>466</v>
      </c>
      <c r="E454" s="7" t="s">
        <v>31</v>
      </c>
      <c r="F454" s="7">
        <v>15</v>
      </c>
      <c r="G454" s="7" t="s">
        <v>4</v>
      </c>
      <c r="L454" s="15" t="s">
        <v>40</v>
      </c>
    </row>
    <row r="455" spans="1:12">
      <c r="A455" s="6">
        <v>45666</v>
      </c>
      <c r="B455" s="7">
        <v>2</v>
      </c>
      <c r="C455" s="7">
        <v>0</v>
      </c>
      <c r="D455" s="7">
        <v>382</v>
      </c>
      <c r="E455" s="7" t="s">
        <v>31</v>
      </c>
      <c r="F455" s="7">
        <v>15</v>
      </c>
      <c r="G455" s="7" t="s">
        <v>4</v>
      </c>
      <c r="L455" s="15" t="s">
        <v>40</v>
      </c>
    </row>
    <row r="456" spans="1:12">
      <c r="A456" s="6">
        <v>45677</v>
      </c>
      <c r="B456" s="7">
        <v>2</v>
      </c>
      <c r="C456" s="7">
        <v>0</v>
      </c>
      <c r="D456" s="7">
        <v>272</v>
      </c>
      <c r="E456" s="7" t="s">
        <v>31</v>
      </c>
      <c r="F456" s="7">
        <v>15</v>
      </c>
      <c r="G456" s="7" t="s">
        <v>4</v>
      </c>
      <c r="L456" s="15" t="s">
        <v>40</v>
      </c>
    </row>
    <row r="457" spans="1:12">
      <c r="A457" s="6">
        <v>45679</v>
      </c>
      <c r="B457" s="7">
        <v>2</v>
      </c>
      <c r="C457" s="7">
        <v>0</v>
      </c>
      <c r="D457" s="7">
        <v>578</v>
      </c>
      <c r="E457" s="7" t="s">
        <v>31</v>
      </c>
      <c r="F457" s="7">
        <v>15</v>
      </c>
      <c r="G457" s="7" t="s">
        <v>4</v>
      </c>
      <c r="L457" s="15" t="s">
        <v>40</v>
      </c>
    </row>
    <row r="458" spans="1:12">
      <c r="A458" s="6">
        <v>45680</v>
      </c>
      <c r="B458" s="7">
        <v>2</v>
      </c>
      <c r="C458" s="7">
        <v>0</v>
      </c>
      <c r="D458" s="7">
        <v>472</v>
      </c>
      <c r="E458" s="7" t="s">
        <v>31</v>
      </c>
      <c r="F458" s="7">
        <v>15</v>
      </c>
      <c r="G458" s="7" t="s">
        <v>4</v>
      </c>
      <c r="L458" s="15" t="s">
        <v>40</v>
      </c>
    </row>
    <row r="459" spans="1:12">
      <c r="A459" s="6">
        <v>45674</v>
      </c>
      <c r="B459" s="7">
        <v>2</v>
      </c>
      <c r="C459" s="7">
        <v>0</v>
      </c>
      <c r="D459" s="7">
        <v>380</v>
      </c>
      <c r="E459" s="7" t="s">
        <v>31</v>
      </c>
      <c r="F459" s="7">
        <v>15</v>
      </c>
      <c r="G459" s="7" t="s">
        <v>4</v>
      </c>
      <c r="L459" s="15" t="s">
        <v>40</v>
      </c>
    </row>
    <row r="460" spans="1:12">
      <c r="A460" s="6">
        <v>45674</v>
      </c>
      <c r="B460" s="7">
        <v>2</v>
      </c>
      <c r="C460" s="7">
        <v>0</v>
      </c>
      <c r="D460" s="7">
        <v>504</v>
      </c>
      <c r="E460" s="7" t="s">
        <v>31</v>
      </c>
      <c r="F460" s="7">
        <v>15</v>
      </c>
      <c r="G460" s="7" t="s">
        <v>4</v>
      </c>
      <c r="L460" s="15" t="s">
        <v>40</v>
      </c>
    </row>
    <row r="461" spans="1:12">
      <c r="A461" s="6">
        <v>45674</v>
      </c>
      <c r="B461" s="7">
        <v>2</v>
      </c>
      <c r="C461" s="7">
        <v>0</v>
      </c>
      <c r="D461" s="7">
        <v>432</v>
      </c>
      <c r="E461" s="7" t="s">
        <v>31</v>
      </c>
      <c r="F461" s="7">
        <v>180</v>
      </c>
      <c r="G461" s="7" t="s">
        <v>12</v>
      </c>
      <c r="L461" s="15" t="s">
        <v>40</v>
      </c>
    </row>
    <row r="462" spans="1:12">
      <c r="A462" s="6">
        <v>45674</v>
      </c>
      <c r="B462" s="7">
        <v>1</v>
      </c>
      <c r="C462" s="7">
        <v>0</v>
      </c>
      <c r="D462" s="7">
        <v>0</v>
      </c>
      <c r="E462" s="7" t="s">
        <v>31</v>
      </c>
      <c r="F462" s="7">
        <v>540</v>
      </c>
      <c r="G462" s="7" t="s">
        <v>12</v>
      </c>
      <c r="L462" s="15" t="s">
        <v>40</v>
      </c>
    </row>
    <row r="463" spans="1:12">
      <c r="A463" s="6">
        <v>45678</v>
      </c>
      <c r="B463" s="7">
        <v>2</v>
      </c>
      <c r="C463" s="7">
        <v>0</v>
      </c>
      <c r="D463" s="7">
        <v>324</v>
      </c>
      <c r="E463" s="7" t="s">
        <v>31</v>
      </c>
      <c r="F463" s="7">
        <v>15</v>
      </c>
      <c r="G463" s="7" t="s">
        <v>4</v>
      </c>
      <c r="L463" s="15" t="s">
        <v>40</v>
      </c>
    </row>
    <row r="464" spans="1:12">
      <c r="A464" s="6">
        <v>45687</v>
      </c>
      <c r="B464" s="7">
        <v>1</v>
      </c>
      <c r="C464" s="7">
        <v>0</v>
      </c>
      <c r="D464" s="7">
        <v>0</v>
      </c>
      <c r="E464" s="7" t="s">
        <v>31</v>
      </c>
      <c r="F464" s="7">
        <v>540</v>
      </c>
      <c r="G464" s="7" t="s">
        <v>12</v>
      </c>
      <c r="L464" s="15" t="s">
        <v>40</v>
      </c>
    </row>
    <row r="465" spans="1:12">
      <c r="A465" s="6">
        <v>45687</v>
      </c>
      <c r="B465" s="7">
        <v>1</v>
      </c>
      <c r="C465" s="7">
        <v>0</v>
      </c>
      <c r="D465" s="7">
        <v>0</v>
      </c>
      <c r="E465" s="7" t="s">
        <v>31</v>
      </c>
      <c r="F465" s="7">
        <v>540</v>
      </c>
      <c r="G465" s="7" t="s">
        <v>12</v>
      </c>
      <c r="L465" s="15" t="s">
        <v>40</v>
      </c>
    </row>
    <row r="466" spans="1:12">
      <c r="A466" s="6">
        <v>45688</v>
      </c>
      <c r="B466" s="7">
        <v>2</v>
      </c>
      <c r="C466" s="7">
        <v>0</v>
      </c>
      <c r="D466" s="7">
        <v>30</v>
      </c>
      <c r="E466" s="7" t="s">
        <v>31</v>
      </c>
      <c r="F466" s="7">
        <v>360</v>
      </c>
      <c r="G466" s="7" t="s">
        <v>12</v>
      </c>
      <c r="L466" s="15" t="s">
        <v>40</v>
      </c>
    </row>
    <row r="467" spans="1:12">
      <c r="A467" s="6">
        <v>45691</v>
      </c>
      <c r="B467" s="7">
        <v>2</v>
      </c>
      <c r="C467" s="7">
        <v>0</v>
      </c>
      <c r="D467" s="7">
        <v>694</v>
      </c>
      <c r="E467" s="7" t="s">
        <v>31</v>
      </c>
      <c r="F467" s="7">
        <v>0</v>
      </c>
      <c r="G467" s="7" t="s">
        <v>10</v>
      </c>
      <c r="L467" s="15" t="s">
        <v>40</v>
      </c>
    </row>
    <row r="468" spans="1:12">
      <c r="A468" s="6">
        <v>45691</v>
      </c>
      <c r="B468" s="7">
        <v>2</v>
      </c>
      <c r="C468" s="7">
        <v>0</v>
      </c>
      <c r="D468" s="7">
        <v>694</v>
      </c>
      <c r="E468" s="7" t="s">
        <v>31</v>
      </c>
      <c r="F468" s="7">
        <v>0</v>
      </c>
      <c r="G468" s="7" t="s">
        <v>10</v>
      </c>
      <c r="L468" s="15" t="s">
        <v>40</v>
      </c>
    </row>
    <row r="469" spans="1:12">
      <c r="A469" s="6">
        <v>45692</v>
      </c>
      <c r="B469" s="7">
        <v>2</v>
      </c>
      <c r="C469" s="7">
        <v>0</v>
      </c>
      <c r="D469" s="7">
        <v>422</v>
      </c>
      <c r="E469" s="7" t="s">
        <v>31</v>
      </c>
      <c r="F469" s="7">
        <v>10</v>
      </c>
      <c r="G469" s="7" t="s">
        <v>4</v>
      </c>
      <c r="L469" s="15" t="s">
        <v>40</v>
      </c>
    </row>
    <row r="470" spans="1:12">
      <c r="A470" s="6">
        <v>45694</v>
      </c>
      <c r="B470" s="7">
        <v>2</v>
      </c>
      <c r="C470" s="7">
        <v>0</v>
      </c>
      <c r="D470" s="7">
        <v>520</v>
      </c>
      <c r="E470" s="7" t="s">
        <v>31</v>
      </c>
      <c r="F470" s="7">
        <v>10</v>
      </c>
      <c r="G470" s="7" t="s">
        <v>4</v>
      </c>
      <c r="L470" s="15" t="s">
        <v>40</v>
      </c>
    </row>
    <row r="471" spans="1:12">
      <c r="A471" s="6">
        <v>45694</v>
      </c>
      <c r="B471" s="7">
        <v>2</v>
      </c>
      <c r="C471" s="7">
        <v>0</v>
      </c>
      <c r="D471" s="7">
        <v>520</v>
      </c>
      <c r="E471" s="7" t="s">
        <v>31</v>
      </c>
      <c r="F471" s="7">
        <v>10</v>
      </c>
      <c r="G471" s="7" t="s">
        <v>4</v>
      </c>
      <c r="L471" s="15" t="s">
        <v>40</v>
      </c>
    </row>
    <row r="472" spans="1:12">
      <c r="A472" s="6">
        <v>45694</v>
      </c>
      <c r="B472" s="7">
        <v>2</v>
      </c>
      <c r="C472" s="7">
        <v>0</v>
      </c>
      <c r="D472" s="7">
        <v>520</v>
      </c>
      <c r="E472" s="7" t="s">
        <v>31</v>
      </c>
      <c r="F472" s="7">
        <v>10</v>
      </c>
      <c r="G472" s="7" t="s">
        <v>4</v>
      </c>
      <c r="L472" s="15" t="s">
        <v>40</v>
      </c>
    </row>
    <row r="473" spans="1:12">
      <c r="A473" s="6">
        <v>45695</v>
      </c>
      <c r="B473" s="7">
        <v>2</v>
      </c>
      <c r="C473" s="7">
        <v>0</v>
      </c>
      <c r="D473" s="7">
        <v>436</v>
      </c>
      <c r="E473" s="7" t="s">
        <v>31</v>
      </c>
      <c r="F473" s="7">
        <v>10</v>
      </c>
      <c r="G473" s="7" t="s">
        <v>4</v>
      </c>
      <c r="L473" s="15" t="s">
        <v>40</v>
      </c>
    </row>
    <row r="474" spans="1:12">
      <c r="A474" s="6">
        <v>45698</v>
      </c>
      <c r="B474" s="7">
        <v>2</v>
      </c>
      <c r="C474" s="7">
        <v>0</v>
      </c>
      <c r="D474" s="7">
        <v>345</v>
      </c>
      <c r="E474" s="7" t="s">
        <v>31</v>
      </c>
      <c r="F474" s="7">
        <v>15</v>
      </c>
      <c r="G474" s="7" t="s">
        <v>4</v>
      </c>
      <c r="L474" s="15" t="s">
        <v>40</v>
      </c>
    </row>
    <row r="475" spans="1:12">
      <c r="A475" s="6">
        <v>45700</v>
      </c>
      <c r="B475" s="7">
        <v>2</v>
      </c>
      <c r="C475" s="7">
        <v>0</v>
      </c>
      <c r="D475" s="7">
        <v>424</v>
      </c>
      <c r="E475" s="7" t="s">
        <v>31</v>
      </c>
      <c r="F475" s="7">
        <v>15</v>
      </c>
      <c r="G475" s="7" t="s">
        <v>4</v>
      </c>
      <c r="L475" s="15" t="s">
        <v>40</v>
      </c>
    </row>
    <row r="476" spans="1:12">
      <c r="A476" s="6">
        <v>45701</v>
      </c>
      <c r="B476" s="7">
        <v>2</v>
      </c>
      <c r="C476" s="7">
        <v>0</v>
      </c>
      <c r="D476" s="7">
        <v>398</v>
      </c>
      <c r="E476" s="7" t="s">
        <v>31</v>
      </c>
      <c r="F476" s="7">
        <v>15</v>
      </c>
      <c r="G476" s="7" t="s">
        <v>4</v>
      </c>
      <c r="L476" s="15" t="s">
        <v>40</v>
      </c>
    </row>
    <row r="477" spans="1:12">
      <c r="A477" s="6">
        <v>45693</v>
      </c>
      <c r="B477" s="7">
        <v>2</v>
      </c>
      <c r="C477" s="7">
        <v>0</v>
      </c>
      <c r="D477" s="7">
        <v>388</v>
      </c>
      <c r="E477" s="7" t="s">
        <v>31</v>
      </c>
      <c r="F477" s="7">
        <v>15</v>
      </c>
      <c r="G477" s="7" t="s">
        <v>4</v>
      </c>
      <c r="L477" s="15" t="s">
        <v>40</v>
      </c>
    </row>
    <row r="478" spans="1:12">
      <c r="A478" s="6">
        <v>45694</v>
      </c>
      <c r="B478" s="7">
        <v>2</v>
      </c>
      <c r="C478" s="7">
        <v>0</v>
      </c>
      <c r="D478" s="7">
        <v>396</v>
      </c>
      <c r="E478" s="7" t="s">
        <v>31</v>
      </c>
      <c r="F478" s="7">
        <v>15</v>
      </c>
      <c r="G478" s="7" t="s">
        <v>4</v>
      </c>
      <c r="L478" s="15" t="s">
        <v>40</v>
      </c>
    </row>
    <row r="479" spans="1:12">
      <c r="A479" s="6">
        <v>45702</v>
      </c>
      <c r="B479" s="7">
        <v>2</v>
      </c>
      <c r="C479" s="7">
        <v>0</v>
      </c>
      <c r="D479" s="7">
        <v>458</v>
      </c>
      <c r="E479" s="7" t="s">
        <v>31</v>
      </c>
      <c r="F479" s="7">
        <v>55</v>
      </c>
      <c r="G479" s="7" t="s">
        <v>4</v>
      </c>
      <c r="L479" s="15" t="s">
        <v>40</v>
      </c>
    </row>
    <row r="480" spans="1:12">
      <c r="A480" s="6">
        <v>45705</v>
      </c>
      <c r="B480" s="7">
        <v>2</v>
      </c>
      <c r="C480" s="7">
        <v>0</v>
      </c>
      <c r="D480" s="7">
        <v>334</v>
      </c>
      <c r="E480" s="7" t="s">
        <v>31</v>
      </c>
      <c r="F480" s="7">
        <v>30</v>
      </c>
      <c r="G480" s="7" t="s">
        <v>4</v>
      </c>
      <c r="L480" s="15" t="s">
        <v>40</v>
      </c>
    </row>
    <row r="481" spans="1:12">
      <c r="A481" s="6">
        <v>45706</v>
      </c>
      <c r="B481" s="7">
        <v>2</v>
      </c>
      <c r="C481" s="7">
        <v>0</v>
      </c>
      <c r="D481" s="7">
        <v>274</v>
      </c>
      <c r="E481" s="7" t="s">
        <v>31</v>
      </c>
      <c r="F481" s="7">
        <v>15</v>
      </c>
      <c r="G481" s="7" t="s">
        <v>4</v>
      </c>
      <c r="L481" s="15" t="s">
        <v>40</v>
      </c>
    </row>
    <row r="482" spans="1:12">
      <c r="A482" s="6">
        <v>45708</v>
      </c>
      <c r="B482" s="7">
        <v>2</v>
      </c>
      <c r="C482" s="7">
        <v>0</v>
      </c>
      <c r="D482" s="7">
        <v>444</v>
      </c>
      <c r="E482" s="7" t="s">
        <v>31</v>
      </c>
      <c r="F482" s="7">
        <v>15</v>
      </c>
      <c r="G482" s="7" t="s">
        <v>4</v>
      </c>
      <c r="L482" s="15" t="s">
        <v>40</v>
      </c>
    </row>
    <row r="483" spans="1:12">
      <c r="A483" s="6">
        <v>45708</v>
      </c>
      <c r="B483" s="7">
        <v>2</v>
      </c>
      <c r="C483" s="7">
        <v>0</v>
      </c>
      <c r="D483" s="7">
        <v>444</v>
      </c>
      <c r="E483" s="7" t="s">
        <v>31</v>
      </c>
      <c r="F483" s="7">
        <v>15</v>
      </c>
      <c r="G483" s="7" t="s">
        <v>4</v>
      </c>
      <c r="L483" s="15" t="s">
        <v>40</v>
      </c>
    </row>
    <row r="484" spans="1:12">
      <c r="A484" s="6">
        <v>45708</v>
      </c>
      <c r="B484" s="7">
        <v>2</v>
      </c>
      <c r="C484" s="7">
        <v>0</v>
      </c>
      <c r="D484" s="7">
        <v>485</v>
      </c>
      <c r="E484" s="7" t="s">
        <v>31</v>
      </c>
      <c r="F484" s="7">
        <v>15</v>
      </c>
      <c r="G484" s="7" t="s">
        <v>4</v>
      </c>
      <c r="L484" s="15" t="s">
        <v>40</v>
      </c>
    </row>
    <row r="485" spans="1:12">
      <c r="A485" s="6">
        <v>45708</v>
      </c>
      <c r="B485" s="7">
        <v>2</v>
      </c>
      <c r="C485" s="7">
        <v>0</v>
      </c>
      <c r="D485" s="7">
        <v>320</v>
      </c>
      <c r="E485" s="7" t="s">
        <v>31</v>
      </c>
      <c r="F485" s="7">
        <v>15</v>
      </c>
      <c r="G485" s="7" t="s">
        <v>4</v>
      </c>
      <c r="L485" s="15" t="s">
        <v>40</v>
      </c>
    </row>
    <row r="486" spans="1:12">
      <c r="A486" s="6">
        <v>45713</v>
      </c>
      <c r="B486" s="7">
        <v>2</v>
      </c>
      <c r="C486" s="7">
        <v>0</v>
      </c>
      <c r="D486" s="7">
        <v>320</v>
      </c>
      <c r="E486" s="7" t="s">
        <v>31</v>
      </c>
      <c r="F486" s="7">
        <v>15</v>
      </c>
      <c r="G486" s="7" t="s">
        <v>4</v>
      </c>
      <c r="L486" s="15" t="s">
        <v>40</v>
      </c>
    </row>
    <row r="487" spans="1:12">
      <c r="A487" s="6">
        <v>45712</v>
      </c>
      <c r="B487" s="7">
        <v>2</v>
      </c>
      <c r="C487" s="7">
        <v>0</v>
      </c>
      <c r="D487" s="7">
        <v>485</v>
      </c>
      <c r="E487" s="7" t="s">
        <v>31</v>
      </c>
      <c r="F487" s="7">
        <v>15</v>
      </c>
      <c r="G487" s="7" t="s">
        <v>4</v>
      </c>
      <c r="H487" s="7">
        <v>15</v>
      </c>
      <c r="I487" s="7" t="s">
        <v>10</v>
      </c>
      <c r="L487" s="15" t="s">
        <v>40</v>
      </c>
    </row>
    <row r="488" spans="1:12">
      <c r="A488" s="6">
        <v>45714</v>
      </c>
      <c r="B488" s="7">
        <v>2</v>
      </c>
      <c r="C488" s="7">
        <v>0</v>
      </c>
      <c r="D488" s="7">
        <v>416</v>
      </c>
      <c r="E488" s="7" t="s">
        <v>31</v>
      </c>
      <c r="F488" s="7">
        <v>15</v>
      </c>
      <c r="G488" s="7" t="s">
        <v>4</v>
      </c>
      <c r="H488" s="7">
        <v>15</v>
      </c>
      <c r="I488" s="7" t="s">
        <v>10</v>
      </c>
      <c r="L488" s="15" t="s">
        <v>40</v>
      </c>
    </row>
    <row r="489" spans="1:12">
      <c r="A489" s="6">
        <v>45715</v>
      </c>
      <c r="B489" s="7">
        <v>2</v>
      </c>
      <c r="C489" s="7">
        <v>0</v>
      </c>
      <c r="D489" s="7">
        <v>418</v>
      </c>
      <c r="E489" s="7" t="s">
        <v>31</v>
      </c>
      <c r="F489" s="7">
        <v>15</v>
      </c>
      <c r="G489" s="7" t="s">
        <v>4</v>
      </c>
      <c r="H489" s="7">
        <v>15</v>
      </c>
      <c r="I489" s="7" t="s">
        <v>10</v>
      </c>
      <c r="L489" s="15" t="s">
        <v>40</v>
      </c>
    </row>
    <row r="490" spans="1:12">
      <c r="A490" s="6">
        <v>45716</v>
      </c>
      <c r="B490" s="7">
        <v>2</v>
      </c>
      <c r="C490" s="7">
        <v>0</v>
      </c>
      <c r="D490" s="7">
        <v>482</v>
      </c>
      <c r="E490" s="7" t="s">
        <v>31</v>
      </c>
      <c r="F490" s="7">
        <v>59</v>
      </c>
      <c r="G490" s="7" t="s">
        <v>4</v>
      </c>
      <c r="H490" s="7">
        <v>15</v>
      </c>
      <c r="I490" s="7" t="s">
        <v>10</v>
      </c>
      <c r="L490" s="15" t="s">
        <v>40</v>
      </c>
    </row>
    <row r="491" spans="1:12">
      <c r="A491" s="6">
        <v>45719</v>
      </c>
      <c r="B491" s="7">
        <v>2</v>
      </c>
      <c r="C491" s="7">
        <v>0</v>
      </c>
      <c r="D491" s="7">
        <v>412</v>
      </c>
      <c r="E491" s="7" t="s">
        <v>31</v>
      </c>
      <c r="G491" s="7" t="s">
        <v>4</v>
      </c>
      <c r="H491" s="7">
        <v>15</v>
      </c>
      <c r="I491" s="7" t="s">
        <v>10</v>
      </c>
      <c r="L491" s="15" t="s">
        <v>40</v>
      </c>
    </row>
    <row r="492" spans="1:12">
      <c r="A492" s="6">
        <v>45720</v>
      </c>
      <c r="B492" s="7">
        <v>2</v>
      </c>
      <c r="C492" s="7">
        <v>0</v>
      </c>
      <c r="D492" s="7">
        <v>222</v>
      </c>
      <c r="E492" s="7" t="s">
        <v>31</v>
      </c>
      <c r="F492" s="7">
        <v>15</v>
      </c>
      <c r="G492" s="7" t="s">
        <v>4</v>
      </c>
      <c r="H492" s="7">
        <v>15</v>
      </c>
      <c r="I492" s="7" t="s">
        <v>10</v>
      </c>
      <c r="L492" s="15" t="s">
        <v>40</v>
      </c>
    </row>
    <row r="493" spans="1:12">
      <c r="A493" s="6">
        <v>45721</v>
      </c>
      <c r="B493" s="7">
        <v>2</v>
      </c>
      <c r="C493" s="7">
        <v>0</v>
      </c>
      <c r="D493" s="7">
        <v>324</v>
      </c>
      <c r="E493" s="7" t="s">
        <v>31</v>
      </c>
      <c r="F493" s="7">
        <v>15</v>
      </c>
      <c r="G493" s="7" t="s">
        <v>4</v>
      </c>
      <c r="H493" s="7">
        <v>15</v>
      </c>
      <c r="I493" s="7" t="s">
        <v>10</v>
      </c>
      <c r="L493" s="15" t="s">
        <v>40</v>
      </c>
    </row>
    <row r="494" spans="1:12">
      <c r="A494" s="6">
        <v>45722</v>
      </c>
      <c r="B494" s="7">
        <v>2</v>
      </c>
      <c r="C494" s="7">
        <v>0</v>
      </c>
      <c r="D494" s="7">
        <v>232</v>
      </c>
      <c r="E494" s="7" t="s">
        <v>31</v>
      </c>
      <c r="F494" s="7">
        <v>15</v>
      </c>
      <c r="G494" s="7" t="s">
        <v>4</v>
      </c>
      <c r="H494" s="7">
        <v>15</v>
      </c>
      <c r="I494" s="7" t="s">
        <v>10</v>
      </c>
      <c r="L494" s="15" t="s">
        <v>40</v>
      </c>
    </row>
    <row r="495" spans="1:12">
      <c r="A495" s="6">
        <v>45726</v>
      </c>
      <c r="B495" s="7">
        <v>2</v>
      </c>
      <c r="C495" s="7">
        <v>0</v>
      </c>
      <c r="D495" s="7">
        <v>474</v>
      </c>
      <c r="E495" s="7" t="s">
        <v>31</v>
      </c>
      <c r="F495" s="7">
        <v>15</v>
      </c>
      <c r="G495" s="7" t="s">
        <v>4</v>
      </c>
      <c r="H495" s="7">
        <v>15</v>
      </c>
      <c r="I495" s="7" t="s">
        <v>10</v>
      </c>
      <c r="L495" s="15" t="s">
        <v>40</v>
      </c>
    </row>
    <row r="496" spans="1:12">
      <c r="A496" s="6">
        <v>45727</v>
      </c>
      <c r="B496" s="7">
        <v>2</v>
      </c>
      <c r="C496" s="7">
        <v>0</v>
      </c>
      <c r="D496" s="7">
        <v>262</v>
      </c>
      <c r="E496" s="7" t="s">
        <v>31</v>
      </c>
      <c r="F496" s="7">
        <v>15</v>
      </c>
      <c r="G496" s="7" t="s">
        <v>4</v>
      </c>
      <c r="H496" s="7">
        <v>15</v>
      </c>
      <c r="I496" s="7" t="s">
        <v>10</v>
      </c>
      <c r="L496" s="15" t="s">
        <v>40</v>
      </c>
    </row>
    <row r="497" spans="1:12">
      <c r="A497" s="6">
        <v>45727</v>
      </c>
      <c r="B497" s="7">
        <v>2</v>
      </c>
      <c r="C497" s="7">
        <v>0</v>
      </c>
      <c r="D497" s="7">
        <v>316</v>
      </c>
      <c r="E497" s="7" t="s">
        <v>31</v>
      </c>
      <c r="F497" s="7">
        <v>15</v>
      </c>
      <c r="G497" s="7" t="s">
        <v>4</v>
      </c>
      <c r="H497" s="7">
        <v>15</v>
      </c>
      <c r="I497" s="7" t="s">
        <v>10</v>
      </c>
      <c r="L497" s="15" t="s">
        <v>40</v>
      </c>
    </row>
    <row r="498" spans="1:12">
      <c r="A498" s="6">
        <v>45728</v>
      </c>
      <c r="B498" s="7">
        <v>2</v>
      </c>
      <c r="C498" s="7">
        <v>0</v>
      </c>
      <c r="D498" s="7">
        <v>428</v>
      </c>
      <c r="E498" s="7" t="s">
        <v>31</v>
      </c>
      <c r="F498" s="7">
        <v>15</v>
      </c>
      <c r="G498" s="7" t="s">
        <v>4</v>
      </c>
      <c r="H498" s="7">
        <v>15</v>
      </c>
      <c r="I498" s="7" t="s">
        <v>10</v>
      </c>
      <c r="L498" s="15" t="s">
        <v>40</v>
      </c>
    </row>
    <row r="499" spans="1:12">
      <c r="A499" s="6">
        <v>45729</v>
      </c>
      <c r="B499" s="7">
        <v>2</v>
      </c>
      <c r="C499" s="7">
        <v>0</v>
      </c>
      <c r="D499" s="7">
        <v>456</v>
      </c>
      <c r="E499" s="7" t="s">
        <v>31</v>
      </c>
      <c r="F499" s="7">
        <v>15</v>
      </c>
      <c r="G499" s="7" t="s">
        <v>4</v>
      </c>
      <c r="H499" s="7">
        <v>15</v>
      </c>
      <c r="I499" s="7" t="s">
        <v>10</v>
      </c>
      <c r="L499" s="15" t="s">
        <v>40</v>
      </c>
    </row>
    <row r="500" spans="1:12">
      <c r="A500" s="6">
        <v>45730</v>
      </c>
      <c r="B500" s="7">
        <v>2</v>
      </c>
      <c r="C500" s="7">
        <v>0</v>
      </c>
      <c r="D500" s="7">
        <v>276</v>
      </c>
      <c r="E500" s="7" t="s">
        <v>31</v>
      </c>
      <c r="F500" s="7">
        <v>60</v>
      </c>
      <c r="G500" s="7" t="s">
        <v>4</v>
      </c>
      <c r="H500" s="7">
        <v>15</v>
      </c>
      <c r="I500" s="7" t="s">
        <v>10</v>
      </c>
      <c r="L500" s="15" t="s">
        <v>40</v>
      </c>
    </row>
    <row r="501" spans="1:12">
      <c r="A501" s="6">
        <v>45733</v>
      </c>
      <c r="B501" s="7">
        <v>2</v>
      </c>
      <c r="C501" s="7">
        <v>0</v>
      </c>
      <c r="D501" s="7">
        <v>419</v>
      </c>
      <c r="E501" s="7" t="s">
        <v>31</v>
      </c>
      <c r="F501" s="7">
        <v>15</v>
      </c>
      <c r="G501" s="7" t="s">
        <v>4</v>
      </c>
      <c r="H501" s="7">
        <v>15</v>
      </c>
      <c r="I501" s="7" t="s">
        <v>10</v>
      </c>
      <c r="L501" s="15" t="s">
        <v>40</v>
      </c>
    </row>
    <row r="502" spans="1:12">
      <c r="A502" s="6">
        <v>45734</v>
      </c>
      <c r="B502" s="7">
        <v>2</v>
      </c>
      <c r="C502" s="7">
        <v>0</v>
      </c>
      <c r="D502" s="7">
        <v>414</v>
      </c>
      <c r="E502" s="7" t="s">
        <v>31</v>
      </c>
      <c r="F502" s="7">
        <v>15</v>
      </c>
      <c r="G502" s="7" t="s">
        <v>4</v>
      </c>
      <c r="H502" s="7">
        <v>15</v>
      </c>
      <c r="I502" s="7" t="s">
        <v>10</v>
      </c>
      <c r="L502" s="15" t="s">
        <v>40</v>
      </c>
    </row>
    <row r="503" spans="1:12">
      <c r="A503" s="6">
        <v>45735</v>
      </c>
      <c r="B503" s="7">
        <v>2</v>
      </c>
      <c r="C503" s="7">
        <v>0</v>
      </c>
      <c r="D503" s="7">
        <v>272</v>
      </c>
      <c r="E503" s="7" t="s">
        <v>31</v>
      </c>
      <c r="F503" s="7">
        <v>15</v>
      </c>
      <c r="G503" s="7" t="s">
        <v>4</v>
      </c>
      <c r="L503" s="15" t="s">
        <v>40</v>
      </c>
    </row>
    <row r="504" spans="1:12">
      <c r="A504" s="6">
        <v>45736</v>
      </c>
      <c r="B504" s="7">
        <v>2</v>
      </c>
      <c r="C504" s="7">
        <v>0</v>
      </c>
      <c r="D504" s="7">
        <v>438</v>
      </c>
      <c r="E504" s="7" t="s">
        <v>31</v>
      </c>
      <c r="F504" s="7">
        <v>15</v>
      </c>
      <c r="G504" s="7" t="s">
        <v>4</v>
      </c>
      <c r="L504" s="15" t="s">
        <v>40</v>
      </c>
    </row>
    <row r="505" spans="1:12">
      <c r="A505" s="6">
        <v>45737</v>
      </c>
      <c r="B505" s="7">
        <v>2</v>
      </c>
      <c r="C505" s="7">
        <v>0</v>
      </c>
      <c r="D505" s="7">
        <v>405</v>
      </c>
      <c r="E505" s="7" t="s">
        <v>31</v>
      </c>
      <c r="F505" s="7">
        <v>80</v>
      </c>
      <c r="G505" s="7" t="s">
        <v>4</v>
      </c>
      <c r="L505" s="15" t="s">
        <v>40</v>
      </c>
    </row>
    <row r="506" spans="1:12">
      <c r="A506" s="6">
        <v>45740</v>
      </c>
      <c r="B506" s="7">
        <v>2</v>
      </c>
      <c r="C506" s="7">
        <v>0</v>
      </c>
      <c r="D506" s="7">
        <v>152</v>
      </c>
      <c r="E506" s="7" t="s">
        <v>31</v>
      </c>
      <c r="F506" s="7">
        <v>15</v>
      </c>
      <c r="G506" s="7" t="s">
        <v>4</v>
      </c>
      <c r="L506" s="15" t="s">
        <v>40</v>
      </c>
    </row>
    <row r="507" spans="1:12">
      <c r="A507" s="6">
        <v>45741</v>
      </c>
      <c r="B507" s="7">
        <v>2</v>
      </c>
      <c r="C507" s="7">
        <v>0</v>
      </c>
      <c r="D507" s="7">
        <v>170</v>
      </c>
      <c r="E507" s="7" t="s">
        <v>31</v>
      </c>
      <c r="F507" s="7">
        <v>15</v>
      </c>
      <c r="G507" s="7" t="s">
        <v>4</v>
      </c>
      <c r="L507" s="15" t="s">
        <v>40</v>
      </c>
    </row>
    <row r="508" spans="1:12">
      <c r="A508" s="6">
        <v>45741</v>
      </c>
      <c r="B508" s="7">
        <v>2</v>
      </c>
      <c r="C508" s="7">
        <v>0</v>
      </c>
      <c r="D508" s="7">
        <v>170</v>
      </c>
      <c r="E508" s="7" t="s">
        <v>31</v>
      </c>
      <c r="F508" s="7">
        <v>15</v>
      </c>
      <c r="G508" s="7" t="s">
        <v>4</v>
      </c>
      <c r="L508" s="15" t="s">
        <v>40</v>
      </c>
    </row>
    <row r="509" spans="1:12">
      <c r="A509" s="6">
        <v>45742</v>
      </c>
      <c r="B509" s="7">
        <v>2</v>
      </c>
      <c r="C509" s="7">
        <v>0</v>
      </c>
      <c r="D509" s="7">
        <v>99</v>
      </c>
      <c r="E509" s="7" t="s">
        <v>31</v>
      </c>
      <c r="F509" s="7">
        <v>210</v>
      </c>
      <c r="G509" s="7" t="s">
        <v>4</v>
      </c>
      <c r="L509" s="15" t="s">
        <v>40</v>
      </c>
    </row>
    <row r="510" spans="1:12">
      <c r="A510" s="6">
        <v>45754</v>
      </c>
      <c r="B510" s="7">
        <v>2</v>
      </c>
      <c r="C510" s="7">
        <v>0</v>
      </c>
      <c r="D510" s="7">
        <v>64</v>
      </c>
      <c r="E510" s="7" t="s">
        <v>31</v>
      </c>
      <c r="F510" s="7">
        <v>15</v>
      </c>
      <c r="G510" s="7" t="s">
        <v>4</v>
      </c>
      <c r="H510" s="7">
        <v>180</v>
      </c>
      <c r="I510" s="7" t="s">
        <v>12</v>
      </c>
      <c r="L510" s="15" t="s">
        <v>40</v>
      </c>
    </row>
    <row r="511" spans="1:12">
      <c r="A511" s="6">
        <v>45755</v>
      </c>
      <c r="B511" s="7">
        <v>1</v>
      </c>
      <c r="C511" s="7">
        <v>0</v>
      </c>
      <c r="D511" s="7">
        <v>186</v>
      </c>
      <c r="E511" s="7" t="s">
        <v>31</v>
      </c>
      <c r="F511" s="7">
        <v>15</v>
      </c>
      <c r="G511" s="7" t="s">
        <v>4</v>
      </c>
      <c r="H511" s="7">
        <v>120</v>
      </c>
      <c r="I511" s="7" t="s">
        <v>6</v>
      </c>
      <c r="L511" s="15" t="s">
        <v>40</v>
      </c>
    </row>
    <row r="512" spans="1:12">
      <c r="A512" s="6">
        <v>45756</v>
      </c>
      <c r="B512" s="7">
        <v>1</v>
      </c>
      <c r="C512" s="7">
        <v>0</v>
      </c>
      <c r="D512" s="7">
        <v>154</v>
      </c>
      <c r="E512" s="7" t="s">
        <v>31</v>
      </c>
      <c r="F512" s="7">
        <v>15</v>
      </c>
      <c r="G512" s="7" t="s">
        <v>4</v>
      </c>
      <c r="H512" s="7">
        <v>60</v>
      </c>
      <c r="I512" s="7" t="s">
        <v>6</v>
      </c>
      <c r="J512" s="7">
        <v>120</v>
      </c>
      <c r="K512" s="7" t="s">
        <v>28</v>
      </c>
      <c r="L512" s="15" t="s">
        <v>40</v>
      </c>
    </row>
    <row r="513" spans="1:12">
      <c r="A513" s="6">
        <v>45757</v>
      </c>
      <c r="B513" s="7">
        <v>1</v>
      </c>
      <c r="C513" s="7">
        <v>0</v>
      </c>
      <c r="D513" s="7">
        <v>96</v>
      </c>
      <c r="E513" s="7" t="s">
        <v>31</v>
      </c>
      <c r="F513" s="7">
        <v>15</v>
      </c>
      <c r="G513" s="7" t="s">
        <v>4</v>
      </c>
      <c r="I513" s="7" t="s">
        <v>6</v>
      </c>
      <c r="K513" s="7" t="s">
        <v>28</v>
      </c>
      <c r="L513" s="15" t="s">
        <v>40</v>
      </c>
    </row>
    <row r="514" spans="1:12">
      <c r="A514" s="6">
        <v>45758</v>
      </c>
      <c r="B514" s="7">
        <v>1</v>
      </c>
      <c r="C514" s="7">
        <v>0</v>
      </c>
      <c r="D514" s="7">
        <v>114</v>
      </c>
      <c r="E514" s="7" t="s">
        <v>31</v>
      </c>
      <c r="F514" s="7">
        <v>15</v>
      </c>
      <c r="G514" s="7" t="s">
        <v>4</v>
      </c>
      <c r="L514" s="15" t="s">
        <v>40</v>
      </c>
    </row>
    <row r="515" spans="1:12">
      <c r="A515" s="6">
        <v>45761</v>
      </c>
      <c r="B515" s="7">
        <v>1</v>
      </c>
      <c r="C515" s="7">
        <v>0</v>
      </c>
      <c r="D515" s="7">
        <v>364</v>
      </c>
      <c r="E515" s="7" t="s">
        <v>31</v>
      </c>
      <c r="F515" s="7">
        <v>15</v>
      </c>
      <c r="G515" s="7" t="s">
        <v>4</v>
      </c>
      <c r="L515" s="15" t="s">
        <v>40</v>
      </c>
    </row>
    <row r="516" spans="1:12">
      <c r="A516" s="6">
        <v>45762</v>
      </c>
      <c r="B516" s="7">
        <v>1</v>
      </c>
      <c r="C516" s="7">
        <v>0</v>
      </c>
      <c r="D516" s="7">
        <v>410</v>
      </c>
      <c r="E516" s="7" t="s">
        <v>31</v>
      </c>
      <c r="F516" s="7">
        <v>15</v>
      </c>
      <c r="G516" s="7" t="s">
        <v>4</v>
      </c>
      <c r="L516" s="15" t="s">
        <v>40</v>
      </c>
    </row>
    <row r="517" spans="1:12">
      <c r="A517" s="6">
        <v>45763</v>
      </c>
      <c r="B517" s="7">
        <v>1</v>
      </c>
      <c r="C517" s="7">
        <v>0</v>
      </c>
      <c r="D517" s="7">
        <v>270</v>
      </c>
      <c r="E517" s="7" t="s">
        <v>31</v>
      </c>
      <c r="F517" s="7">
        <v>15</v>
      </c>
      <c r="G517" s="7" t="s">
        <v>4</v>
      </c>
      <c r="L517" s="15" t="s">
        <v>40</v>
      </c>
    </row>
    <row r="518" spans="1:12">
      <c r="A518" s="6">
        <v>45764</v>
      </c>
      <c r="B518" s="7">
        <v>1</v>
      </c>
      <c r="C518" s="7">
        <v>0</v>
      </c>
      <c r="D518" s="7">
        <v>167</v>
      </c>
      <c r="E518" s="7" t="s">
        <v>31</v>
      </c>
      <c r="F518" s="7">
        <v>15</v>
      </c>
      <c r="G518" s="7" t="s">
        <v>4</v>
      </c>
      <c r="L518" s="15" t="s">
        <v>40</v>
      </c>
    </row>
    <row r="519" spans="1:12">
      <c r="A519" s="6">
        <v>45768</v>
      </c>
      <c r="B519" s="7">
        <v>1</v>
      </c>
      <c r="C519" s="7">
        <v>0</v>
      </c>
      <c r="D519" s="7">
        <v>222</v>
      </c>
      <c r="E519" s="7" t="s">
        <v>31</v>
      </c>
      <c r="F519" s="7">
        <v>15</v>
      </c>
      <c r="G519" s="7" t="s">
        <v>4</v>
      </c>
      <c r="L519" s="15" t="s">
        <v>40</v>
      </c>
    </row>
    <row r="520" spans="1:12">
      <c r="A520" s="6">
        <v>45769</v>
      </c>
      <c r="B520" s="7">
        <v>1</v>
      </c>
      <c r="C520" s="7">
        <v>0</v>
      </c>
      <c r="D520" s="7">
        <v>84</v>
      </c>
      <c r="E520" s="7" t="s">
        <v>31</v>
      </c>
      <c r="F520" s="7">
        <v>15</v>
      </c>
      <c r="G520" s="7" t="s">
        <v>4</v>
      </c>
      <c r="L520" s="15" t="s">
        <v>40</v>
      </c>
    </row>
    <row r="521" spans="1:12">
      <c r="A521" s="6">
        <v>45775</v>
      </c>
      <c r="B521" s="7">
        <v>2</v>
      </c>
      <c r="C521" s="7">
        <v>0</v>
      </c>
      <c r="D521" s="7">
        <v>388</v>
      </c>
      <c r="E521" s="7" t="s">
        <v>31</v>
      </c>
      <c r="F521" s="7">
        <v>15</v>
      </c>
      <c r="G521" s="7" t="s">
        <v>4</v>
      </c>
      <c r="L521" s="15" t="s">
        <v>40</v>
      </c>
    </row>
    <row r="522" spans="1:12">
      <c r="A522" s="6">
        <v>45776</v>
      </c>
      <c r="B522" s="7">
        <v>2</v>
      </c>
      <c r="C522" s="7">
        <v>0</v>
      </c>
      <c r="D522" s="7">
        <v>388</v>
      </c>
      <c r="E522" s="7" t="s">
        <v>31</v>
      </c>
      <c r="F522" s="7">
        <v>15</v>
      </c>
      <c r="G522" s="7" t="s">
        <v>4</v>
      </c>
      <c r="H522" s="7">
        <v>15</v>
      </c>
      <c r="I522" s="7" t="s">
        <v>10</v>
      </c>
      <c r="L522" s="15" t="s">
        <v>40</v>
      </c>
    </row>
    <row r="523" spans="1:12">
      <c r="A523" s="6">
        <v>45777</v>
      </c>
      <c r="B523" s="7">
        <v>2</v>
      </c>
      <c r="C523" s="7">
        <v>0</v>
      </c>
      <c r="D523" s="7">
        <v>440</v>
      </c>
      <c r="E523" s="7" t="s">
        <v>31</v>
      </c>
      <c r="F523" s="7">
        <v>15</v>
      </c>
      <c r="G523" s="7" t="s">
        <v>4</v>
      </c>
      <c r="H523" s="7">
        <v>15</v>
      </c>
      <c r="I523" s="7" t="s">
        <v>10</v>
      </c>
      <c r="L523" s="15" t="s">
        <v>40</v>
      </c>
    </row>
    <row r="524" spans="1:12">
      <c r="A524" s="6">
        <v>45779</v>
      </c>
      <c r="B524" s="7">
        <v>2</v>
      </c>
      <c r="C524" s="7">
        <v>0</v>
      </c>
      <c r="D524" s="7">
        <v>280</v>
      </c>
      <c r="E524" s="7" t="s">
        <v>31</v>
      </c>
      <c r="F524" s="7">
        <v>15</v>
      </c>
      <c r="G524" s="7" t="s">
        <v>4</v>
      </c>
      <c r="H524" s="7">
        <v>15</v>
      </c>
      <c r="I524" s="7" t="s">
        <v>10</v>
      </c>
      <c r="L524" s="15" t="s">
        <v>40</v>
      </c>
    </row>
    <row r="525" spans="1:12">
      <c r="A525" s="6">
        <v>45782</v>
      </c>
      <c r="B525" s="7">
        <v>2</v>
      </c>
      <c r="C525" s="7">
        <v>0</v>
      </c>
      <c r="D525" s="7">
        <v>389</v>
      </c>
      <c r="E525" s="7" t="s">
        <v>31</v>
      </c>
      <c r="F525" s="7">
        <v>15</v>
      </c>
      <c r="G525" s="7" t="s">
        <v>4</v>
      </c>
      <c r="H525" s="7">
        <v>15</v>
      </c>
      <c r="I525" s="7" t="s">
        <v>10</v>
      </c>
      <c r="L525" s="15" t="s">
        <v>40</v>
      </c>
    </row>
    <row r="526" spans="1:12">
      <c r="A526" s="6">
        <v>45783</v>
      </c>
      <c r="B526" s="7">
        <v>2</v>
      </c>
      <c r="C526" s="7">
        <v>0</v>
      </c>
      <c r="D526" s="7">
        <v>280</v>
      </c>
      <c r="E526" s="7" t="s">
        <v>31</v>
      </c>
      <c r="F526" s="7">
        <v>15</v>
      </c>
      <c r="G526" s="7" t="s">
        <v>4</v>
      </c>
      <c r="H526" s="7">
        <v>15</v>
      </c>
      <c r="I526" s="7" t="s">
        <v>10</v>
      </c>
      <c r="L526" s="15" t="s">
        <v>40</v>
      </c>
    </row>
    <row r="527" spans="1:12">
      <c r="A527" s="6">
        <v>45784</v>
      </c>
      <c r="B527" s="7">
        <v>2</v>
      </c>
      <c r="C527" s="7">
        <v>0</v>
      </c>
      <c r="D527" s="7">
        <v>271</v>
      </c>
      <c r="E527" s="7" t="s">
        <v>31</v>
      </c>
      <c r="F527" s="7">
        <v>15</v>
      </c>
      <c r="G527" s="7" t="s">
        <v>4</v>
      </c>
      <c r="H527" s="7">
        <v>15</v>
      </c>
      <c r="I527" s="7" t="s">
        <v>10</v>
      </c>
      <c r="L527" s="15" t="s">
        <v>40</v>
      </c>
    </row>
    <row r="528" spans="1:12">
      <c r="A528" s="6">
        <v>45785</v>
      </c>
      <c r="B528" s="7">
        <v>2</v>
      </c>
      <c r="C528" s="7">
        <v>0</v>
      </c>
      <c r="D528" s="7">
        <v>262</v>
      </c>
      <c r="E528" s="7" t="s">
        <v>31</v>
      </c>
      <c r="F528" s="7">
        <v>15</v>
      </c>
      <c r="G528" s="7" t="s">
        <v>4</v>
      </c>
      <c r="H528" s="7">
        <v>15</v>
      </c>
      <c r="I528" s="7" t="s">
        <v>10</v>
      </c>
      <c r="L528" s="15" t="s">
        <v>40</v>
      </c>
    </row>
    <row r="529" spans="1:12">
      <c r="A529" s="6">
        <v>45786</v>
      </c>
      <c r="B529" s="7">
        <v>2</v>
      </c>
      <c r="C529" s="7">
        <v>0</v>
      </c>
      <c r="D529" s="7">
        <v>336</v>
      </c>
      <c r="E529" s="7" t="s">
        <v>31</v>
      </c>
      <c r="F529" s="7">
        <v>15</v>
      </c>
      <c r="G529" s="7" t="s">
        <v>4</v>
      </c>
      <c r="H529" s="7">
        <v>15</v>
      </c>
      <c r="I529" s="7" t="s">
        <v>10</v>
      </c>
      <c r="L529" s="15" t="s">
        <v>40</v>
      </c>
    </row>
    <row r="530" spans="1:12">
      <c r="A530" s="6">
        <v>45789</v>
      </c>
      <c r="B530" s="7">
        <v>2</v>
      </c>
      <c r="C530" s="7">
        <v>0</v>
      </c>
      <c r="D530" s="7">
        <v>210</v>
      </c>
      <c r="E530" s="7" t="s">
        <v>31</v>
      </c>
      <c r="F530" s="7">
        <v>15</v>
      </c>
      <c r="G530" s="7" t="s">
        <v>4</v>
      </c>
      <c r="H530" s="7">
        <v>15</v>
      </c>
      <c r="I530" s="7" t="s">
        <v>10</v>
      </c>
      <c r="L530" s="15" t="s">
        <v>40</v>
      </c>
    </row>
    <row r="531" spans="1:12">
      <c r="A531" s="6">
        <v>45790</v>
      </c>
      <c r="B531" s="7">
        <v>2</v>
      </c>
      <c r="C531" s="7">
        <v>0</v>
      </c>
      <c r="D531" s="7">
        <v>283</v>
      </c>
      <c r="E531" s="7" t="s">
        <v>31</v>
      </c>
      <c r="F531" s="7">
        <v>15</v>
      </c>
      <c r="G531" s="7" t="s">
        <v>4</v>
      </c>
      <c r="H531" s="7">
        <v>15</v>
      </c>
      <c r="I531" s="7" t="s">
        <v>10</v>
      </c>
      <c r="L531" s="15" t="s">
        <v>40</v>
      </c>
    </row>
    <row r="532" spans="1:12">
      <c r="A532" s="6">
        <v>45791</v>
      </c>
      <c r="B532" s="7">
        <v>2</v>
      </c>
      <c r="C532" s="7">
        <v>0</v>
      </c>
      <c r="D532" s="7">
        <v>173</v>
      </c>
      <c r="E532" s="7" t="s">
        <v>31</v>
      </c>
      <c r="F532" s="7">
        <v>15</v>
      </c>
      <c r="G532" s="7" t="s">
        <v>4</v>
      </c>
      <c r="H532" s="7">
        <v>15</v>
      </c>
      <c r="I532" s="7" t="s">
        <v>10</v>
      </c>
      <c r="L532" s="15" t="s">
        <v>40</v>
      </c>
    </row>
    <row r="533" spans="1:12">
      <c r="A533" s="6">
        <v>45791</v>
      </c>
      <c r="B533" s="7">
        <v>2</v>
      </c>
      <c r="C533" s="7">
        <v>0</v>
      </c>
      <c r="D533" s="7">
        <v>173</v>
      </c>
      <c r="E533" s="7" t="s">
        <v>31</v>
      </c>
      <c r="F533" s="7">
        <v>15</v>
      </c>
      <c r="G533" s="7" t="s">
        <v>4</v>
      </c>
      <c r="H533" s="7">
        <v>15</v>
      </c>
      <c r="I533" s="7" t="s">
        <v>10</v>
      </c>
      <c r="L533" s="15" t="s">
        <v>40</v>
      </c>
    </row>
    <row r="534" spans="1:12">
      <c r="A534" s="6">
        <v>45792</v>
      </c>
      <c r="B534" s="7">
        <v>2</v>
      </c>
      <c r="C534" s="7">
        <v>0</v>
      </c>
      <c r="D534" s="7">
        <v>266</v>
      </c>
      <c r="E534" s="7" t="s">
        <v>31</v>
      </c>
      <c r="F534" s="7">
        <v>15</v>
      </c>
      <c r="G534" s="7" t="s">
        <v>4</v>
      </c>
      <c r="H534" s="7">
        <v>15</v>
      </c>
      <c r="I534" s="7" t="s">
        <v>10</v>
      </c>
      <c r="L534" s="15" t="s">
        <v>40</v>
      </c>
    </row>
    <row r="535" spans="1:12">
      <c r="A535" s="6">
        <v>45793</v>
      </c>
      <c r="B535" s="7">
        <v>2</v>
      </c>
      <c r="C535" s="7">
        <v>0</v>
      </c>
      <c r="D535" s="7">
        <v>144</v>
      </c>
      <c r="E535" s="7" t="s">
        <v>31</v>
      </c>
      <c r="F535" s="7">
        <v>150</v>
      </c>
      <c r="G535" s="7" t="s">
        <v>4</v>
      </c>
      <c r="H535" s="7">
        <v>15</v>
      </c>
      <c r="I535" s="7" t="s">
        <v>10</v>
      </c>
      <c r="L535" s="15" t="s">
        <v>40</v>
      </c>
    </row>
    <row r="536" spans="1:12">
      <c r="A536" s="6">
        <v>45797</v>
      </c>
      <c r="B536" s="7">
        <v>2</v>
      </c>
      <c r="C536" s="7">
        <v>0</v>
      </c>
      <c r="D536" s="7">
        <v>160</v>
      </c>
      <c r="E536" s="7" t="s">
        <v>31</v>
      </c>
      <c r="F536" s="7">
        <v>0</v>
      </c>
      <c r="G536" s="7" t="s">
        <v>4</v>
      </c>
      <c r="H536" s="7">
        <v>15</v>
      </c>
      <c r="I536" s="7" t="s">
        <v>10</v>
      </c>
      <c r="L536" s="15" t="s">
        <v>40</v>
      </c>
    </row>
    <row r="537" spans="1:12">
      <c r="A537" s="6">
        <v>45797</v>
      </c>
      <c r="B537" s="7">
        <v>2</v>
      </c>
      <c r="C537" s="7">
        <v>0</v>
      </c>
      <c r="D537" s="7">
        <v>160</v>
      </c>
      <c r="E537" s="7" t="s">
        <v>31</v>
      </c>
      <c r="F537" s="7">
        <v>0</v>
      </c>
      <c r="G537" s="7" t="s">
        <v>4</v>
      </c>
      <c r="H537" s="7">
        <v>15</v>
      </c>
      <c r="I537" s="7" t="s">
        <v>10</v>
      </c>
      <c r="L537" s="15" t="s">
        <v>40</v>
      </c>
    </row>
    <row r="538" spans="1:12">
      <c r="A538" s="6">
        <v>45797</v>
      </c>
      <c r="B538" s="7">
        <v>2</v>
      </c>
      <c r="C538" s="7">
        <v>0</v>
      </c>
      <c r="D538" s="7">
        <v>160</v>
      </c>
      <c r="E538" s="7" t="s">
        <v>31</v>
      </c>
      <c r="F538" s="7">
        <v>0</v>
      </c>
      <c r="G538" s="7" t="s">
        <v>4</v>
      </c>
      <c r="H538" s="7">
        <v>15</v>
      </c>
      <c r="I538" s="7" t="s">
        <v>10</v>
      </c>
      <c r="L538" s="15" t="s">
        <v>40</v>
      </c>
    </row>
    <row r="539" spans="1:12">
      <c r="A539" s="6">
        <v>45798</v>
      </c>
      <c r="B539" s="7">
        <v>2</v>
      </c>
      <c r="C539" s="7">
        <v>0</v>
      </c>
      <c r="D539" s="7">
        <v>246</v>
      </c>
      <c r="E539" s="7" t="s">
        <v>31</v>
      </c>
      <c r="F539" s="7">
        <v>0</v>
      </c>
      <c r="G539" s="7" t="s">
        <v>4</v>
      </c>
      <c r="H539" s="7">
        <v>15</v>
      </c>
      <c r="I539" s="7" t="s">
        <v>10</v>
      </c>
      <c r="L539" s="15" t="s">
        <v>40</v>
      </c>
    </row>
    <row r="540" spans="1:12">
      <c r="A540" s="6">
        <v>45800</v>
      </c>
      <c r="B540" s="7">
        <v>2</v>
      </c>
      <c r="C540" s="7">
        <v>0</v>
      </c>
      <c r="D540" s="7">
        <v>145</v>
      </c>
      <c r="E540" s="7" t="s">
        <v>31</v>
      </c>
      <c r="F540" s="7">
        <v>120</v>
      </c>
      <c r="G540" s="7" t="s">
        <v>4</v>
      </c>
      <c r="H540" s="7">
        <v>15</v>
      </c>
      <c r="I540" s="7" t="s">
        <v>10</v>
      </c>
      <c r="L540" s="15" t="s">
        <v>40</v>
      </c>
    </row>
    <row r="541" spans="1:12">
      <c r="A541" s="6">
        <v>45803</v>
      </c>
      <c r="B541" s="7">
        <v>2</v>
      </c>
      <c r="C541" s="7">
        <v>0</v>
      </c>
      <c r="D541" s="7">
        <v>178</v>
      </c>
      <c r="E541" s="7" t="s">
        <v>31</v>
      </c>
      <c r="F541" s="7">
        <v>15</v>
      </c>
      <c r="G541" s="7" t="s">
        <v>4</v>
      </c>
      <c r="H541" s="7">
        <v>15</v>
      </c>
      <c r="I541" s="7" t="s">
        <v>10</v>
      </c>
      <c r="L541" s="15" t="s">
        <v>40</v>
      </c>
    </row>
    <row r="542" spans="1:12">
      <c r="A542" s="6">
        <v>45804</v>
      </c>
      <c r="B542" s="7">
        <v>2</v>
      </c>
      <c r="C542" s="7">
        <v>0</v>
      </c>
      <c r="D542" s="7">
        <v>115</v>
      </c>
      <c r="E542" s="7" t="s">
        <v>31</v>
      </c>
      <c r="F542" s="7">
        <v>200</v>
      </c>
      <c r="G542" s="7" t="s">
        <v>4</v>
      </c>
      <c r="H542" s="7">
        <v>15</v>
      </c>
      <c r="I542" s="7" t="s">
        <v>10</v>
      </c>
      <c r="L542" s="15" t="s">
        <v>40</v>
      </c>
    </row>
    <row r="543" spans="1:12">
      <c r="A543" s="6">
        <v>45805</v>
      </c>
      <c r="B543" s="7">
        <v>2</v>
      </c>
      <c r="C543" s="7">
        <v>0</v>
      </c>
      <c r="D543" s="7">
        <v>70</v>
      </c>
      <c r="E543" s="7" t="s">
        <v>31</v>
      </c>
      <c r="F543" s="7">
        <v>200</v>
      </c>
      <c r="G543" s="7" t="s">
        <v>4</v>
      </c>
      <c r="H543" s="7">
        <v>15</v>
      </c>
      <c r="I543" s="7" t="s">
        <v>10</v>
      </c>
      <c r="L543" s="15" t="s">
        <v>40</v>
      </c>
    </row>
    <row r="544" spans="1:12">
      <c r="A544" s="6">
        <v>45806</v>
      </c>
      <c r="B544" s="7">
        <v>2</v>
      </c>
      <c r="C544" s="7">
        <v>0</v>
      </c>
      <c r="D544" s="7">
        <v>92</v>
      </c>
      <c r="E544" s="7" t="s">
        <v>31</v>
      </c>
      <c r="F544" s="7">
        <v>413</v>
      </c>
      <c r="G544" s="7" t="s">
        <v>4</v>
      </c>
      <c r="H544" s="7">
        <v>15</v>
      </c>
      <c r="I544" s="7" t="s">
        <v>10</v>
      </c>
      <c r="L544" s="15" t="s">
        <v>40</v>
      </c>
    </row>
    <row r="545" spans="1:12">
      <c r="A545" s="6">
        <v>45807</v>
      </c>
      <c r="B545" s="7">
        <v>2</v>
      </c>
      <c r="C545" s="7">
        <v>0</v>
      </c>
      <c r="D545" s="7">
        <v>218</v>
      </c>
      <c r="E545" s="7" t="s">
        <v>31</v>
      </c>
      <c r="F545" s="7">
        <v>120</v>
      </c>
      <c r="G545" s="7" t="s">
        <v>4</v>
      </c>
      <c r="H545" s="7">
        <v>15</v>
      </c>
      <c r="I545" s="7" t="s">
        <v>10</v>
      </c>
      <c r="L545" s="15" t="s">
        <v>40</v>
      </c>
    </row>
    <row r="546" spans="1:12">
      <c r="A546" s="6">
        <v>45818</v>
      </c>
      <c r="B546" s="7">
        <v>2</v>
      </c>
      <c r="C546" s="7">
        <v>0</v>
      </c>
      <c r="D546" s="7">
        <v>205</v>
      </c>
      <c r="E546" s="7" t="s">
        <v>31</v>
      </c>
      <c r="F546" s="7">
        <v>15</v>
      </c>
      <c r="G546" s="7" t="s">
        <v>4</v>
      </c>
      <c r="H546" s="7">
        <v>15</v>
      </c>
      <c r="I546" s="7" t="s">
        <v>10</v>
      </c>
      <c r="L546" s="15" t="s">
        <v>40</v>
      </c>
    </row>
    <row r="547" spans="1:12">
      <c r="A547" s="6">
        <v>45819</v>
      </c>
      <c r="B547" s="7">
        <v>2</v>
      </c>
      <c r="C547" s="7">
        <v>0</v>
      </c>
      <c r="D547" s="7">
        <v>118</v>
      </c>
      <c r="E547" s="7" t="s">
        <v>31</v>
      </c>
      <c r="F547" s="7">
        <v>295</v>
      </c>
      <c r="G547" s="7" t="s">
        <v>4</v>
      </c>
      <c r="H547" s="7">
        <v>15</v>
      </c>
      <c r="I547" s="7" t="s">
        <v>10</v>
      </c>
      <c r="L547" s="15" t="s">
        <v>40</v>
      </c>
    </row>
    <row r="548" spans="1:12">
      <c r="A548" s="6">
        <v>45820</v>
      </c>
      <c r="B548" s="7">
        <v>2</v>
      </c>
      <c r="C548" s="7">
        <v>0</v>
      </c>
      <c r="D548" s="7">
        <v>380</v>
      </c>
      <c r="E548" s="7" t="s">
        <v>31</v>
      </c>
      <c r="F548" s="7">
        <v>15</v>
      </c>
      <c r="G548" s="7" t="s">
        <v>4</v>
      </c>
      <c r="H548" s="7">
        <v>15</v>
      </c>
      <c r="I548" s="7" t="s">
        <v>10</v>
      </c>
      <c r="L548" s="15" t="s">
        <v>40</v>
      </c>
    </row>
    <row r="549" spans="1:12">
      <c r="A549" s="6">
        <v>45824</v>
      </c>
      <c r="B549" s="7">
        <v>2</v>
      </c>
      <c r="C549" s="7">
        <v>0</v>
      </c>
      <c r="D549" s="7">
        <v>348</v>
      </c>
      <c r="E549" s="7" t="s">
        <v>31</v>
      </c>
      <c r="F549" s="7">
        <v>15</v>
      </c>
      <c r="G549" s="7" t="s">
        <v>4</v>
      </c>
      <c r="H549" s="7">
        <v>15</v>
      </c>
      <c r="I549" s="7" t="s">
        <v>10</v>
      </c>
      <c r="L549" s="15" t="s">
        <v>40</v>
      </c>
    </row>
    <row r="550" spans="1:12">
      <c r="A550" s="6">
        <v>45825</v>
      </c>
      <c r="B550" s="7">
        <v>2</v>
      </c>
      <c r="C550" s="7">
        <v>0</v>
      </c>
      <c r="D550" s="7">
        <v>208</v>
      </c>
      <c r="E550" s="7" t="s">
        <v>31</v>
      </c>
      <c r="F550" s="7">
        <v>15</v>
      </c>
      <c r="G550" s="7" t="s">
        <v>4</v>
      </c>
      <c r="H550" s="7">
        <v>15</v>
      </c>
      <c r="I550" s="7" t="s">
        <v>10</v>
      </c>
      <c r="L550" s="15" t="s">
        <v>40</v>
      </c>
    </row>
    <row r="551" spans="1:12">
      <c r="A551" s="6">
        <v>45826</v>
      </c>
      <c r="B551" s="7">
        <v>2</v>
      </c>
      <c r="C551" s="7">
        <v>0</v>
      </c>
      <c r="D551" s="7">
        <v>258</v>
      </c>
      <c r="E551" s="7" t="s">
        <v>31</v>
      </c>
      <c r="F551" s="7">
        <v>15</v>
      </c>
      <c r="G551" s="7" t="s">
        <v>4</v>
      </c>
      <c r="H551" s="7">
        <v>15</v>
      </c>
      <c r="I551" s="7" t="s">
        <v>10</v>
      </c>
      <c r="L551" s="15" t="s">
        <v>40</v>
      </c>
    </row>
    <row r="552" spans="1:12">
      <c r="A552" s="6">
        <v>45827</v>
      </c>
      <c r="B552" s="7">
        <v>2</v>
      </c>
      <c r="C552" s="7">
        <v>0</v>
      </c>
      <c r="D552" s="7">
        <v>390</v>
      </c>
      <c r="E552" s="7" t="s">
        <v>31</v>
      </c>
      <c r="F552" s="7">
        <v>15</v>
      </c>
      <c r="G552" s="7" t="s">
        <v>4</v>
      </c>
      <c r="H552" s="7">
        <v>15</v>
      </c>
      <c r="I552" s="7" t="s">
        <v>10</v>
      </c>
      <c r="L552" s="15" t="s">
        <v>40</v>
      </c>
    </row>
    <row r="553" spans="1:12">
      <c r="A553" s="6">
        <v>45828</v>
      </c>
      <c r="B553" s="7">
        <v>2</v>
      </c>
      <c r="C553" s="7">
        <v>0</v>
      </c>
      <c r="D553" s="7">
        <v>286</v>
      </c>
      <c r="E553" s="7" t="s">
        <v>31</v>
      </c>
      <c r="F553" s="7">
        <v>90</v>
      </c>
      <c r="G553" s="7" t="s">
        <v>4</v>
      </c>
      <c r="H553" s="7">
        <v>15</v>
      </c>
      <c r="I553" s="7" t="s">
        <v>10</v>
      </c>
      <c r="L553" s="15" t="s">
        <v>40</v>
      </c>
    </row>
    <row r="554" spans="1:12">
      <c r="A554" s="6">
        <v>45831</v>
      </c>
      <c r="B554" s="7">
        <v>2</v>
      </c>
      <c r="C554" s="7">
        <v>0</v>
      </c>
      <c r="D554" s="7">
        <v>211</v>
      </c>
      <c r="E554" s="7" t="s">
        <v>31</v>
      </c>
      <c r="F554" s="7">
        <v>15</v>
      </c>
      <c r="G554" s="7" t="s">
        <v>4</v>
      </c>
      <c r="H554" s="7">
        <v>15</v>
      </c>
      <c r="I554" s="7" t="s">
        <v>10</v>
      </c>
      <c r="L554" s="15" t="s">
        <v>40</v>
      </c>
    </row>
    <row r="555" spans="1:12">
      <c r="A555" s="6">
        <v>45832</v>
      </c>
      <c r="B555" s="7">
        <v>2</v>
      </c>
      <c r="C555" s="7">
        <v>0</v>
      </c>
      <c r="D555" s="7">
        <v>162</v>
      </c>
      <c r="E555" s="7" t="s">
        <v>31</v>
      </c>
      <c r="F555" s="7">
        <v>15</v>
      </c>
      <c r="G555" s="7" t="s">
        <v>4</v>
      </c>
      <c r="H555" s="7">
        <v>15</v>
      </c>
      <c r="I555" s="7" t="s">
        <v>10</v>
      </c>
      <c r="L555" s="15" t="s">
        <v>40</v>
      </c>
    </row>
    <row r="556" spans="1:12">
      <c r="A556" s="6">
        <v>45832</v>
      </c>
      <c r="B556" s="7">
        <v>2</v>
      </c>
      <c r="C556" s="7">
        <v>0</v>
      </c>
      <c r="D556" s="7">
        <v>162</v>
      </c>
      <c r="E556" s="7" t="s">
        <v>31</v>
      </c>
      <c r="F556" s="7">
        <v>15</v>
      </c>
      <c r="G556" s="7" t="s">
        <v>4</v>
      </c>
      <c r="H556" s="7">
        <v>15</v>
      </c>
      <c r="I556" s="7" t="s">
        <v>10</v>
      </c>
      <c r="L556" s="15" t="s">
        <v>40</v>
      </c>
    </row>
    <row r="557" spans="1:12">
      <c r="A557" s="6">
        <v>45833</v>
      </c>
      <c r="B557" s="7">
        <v>2</v>
      </c>
      <c r="C557" s="7">
        <v>0</v>
      </c>
      <c r="D557" s="7">
        <v>187</v>
      </c>
      <c r="E557" s="7" t="s">
        <v>31</v>
      </c>
      <c r="F557" s="7">
        <v>15</v>
      </c>
      <c r="G557" s="7" t="s">
        <v>4</v>
      </c>
      <c r="H557" s="7">
        <v>15</v>
      </c>
      <c r="I557" s="7" t="s">
        <v>10</v>
      </c>
      <c r="L557" s="15" t="s">
        <v>40</v>
      </c>
    </row>
    <row r="558" spans="1:12">
      <c r="A558" s="6">
        <v>45834</v>
      </c>
      <c r="B558" s="7">
        <v>2</v>
      </c>
      <c r="C558" s="7">
        <v>0</v>
      </c>
      <c r="D558" s="7">
        <v>277</v>
      </c>
      <c r="E558" s="7" t="s">
        <v>31</v>
      </c>
      <c r="F558" s="7">
        <v>15</v>
      </c>
      <c r="G558" s="7" t="s">
        <v>4</v>
      </c>
      <c r="H558" s="7">
        <v>15</v>
      </c>
      <c r="I558" s="7" t="s">
        <v>10</v>
      </c>
      <c r="L558" s="15" t="s">
        <v>40</v>
      </c>
    </row>
    <row r="559" spans="1:12">
      <c r="A559" s="6">
        <v>45838</v>
      </c>
      <c r="B559" s="7">
        <v>2</v>
      </c>
      <c r="C559" s="7">
        <v>0</v>
      </c>
      <c r="D559" s="7">
        <v>44</v>
      </c>
      <c r="E559" s="7" t="s">
        <v>31</v>
      </c>
      <c r="F559" s="7">
        <v>75</v>
      </c>
      <c r="G559" s="7" t="s">
        <v>4</v>
      </c>
      <c r="H559" s="7">
        <v>15</v>
      </c>
      <c r="I559" s="7" t="s">
        <v>10</v>
      </c>
      <c r="L559" s="15" t="s">
        <v>40</v>
      </c>
    </row>
    <row r="560" spans="1:12">
      <c r="A560" s="6">
        <v>45839</v>
      </c>
      <c r="B560" s="7">
        <v>2</v>
      </c>
      <c r="C560" s="7">
        <v>0</v>
      </c>
      <c r="D560" s="7">
        <v>267</v>
      </c>
      <c r="E560" s="7" t="s">
        <v>31</v>
      </c>
      <c r="F560" s="7">
        <v>15</v>
      </c>
      <c r="G560" s="7" t="s">
        <v>4</v>
      </c>
      <c r="H560" s="7">
        <v>15</v>
      </c>
      <c r="I560" s="7" t="s">
        <v>10</v>
      </c>
      <c r="L560" s="15" t="s">
        <v>40</v>
      </c>
    </row>
    <row r="561" spans="1:12">
      <c r="A561" s="6">
        <v>45840</v>
      </c>
      <c r="B561" s="7">
        <v>2</v>
      </c>
      <c r="C561" s="7">
        <v>0</v>
      </c>
      <c r="D561" s="7">
        <v>458</v>
      </c>
      <c r="E561" s="7" t="s">
        <v>31</v>
      </c>
      <c r="F561" s="7">
        <v>15</v>
      </c>
      <c r="G561" s="7" t="s">
        <v>4</v>
      </c>
      <c r="H561" s="7">
        <v>15</v>
      </c>
      <c r="I561" s="7" t="s">
        <v>10</v>
      </c>
      <c r="L561" s="15" t="s">
        <v>40</v>
      </c>
    </row>
    <row r="562" spans="1:12">
      <c r="A562" s="6">
        <v>45840</v>
      </c>
      <c r="B562" s="7">
        <v>2</v>
      </c>
      <c r="C562" s="7">
        <v>0</v>
      </c>
      <c r="D562" s="7">
        <v>458</v>
      </c>
      <c r="E562" s="7" t="s">
        <v>31</v>
      </c>
      <c r="F562" s="7">
        <v>15</v>
      </c>
      <c r="G562" s="7" t="s">
        <v>4</v>
      </c>
      <c r="H562" s="7">
        <v>15</v>
      </c>
      <c r="I562" s="7" t="s">
        <v>10</v>
      </c>
      <c r="L562" s="15" t="s">
        <v>40</v>
      </c>
    </row>
    <row r="563" spans="1:12">
      <c r="A563" s="6">
        <v>45841</v>
      </c>
      <c r="B563" s="7">
        <v>2</v>
      </c>
      <c r="C563" s="7">
        <v>0</v>
      </c>
      <c r="D563" s="7">
        <v>622</v>
      </c>
      <c r="E563" s="7" t="s">
        <v>31</v>
      </c>
      <c r="F563" s="7">
        <v>15</v>
      </c>
      <c r="G563" s="7" t="s">
        <v>4</v>
      </c>
      <c r="H563" s="7">
        <v>15</v>
      </c>
      <c r="I563" s="7" t="s">
        <v>10</v>
      </c>
      <c r="L563" s="15" t="s">
        <v>40</v>
      </c>
    </row>
    <row r="564" spans="1:12">
      <c r="A564" s="6">
        <v>45842</v>
      </c>
      <c r="B564" s="7">
        <v>2</v>
      </c>
      <c r="C564" s="7">
        <v>0</v>
      </c>
      <c r="D564" s="7">
        <v>166</v>
      </c>
      <c r="E564" s="7" t="s">
        <v>31</v>
      </c>
      <c r="F564" s="7">
        <v>60</v>
      </c>
      <c r="G564" s="7" t="s">
        <v>4</v>
      </c>
      <c r="H564" s="7">
        <v>15</v>
      </c>
      <c r="I564" s="7" t="s">
        <v>10</v>
      </c>
      <c r="L564" s="15" t="s">
        <v>40</v>
      </c>
    </row>
    <row r="565" spans="1:12">
      <c r="A565" s="6">
        <v>45842</v>
      </c>
      <c r="B565" s="7">
        <v>2</v>
      </c>
      <c r="C565" s="7">
        <v>0</v>
      </c>
      <c r="D565" s="7">
        <v>355</v>
      </c>
      <c r="E565" s="7" t="s">
        <v>31</v>
      </c>
      <c r="F565" s="7">
        <v>15</v>
      </c>
      <c r="G565" s="7" t="s">
        <v>4</v>
      </c>
      <c r="H565" s="7">
        <v>15</v>
      </c>
      <c r="I565" s="7" t="s">
        <v>10</v>
      </c>
      <c r="L565" s="15" t="s">
        <v>40</v>
      </c>
    </row>
    <row r="566" spans="1:12">
      <c r="A566" s="6">
        <v>45842</v>
      </c>
      <c r="B566" s="7">
        <v>2</v>
      </c>
      <c r="C566" s="7">
        <v>0</v>
      </c>
      <c r="D566" s="7">
        <v>338</v>
      </c>
      <c r="E566" s="7" t="s">
        <v>31</v>
      </c>
      <c r="F566" s="7">
        <v>15</v>
      </c>
      <c r="G566" s="7" t="s">
        <v>4</v>
      </c>
      <c r="H566" s="7">
        <v>15</v>
      </c>
      <c r="I566" s="7" t="s">
        <v>10</v>
      </c>
      <c r="L566" s="15" t="s">
        <v>40</v>
      </c>
    </row>
    <row r="567" spans="1:12">
      <c r="A567" s="6">
        <v>45842</v>
      </c>
      <c r="B567" s="7">
        <v>2</v>
      </c>
      <c r="C567" s="7">
        <v>0</v>
      </c>
      <c r="D567" s="7">
        <v>350</v>
      </c>
      <c r="E567" s="7" t="s">
        <v>31</v>
      </c>
      <c r="F567" s="7">
        <v>15</v>
      </c>
      <c r="G567" s="7" t="s">
        <v>4</v>
      </c>
      <c r="H567" s="7">
        <v>15</v>
      </c>
      <c r="I567" s="7" t="s">
        <v>10</v>
      </c>
      <c r="L567" s="15" t="s">
        <v>40</v>
      </c>
    </row>
    <row r="568" spans="1:12">
      <c r="A568" s="6">
        <v>45842</v>
      </c>
      <c r="B568" s="7">
        <v>2</v>
      </c>
      <c r="C568" s="7">
        <v>0</v>
      </c>
      <c r="D568" s="7">
        <v>393</v>
      </c>
      <c r="E568" s="7" t="s">
        <v>31</v>
      </c>
      <c r="F568" s="7">
        <v>15</v>
      </c>
      <c r="G568" s="7" t="s">
        <v>4</v>
      </c>
      <c r="H568" s="7">
        <v>15</v>
      </c>
      <c r="I568" s="7" t="s">
        <v>10</v>
      </c>
      <c r="L568" s="15" t="s">
        <v>40</v>
      </c>
    </row>
    <row r="569" spans="1:12">
      <c r="A569" s="6">
        <v>45842</v>
      </c>
      <c r="B569" s="7">
        <v>2</v>
      </c>
      <c r="C569" s="7">
        <v>0</v>
      </c>
      <c r="D569" s="7">
        <v>308</v>
      </c>
      <c r="E569" s="7" t="s">
        <v>31</v>
      </c>
      <c r="F569" s="7">
        <v>15</v>
      </c>
      <c r="G569" s="7" t="s">
        <v>4</v>
      </c>
      <c r="H569" s="7">
        <v>15</v>
      </c>
      <c r="I569" s="7" t="s">
        <v>10</v>
      </c>
      <c r="L569" s="15" t="s">
        <v>40</v>
      </c>
    </row>
    <row r="570" spans="1:12">
      <c r="A570" s="6">
        <v>45842</v>
      </c>
      <c r="B570" s="7">
        <v>2</v>
      </c>
      <c r="C570" s="7">
        <v>0</v>
      </c>
      <c r="D570" s="7">
        <v>278</v>
      </c>
      <c r="E570" s="7" t="s">
        <v>31</v>
      </c>
      <c r="F570" s="7">
        <v>15</v>
      </c>
      <c r="G570" s="7" t="s">
        <v>4</v>
      </c>
      <c r="H570" s="7">
        <v>15</v>
      </c>
      <c r="I570" s="7" t="s">
        <v>10</v>
      </c>
      <c r="L570" s="15" t="s">
        <v>40</v>
      </c>
    </row>
    <row r="571" spans="1:12">
      <c r="A571" s="6">
        <v>45842</v>
      </c>
      <c r="B571" s="7">
        <v>2</v>
      </c>
      <c r="C571" s="7">
        <v>0</v>
      </c>
      <c r="D571" s="7">
        <v>161</v>
      </c>
      <c r="E571" s="7" t="s">
        <v>31</v>
      </c>
      <c r="F571" s="7">
        <v>15</v>
      </c>
      <c r="G571" s="7" t="s">
        <v>4</v>
      </c>
      <c r="H571" s="7">
        <v>15</v>
      </c>
      <c r="I571" s="7" t="s">
        <v>10</v>
      </c>
      <c r="L571" s="15" t="s">
        <v>40</v>
      </c>
    </row>
    <row r="572" spans="1:12">
      <c r="A572" s="6">
        <v>45855</v>
      </c>
      <c r="B572" s="7">
        <v>2</v>
      </c>
      <c r="C572" s="7">
        <v>0</v>
      </c>
      <c r="D572" s="7">
        <v>133</v>
      </c>
      <c r="E572" s="7" t="s">
        <v>31</v>
      </c>
      <c r="F572" s="7">
        <v>15</v>
      </c>
      <c r="G572" s="7" t="s">
        <v>4</v>
      </c>
      <c r="H572" s="7">
        <v>15</v>
      </c>
      <c r="I572" s="7" t="s">
        <v>10</v>
      </c>
      <c r="L572" s="15" t="s">
        <v>40</v>
      </c>
    </row>
    <row r="573" spans="1:12">
      <c r="A573" s="6">
        <v>45856</v>
      </c>
      <c r="B573" s="7">
        <v>2</v>
      </c>
      <c r="C573" s="7">
        <v>0</v>
      </c>
      <c r="D573" s="7">
        <v>196</v>
      </c>
      <c r="E573" s="7" t="s">
        <v>31</v>
      </c>
      <c r="F573" s="7">
        <v>90</v>
      </c>
      <c r="G573" s="7" t="s">
        <v>4</v>
      </c>
      <c r="H573" s="7">
        <v>15</v>
      </c>
      <c r="I573" s="7" t="s">
        <v>10</v>
      </c>
      <c r="L573" s="15" t="s">
        <v>40</v>
      </c>
    </row>
    <row r="574" spans="1:12">
      <c r="A574" s="6">
        <v>45859</v>
      </c>
      <c r="B574" s="7">
        <v>2</v>
      </c>
      <c r="C574" s="7">
        <v>0</v>
      </c>
      <c r="D574" s="7">
        <v>147</v>
      </c>
      <c r="E574" s="7" t="s">
        <v>31</v>
      </c>
      <c r="F574" s="7">
        <v>150</v>
      </c>
      <c r="G574" s="7" t="s">
        <v>4</v>
      </c>
      <c r="H574" s="7">
        <v>15</v>
      </c>
      <c r="I574" s="7" t="s">
        <v>10</v>
      </c>
      <c r="L574" s="15" t="s">
        <v>40</v>
      </c>
    </row>
    <row r="575" spans="1:12">
      <c r="A575" s="6">
        <v>45860</v>
      </c>
      <c r="B575" s="7">
        <v>2</v>
      </c>
      <c r="C575" s="7">
        <v>0</v>
      </c>
      <c r="D575" s="7">
        <v>156</v>
      </c>
      <c r="E575" s="7" t="s">
        <v>31</v>
      </c>
      <c r="F575" s="7">
        <v>15</v>
      </c>
      <c r="G575" s="7" t="s">
        <v>4</v>
      </c>
      <c r="H575" s="7">
        <v>15</v>
      </c>
      <c r="I575" s="7" t="s">
        <v>10</v>
      </c>
      <c r="L575" s="15" t="s">
        <v>40</v>
      </c>
    </row>
    <row r="576" spans="1:12">
      <c r="A576" s="6">
        <v>45860</v>
      </c>
      <c r="B576" s="7">
        <v>2</v>
      </c>
      <c r="C576" s="7">
        <v>0</v>
      </c>
      <c r="D576" s="7">
        <v>282</v>
      </c>
      <c r="E576" s="7" t="s">
        <v>31</v>
      </c>
      <c r="F576" s="7">
        <v>15</v>
      </c>
      <c r="G576" s="7" t="s">
        <v>4</v>
      </c>
      <c r="H576" s="7">
        <v>15</v>
      </c>
      <c r="I576" s="7" t="s">
        <v>10</v>
      </c>
      <c r="L576" s="15" t="s">
        <v>40</v>
      </c>
    </row>
    <row r="577" spans="1:12">
      <c r="A577" s="6">
        <v>45861</v>
      </c>
      <c r="B577" s="7">
        <v>2</v>
      </c>
      <c r="C577" s="7">
        <v>0</v>
      </c>
      <c r="D577" s="7">
        <v>156</v>
      </c>
      <c r="E577" s="7" t="s">
        <v>31</v>
      </c>
      <c r="F577" s="7">
        <v>120</v>
      </c>
      <c r="G577" s="7" t="s">
        <v>4</v>
      </c>
      <c r="H577" s="7">
        <v>15</v>
      </c>
      <c r="I577" s="7" t="s">
        <v>10</v>
      </c>
      <c r="L577" s="15" t="s">
        <v>40</v>
      </c>
    </row>
    <row r="578" spans="1:12">
      <c r="A578" s="6">
        <v>45862</v>
      </c>
      <c r="B578" s="7">
        <v>2</v>
      </c>
      <c r="C578" s="7">
        <v>0</v>
      </c>
      <c r="D578" s="7">
        <v>148</v>
      </c>
      <c r="E578" s="7" t="s">
        <v>31</v>
      </c>
      <c r="F578" s="7">
        <v>30</v>
      </c>
      <c r="G578" s="7" t="s">
        <v>28</v>
      </c>
      <c r="H578" s="7">
        <v>15</v>
      </c>
      <c r="I578" s="7" t="s">
        <v>10</v>
      </c>
      <c r="L578" s="15" t="s">
        <v>40</v>
      </c>
    </row>
    <row r="579" spans="1:12">
      <c r="A579" s="6">
        <v>45863</v>
      </c>
      <c r="B579" s="7">
        <v>2</v>
      </c>
      <c r="C579" s="7">
        <v>0</v>
      </c>
      <c r="D579" s="7">
        <v>132</v>
      </c>
      <c r="E579" s="7" t="s">
        <v>31</v>
      </c>
      <c r="F579" s="7">
        <v>60</v>
      </c>
      <c r="G579" s="7" t="s">
        <v>4</v>
      </c>
      <c r="H579" s="7">
        <v>15</v>
      </c>
      <c r="I579" s="7" t="s">
        <v>10</v>
      </c>
      <c r="L579" s="15" t="s">
        <v>40</v>
      </c>
    </row>
    <row r="580" spans="1:12">
      <c r="A580" s="6">
        <v>45866</v>
      </c>
      <c r="B580" s="7">
        <v>2</v>
      </c>
      <c r="C580" s="7">
        <v>0</v>
      </c>
      <c r="D580" s="7">
        <v>365</v>
      </c>
      <c r="E580" s="7" t="s">
        <v>31</v>
      </c>
      <c r="F580" s="7">
        <v>60</v>
      </c>
      <c r="G580" s="7" t="s">
        <v>4</v>
      </c>
      <c r="H580" s="7">
        <v>15</v>
      </c>
      <c r="I580" s="7" t="s">
        <v>10</v>
      </c>
      <c r="L580" s="15" t="s">
        <v>40</v>
      </c>
    </row>
    <row r="581" spans="1:12">
      <c r="A581" s="6">
        <v>45866</v>
      </c>
      <c r="B581" s="7">
        <v>2</v>
      </c>
      <c r="C581" s="7">
        <v>0</v>
      </c>
      <c r="D581" s="7">
        <v>365</v>
      </c>
      <c r="E581" s="7" t="s">
        <v>31</v>
      </c>
      <c r="F581" s="7">
        <v>60</v>
      </c>
      <c r="G581" s="7" t="s">
        <v>4</v>
      </c>
      <c r="H581" s="7">
        <v>15</v>
      </c>
      <c r="I581" s="7" t="s">
        <v>10</v>
      </c>
      <c r="L581" s="15" t="s">
        <v>40</v>
      </c>
    </row>
    <row r="582" spans="1:12">
      <c r="A582" s="6">
        <v>45867</v>
      </c>
      <c r="B582" s="7">
        <v>2</v>
      </c>
      <c r="C582" s="7">
        <v>0</v>
      </c>
      <c r="D582" s="7">
        <v>235</v>
      </c>
      <c r="E582" s="7" t="s">
        <v>31</v>
      </c>
      <c r="F582" s="7">
        <v>60</v>
      </c>
      <c r="G582" s="7" t="s">
        <v>4</v>
      </c>
      <c r="H582" s="7">
        <v>15</v>
      </c>
      <c r="I582" s="7" t="s">
        <v>10</v>
      </c>
      <c r="L582" s="15" t="s">
        <v>40</v>
      </c>
    </row>
    <row r="583" spans="1:12">
      <c r="A583" s="6">
        <v>45867</v>
      </c>
      <c r="B583" s="7">
        <v>2</v>
      </c>
      <c r="C583" s="7">
        <v>0</v>
      </c>
      <c r="D583" s="7">
        <v>416</v>
      </c>
      <c r="E583" s="7" t="s">
        <v>31</v>
      </c>
      <c r="F583" s="7">
        <v>60</v>
      </c>
      <c r="G583" s="7" t="s">
        <v>4</v>
      </c>
      <c r="H583" s="7">
        <v>15</v>
      </c>
      <c r="I583" s="7" t="s">
        <v>10</v>
      </c>
      <c r="L583" s="15" t="s">
        <v>40</v>
      </c>
    </row>
    <row r="584" spans="1:12">
      <c r="A584" s="6">
        <v>45869</v>
      </c>
      <c r="B584" s="7">
        <v>2</v>
      </c>
      <c r="C584" s="7">
        <v>0</v>
      </c>
      <c r="D584" s="7">
        <v>442</v>
      </c>
      <c r="E584" s="7" t="s">
        <v>31</v>
      </c>
      <c r="F584" s="7">
        <v>15</v>
      </c>
      <c r="G584" s="7" t="s">
        <v>4</v>
      </c>
      <c r="H584" s="7">
        <v>15</v>
      </c>
      <c r="I584" s="7" t="s">
        <v>10</v>
      </c>
      <c r="L584" s="15" t="s">
        <v>40</v>
      </c>
    </row>
    <row r="585" spans="1:12">
      <c r="A585" s="6">
        <v>45870</v>
      </c>
      <c r="B585" s="7">
        <v>2</v>
      </c>
      <c r="C585" s="7">
        <v>0</v>
      </c>
      <c r="D585" s="7">
        <v>266</v>
      </c>
      <c r="E585" s="7" t="s">
        <v>31</v>
      </c>
      <c r="F585" s="7">
        <v>90</v>
      </c>
      <c r="G585" s="7" t="s">
        <v>4</v>
      </c>
      <c r="H585" s="7">
        <v>15</v>
      </c>
      <c r="I585" s="7" t="s">
        <v>10</v>
      </c>
      <c r="L585" s="15" t="s">
        <v>40</v>
      </c>
    </row>
    <row r="586" spans="1:12">
      <c r="A586" s="6">
        <v>45874</v>
      </c>
      <c r="B586" s="7">
        <v>2</v>
      </c>
      <c r="C586" s="7">
        <v>0</v>
      </c>
      <c r="D586" s="7">
        <v>312</v>
      </c>
      <c r="E586" s="7" t="s">
        <v>31</v>
      </c>
      <c r="F586" s="7">
        <v>15</v>
      </c>
      <c r="G586" s="7" t="s">
        <v>4</v>
      </c>
      <c r="H586" s="7">
        <v>15</v>
      </c>
      <c r="I586" s="7" t="s">
        <v>10</v>
      </c>
      <c r="L586" s="15" t="s">
        <v>40</v>
      </c>
    </row>
    <row r="587" spans="1:12">
      <c r="A587" s="6">
        <v>45873</v>
      </c>
      <c r="B587" s="7">
        <v>2</v>
      </c>
      <c r="C587" s="7">
        <v>0</v>
      </c>
      <c r="D587" s="7">
        <v>300</v>
      </c>
      <c r="E587" s="7" t="s">
        <v>31</v>
      </c>
      <c r="F587" s="7">
        <v>15</v>
      </c>
      <c r="G587" s="7" t="s">
        <v>4</v>
      </c>
      <c r="H587" s="7">
        <v>15</v>
      </c>
      <c r="I587" s="7" t="s">
        <v>10</v>
      </c>
      <c r="L587" s="15" t="s">
        <v>40</v>
      </c>
    </row>
    <row r="588" spans="1:12">
      <c r="A588" s="6">
        <v>45873</v>
      </c>
      <c r="B588" s="7">
        <v>2</v>
      </c>
      <c r="C588" s="7">
        <v>0</v>
      </c>
      <c r="D588" s="7">
        <v>378</v>
      </c>
      <c r="E588" s="7" t="s">
        <v>31</v>
      </c>
      <c r="F588" s="7">
        <v>15</v>
      </c>
      <c r="G588" s="7" t="s">
        <v>4</v>
      </c>
      <c r="H588" s="7">
        <v>15</v>
      </c>
      <c r="I588" s="7" t="s">
        <v>10</v>
      </c>
      <c r="L588" s="15" t="s">
        <v>40</v>
      </c>
    </row>
    <row r="589" spans="1:12">
      <c r="A589" s="6">
        <v>808.20249999999999</v>
      </c>
      <c r="B589" s="7">
        <v>2</v>
      </c>
      <c r="C589" s="7">
        <v>0</v>
      </c>
      <c r="D589" s="7">
        <v>290</v>
      </c>
      <c r="E589" s="7" t="s">
        <v>31</v>
      </c>
      <c r="F589" s="7">
        <v>60</v>
      </c>
      <c r="G589" s="7" t="s">
        <v>4</v>
      </c>
      <c r="H589" s="7">
        <v>15</v>
      </c>
      <c r="I589" s="7" t="s">
        <v>10</v>
      </c>
      <c r="L589" s="15" t="s">
        <v>40</v>
      </c>
    </row>
    <row r="590" spans="1:12">
      <c r="A590" s="6">
        <v>45846</v>
      </c>
      <c r="B590" s="7">
        <v>2</v>
      </c>
      <c r="C590" s="7">
        <v>0</v>
      </c>
      <c r="D590" s="7">
        <v>271</v>
      </c>
      <c r="E590" s="7" t="s">
        <v>31</v>
      </c>
      <c r="F590" s="7">
        <v>15</v>
      </c>
      <c r="G590" s="7" t="s">
        <v>4</v>
      </c>
      <c r="H590" s="7">
        <v>15</v>
      </c>
      <c r="I590" s="7" t="s">
        <v>10</v>
      </c>
      <c r="L590" s="15" t="s">
        <v>40</v>
      </c>
    </row>
    <row r="591" spans="1:12">
      <c r="A591" s="6">
        <v>45876</v>
      </c>
      <c r="B591" s="7">
        <v>2</v>
      </c>
      <c r="C591" s="7">
        <v>0</v>
      </c>
      <c r="D591" s="7">
        <v>310</v>
      </c>
      <c r="E591" s="7" t="s">
        <v>31</v>
      </c>
      <c r="F591" s="7">
        <v>15</v>
      </c>
      <c r="G591" s="7" t="s">
        <v>4</v>
      </c>
      <c r="H591" s="7">
        <v>15</v>
      </c>
      <c r="I591" s="7" t="s">
        <v>10</v>
      </c>
      <c r="L591" s="15" t="s">
        <v>40</v>
      </c>
    </row>
    <row r="592" spans="1:12">
      <c r="A592" s="6">
        <v>45880</v>
      </c>
      <c r="B592" s="7">
        <v>2</v>
      </c>
      <c r="C592" s="7">
        <v>0</v>
      </c>
      <c r="D592" s="7">
        <v>468</v>
      </c>
      <c r="E592" s="7" t="s">
        <v>31</v>
      </c>
      <c r="F592" s="7">
        <v>15</v>
      </c>
      <c r="G592" s="7" t="s">
        <v>4</v>
      </c>
      <c r="H592" s="7">
        <v>15</v>
      </c>
      <c r="I592" s="7" t="s">
        <v>10</v>
      </c>
      <c r="L592" s="15" t="s">
        <v>40</v>
      </c>
    </row>
    <row r="593" spans="1:12">
      <c r="A593" s="6">
        <v>45881</v>
      </c>
      <c r="B593" s="7">
        <v>2</v>
      </c>
      <c r="C593" s="7">
        <v>0</v>
      </c>
      <c r="D593" s="7">
        <v>332</v>
      </c>
      <c r="E593" s="7" t="s">
        <v>31</v>
      </c>
      <c r="F593" s="7">
        <v>15</v>
      </c>
      <c r="G593" s="7" t="s">
        <v>4</v>
      </c>
      <c r="H593" s="7">
        <v>30</v>
      </c>
      <c r="I593" s="7" t="s">
        <v>16</v>
      </c>
      <c r="L593" s="15" t="s">
        <v>40</v>
      </c>
    </row>
    <row r="594" spans="1:12">
      <c r="A594" s="6">
        <v>45882</v>
      </c>
      <c r="B594" s="7">
        <v>2</v>
      </c>
      <c r="C594" s="7">
        <v>0</v>
      </c>
      <c r="D594" s="7">
        <v>344</v>
      </c>
      <c r="E594" s="7" t="s">
        <v>31</v>
      </c>
      <c r="F594" s="7">
        <v>15</v>
      </c>
      <c r="G594" s="7" t="s">
        <v>4</v>
      </c>
      <c r="H594" s="7">
        <v>15</v>
      </c>
      <c r="I594" s="7" t="s">
        <v>16</v>
      </c>
      <c r="L594" s="15" t="s">
        <v>40</v>
      </c>
    </row>
    <row r="595" spans="1:12">
      <c r="A595" s="6">
        <v>45882</v>
      </c>
      <c r="B595" s="7">
        <v>2</v>
      </c>
      <c r="C595" s="7">
        <v>0</v>
      </c>
      <c r="D595" s="7">
        <v>390</v>
      </c>
      <c r="E595" s="7" t="s">
        <v>31</v>
      </c>
      <c r="F595" s="7">
        <v>15</v>
      </c>
      <c r="G595" s="7" t="s">
        <v>4</v>
      </c>
      <c r="H595" s="7">
        <v>15</v>
      </c>
      <c r="I595" s="7" t="s">
        <v>16</v>
      </c>
      <c r="L595" s="15" t="s">
        <v>40</v>
      </c>
    </row>
    <row r="596" spans="1:12">
      <c r="A596" s="6">
        <v>45884</v>
      </c>
      <c r="B596" s="7">
        <v>2</v>
      </c>
      <c r="C596" s="7">
        <v>0</v>
      </c>
      <c r="D596" s="7">
        <v>320</v>
      </c>
      <c r="E596" s="7" t="s">
        <v>31</v>
      </c>
      <c r="F596" s="7">
        <v>15</v>
      </c>
      <c r="G596" s="7" t="s">
        <v>4</v>
      </c>
      <c r="H596" s="7">
        <v>15</v>
      </c>
      <c r="I596" s="7" t="s">
        <v>16</v>
      </c>
      <c r="L596" s="15" t="s">
        <v>40</v>
      </c>
    </row>
    <row r="597" spans="1:12">
      <c r="A597" s="6">
        <v>45884</v>
      </c>
      <c r="B597" s="7">
        <v>2</v>
      </c>
      <c r="C597" s="7">
        <v>0</v>
      </c>
      <c r="D597" s="7">
        <v>320</v>
      </c>
      <c r="E597" s="7" t="s">
        <v>31</v>
      </c>
      <c r="F597" s="7">
        <v>15</v>
      </c>
      <c r="G597" s="7" t="s">
        <v>4</v>
      </c>
      <c r="H597" s="7">
        <v>15</v>
      </c>
      <c r="I597" s="7" t="s">
        <v>16</v>
      </c>
      <c r="L597" s="15" t="s">
        <v>40</v>
      </c>
    </row>
    <row r="598" spans="1:12">
      <c r="A598" s="6">
        <v>45884</v>
      </c>
      <c r="B598" s="7">
        <v>2</v>
      </c>
      <c r="C598" s="7">
        <v>0</v>
      </c>
      <c r="D598" s="7">
        <v>320</v>
      </c>
      <c r="E598" s="7" t="s">
        <v>31</v>
      </c>
      <c r="F598" s="7">
        <v>15</v>
      </c>
      <c r="G598" s="7" t="s">
        <v>4</v>
      </c>
      <c r="H598" s="7">
        <v>15</v>
      </c>
      <c r="I598" s="7" t="s">
        <v>16</v>
      </c>
      <c r="L598" s="15" t="s">
        <v>40</v>
      </c>
    </row>
    <row r="599" spans="1:12">
      <c r="A599" s="6">
        <v>45884</v>
      </c>
      <c r="B599" s="7">
        <v>2</v>
      </c>
      <c r="C599" s="7">
        <v>0</v>
      </c>
      <c r="D599" s="7">
        <v>320</v>
      </c>
      <c r="E599" s="7" t="s">
        <v>31</v>
      </c>
      <c r="F599" s="7">
        <v>15</v>
      </c>
      <c r="G599" s="7" t="s">
        <v>4</v>
      </c>
      <c r="H599" s="7">
        <v>15</v>
      </c>
      <c r="I599" s="7" t="s">
        <v>16</v>
      </c>
      <c r="L599" s="15" t="s">
        <v>40</v>
      </c>
    </row>
    <row r="600" spans="1:12">
      <c r="A600" s="6">
        <v>45884</v>
      </c>
      <c r="B600" s="7">
        <v>2</v>
      </c>
      <c r="C600" s="7">
        <v>0</v>
      </c>
      <c r="D600" s="7">
        <v>320</v>
      </c>
      <c r="E600" s="7" t="s">
        <v>31</v>
      </c>
      <c r="F600" s="7">
        <v>15</v>
      </c>
      <c r="G600" s="7" t="s">
        <v>4</v>
      </c>
      <c r="H600" s="7">
        <v>15</v>
      </c>
      <c r="I600" s="7" t="s">
        <v>16</v>
      </c>
      <c r="L600" s="15" t="s">
        <v>40</v>
      </c>
    </row>
    <row r="601" spans="1:12">
      <c r="A601" s="6">
        <v>45884</v>
      </c>
      <c r="B601" s="7">
        <v>2</v>
      </c>
      <c r="C601" s="7">
        <v>0</v>
      </c>
      <c r="D601" s="7">
        <v>340</v>
      </c>
      <c r="E601" s="7" t="s">
        <v>31</v>
      </c>
      <c r="F601" s="7">
        <v>15</v>
      </c>
      <c r="G601" s="7" t="s">
        <v>4</v>
      </c>
      <c r="H601" s="7">
        <v>15</v>
      </c>
      <c r="I601" s="7" t="s">
        <v>16</v>
      </c>
      <c r="L601" s="15" t="s">
        <v>40</v>
      </c>
    </row>
    <row r="602" spans="1:12">
      <c r="A602" s="6">
        <v>45884</v>
      </c>
      <c r="B602" s="7">
        <v>2</v>
      </c>
      <c r="C602" s="7">
        <v>0</v>
      </c>
      <c r="D602" s="7">
        <v>340</v>
      </c>
      <c r="E602" s="7" t="s">
        <v>31</v>
      </c>
      <c r="F602" s="7">
        <v>15</v>
      </c>
      <c r="G602" s="7" t="s">
        <v>4</v>
      </c>
      <c r="H602" s="7">
        <v>15</v>
      </c>
      <c r="I602" s="7" t="s">
        <v>16</v>
      </c>
      <c r="L602" s="15" t="s">
        <v>40</v>
      </c>
    </row>
    <row r="603" spans="1:12">
      <c r="A603" s="6">
        <v>45888</v>
      </c>
      <c r="B603" s="7">
        <v>2</v>
      </c>
      <c r="C603" s="7">
        <v>0</v>
      </c>
      <c r="D603" s="7">
        <v>267</v>
      </c>
      <c r="E603" s="7" t="s">
        <v>31</v>
      </c>
      <c r="F603" s="7">
        <v>15</v>
      </c>
      <c r="G603" s="7" t="s">
        <v>4</v>
      </c>
      <c r="H603" s="7">
        <v>15</v>
      </c>
      <c r="I603" s="7" t="s">
        <v>10</v>
      </c>
      <c r="L603" s="15" t="s">
        <v>40</v>
      </c>
    </row>
    <row r="604" spans="1:12">
      <c r="A604" s="6">
        <v>45889</v>
      </c>
      <c r="B604" s="7">
        <v>2</v>
      </c>
      <c r="C604" s="7">
        <v>0</v>
      </c>
      <c r="D604" s="7">
        <v>344</v>
      </c>
      <c r="E604" s="7" t="s">
        <v>31</v>
      </c>
      <c r="F604" s="7">
        <v>15</v>
      </c>
      <c r="G604" s="7" t="s">
        <v>4</v>
      </c>
      <c r="H604" s="7">
        <v>15</v>
      </c>
      <c r="I604" s="7" t="s">
        <v>10</v>
      </c>
      <c r="L604" s="15" t="s">
        <v>40</v>
      </c>
    </row>
    <row r="605" spans="1:12">
      <c r="A605" s="6">
        <v>45890</v>
      </c>
      <c r="B605" s="7">
        <v>2</v>
      </c>
      <c r="C605" s="7">
        <v>0</v>
      </c>
      <c r="D605" s="7">
        <v>432</v>
      </c>
      <c r="E605" s="7" t="s">
        <v>31</v>
      </c>
      <c r="F605" s="7">
        <v>15</v>
      </c>
      <c r="G605" s="7" t="s">
        <v>4</v>
      </c>
      <c r="H605" s="7">
        <v>15</v>
      </c>
      <c r="I605" s="7" t="s">
        <v>10</v>
      </c>
      <c r="L605" s="15" t="s">
        <v>40</v>
      </c>
    </row>
    <row r="606" spans="1:12">
      <c r="A606" s="6">
        <v>45891</v>
      </c>
      <c r="B606" s="7">
        <v>2</v>
      </c>
      <c r="C606" s="7">
        <v>0</v>
      </c>
      <c r="D606" s="7">
        <v>324</v>
      </c>
      <c r="E606" s="7" t="s">
        <v>31</v>
      </c>
      <c r="F606" s="7">
        <v>30</v>
      </c>
      <c r="G606" s="7" t="s">
        <v>4</v>
      </c>
      <c r="H606" s="7">
        <v>15</v>
      </c>
      <c r="I606" s="7" t="s">
        <v>10</v>
      </c>
      <c r="L606" s="15" t="s">
        <v>40</v>
      </c>
    </row>
    <row r="607" spans="1:12">
      <c r="A607" s="6">
        <v>45891</v>
      </c>
      <c r="B607" s="7">
        <v>2</v>
      </c>
      <c r="C607" s="7">
        <v>0</v>
      </c>
      <c r="D607" s="7">
        <v>350</v>
      </c>
      <c r="E607" s="7" t="s">
        <v>31</v>
      </c>
      <c r="F607" s="7">
        <v>15</v>
      </c>
      <c r="G607" s="7" t="s">
        <v>4</v>
      </c>
      <c r="H607" s="7">
        <v>15</v>
      </c>
      <c r="I607" s="7" t="s">
        <v>10</v>
      </c>
      <c r="L607" s="15" t="s">
        <v>40</v>
      </c>
    </row>
    <row r="608" spans="1:12">
      <c r="A608" s="6">
        <v>45891</v>
      </c>
      <c r="B608" s="7">
        <v>2</v>
      </c>
      <c r="C608" s="7">
        <v>0</v>
      </c>
      <c r="D608" s="7">
        <v>348</v>
      </c>
      <c r="E608" s="7" t="s">
        <v>31</v>
      </c>
      <c r="F608" s="7">
        <v>15</v>
      </c>
      <c r="G608" s="7" t="s">
        <v>4</v>
      </c>
      <c r="H608" s="7">
        <v>15</v>
      </c>
      <c r="I608" s="7" t="s">
        <v>10</v>
      </c>
      <c r="L608" s="15" t="s">
        <v>40</v>
      </c>
    </row>
    <row r="609" spans="1:12">
      <c r="A609" s="6">
        <v>45896</v>
      </c>
      <c r="B609" s="7">
        <v>2</v>
      </c>
      <c r="C609" s="7">
        <v>0</v>
      </c>
      <c r="D609" s="7">
        <v>264</v>
      </c>
      <c r="E609" s="7" t="s">
        <v>31</v>
      </c>
      <c r="F609" s="7">
        <v>15</v>
      </c>
      <c r="G609" s="7" t="s">
        <v>4</v>
      </c>
      <c r="H609" s="7">
        <v>15</v>
      </c>
      <c r="I609" s="7" t="s">
        <v>10</v>
      </c>
      <c r="L609" s="15" t="s">
        <v>40</v>
      </c>
    </row>
    <row r="610" spans="1:12">
      <c r="A610" s="6">
        <v>45897</v>
      </c>
      <c r="B610" s="7">
        <v>2</v>
      </c>
      <c r="C610" s="7">
        <v>0</v>
      </c>
      <c r="D610" s="7">
        <v>362</v>
      </c>
      <c r="E610" s="7" t="s">
        <v>31</v>
      </c>
      <c r="F610" s="7">
        <v>15</v>
      </c>
      <c r="G610" s="7" t="s">
        <v>4</v>
      </c>
      <c r="H610" s="7">
        <v>15</v>
      </c>
      <c r="I610" s="7" t="s">
        <v>10</v>
      </c>
      <c r="L610" s="15" t="s">
        <v>40</v>
      </c>
    </row>
    <row r="611" spans="1:12">
      <c r="A611" s="6">
        <v>45898</v>
      </c>
      <c r="B611" s="7">
        <v>2</v>
      </c>
      <c r="C611" s="7">
        <v>0</v>
      </c>
      <c r="D611" s="7">
        <v>182</v>
      </c>
      <c r="E611" s="7" t="s">
        <v>31</v>
      </c>
      <c r="F611" s="7">
        <v>90</v>
      </c>
      <c r="G611" s="7" t="s">
        <v>4</v>
      </c>
      <c r="H611" s="7">
        <v>15</v>
      </c>
      <c r="I611" s="7" t="s">
        <v>10</v>
      </c>
      <c r="L611" s="15" t="s">
        <v>40</v>
      </c>
    </row>
    <row r="612" spans="1:12">
      <c r="A612" s="6">
        <v>45901</v>
      </c>
      <c r="B612" s="7">
        <v>2</v>
      </c>
      <c r="C612" s="7">
        <v>0</v>
      </c>
      <c r="D612" s="7">
        <v>278</v>
      </c>
      <c r="E612" s="7" t="s">
        <v>31</v>
      </c>
      <c r="F612" s="7">
        <v>15</v>
      </c>
      <c r="G612" s="7" t="s">
        <v>4</v>
      </c>
      <c r="H612" s="7">
        <v>15</v>
      </c>
      <c r="I612" s="7" t="s">
        <v>10</v>
      </c>
      <c r="L612" s="15" t="s">
        <v>40</v>
      </c>
    </row>
    <row r="613" spans="1:12">
      <c r="A613" s="6">
        <v>45902</v>
      </c>
      <c r="B613" s="7">
        <v>2</v>
      </c>
      <c r="C613" s="7">
        <v>0</v>
      </c>
      <c r="D613" s="7">
        <v>290</v>
      </c>
      <c r="E613" s="7" t="s">
        <v>31</v>
      </c>
      <c r="F613" s="7">
        <v>15</v>
      </c>
      <c r="G613" s="7" t="s">
        <v>4</v>
      </c>
      <c r="H613" s="7">
        <v>15</v>
      </c>
      <c r="I613" s="7" t="s">
        <v>10</v>
      </c>
      <c r="L613" s="15" t="s">
        <v>40</v>
      </c>
    </row>
    <row r="614" spans="1:12">
      <c r="A614" s="6">
        <v>45903</v>
      </c>
      <c r="B614" s="7">
        <v>2</v>
      </c>
      <c r="C614" s="7">
        <v>0</v>
      </c>
      <c r="D614" s="7">
        <v>316</v>
      </c>
      <c r="E614" s="7" t="s">
        <v>31</v>
      </c>
      <c r="F614" s="7">
        <v>15</v>
      </c>
      <c r="G614" s="7" t="s">
        <v>4</v>
      </c>
      <c r="H614" s="7">
        <v>15</v>
      </c>
      <c r="I614" s="7" t="s">
        <v>10</v>
      </c>
      <c r="L614" s="15" t="s">
        <v>40</v>
      </c>
    </row>
    <row r="615" spans="1:12">
      <c r="A615" s="6">
        <v>45904</v>
      </c>
      <c r="B615" s="7">
        <v>2</v>
      </c>
      <c r="C615" s="7">
        <v>0</v>
      </c>
      <c r="D615" s="7">
        <v>180</v>
      </c>
      <c r="E615" s="7" t="s">
        <v>31</v>
      </c>
      <c r="F615" s="7">
        <v>15</v>
      </c>
      <c r="G615" s="7" t="s">
        <v>4</v>
      </c>
      <c r="H615" s="7">
        <v>15</v>
      </c>
      <c r="I615" s="7" t="s">
        <v>10</v>
      </c>
      <c r="L615" s="15" t="s">
        <v>40</v>
      </c>
    </row>
    <row r="616" spans="1:12">
      <c r="A616" s="6">
        <v>45905</v>
      </c>
      <c r="B616" s="7">
        <v>2</v>
      </c>
      <c r="C616" s="7">
        <v>0</v>
      </c>
      <c r="D616" s="7">
        <v>122</v>
      </c>
      <c r="E616" s="7" t="s">
        <v>31</v>
      </c>
      <c r="F616" s="7">
        <v>60</v>
      </c>
      <c r="G616" s="7" t="s">
        <v>4</v>
      </c>
      <c r="H616" s="7">
        <v>15</v>
      </c>
      <c r="I616" s="7" t="s">
        <v>10</v>
      </c>
      <c r="L616" s="15" t="s">
        <v>40</v>
      </c>
    </row>
    <row r="617" spans="1:12">
      <c r="A617" s="6">
        <v>45909</v>
      </c>
      <c r="B617" s="7">
        <v>2</v>
      </c>
      <c r="C617" s="7">
        <v>0</v>
      </c>
      <c r="D617" s="7">
        <v>322</v>
      </c>
      <c r="E617" s="7" t="s">
        <v>31</v>
      </c>
      <c r="F617" s="7">
        <v>15</v>
      </c>
      <c r="G617" s="7" t="s">
        <v>4</v>
      </c>
      <c r="H617" s="7">
        <v>15</v>
      </c>
      <c r="I617" s="7" t="s">
        <v>10</v>
      </c>
      <c r="L617" s="15" t="s">
        <v>40</v>
      </c>
    </row>
    <row r="618" spans="1:12">
      <c r="A618" s="6">
        <v>45910</v>
      </c>
      <c r="B618" s="7">
        <v>2</v>
      </c>
      <c r="C618" s="7">
        <v>0</v>
      </c>
      <c r="D618" s="7">
        <v>355</v>
      </c>
      <c r="E618" s="7" t="s">
        <v>31</v>
      </c>
      <c r="F618" s="7">
        <v>15</v>
      </c>
      <c r="G618" s="7" t="s">
        <v>4</v>
      </c>
      <c r="H618" s="7">
        <v>15</v>
      </c>
      <c r="I618" s="7" t="s">
        <v>10</v>
      </c>
      <c r="L618" s="15" t="s">
        <v>40</v>
      </c>
    </row>
    <row r="619" spans="1:12">
      <c r="A619" s="6">
        <v>45910</v>
      </c>
      <c r="B619" s="7">
        <v>2</v>
      </c>
      <c r="C619" s="7">
        <v>0</v>
      </c>
      <c r="D619" s="7">
        <v>355</v>
      </c>
      <c r="E619" s="7" t="s">
        <v>31</v>
      </c>
      <c r="F619" s="7">
        <v>15</v>
      </c>
      <c r="G619" s="7" t="s">
        <v>4</v>
      </c>
      <c r="H619" s="7">
        <v>15</v>
      </c>
      <c r="I619" s="7" t="s">
        <v>10</v>
      </c>
      <c r="L619" s="15" t="s">
        <v>40</v>
      </c>
    </row>
    <row r="620" spans="1:12">
      <c r="A620" s="6">
        <v>45911</v>
      </c>
      <c r="B620" s="7">
        <v>2</v>
      </c>
      <c r="C620" s="7">
        <v>0</v>
      </c>
      <c r="D620" s="7">
        <v>248</v>
      </c>
      <c r="E620" s="7" t="s">
        <v>31</v>
      </c>
      <c r="F620" s="7">
        <v>15</v>
      </c>
      <c r="G620" s="7" t="s">
        <v>4</v>
      </c>
      <c r="H620" s="7">
        <v>15</v>
      </c>
      <c r="I620" s="7" t="s">
        <v>10</v>
      </c>
      <c r="L620" s="15" t="s">
        <v>40</v>
      </c>
    </row>
    <row r="621" spans="1:12">
      <c r="A621" s="6">
        <v>45912</v>
      </c>
      <c r="B621" s="7">
        <v>2</v>
      </c>
      <c r="C621" s="7">
        <v>0</v>
      </c>
      <c r="D621" s="7">
        <v>265</v>
      </c>
      <c r="E621" s="7" t="s">
        <v>31</v>
      </c>
      <c r="F621" s="7">
        <v>90</v>
      </c>
      <c r="G621" s="7" t="s">
        <v>4</v>
      </c>
      <c r="H621" s="7">
        <v>15</v>
      </c>
      <c r="I621" s="7" t="s">
        <v>10</v>
      </c>
      <c r="L621" s="15" t="s">
        <v>40</v>
      </c>
    </row>
    <row r="622" spans="1:12">
      <c r="A622" s="6">
        <v>45912</v>
      </c>
      <c r="B622" s="7">
        <v>2</v>
      </c>
      <c r="C622" s="7">
        <v>0</v>
      </c>
      <c r="D622" s="7">
        <v>265</v>
      </c>
      <c r="E622" s="7" t="s">
        <v>31</v>
      </c>
      <c r="F622" s="7">
        <v>90</v>
      </c>
      <c r="G622" s="7" t="s">
        <v>4</v>
      </c>
      <c r="H622" s="7">
        <v>15</v>
      </c>
      <c r="I622" s="7" t="s">
        <v>10</v>
      </c>
      <c r="L622" s="15" t="s">
        <v>40</v>
      </c>
    </row>
    <row r="623" spans="1:12">
      <c r="A623" s="6">
        <v>45915</v>
      </c>
      <c r="B623" s="7">
        <v>2</v>
      </c>
      <c r="C623" s="7">
        <v>0</v>
      </c>
      <c r="D623" s="7">
        <v>130</v>
      </c>
      <c r="E623" s="7" t="s">
        <v>31</v>
      </c>
      <c r="F623" s="7">
        <v>60</v>
      </c>
      <c r="G623" s="7" t="s">
        <v>4</v>
      </c>
      <c r="H623" s="7">
        <v>15</v>
      </c>
      <c r="I623" s="7" t="s">
        <v>10</v>
      </c>
      <c r="L623" s="15" t="s">
        <v>40</v>
      </c>
    </row>
    <row r="624" spans="1:12">
      <c r="A624" s="6">
        <v>45916</v>
      </c>
      <c r="B624" s="7">
        <v>2</v>
      </c>
      <c r="C624" s="7">
        <v>0</v>
      </c>
      <c r="D624" s="7">
        <v>222</v>
      </c>
      <c r="E624" s="7" t="s">
        <v>31</v>
      </c>
      <c r="F624" s="7">
        <v>15</v>
      </c>
      <c r="G624" s="7" t="s">
        <v>4</v>
      </c>
      <c r="H624" s="7">
        <v>15</v>
      </c>
      <c r="I624" s="7" t="s">
        <v>10</v>
      </c>
      <c r="L624" s="15" t="s">
        <v>40</v>
      </c>
    </row>
    <row r="625" spans="1:12">
      <c r="A625" s="6">
        <v>45917</v>
      </c>
      <c r="B625" s="7">
        <v>2</v>
      </c>
      <c r="C625" s="7">
        <v>0</v>
      </c>
      <c r="D625" s="7">
        <v>182</v>
      </c>
      <c r="E625" s="7" t="s">
        <v>31</v>
      </c>
      <c r="F625" s="7">
        <v>15</v>
      </c>
      <c r="G625" s="7" t="s">
        <v>4</v>
      </c>
      <c r="H625" s="7">
        <v>15</v>
      </c>
      <c r="I625" s="7" t="s">
        <v>10</v>
      </c>
      <c r="L625" s="15" t="s">
        <v>40</v>
      </c>
    </row>
    <row r="626" spans="1:12">
      <c r="A626" s="6">
        <v>45918</v>
      </c>
      <c r="B626" s="7">
        <v>2</v>
      </c>
      <c r="C626" s="7">
        <v>0</v>
      </c>
      <c r="D626" s="7">
        <v>276</v>
      </c>
      <c r="E626" s="7" t="s">
        <v>31</v>
      </c>
      <c r="F626" s="7">
        <v>15</v>
      </c>
      <c r="G626" s="7" t="s">
        <v>8</v>
      </c>
      <c r="H626" s="7">
        <v>15</v>
      </c>
      <c r="I626" s="7" t="s">
        <v>10</v>
      </c>
      <c r="L626" s="15" t="s">
        <v>40</v>
      </c>
    </row>
    <row r="627" spans="1:12">
      <c r="A627" s="6">
        <v>45919</v>
      </c>
      <c r="B627" s="7">
        <v>2</v>
      </c>
      <c r="C627" s="7">
        <v>0</v>
      </c>
      <c r="D627" s="7">
        <v>176</v>
      </c>
      <c r="E627" s="7" t="s">
        <v>31</v>
      </c>
      <c r="F627" s="7">
        <v>120</v>
      </c>
      <c r="G627" s="7" t="s">
        <v>4</v>
      </c>
      <c r="H627" s="7">
        <v>15</v>
      </c>
      <c r="I627" s="7" t="s">
        <v>10</v>
      </c>
      <c r="L627" s="15" t="s">
        <v>40</v>
      </c>
    </row>
    <row r="628" spans="1:12">
      <c r="A628" s="6">
        <v>45922</v>
      </c>
      <c r="B628" s="7">
        <v>2</v>
      </c>
      <c r="C628" s="7">
        <v>0</v>
      </c>
      <c r="D628" s="7">
        <v>582</v>
      </c>
      <c r="E628" s="7" t="s">
        <v>31</v>
      </c>
      <c r="F628" s="7">
        <v>15</v>
      </c>
      <c r="G628" s="7" t="s">
        <v>4</v>
      </c>
      <c r="H628" s="7">
        <v>15</v>
      </c>
      <c r="I628" s="7" t="s">
        <v>10</v>
      </c>
      <c r="L628" s="15" t="s">
        <v>40</v>
      </c>
    </row>
    <row r="629" spans="1:12">
      <c r="A629" s="6">
        <v>45923</v>
      </c>
      <c r="B629" s="7">
        <v>2</v>
      </c>
      <c r="C629" s="7">
        <v>0</v>
      </c>
      <c r="D629" s="7">
        <v>328</v>
      </c>
      <c r="E629" s="7" t="s">
        <v>31</v>
      </c>
      <c r="F629" s="7">
        <v>15</v>
      </c>
      <c r="G629" s="7" t="s">
        <v>4</v>
      </c>
      <c r="H629" s="7">
        <v>15</v>
      </c>
      <c r="I629" s="7" t="s">
        <v>10</v>
      </c>
      <c r="L629" s="15" t="s">
        <v>40</v>
      </c>
    </row>
    <row r="630" spans="1:12">
      <c r="A630" s="6">
        <v>45924</v>
      </c>
      <c r="B630" s="7">
        <v>2</v>
      </c>
      <c r="C630" s="7">
        <v>0</v>
      </c>
      <c r="D630" s="7">
        <v>356</v>
      </c>
      <c r="E630" s="7" t="s">
        <v>31</v>
      </c>
      <c r="F630" s="7">
        <v>15</v>
      </c>
      <c r="G630" s="7" t="s">
        <v>4</v>
      </c>
      <c r="H630" s="7">
        <v>15</v>
      </c>
      <c r="I630" s="7" t="s">
        <v>10</v>
      </c>
      <c r="L630" s="15" t="s">
        <v>40</v>
      </c>
    </row>
    <row r="631" spans="1:12">
      <c r="A631" s="6">
        <v>45930</v>
      </c>
      <c r="B631" s="7">
        <v>2</v>
      </c>
      <c r="C631" s="7">
        <v>0</v>
      </c>
      <c r="D631" s="7">
        <v>308</v>
      </c>
      <c r="E631" s="7" t="s">
        <v>31</v>
      </c>
      <c r="F631" s="7">
        <v>15</v>
      </c>
      <c r="G631" s="7" t="s">
        <v>4</v>
      </c>
      <c r="H631" s="7">
        <v>15</v>
      </c>
      <c r="I631" s="7" t="s">
        <v>10</v>
      </c>
      <c r="L631" s="15" t="s">
        <v>40</v>
      </c>
    </row>
    <row r="632" spans="1:12">
      <c r="A632" s="6">
        <v>45932</v>
      </c>
      <c r="B632" s="7">
        <v>2</v>
      </c>
      <c r="C632" s="7">
        <v>0</v>
      </c>
      <c r="D632" s="7">
        <v>130</v>
      </c>
      <c r="E632" s="7" t="s">
        <v>31</v>
      </c>
      <c r="F632" s="7">
        <v>15</v>
      </c>
      <c r="G632" s="7" t="s">
        <v>4</v>
      </c>
      <c r="H632" s="7">
        <v>15</v>
      </c>
      <c r="I632" s="7" t="s">
        <v>10</v>
      </c>
      <c r="L632" s="15" t="s">
        <v>40</v>
      </c>
    </row>
    <row r="633" spans="1:12">
      <c r="A633" s="6">
        <v>45933</v>
      </c>
      <c r="B633" s="7">
        <v>2</v>
      </c>
      <c r="C633" s="7">
        <v>0</v>
      </c>
      <c r="D633" s="7">
        <v>245</v>
      </c>
      <c r="E633" s="7" t="s">
        <v>31</v>
      </c>
      <c r="F633" s="7">
        <v>15</v>
      </c>
      <c r="G633" s="7" t="s">
        <v>4</v>
      </c>
      <c r="H633" s="7">
        <v>60</v>
      </c>
      <c r="I633" s="7" t="s">
        <v>10</v>
      </c>
      <c r="L633" s="15" t="s">
        <v>40</v>
      </c>
    </row>
    <row r="634" spans="1:12">
      <c r="A634" s="6">
        <v>45936</v>
      </c>
      <c r="B634" s="7">
        <v>2</v>
      </c>
      <c r="C634" s="7">
        <v>0</v>
      </c>
      <c r="D634" s="7">
        <v>141</v>
      </c>
      <c r="E634" s="7" t="s">
        <v>31</v>
      </c>
      <c r="F634" s="7">
        <v>15</v>
      </c>
      <c r="G634" s="7" t="s">
        <v>4</v>
      </c>
      <c r="H634" s="7">
        <v>15</v>
      </c>
      <c r="I634" s="7" t="s">
        <v>10</v>
      </c>
      <c r="L634" s="15" t="s">
        <v>40</v>
      </c>
    </row>
    <row r="635" spans="1:12">
      <c r="A635" s="6">
        <v>45936</v>
      </c>
      <c r="B635" s="7">
        <v>2</v>
      </c>
      <c r="C635" s="7">
        <v>0</v>
      </c>
      <c r="D635" s="7">
        <v>230</v>
      </c>
      <c r="E635" s="7" t="s">
        <v>31</v>
      </c>
      <c r="F635" s="7">
        <v>15</v>
      </c>
      <c r="G635" s="7" t="s">
        <v>4</v>
      </c>
      <c r="H635" s="7">
        <v>15</v>
      </c>
      <c r="I635" s="7" t="s">
        <v>10</v>
      </c>
      <c r="L635" s="15" t="s">
        <v>40</v>
      </c>
    </row>
    <row r="636" spans="1:12">
      <c r="A636" s="6">
        <v>45936</v>
      </c>
      <c r="B636" s="7">
        <v>2</v>
      </c>
      <c r="C636" s="7">
        <v>220</v>
      </c>
      <c r="E636" s="7" t="s">
        <v>31</v>
      </c>
      <c r="F636" s="7">
        <v>15</v>
      </c>
      <c r="G636" s="7" t="s">
        <v>4</v>
      </c>
      <c r="H636" s="7">
        <v>15</v>
      </c>
      <c r="I636" s="7" t="s">
        <v>10</v>
      </c>
      <c r="L636" s="15" t="s">
        <v>40</v>
      </c>
    </row>
    <row r="637" spans="1:12">
      <c r="A637" s="6">
        <v>45936</v>
      </c>
      <c r="B637" s="7">
        <v>2</v>
      </c>
      <c r="C637" s="7">
        <v>220</v>
      </c>
      <c r="E637" s="7" t="s">
        <v>31</v>
      </c>
      <c r="F637" s="7">
        <v>15</v>
      </c>
      <c r="G637" s="7" t="s">
        <v>4</v>
      </c>
      <c r="H637" s="7">
        <v>15</v>
      </c>
      <c r="I637" s="7" t="s">
        <v>10</v>
      </c>
      <c r="L637" s="15" t="s">
        <v>40</v>
      </c>
    </row>
    <row r="638" spans="1:12">
      <c r="A638" s="6">
        <v>45936</v>
      </c>
      <c r="B638" s="7">
        <v>2</v>
      </c>
      <c r="C638" s="7">
        <v>220</v>
      </c>
      <c r="E638" s="7" t="s">
        <v>31</v>
      </c>
      <c r="F638" s="7">
        <v>15</v>
      </c>
      <c r="G638" s="7" t="s">
        <v>4</v>
      </c>
      <c r="H638" s="7">
        <v>15</v>
      </c>
      <c r="I638" s="7" t="s">
        <v>10</v>
      </c>
      <c r="L638" s="15" t="s">
        <v>40</v>
      </c>
    </row>
    <row r="639" spans="1:12">
      <c r="A639" s="6">
        <v>45939</v>
      </c>
      <c r="B639" s="7">
        <v>2</v>
      </c>
      <c r="C639" s="7">
        <v>180</v>
      </c>
      <c r="E639" s="7" t="s">
        <v>31</v>
      </c>
      <c r="F639" s="7">
        <v>15</v>
      </c>
      <c r="G639" s="7" t="s">
        <v>4</v>
      </c>
      <c r="H639" s="7">
        <v>15</v>
      </c>
      <c r="I639" s="7" t="s">
        <v>10</v>
      </c>
      <c r="L639" s="15" t="s">
        <v>40</v>
      </c>
    </row>
    <row r="640" spans="1:12">
      <c r="A640" s="6">
        <v>45943</v>
      </c>
      <c r="B640" s="7">
        <v>2</v>
      </c>
      <c r="C640" s="7">
        <v>378</v>
      </c>
      <c r="E640" s="7" t="s">
        <v>31</v>
      </c>
      <c r="F640" s="7">
        <v>15</v>
      </c>
      <c r="G640" s="7" t="s">
        <v>4</v>
      </c>
      <c r="H640" s="7">
        <v>15</v>
      </c>
      <c r="I640" s="7" t="s">
        <v>10</v>
      </c>
      <c r="L640" s="15" t="s">
        <v>40</v>
      </c>
    </row>
    <row r="641" spans="1:12">
      <c r="A641" s="6">
        <v>45943</v>
      </c>
      <c r="B641" s="7">
        <v>2</v>
      </c>
      <c r="C641" s="7">
        <v>330</v>
      </c>
      <c r="E641" s="7" t="s">
        <v>31</v>
      </c>
      <c r="F641" s="7">
        <v>15</v>
      </c>
      <c r="G641" s="7" t="s">
        <v>4</v>
      </c>
      <c r="H641" s="7">
        <v>15</v>
      </c>
      <c r="I641" s="7" t="s">
        <v>10</v>
      </c>
      <c r="L641" s="15" t="s">
        <v>40</v>
      </c>
    </row>
    <row r="642" spans="1:12">
      <c r="A642" s="6">
        <v>45944</v>
      </c>
      <c r="B642" s="7">
        <v>2</v>
      </c>
      <c r="C642" s="7">
        <v>340</v>
      </c>
      <c r="E642" s="7" t="s">
        <v>31</v>
      </c>
      <c r="F642" s="7">
        <v>15</v>
      </c>
      <c r="G642" s="7" t="s">
        <v>4</v>
      </c>
      <c r="H642" s="7">
        <v>15</v>
      </c>
      <c r="I642" s="7" t="s">
        <v>10</v>
      </c>
      <c r="L642" s="15" t="s">
        <v>40</v>
      </c>
    </row>
    <row r="643" spans="1:12">
      <c r="A643" s="6">
        <v>45944</v>
      </c>
      <c r="B643" s="7">
        <v>2</v>
      </c>
      <c r="C643" s="7">
        <v>350</v>
      </c>
      <c r="E643" s="7" t="s">
        <v>31</v>
      </c>
      <c r="F643" s="7">
        <v>15</v>
      </c>
      <c r="G643" s="7" t="s">
        <v>4</v>
      </c>
      <c r="H643" s="7">
        <v>15</v>
      </c>
      <c r="I643" s="7" t="s">
        <v>10</v>
      </c>
      <c r="L643" s="15" t="s">
        <v>40</v>
      </c>
    </row>
    <row r="644" spans="1:12">
      <c r="A644" s="6">
        <v>45944</v>
      </c>
      <c r="B644" s="7">
        <v>2</v>
      </c>
      <c r="C644" s="7">
        <v>280</v>
      </c>
      <c r="E644" s="7" t="s">
        <v>31</v>
      </c>
      <c r="F644" s="7">
        <v>15</v>
      </c>
      <c r="G644" s="7" t="s">
        <v>4</v>
      </c>
      <c r="H644" s="7">
        <v>15</v>
      </c>
      <c r="I644" s="7" t="s">
        <v>10</v>
      </c>
      <c r="L644" s="15" t="s">
        <v>40</v>
      </c>
    </row>
    <row r="645" spans="1:12">
      <c r="A645" s="6">
        <v>45944</v>
      </c>
      <c r="B645" s="7">
        <v>2</v>
      </c>
      <c r="C645" s="7">
        <v>280</v>
      </c>
      <c r="E645" s="7" t="s">
        <v>31</v>
      </c>
      <c r="F645" s="7">
        <v>15</v>
      </c>
      <c r="G645" s="7" t="s">
        <v>4</v>
      </c>
      <c r="H645" s="7">
        <v>15</v>
      </c>
      <c r="I645" s="7" t="s">
        <v>10</v>
      </c>
      <c r="L645" s="15" t="s">
        <v>40</v>
      </c>
    </row>
    <row r="646" spans="1:12">
      <c r="A646" s="6">
        <v>45947</v>
      </c>
      <c r="B646" s="7">
        <v>2</v>
      </c>
      <c r="C646" s="7">
        <v>390</v>
      </c>
      <c r="E646" s="7" t="s">
        <v>31</v>
      </c>
      <c r="F646" s="7">
        <v>15</v>
      </c>
      <c r="G646" s="7" t="s">
        <v>4</v>
      </c>
      <c r="H646" s="7">
        <v>15</v>
      </c>
      <c r="I646" s="7" t="s">
        <v>10</v>
      </c>
      <c r="L646" s="15" t="s">
        <v>40</v>
      </c>
    </row>
    <row r="647" spans="1:12">
      <c r="A647" s="6">
        <v>45950</v>
      </c>
      <c r="B647" s="7">
        <v>2</v>
      </c>
      <c r="C647" s="7">
        <v>628</v>
      </c>
      <c r="E647" s="7" t="s">
        <v>31</v>
      </c>
      <c r="F647" s="7">
        <v>15</v>
      </c>
      <c r="G647" s="7" t="s">
        <v>4</v>
      </c>
      <c r="H647" s="7">
        <v>15</v>
      </c>
      <c r="I647" s="7" t="s">
        <v>10</v>
      </c>
      <c r="L647" s="15" t="s">
        <v>40</v>
      </c>
    </row>
    <row r="648" spans="1:12">
      <c r="A648" s="6">
        <v>45951</v>
      </c>
      <c r="B648" s="7">
        <v>2</v>
      </c>
      <c r="C648" s="7">
        <v>225</v>
      </c>
      <c r="E648" s="7" t="s">
        <v>31</v>
      </c>
      <c r="F648" s="7">
        <v>15</v>
      </c>
      <c r="G648" s="7" t="s">
        <v>4</v>
      </c>
      <c r="H648" s="7">
        <v>15</v>
      </c>
      <c r="I648" s="7" t="s">
        <v>10</v>
      </c>
      <c r="L648" s="15" t="s">
        <v>40</v>
      </c>
    </row>
    <row r="649" spans="1:12">
      <c r="A649" s="6">
        <v>45951</v>
      </c>
      <c r="B649" s="7">
        <v>2</v>
      </c>
      <c r="C649" s="7">
        <v>325</v>
      </c>
      <c r="E649" s="7" t="s">
        <v>31</v>
      </c>
      <c r="F649" s="7">
        <v>15</v>
      </c>
      <c r="G649" s="7" t="s">
        <v>4</v>
      </c>
      <c r="H649" s="7">
        <v>15</v>
      </c>
      <c r="I649" s="7" t="s">
        <v>10</v>
      </c>
      <c r="L649" s="15" t="s">
        <v>40</v>
      </c>
    </row>
    <row r="650" spans="1:12">
      <c r="A650" s="6">
        <v>45953</v>
      </c>
      <c r="B650" s="7">
        <v>2</v>
      </c>
      <c r="C650" s="7">
        <v>296</v>
      </c>
      <c r="E650" s="7" t="s">
        <v>31</v>
      </c>
      <c r="F650" s="7">
        <v>15</v>
      </c>
      <c r="G650" s="7" t="s">
        <v>4</v>
      </c>
      <c r="H650" s="7">
        <v>15</v>
      </c>
      <c r="I650" s="7" t="s">
        <v>10</v>
      </c>
      <c r="L650" s="15" t="s">
        <v>40</v>
      </c>
    </row>
    <row r="651" spans="1:12">
      <c r="A651" s="6">
        <v>45954</v>
      </c>
      <c r="B651" s="7">
        <v>2</v>
      </c>
      <c r="C651" s="7">
        <v>254</v>
      </c>
      <c r="E651" s="7" t="s">
        <v>31</v>
      </c>
      <c r="F651" s="7">
        <v>30</v>
      </c>
      <c r="G651" s="7" t="s">
        <v>4</v>
      </c>
      <c r="H651" s="7">
        <v>15</v>
      </c>
      <c r="I651" s="7" t="s">
        <v>10</v>
      </c>
      <c r="L651" s="15" t="s">
        <v>40</v>
      </c>
    </row>
    <row r="652" spans="1:12">
      <c r="A652" s="6">
        <v>45954</v>
      </c>
      <c r="B652" s="7">
        <v>2</v>
      </c>
      <c r="C652" s="7">
        <v>275</v>
      </c>
      <c r="E652" s="7" t="s">
        <v>31</v>
      </c>
      <c r="F652" s="7">
        <v>30</v>
      </c>
      <c r="G652" s="7" t="s">
        <v>4</v>
      </c>
      <c r="H652" s="7">
        <v>15</v>
      </c>
      <c r="I652" s="7" t="s">
        <v>10</v>
      </c>
      <c r="L652" s="15" t="s">
        <v>40</v>
      </c>
    </row>
    <row r="653" spans="1:12">
      <c r="A653" s="6">
        <v>45954</v>
      </c>
      <c r="B653" s="7">
        <v>2</v>
      </c>
      <c r="C653" s="7">
        <v>275</v>
      </c>
      <c r="E653" s="7" t="s">
        <v>31</v>
      </c>
      <c r="F653" s="7">
        <v>30</v>
      </c>
      <c r="G653" s="7" t="s">
        <v>4</v>
      </c>
      <c r="H653" s="7">
        <v>15</v>
      </c>
      <c r="I653" s="7" t="s">
        <v>10</v>
      </c>
      <c r="L653" s="15" t="s">
        <v>40</v>
      </c>
    </row>
    <row r="654" spans="1:12">
      <c r="A654" s="6">
        <v>45958</v>
      </c>
      <c r="B654" s="7">
        <v>2</v>
      </c>
      <c r="C654" s="7">
        <v>275</v>
      </c>
      <c r="E654" s="7" t="s">
        <v>31</v>
      </c>
      <c r="F654" s="7">
        <v>30</v>
      </c>
      <c r="G654" s="7" t="s">
        <v>4</v>
      </c>
      <c r="H654" s="7">
        <v>15</v>
      </c>
      <c r="I654" s="7" t="s">
        <v>10</v>
      </c>
      <c r="L654" s="15" t="s">
        <v>40</v>
      </c>
    </row>
    <row r="655" spans="1:12">
      <c r="A655" s="6">
        <v>45958</v>
      </c>
      <c r="B655" s="7">
        <v>2</v>
      </c>
      <c r="C655" s="7">
        <v>715</v>
      </c>
      <c r="E655" s="7" t="s">
        <v>31</v>
      </c>
      <c r="F655" s="7">
        <v>30</v>
      </c>
      <c r="G655" s="7" t="s">
        <v>4</v>
      </c>
      <c r="H655" s="7">
        <v>15</v>
      </c>
      <c r="I655" s="7" t="s">
        <v>10</v>
      </c>
      <c r="L655" s="15" t="s">
        <v>40</v>
      </c>
    </row>
    <row r="656" spans="1:12">
      <c r="A656" s="6">
        <v>45958</v>
      </c>
      <c r="B656" s="7">
        <v>2</v>
      </c>
      <c r="C656" s="7">
        <v>715</v>
      </c>
      <c r="E656" s="7" t="s">
        <v>31</v>
      </c>
      <c r="F656" s="7">
        <v>30</v>
      </c>
      <c r="G656" s="7" t="s">
        <v>4</v>
      </c>
      <c r="H656" s="7">
        <v>15</v>
      </c>
      <c r="I656" s="7" t="s">
        <v>10</v>
      </c>
      <c r="L656" s="15" t="s">
        <v>40</v>
      </c>
    </row>
    <row r="657" spans="1:12">
      <c r="A657" s="6">
        <v>45958</v>
      </c>
      <c r="B657" s="7">
        <v>2</v>
      </c>
      <c r="C657" s="7">
        <v>715</v>
      </c>
      <c r="E657" s="7" t="s">
        <v>31</v>
      </c>
      <c r="F657" s="7">
        <v>30</v>
      </c>
      <c r="G657" s="7" t="s">
        <v>4</v>
      </c>
      <c r="H657" s="7">
        <v>15</v>
      </c>
      <c r="I657" s="7" t="s">
        <v>10</v>
      </c>
      <c r="L657" s="15" t="s">
        <v>40</v>
      </c>
    </row>
    <row r="658" spans="1:12">
      <c r="A658" s="6">
        <v>45958</v>
      </c>
      <c r="B658" s="7">
        <v>2</v>
      </c>
      <c r="C658" s="7">
        <v>715</v>
      </c>
      <c r="E658" s="7" t="s">
        <v>31</v>
      </c>
      <c r="F658" s="7">
        <v>30</v>
      </c>
      <c r="G658" s="7" t="s">
        <v>4</v>
      </c>
      <c r="H658" s="7">
        <v>15</v>
      </c>
      <c r="I658" s="7" t="s">
        <v>10</v>
      </c>
      <c r="L658" s="15" t="s">
        <v>40</v>
      </c>
    </row>
    <row r="659" spans="1:12">
      <c r="A659" s="6">
        <v>45958</v>
      </c>
      <c r="B659" s="7">
        <v>2</v>
      </c>
      <c r="C659" s="7">
        <v>715</v>
      </c>
      <c r="E659" s="7" t="s">
        <v>31</v>
      </c>
      <c r="F659" s="7">
        <v>30</v>
      </c>
      <c r="G659" s="7" t="s">
        <v>4</v>
      </c>
      <c r="H659" s="7">
        <v>15</v>
      </c>
      <c r="I659" s="7" t="s">
        <v>10</v>
      </c>
      <c r="L659" s="15" t="s">
        <v>40</v>
      </c>
    </row>
    <row r="660" spans="1:12">
      <c r="A660" s="6">
        <v>45958</v>
      </c>
      <c r="B660" s="7">
        <v>2</v>
      </c>
      <c r="C660" s="7">
        <v>715</v>
      </c>
      <c r="E660" s="7" t="s">
        <v>31</v>
      </c>
      <c r="F660" s="7">
        <v>30</v>
      </c>
      <c r="G660" s="7" t="s">
        <v>4</v>
      </c>
      <c r="H660" s="7">
        <v>15</v>
      </c>
      <c r="I660" s="7" t="s">
        <v>10</v>
      </c>
      <c r="L660" s="15" t="s">
        <v>40</v>
      </c>
    </row>
    <row r="661" spans="1:12">
      <c r="A661" s="6">
        <v>45958</v>
      </c>
      <c r="B661" s="7">
        <v>2</v>
      </c>
      <c r="C661" s="7">
        <v>715</v>
      </c>
      <c r="E661" s="7" t="s">
        <v>31</v>
      </c>
      <c r="F661" s="7">
        <v>30</v>
      </c>
      <c r="G661" s="7" t="s">
        <v>4</v>
      </c>
      <c r="H661" s="7">
        <v>15</v>
      </c>
      <c r="I661" s="7" t="s">
        <v>10</v>
      </c>
      <c r="L661" s="15" t="s">
        <v>40</v>
      </c>
    </row>
    <row r="662" spans="1:12">
      <c r="A662" s="6">
        <v>45958</v>
      </c>
      <c r="B662" s="7">
        <v>2</v>
      </c>
      <c r="C662" s="7">
        <v>715</v>
      </c>
      <c r="E662" s="7" t="s">
        <v>31</v>
      </c>
      <c r="F662" s="7">
        <v>30</v>
      </c>
      <c r="G662" s="7" t="s">
        <v>4</v>
      </c>
      <c r="H662" s="7">
        <v>15</v>
      </c>
      <c r="I662" s="7" t="s">
        <v>10</v>
      </c>
      <c r="L662" s="15" t="s">
        <v>40</v>
      </c>
    </row>
    <row r="663" spans="1:12">
      <c r="A663" s="6">
        <v>45958</v>
      </c>
      <c r="B663" s="7">
        <v>2</v>
      </c>
      <c r="C663" s="7">
        <v>715</v>
      </c>
      <c r="E663" s="7" t="s">
        <v>31</v>
      </c>
      <c r="F663" s="7">
        <v>30</v>
      </c>
      <c r="G663" s="7" t="s">
        <v>4</v>
      </c>
      <c r="H663" s="7">
        <v>15</v>
      </c>
      <c r="I663" s="7" t="s">
        <v>10</v>
      </c>
      <c r="L663" s="15" t="s">
        <v>40</v>
      </c>
    </row>
    <row r="664" spans="1:12">
      <c r="A664" s="6">
        <v>45958</v>
      </c>
      <c r="B664" s="7">
        <v>2</v>
      </c>
      <c r="C664" s="7">
        <v>715</v>
      </c>
      <c r="E664" s="7" t="s">
        <v>31</v>
      </c>
      <c r="F664" s="7">
        <v>30</v>
      </c>
      <c r="G664" s="7" t="s">
        <v>4</v>
      </c>
      <c r="H664" s="7">
        <v>15</v>
      </c>
      <c r="I664" s="7" t="s">
        <v>10</v>
      </c>
      <c r="L664" s="15" t="s">
        <v>40</v>
      </c>
    </row>
    <row r="665" spans="1:12">
      <c r="A665" s="6">
        <v>45958</v>
      </c>
      <c r="B665" s="7">
        <v>2</v>
      </c>
      <c r="C665" s="7">
        <v>715</v>
      </c>
      <c r="E665" s="7" t="s">
        <v>31</v>
      </c>
      <c r="F665" s="7">
        <v>30</v>
      </c>
      <c r="G665" s="7" t="s">
        <v>4</v>
      </c>
      <c r="H665" s="7">
        <v>15</v>
      </c>
      <c r="I665" s="7" t="s">
        <v>10</v>
      </c>
      <c r="L665" s="15" t="s">
        <v>40</v>
      </c>
    </row>
    <row r="666" spans="1:12">
      <c r="A666" s="6">
        <v>45958</v>
      </c>
      <c r="B666" s="7">
        <v>2</v>
      </c>
      <c r="C666" s="7">
        <v>715</v>
      </c>
      <c r="E666" s="7" t="s">
        <v>31</v>
      </c>
      <c r="F666" s="7">
        <v>30</v>
      </c>
      <c r="G666" s="7" t="s">
        <v>4</v>
      </c>
      <c r="H666" s="7">
        <v>15</v>
      </c>
      <c r="I666" s="7" t="s">
        <v>10</v>
      </c>
      <c r="L666" s="15" t="s">
        <v>40</v>
      </c>
    </row>
    <row r="667" spans="1:12">
      <c r="A667" s="6">
        <v>45958</v>
      </c>
      <c r="B667" s="7">
        <v>2</v>
      </c>
      <c r="C667" s="7">
        <v>715</v>
      </c>
      <c r="E667" s="7" t="s">
        <v>31</v>
      </c>
      <c r="F667" s="7">
        <v>30</v>
      </c>
      <c r="G667" s="7" t="s">
        <v>4</v>
      </c>
      <c r="H667" s="7">
        <v>15</v>
      </c>
      <c r="I667" s="7" t="s">
        <v>10</v>
      </c>
      <c r="L667" s="15" t="s">
        <v>40</v>
      </c>
    </row>
    <row r="668" spans="1:12">
      <c r="A668" s="6">
        <v>45958</v>
      </c>
      <c r="B668" s="7">
        <v>2</v>
      </c>
      <c r="C668" s="7">
        <v>715</v>
      </c>
      <c r="E668" s="7" t="s">
        <v>31</v>
      </c>
      <c r="F668" s="7">
        <v>30</v>
      </c>
      <c r="G668" s="7" t="s">
        <v>4</v>
      </c>
      <c r="H668" s="7">
        <v>15</v>
      </c>
      <c r="I668" s="7" t="s">
        <v>10</v>
      </c>
      <c r="L668" s="15" t="s">
        <v>40</v>
      </c>
    </row>
    <row r="669" spans="1:12">
      <c r="A669" s="6">
        <v>45958</v>
      </c>
      <c r="B669" s="7">
        <v>2</v>
      </c>
      <c r="C669" s="7">
        <v>715</v>
      </c>
      <c r="E669" s="7" t="s">
        <v>31</v>
      </c>
      <c r="F669" s="7">
        <v>30</v>
      </c>
      <c r="G669" s="7" t="s">
        <v>4</v>
      </c>
      <c r="H669" s="7">
        <v>15</v>
      </c>
      <c r="I669" s="7" t="s">
        <v>10</v>
      </c>
      <c r="L669" s="15" t="s">
        <v>40</v>
      </c>
    </row>
    <row r="670" spans="1:12">
      <c r="A670" s="6">
        <v>45958</v>
      </c>
      <c r="B670" s="7">
        <v>2</v>
      </c>
      <c r="C670" s="7">
        <v>715</v>
      </c>
      <c r="E670" s="7" t="s">
        <v>31</v>
      </c>
      <c r="F670" s="7">
        <v>30</v>
      </c>
      <c r="G670" s="7" t="s">
        <v>4</v>
      </c>
      <c r="H670" s="7">
        <v>15</v>
      </c>
      <c r="I670" s="7" t="s">
        <v>10</v>
      </c>
      <c r="L670" s="15" t="s">
        <v>40</v>
      </c>
    </row>
    <row r="671" spans="1:12">
      <c r="A671" s="6">
        <v>45958</v>
      </c>
      <c r="B671" s="7">
        <v>2</v>
      </c>
      <c r="C671" s="7">
        <v>715</v>
      </c>
      <c r="E671" s="7" t="s">
        <v>31</v>
      </c>
      <c r="F671" s="7">
        <v>30</v>
      </c>
      <c r="G671" s="7" t="s">
        <v>4</v>
      </c>
      <c r="H671" s="7">
        <v>15</v>
      </c>
      <c r="I671" s="7" t="s">
        <v>10</v>
      </c>
      <c r="L671" s="15" t="s">
        <v>40</v>
      </c>
    </row>
    <row r="672" spans="1:12">
      <c r="A672" s="6">
        <v>45958</v>
      </c>
      <c r="B672" s="7">
        <v>2</v>
      </c>
      <c r="C672" s="7">
        <v>715</v>
      </c>
      <c r="E672" s="7" t="s">
        <v>31</v>
      </c>
      <c r="F672" s="7">
        <v>30</v>
      </c>
      <c r="G672" s="7" t="s">
        <v>4</v>
      </c>
      <c r="H672" s="7">
        <v>15</v>
      </c>
      <c r="I672" s="7" t="s">
        <v>10</v>
      </c>
      <c r="L672" s="15" t="s">
        <v>40</v>
      </c>
    </row>
    <row r="673" spans="1:12">
      <c r="A673" s="6">
        <v>45960</v>
      </c>
      <c r="B673" s="7">
        <v>2</v>
      </c>
      <c r="C673" s="7">
        <v>370</v>
      </c>
      <c r="E673" s="7" t="s">
        <v>31</v>
      </c>
      <c r="F673" s="7">
        <v>30</v>
      </c>
      <c r="G673" s="7" t="s">
        <v>4</v>
      </c>
      <c r="H673" s="7">
        <v>15</v>
      </c>
      <c r="I673" s="7" t="s">
        <v>10</v>
      </c>
      <c r="L673" s="15" t="s">
        <v>40</v>
      </c>
    </row>
    <row r="674" spans="1:12">
      <c r="A674" s="6">
        <v>45961</v>
      </c>
      <c r="B674" s="7">
        <v>2</v>
      </c>
      <c r="C674" s="7">
        <v>277</v>
      </c>
      <c r="E674" s="7" t="s">
        <v>31</v>
      </c>
      <c r="F674" s="7">
        <v>90</v>
      </c>
      <c r="G674" s="7" t="s">
        <v>4</v>
      </c>
      <c r="H674" s="7">
        <v>15</v>
      </c>
      <c r="I674" s="7" t="s">
        <v>10</v>
      </c>
      <c r="L674" s="15" t="s">
        <v>40</v>
      </c>
    </row>
    <row r="675" spans="1:12">
      <c r="A675" s="6">
        <v>45961</v>
      </c>
      <c r="B675" s="7">
        <v>2</v>
      </c>
      <c r="C675" s="7">
        <v>277</v>
      </c>
      <c r="E675" s="7" t="s">
        <v>31</v>
      </c>
      <c r="F675" s="7">
        <v>90</v>
      </c>
      <c r="G675" s="7" t="s">
        <v>4</v>
      </c>
      <c r="H675" s="7">
        <v>15</v>
      </c>
      <c r="I675" s="7" t="s">
        <v>10</v>
      </c>
      <c r="L675" s="15" t="s">
        <v>40</v>
      </c>
    </row>
    <row r="676" spans="1:12">
      <c r="A676" s="6">
        <v>45964</v>
      </c>
      <c r="B676" s="7">
        <v>2</v>
      </c>
      <c r="C676" s="7">
        <v>408</v>
      </c>
      <c r="E676" s="7" t="s">
        <v>31</v>
      </c>
      <c r="F676" s="7">
        <v>15</v>
      </c>
      <c r="G676" s="7" t="s">
        <v>4</v>
      </c>
      <c r="H676" s="7">
        <v>15</v>
      </c>
      <c r="I676" s="7" t="s">
        <v>10</v>
      </c>
      <c r="L676" s="15" t="s">
        <v>40</v>
      </c>
    </row>
    <row r="677" spans="1:12">
      <c r="A677" s="6">
        <v>45965</v>
      </c>
      <c r="B677" s="7">
        <v>2</v>
      </c>
      <c r="C677" s="7">
        <v>318</v>
      </c>
      <c r="E677" s="7" t="s">
        <v>31</v>
      </c>
      <c r="F677" s="7">
        <v>15</v>
      </c>
      <c r="G677" s="7" t="s">
        <v>4</v>
      </c>
      <c r="H677" s="7">
        <v>15</v>
      </c>
      <c r="I677" s="7" t="s">
        <v>10</v>
      </c>
      <c r="L677" s="15" t="s">
        <v>40</v>
      </c>
    </row>
    <row r="678" spans="1:12">
      <c r="A678" s="6">
        <v>45967</v>
      </c>
      <c r="B678" s="7">
        <v>2</v>
      </c>
      <c r="C678" s="7">
        <v>344</v>
      </c>
      <c r="E678" s="7" t="s">
        <v>31</v>
      </c>
      <c r="F678" s="7">
        <v>15</v>
      </c>
      <c r="G678" s="7" t="s">
        <v>4</v>
      </c>
      <c r="H678" s="7">
        <v>15</v>
      </c>
      <c r="I678" s="7" t="s">
        <v>10</v>
      </c>
      <c r="L678" s="15" t="s">
        <v>40</v>
      </c>
    </row>
    <row r="679" spans="1:12">
      <c r="A679" s="6">
        <v>45967</v>
      </c>
      <c r="B679" s="7">
        <v>2</v>
      </c>
      <c r="C679" s="7">
        <v>344</v>
      </c>
      <c r="E679" s="7" t="s">
        <v>31</v>
      </c>
      <c r="F679" s="7">
        <v>15</v>
      </c>
      <c r="G679" s="7" t="s">
        <v>4</v>
      </c>
      <c r="H679" s="7">
        <v>15</v>
      </c>
      <c r="I679" s="7" t="s">
        <v>10</v>
      </c>
      <c r="L679" s="15" t="s">
        <v>40</v>
      </c>
    </row>
    <row r="680" spans="1:12">
      <c r="A680" s="6">
        <v>45971</v>
      </c>
      <c r="B680" s="7">
        <v>2</v>
      </c>
      <c r="C680" s="7">
        <v>310</v>
      </c>
      <c r="E680" s="7" t="s">
        <v>31</v>
      </c>
      <c r="F680" s="7">
        <v>15</v>
      </c>
      <c r="G680" s="7" t="s">
        <v>4</v>
      </c>
      <c r="H680" s="7">
        <v>15</v>
      </c>
      <c r="I680" s="7" t="s">
        <v>10</v>
      </c>
      <c r="L680" s="15" t="s">
        <v>40</v>
      </c>
    </row>
    <row r="681" spans="1:12">
      <c r="A681" s="6">
        <v>45973</v>
      </c>
      <c r="B681" s="7">
        <v>2</v>
      </c>
      <c r="C681" s="7">
        <v>600</v>
      </c>
      <c r="E681" s="7" t="s">
        <v>31</v>
      </c>
      <c r="F681" s="7">
        <v>30</v>
      </c>
      <c r="G681" s="7" t="s">
        <v>4</v>
      </c>
      <c r="H681" s="7">
        <v>40</v>
      </c>
      <c r="I681" s="7" t="s">
        <v>10</v>
      </c>
      <c r="J681" s="7">
        <v>90</v>
      </c>
      <c r="K681" s="7" t="s">
        <v>7</v>
      </c>
      <c r="L681" s="15" t="s">
        <v>40</v>
      </c>
    </row>
    <row r="682" spans="1:12">
      <c r="A682" s="6">
        <v>45973</v>
      </c>
      <c r="B682" s="7">
        <v>2</v>
      </c>
      <c r="C682" s="7">
        <v>366</v>
      </c>
      <c r="E682" s="7" t="s">
        <v>31</v>
      </c>
      <c r="F682" s="7">
        <v>15</v>
      </c>
      <c r="G682" s="7" t="s">
        <v>4</v>
      </c>
      <c r="H682" s="7">
        <v>15</v>
      </c>
      <c r="I682" s="7" t="s">
        <v>10</v>
      </c>
      <c r="L682" s="15" t="s">
        <v>40</v>
      </c>
    </row>
    <row r="683" spans="1:12">
      <c r="A683" s="6">
        <v>45974</v>
      </c>
      <c r="B683" s="7">
        <v>2</v>
      </c>
      <c r="C683" s="7">
        <v>300</v>
      </c>
      <c r="E683" s="7" t="s">
        <v>31</v>
      </c>
      <c r="F683" s="7">
        <v>15</v>
      </c>
      <c r="G683" s="7" t="s">
        <v>4</v>
      </c>
      <c r="H683" s="7">
        <v>15</v>
      </c>
      <c r="I683" s="7" t="s">
        <v>10</v>
      </c>
      <c r="L683" s="15" t="s">
        <v>40</v>
      </c>
    </row>
    <row r="684" spans="1:12">
      <c r="A684" s="6">
        <v>45974</v>
      </c>
      <c r="B684" s="7">
        <v>2</v>
      </c>
      <c r="C684" s="7">
        <v>300</v>
      </c>
      <c r="E684" s="7" t="s">
        <v>31</v>
      </c>
      <c r="F684" s="7">
        <v>15</v>
      </c>
      <c r="G684" s="7" t="s">
        <v>4</v>
      </c>
      <c r="H684" s="7">
        <v>15</v>
      </c>
      <c r="I684" s="7" t="s">
        <v>10</v>
      </c>
      <c r="L684" s="15" t="s">
        <v>40</v>
      </c>
    </row>
    <row r="685" spans="1:12">
      <c r="A685" s="6">
        <v>45978</v>
      </c>
      <c r="B685" s="7">
        <v>2</v>
      </c>
      <c r="C685" s="7">
        <v>260</v>
      </c>
      <c r="E685" s="7" t="s">
        <v>31</v>
      </c>
      <c r="F685" s="7">
        <v>15</v>
      </c>
      <c r="G685" s="7" t="s">
        <v>4</v>
      </c>
      <c r="H685" s="7">
        <v>15</v>
      </c>
      <c r="I685" s="7" t="s">
        <v>10</v>
      </c>
      <c r="L685" s="15" t="s">
        <v>40</v>
      </c>
    </row>
    <row r="686" spans="1:12">
      <c r="A686" s="6">
        <v>45975</v>
      </c>
      <c r="B686" s="7">
        <v>2</v>
      </c>
      <c r="C686" s="7">
        <v>250</v>
      </c>
      <c r="E686" s="7" t="s">
        <v>31</v>
      </c>
      <c r="F686" s="7">
        <v>15</v>
      </c>
      <c r="G686" s="7" t="s">
        <v>4</v>
      </c>
      <c r="H686" s="7">
        <v>15</v>
      </c>
      <c r="I686" s="7" t="s">
        <v>10</v>
      </c>
      <c r="L686" s="15" t="s">
        <v>40</v>
      </c>
    </row>
    <row r="687" spans="1:12">
      <c r="A687" s="6">
        <v>45975</v>
      </c>
      <c r="B687" s="7">
        <v>2</v>
      </c>
      <c r="C687" s="7">
        <v>250</v>
      </c>
      <c r="E687" s="7" t="s">
        <v>31</v>
      </c>
      <c r="F687" s="7">
        <v>15</v>
      </c>
      <c r="G687" s="7" t="s">
        <v>4</v>
      </c>
      <c r="H687" s="7">
        <v>15</v>
      </c>
      <c r="I687" s="7" t="s">
        <v>10</v>
      </c>
      <c r="L687" s="15" t="s">
        <v>40</v>
      </c>
    </row>
    <row r="688" spans="1:12">
      <c r="A688" s="6">
        <v>45975</v>
      </c>
      <c r="B688" s="7">
        <v>2</v>
      </c>
      <c r="C688" s="7">
        <v>250</v>
      </c>
      <c r="E688" s="7" t="s">
        <v>31</v>
      </c>
      <c r="F688" s="7">
        <v>15</v>
      </c>
      <c r="G688" s="7" t="s">
        <v>4</v>
      </c>
      <c r="H688" s="7">
        <v>15</v>
      </c>
      <c r="I688" s="7" t="s">
        <v>10</v>
      </c>
      <c r="L688" s="15" t="s">
        <v>40</v>
      </c>
    </row>
    <row r="689" spans="1:12">
      <c r="A689" s="6">
        <v>45975</v>
      </c>
      <c r="B689" s="7">
        <v>2</v>
      </c>
      <c r="C689" s="7">
        <v>400</v>
      </c>
      <c r="E689" s="7" t="s">
        <v>31</v>
      </c>
      <c r="F689" s="7">
        <v>15</v>
      </c>
      <c r="G689" s="7" t="s">
        <v>4</v>
      </c>
      <c r="H689" s="7">
        <v>15</v>
      </c>
      <c r="I689" s="7" t="s">
        <v>10</v>
      </c>
      <c r="L689" s="15" t="s">
        <v>40</v>
      </c>
    </row>
    <row r="690" spans="1:12">
      <c r="A690" s="6">
        <v>45975</v>
      </c>
      <c r="B690" s="7">
        <v>2</v>
      </c>
      <c r="C690" s="7">
        <v>400</v>
      </c>
      <c r="E690" s="7" t="s">
        <v>31</v>
      </c>
      <c r="F690" s="7">
        <v>15</v>
      </c>
      <c r="G690" s="7" t="s">
        <v>4</v>
      </c>
      <c r="H690" s="7">
        <v>15</v>
      </c>
      <c r="I690" s="7" t="s">
        <v>10</v>
      </c>
      <c r="L690" s="15" t="s">
        <v>40</v>
      </c>
    </row>
    <row r="691" spans="1:12">
      <c r="A691" s="6">
        <v>45975</v>
      </c>
      <c r="B691" s="7">
        <v>2</v>
      </c>
      <c r="C691" s="7">
        <v>400</v>
      </c>
      <c r="E691" s="7" t="s">
        <v>31</v>
      </c>
      <c r="F691" s="7">
        <v>15</v>
      </c>
      <c r="G691" s="7" t="s">
        <v>4</v>
      </c>
      <c r="H691" s="7">
        <v>15</v>
      </c>
      <c r="I691" s="7" t="s">
        <v>10</v>
      </c>
      <c r="L691" s="15" t="s">
        <v>40</v>
      </c>
    </row>
    <row r="692" spans="1:12">
      <c r="A692" s="6">
        <v>45975</v>
      </c>
      <c r="B692" s="7">
        <v>2</v>
      </c>
      <c r="C692" s="7">
        <v>400</v>
      </c>
      <c r="E692" s="7" t="s">
        <v>31</v>
      </c>
      <c r="F692" s="7">
        <v>15</v>
      </c>
      <c r="G692" s="7" t="s">
        <v>4</v>
      </c>
      <c r="H692" s="7">
        <v>15</v>
      </c>
      <c r="I692" s="7" t="s">
        <v>10</v>
      </c>
      <c r="L692" s="15" t="s">
        <v>40</v>
      </c>
    </row>
    <row r="693" spans="1:12">
      <c r="A693" s="6">
        <v>45975</v>
      </c>
      <c r="B693" s="7">
        <v>2</v>
      </c>
      <c r="C693" s="7">
        <v>400</v>
      </c>
      <c r="E693" s="7" t="s">
        <v>31</v>
      </c>
      <c r="F693" s="7">
        <v>15</v>
      </c>
      <c r="G693" s="7" t="s">
        <v>4</v>
      </c>
      <c r="H693" s="7">
        <v>15</v>
      </c>
      <c r="I693" s="7" t="s">
        <v>10</v>
      </c>
      <c r="L693" s="15" t="s">
        <v>40</v>
      </c>
    </row>
    <row r="694" spans="1:12">
      <c r="A694" s="6">
        <v>45975</v>
      </c>
      <c r="B694" s="7">
        <v>2</v>
      </c>
      <c r="C694" s="7">
        <v>400</v>
      </c>
      <c r="E694" s="7" t="s">
        <v>31</v>
      </c>
      <c r="F694" s="7">
        <v>15</v>
      </c>
      <c r="G694" s="7" t="s">
        <v>4</v>
      </c>
      <c r="H694" s="7">
        <v>15</v>
      </c>
      <c r="I694" s="7" t="s">
        <v>10</v>
      </c>
      <c r="L694" s="15" t="s">
        <v>40</v>
      </c>
    </row>
    <row r="695" spans="1:12">
      <c r="A695" s="6">
        <v>45975</v>
      </c>
      <c r="B695" s="7">
        <v>2</v>
      </c>
      <c r="C695" s="7">
        <v>400</v>
      </c>
      <c r="E695" s="7" t="s">
        <v>31</v>
      </c>
      <c r="F695" s="7">
        <v>15</v>
      </c>
      <c r="G695" s="7" t="s">
        <v>4</v>
      </c>
      <c r="H695" s="7">
        <v>15</v>
      </c>
      <c r="I695" s="7" t="s">
        <v>10</v>
      </c>
      <c r="L695" s="15" t="s">
        <v>40</v>
      </c>
    </row>
    <row r="696" spans="1:12">
      <c r="A696" s="6">
        <v>45975</v>
      </c>
      <c r="B696" s="7">
        <v>2</v>
      </c>
      <c r="C696" s="7">
        <v>400</v>
      </c>
      <c r="E696" s="7" t="s">
        <v>31</v>
      </c>
      <c r="F696" s="7">
        <v>15</v>
      </c>
      <c r="G696" s="7" t="s">
        <v>4</v>
      </c>
      <c r="H696" s="7">
        <v>15</v>
      </c>
      <c r="I696" s="7" t="s">
        <v>10</v>
      </c>
      <c r="L696" s="15" t="s">
        <v>40</v>
      </c>
    </row>
    <row r="697" spans="1:12">
      <c r="A697" s="6">
        <v>45975</v>
      </c>
      <c r="B697" s="7">
        <v>2</v>
      </c>
      <c r="C697" s="7">
        <v>400</v>
      </c>
      <c r="E697" s="7" t="s">
        <v>31</v>
      </c>
      <c r="F697" s="7">
        <v>15</v>
      </c>
      <c r="G697" s="7" t="s">
        <v>4</v>
      </c>
      <c r="H697" s="7">
        <v>15</v>
      </c>
      <c r="I697" s="7" t="s">
        <v>10</v>
      </c>
      <c r="L697" s="15" t="s">
        <v>40</v>
      </c>
    </row>
    <row r="698" spans="1:12">
      <c r="A698" s="6">
        <v>45975</v>
      </c>
      <c r="B698" s="7">
        <v>2</v>
      </c>
      <c r="C698" s="7">
        <v>400</v>
      </c>
      <c r="E698" s="7" t="s">
        <v>31</v>
      </c>
      <c r="F698" s="7">
        <v>15</v>
      </c>
      <c r="G698" s="7" t="s">
        <v>4</v>
      </c>
      <c r="H698" s="7">
        <v>15</v>
      </c>
      <c r="I698" s="7" t="s">
        <v>10</v>
      </c>
      <c r="L698" s="15" t="s">
        <v>40</v>
      </c>
    </row>
    <row r="699" spans="1:12">
      <c r="A699" s="6">
        <v>45975</v>
      </c>
      <c r="B699" s="7">
        <v>2</v>
      </c>
      <c r="C699" s="7">
        <v>400</v>
      </c>
      <c r="E699" s="7" t="s">
        <v>31</v>
      </c>
      <c r="F699" s="7">
        <v>15</v>
      </c>
      <c r="G699" s="7" t="s">
        <v>4</v>
      </c>
      <c r="H699" s="7">
        <v>15</v>
      </c>
      <c r="I699" s="7" t="s">
        <v>10</v>
      </c>
      <c r="L699" s="15" t="s">
        <v>40</v>
      </c>
    </row>
    <row r="700" spans="1:12">
      <c r="A700" s="6">
        <v>45975</v>
      </c>
      <c r="B700" s="7">
        <v>2</v>
      </c>
      <c r="C700" s="7">
        <v>400</v>
      </c>
      <c r="E700" s="7" t="s">
        <v>31</v>
      </c>
      <c r="F700" s="7">
        <v>15</v>
      </c>
      <c r="G700" s="7" t="s">
        <v>4</v>
      </c>
      <c r="H700" s="7">
        <v>15</v>
      </c>
      <c r="I700" s="7" t="s">
        <v>10</v>
      </c>
      <c r="L700" s="15" t="s">
        <v>40</v>
      </c>
    </row>
    <row r="701" spans="1:12">
      <c r="A701" s="6">
        <v>45975</v>
      </c>
      <c r="B701" s="7">
        <v>2</v>
      </c>
      <c r="C701" s="7">
        <v>400</v>
      </c>
      <c r="E701" s="7" t="s">
        <v>31</v>
      </c>
      <c r="F701" s="7">
        <v>15</v>
      </c>
      <c r="G701" s="7" t="s">
        <v>4</v>
      </c>
      <c r="H701" s="7">
        <v>15</v>
      </c>
      <c r="I701" s="7" t="s">
        <v>10</v>
      </c>
      <c r="L701" s="15" t="s">
        <v>40</v>
      </c>
    </row>
    <row r="702" spans="1:12">
      <c r="A702" s="6">
        <v>45975</v>
      </c>
      <c r="B702" s="7">
        <v>2</v>
      </c>
      <c r="C702" s="7">
        <v>400</v>
      </c>
      <c r="E702" s="7" t="s">
        <v>31</v>
      </c>
      <c r="F702" s="7">
        <v>15</v>
      </c>
      <c r="G702" s="7" t="s">
        <v>4</v>
      </c>
      <c r="H702" s="7">
        <v>15</v>
      </c>
      <c r="I702" s="7" t="s">
        <v>10</v>
      </c>
      <c r="L702" s="15" t="s">
        <v>40</v>
      </c>
    </row>
    <row r="703" spans="1:12">
      <c r="A703" s="6">
        <v>45975</v>
      </c>
      <c r="B703" s="7">
        <v>2</v>
      </c>
      <c r="C703" s="7">
        <v>400</v>
      </c>
      <c r="E703" s="7" t="s">
        <v>31</v>
      </c>
      <c r="F703" s="7">
        <v>15</v>
      </c>
      <c r="G703" s="7" t="s">
        <v>4</v>
      </c>
      <c r="H703" s="7">
        <v>15</v>
      </c>
      <c r="I703" s="7" t="s">
        <v>10</v>
      </c>
      <c r="L703" s="15" t="s">
        <v>40</v>
      </c>
    </row>
    <row r="704" spans="1:12">
      <c r="A704" s="6">
        <v>45975</v>
      </c>
      <c r="B704" s="7">
        <v>2</v>
      </c>
      <c r="C704" s="7">
        <v>400</v>
      </c>
      <c r="E704" s="7" t="s">
        <v>31</v>
      </c>
      <c r="F704" s="7">
        <v>15</v>
      </c>
      <c r="G704" s="7" t="s">
        <v>4</v>
      </c>
      <c r="H704" s="7">
        <v>15</v>
      </c>
      <c r="I704" s="7" t="s">
        <v>10</v>
      </c>
      <c r="L704" s="15" t="s">
        <v>40</v>
      </c>
    </row>
    <row r="705" spans="1:12">
      <c r="A705" s="6">
        <v>45975</v>
      </c>
      <c r="B705" s="7">
        <v>2</v>
      </c>
      <c r="C705" s="7">
        <v>400</v>
      </c>
      <c r="E705" s="7" t="s">
        <v>31</v>
      </c>
      <c r="F705" s="7">
        <v>15</v>
      </c>
      <c r="G705" s="7" t="s">
        <v>4</v>
      </c>
      <c r="H705" s="7">
        <v>15</v>
      </c>
      <c r="I705" s="7" t="s">
        <v>10</v>
      </c>
      <c r="L705" s="15" t="s">
        <v>40</v>
      </c>
    </row>
    <row r="706" spans="1:12">
      <c r="A706" s="6">
        <v>45975</v>
      </c>
      <c r="B706" s="7">
        <v>2</v>
      </c>
      <c r="C706" s="7">
        <v>400</v>
      </c>
      <c r="E706" s="7" t="s">
        <v>31</v>
      </c>
      <c r="F706" s="7">
        <v>15</v>
      </c>
      <c r="G706" s="7" t="s">
        <v>4</v>
      </c>
      <c r="H706" s="7">
        <v>15</v>
      </c>
      <c r="I706" s="7" t="s">
        <v>10</v>
      </c>
      <c r="L706" s="15" t="s">
        <v>40</v>
      </c>
    </row>
    <row r="707" spans="1:12">
      <c r="A707" s="6">
        <v>45975</v>
      </c>
      <c r="B707" s="7">
        <v>2</v>
      </c>
      <c r="C707" s="7">
        <v>400</v>
      </c>
      <c r="E707" s="7" t="s">
        <v>31</v>
      </c>
      <c r="F707" s="7">
        <v>15</v>
      </c>
      <c r="G707" s="7" t="s">
        <v>4</v>
      </c>
      <c r="H707" s="7">
        <v>15</v>
      </c>
      <c r="I707" s="7" t="s">
        <v>10</v>
      </c>
      <c r="L707" s="15" t="s">
        <v>40</v>
      </c>
    </row>
    <row r="708" spans="1:12">
      <c r="A708" s="6">
        <v>45975</v>
      </c>
      <c r="B708" s="7">
        <v>2</v>
      </c>
      <c r="C708" s="7">
        <v>400</v>
      </c>
      <c r="E708" s="7" t="s">
        <v>31</v>
      </c>
      <c r="F708" s="7">
        <v>15</v>
      </c>
      <c r="G708" s="7" t="s">
        <v>4</v>
      </c>
      <c r="H708" s="7">
        <v>15</v>
      </c>
      <c r="I708" s="7" t="s">
        <v>10</v>
      </c>
      <c r="L708" s="15" t="s">
        <v>40</v>
      </c>
    </row>
    <row r="709" spans="1:12">
      <c r="A709" s="6">
        <v>45975</v>
      </c>
      <c r="B709" s="7">
        <v>2</v>
      </c>
      <c r="C709" s="7">
        <v>400</v>
      </c>
      <c r="E709" s="7" t="s">
        <v>31</v>
      </c>
      <c r="F709" s="7">
        <v>15</v>
      </c>
      <c r="G709" s="7" t="s">
        <v>4</v>
      </c>
      <c r="H709" s="7">
        <v>15</v>
      </c>
      <c r="I709" s="7" t="s">
        <v>10</v>
      </c>
      <c r="L709" s="15" t="s">
        <v>40</v>
      </c>
    </row>
    <row r="710" spans="1:12">
      <c r="A710" s="6">
        <v>45975</v>
      </c>
      <c r="B710" s="7">
        <v>2</v>
      </c>
      <c r="C710" s="7">
        <v>400</v>
      </c>
      <c r="E710" s="7" t="s">
        <v>31</v>
      </c>
      <c r="F710" s="7">
        <v>15</v>
      </c>
      <c r="G710" s="7" t="s">
        <v>4</v>
      </c>
      <c r="H710" s="7">
        <v>15</v>
      </c>
      <c r="I710" s="7" t="s">
        <v>10</v>
      </c>
      <c r="L710" s="15" t="s">
        <v>40</v>
      </c>
    </row>
    <row r="711" spans="1:12">
      <c r="A711" s="6">
        <v>45978</v>
      </c>
      <c r="B711" s="7">
        <v>2</v>
      </c>
      <c r="C711" s="7">
        <v>220</v>
      </c>
      <c r="E711" s="7" t="s">
        <v>31</v>
      </c>
      <c r="F711" s="7">
        <v>15</v>
      </c>
      <c r="G711" s="7" t="s">
        <v>4</v>
      </c>
      <c r="H711" s="7">
        <v>15</v>
      </c>
      <c r="I711" s="7" t="s">
        <v>10</v>
      </c>
      <c r="L711" s="15" t="s">
        <v>40</v>
      </c>
    </row>
    <row r="712" spans="1:12">
      <c r="A712" s="6">
        <v>45979</v>
      </c>
      <c r="B712" s="7">
        <v>2</v>
      </c>
      <c r="C712" s="7">
        <v>382</v>
      </c>
      <c r="E712" s="7" t="s">
        <v>31</v>
      </c>
      <c r="F712" s="7">
        <v>15</v>
      </c>
      <c r="G712" s="7" t="s">
        <v>4</v>
      </c>
      <c r="H712" s="7">
        <v>15</v>
      </c>
      <c r="I712" s="7" t="s">
        <v>10</v>
      </c>
      <c r="L712" s="15" t="s">
        <v>40</v>
      </c>
    </row>
    <row r="713" spans="1:12">
      <c r="A713" s="6">
        <v>45980</v>
      </c>
      <c r="B713" s="7">
        <v>2</v>
      </c>
      <c r="C713" s="7">
        <v>348</v>
      </c>
      <c r="E713" s="7" t="s">
        <v>31</v>
      </c>
      <c r="F713" s="7">
        <v>15</v>
      </c>
      <c r="G713" s="7" t="s">
        <v>4</v>
      </c>
      <c r="H713" s="7">
        <v>15</v>
      </c>
      <c r="I713" s="7" t="s">
        <v>10</v>
      </c>
      <c r="L713" s="15" t="s">
        <v>40</v>
      </c>
    </row>
    <row r="714" spans="1:12">
      <c r="A714" s="6">
        <v>45980</v>
      </c>
      <c r="B714" s="7">
        <v>2</v>
      </c>
      <c r="C714" s="7">
        <v>348</v>
      </c>
      <c r="E714" s="7" t="s">
        <v>31</v>
      </c>
      <c r="F714" s="7">
        <v>15</v>
      </c>
      <c r="G714" s="7" t="s">
        <v>4</v>
      </c>
      <c r="H714" s="7">
        <v>15</v>
      </c>
      <c r="I714" s="7" t="s">
        <v>10</v>
      </c>
      <c r="L714" s="15" t="s">
        <v>40</v>
      </c>
    </row>
    <row r="715" spans="1:12">
      <c r="A715" s="6">
        <v>45980</v>
      </c>
      <c r="B715" s="7">
        <v>2</v>
      </c>
      <c r="C715" s="7">
        <v>348</v>
      </c>
      <c r="E715" s="7" t="s">
        <v>31</v>
      </c>
      <c r="F715" s="7">
        <v>15</v>
      </c>
      <c r="G715" s="7" t="s">
        <v>4</v>
      </c>
      <c r="H715" s="7">
        <v>15</v>
      </c>
      <c r="I715" s="7" t="s">
        <v>10</v>
      </c>
      <c r="L715" s="15" t="s">
        <v>40</v>
      </c>
    </row>
    <row r="716" spans="1:12">
      <c r="A716" s="6">
        <v>45980</v>
      </c>
      <c r="B716" s="7">
        <v>2</v>
      </c>
      <c r="C716" s="7">
        <v>248</v>
      </c>
      <c r="E716" s="7" t="s">
        <v>31</v>
      </c>
      <c r="F716" s="7">
        <v>15</v>
      </c>
      <c r="G716" s="7" t="s">
        <v>4</v>
      </c>
      <c r="H716" s="7">
        <v>15</v>
      </c>
      <c r="I716" s="7" t="s">
        <v>10</v>
      </c>
      <c r="L716" s="15" t="s">
        <v>40</v>
      </c>
    </row>
    <row r="717" spans="1:12">
      <c r="A717" s="6">
        <v>45980</v>
      </c>
      <c r="B717" s="7">
        <v>2</v>
      </c>
      <c r="C717" s="7">
        <v>248</v>
      </c>
      <c r="E717" s="7" t="s">
        <v>31</v>
      </c>
      <c r="F717" s="7">
        <v>15</v>
      </c>
      <c r="G717" s="7" t="s">
        <v>4</v>
      </c>
      <c r="H717" s="7">
        <v>15</v>
      </c>
      <c r="I717" s="7" t="s">
        <v>10</v>
      </c>
      <c r="L717" s="15" t="s">
        <v>40</v>
      </c>
    </row>
    <row r="718" spans="1:12">
      <c r="A718" s="6">
        <v>45980</v>
      </c>
      <c r="B718" s="7">
        <v>2</v>
      </c>
      <c r="C718" s="7">
        <v>248</v>
      </c>
      <c r="E718" s="7" t="s">
        <v>31</v>
      </c>
      <c r="F718" s="7">
        <v>15</v>
      </c>
      <c r="G718" s="7" t="s">
        <v>4</v>
      </c>
      <c r="H718" s="7">
        <v>15</v>
      </c>
      <c r="I718" s="7" t="s">
        <v>10</v>
      </c>
      <c r="L718" s="15" t="s">
        <v>40</v>
      </c>
    </row>
    <row r="719" spans="1:12">
      <c r="A719" s="6">
        <v>45980</v>
      </c>
      <c r="B719" s="7">
        <v>2</v>
      </c>
      <c r="C719" s="7">
        <v>248</v>
      </c>
      <c r="E719" s="7" t="s">
        <v>31</v>
      </c>
      <c r="F719" s="7">
        <v>15</v>
      </c>
      <c r="G719" s="7" t="s">
        <v>4</v>
      </c>
      <c r="H719" s="7">
        <v>15</v>
      </c>
      <c r="I719" s="7" t="s">
        <v>10</v>
      </c>
      <c r="L719" s="15" t="s">
        <v>40</v>
      </c>
    </row>
    <row r="720" spans="1:12">
      <c r="A720" s="6">
        <v>45980</v>
      </c>
      <c r="B720" s="7">
        <v>2</v>
      </c>
      <c r="C720" s="7">
        <v>248</v>
      </c>
      <c r="E720" s="7" t="s">
        <v>31</v>
      </c>
      <c r="F720" s="7">
        <v>15</v>
      </c>
      <c r="G720" s="7" t="s">
        <v>4</v>
      </c>
      <c r="H720" s="7">
        <v>15</v>
      </c>
      <c r="I720" s="7" t="s">
        <v>10</v>
      </c>
      <c r="L720" s="15" t="s">
        <v>40</v>
      </c>
    </row>
    <row r="721" spans="1:12">
      <c r="A721" s="6">
        <v>45980</v>
      </c>
      <c r="B721" s="7">
        <v>2</v>
      </c>
      <c r="C721" s="7">
        <v>248</v>
      </c>
      <c r="E721" s="7" t="s">
        <v>31</v>
      </c>
      <c r="F721" s="7">
        <v>15</v>
      </c>
      <c r="G721" s="7" t="s">
        <v>4</v>
      </c>
      <c r="H721" s="7">
        <v>15</v>
      </c>
      <c r="I721" s="7" t="s">
        <v>10</v>
      </c>
      <c r="L721" s="15" t="s">
        <v>40</v>
      </c>
    </row>
    <row r="722" spans="1:12">
      <c r="A722" s="6">
        <v>45980</v>
      </c>
      <c r="B722" s="7">
        <v>2</v>
      </c>
      <c r="C722" s="7">
        <v>248</v>
      </c>
      <c r="E722" s="7" t="s">
        <v>31</v>
      </c>
      <c r="F722" s="7">
        <v>15</v>
      </c>
      <c r="G722" s="7" t="s">
        <v>4</v>
      </c>
      <c r="H722" s="7">
        <v>15</v>
      </c>
      <c r="I722" s="7" t="s">
        <v>10</v>
      </c>
      <c r="L722" s="15" t="s">
        <v>40</v>
      </c>
    </row>
    <row r="723" spans="1:12">
      <c r="A723" s="6">
        <v>45980</v>
      </c>
      <c r="B723" s="7">
        <v>2</v>
      </c>
      <c r="C723" s="7">
        <v>248</v>
      </c>
      <c r="E723" s="7" t="s">
        <v>31</v>
      </c>
      <c r="F723" s="7">
        <v>15</v>
      </c>
      <c r="G723" s="7" t="s">
        <v>4</v>
      </c>
      <c r="H723" s="7">
        <v>15</v>
      </c>
      <c r="I723" s="7" t="s">
        <v>10</v>
      </c>
      <c r="L723" s="15" t="s">
        <v>40</v>
      </c>
    </row>
    <row r="724" spans="1:12">
      <c r="A724" s="6">
        <v>45980</v>
      </c>
      <c r="B724" s="7">
        <v>2</v>
      </c>
      <c r="C724" s="7">
        <v>248</v>
      </c>
      <c r="E724" s="7" t="s">
        <v>31</v>
      </c>
      <c r="F724" s="7">
        <v>15</v>
      </c>
      <c r="G724" s="7" t="s">
        <v>4</v>
      </c>
      <c r="H724" s="7">
        <v>15</v>
      </c>
      <c r="I724" s="7" t="s">
        <v>10</v>
      </c>
      <c r="L724" s="15" t="s">
        <v>40</v>
      </c>
    </row>
    <row r="725" spans="1:12">
      <c r="A725" s="6">
        <v>45980</v>
      </c>
      <c r="B725" s="7">
        <v>2</v>
      </c>
      <c r="C725" s="7">
        <v>248</v>
      </c>
      <c r="E725" s="7" t="s">
        <v>31</v>
      </c>
      <c r="F725" s="7">
        <v>15</v>
      </c>
      <c r="G725" s="7" t="s">
        <v>4</v>
      </c>
      <c r="H725" s="7">
        <v>15</v>
      </c>
      <c r="I725" s="7" t="s">
        <v>10</v>
      </c>
      <c r="L725" s="15" t="s">
        <v>40</v>
      </c>
    </row>
    <row r="726" spans="1:12">
      <c r="A726" s="6">
        <v>45980</v>
      </c>
      <c r="B726" s="7">
        <v>2</v>
      </c>
      <c r="C726" s="7">
        <v>248</v>
      </c>
      <c r="E726" s="7" t="s">
        <v>31</v>
      </c>
      <c r="F726" s="7">
        <v>15</v>
      </c>
      <c r="G726" s="7" t="s">
        <v>4</v>
      </c>
      <c r="H726" s="7">
        <v>15</v>
      </c>
      <c r="I726" s="7" t="s">
        <v>10</v>
      </c>
      <c r="L726" s="15" t="s">
        <v>40</v>
      </c>
    </row>
    <row r="727" spans="1:12">
      <c r="A727" s="6">
        <v>45980</v>
      </c>
      <c r="B727" s="7">
        <v>2</v>
      </c>
      <c r="C727" s="7">
        <v>248</v>
      </c>
      <c r="E727" s="7" t="s">
        <v>31</v>
      </c>
      <c r="F727" s="7">
        <v>15</v>
      </c>
      <c r="G727" s="7" t="s">
        <v>4</v>
      </c>
      <c r="H727" s="7">
        <v>15</v>
      </c>
      <c r="I727" s="7" t="s">
        <v>10</v>
      </c>
      <c r="L727" s="15" t="s">
        <v>40</v>
      </c>
    </row>
    <row r="728" spans="1:12">
      <c r="A728" s="6">
        <v>45980</v>
      </c>
      <c r="B728" s="7">
        <v>2</v>
      </c>
      <c r="C728" s="7">
        <v>248</v>
      </c>
      <c r="E728" s="7" t="s">
        <v>31</v>
      </c>
      <c r="F728" s="7">
        <v>15</v>
      </c>
      <c r="G728" s="7" t="s">
        <v>4</v>
      </c>
      <c r="H728" s="7">
        <v>15</v>
      </c>
      <c r="I728" s="7" t="s">
        <v>10</v>
      </c>
      <c r="L728" s="15" t="s">
        <v>40</v>
      </c>
    </row>
    <row r="729" spans="1:12">
      <c r="A729" s="6">
        <v>45980</v>
      </c>
      <c r="B729" s="7">
        <v>2</v>
      </c>
      <c r="C729" s="7">
        <v>248</v>
      </c>
      <c r="E729" s="7" t="s">
        <v>31</v>
      </c>
      <c r="F729" s="7">
        <v>15</v>
      </c>
      <c r="G729" s="7" t="s">
        <v>4</v>
      </c>
      <c r="H729" s="7">
        <v>15</v>
      </c>
      <c r="I729" s="7" t="s">
        <v>10</v>
      </c>
      <c r="L729" s="15" t="s">
        <v>40</v>
      </c>
    </row>
    <row r="730" spans="1:12">
      <c r="A730" s="6">
        <v>45980</v>
      </c>
      <c r="B730" s="7">
        <v>2</v>
      </c>
      <c r="C730" s="7">
        <v>248</v>
      </c>
      <c r="E730" s="7" t="s">
        <v>31</v>
      </c>
      <c r="F730" s="7">
        <v>15</v>
      </c>
      <c r="G730" s="7" t="s">
        <v>4</v>
      </c>
      <c r="H730" s="7">
        <v>15</v>
      </c>
      <c r="I730" s="7" t="s">
        <v>10</v>
      </c>
      <c r="L730" s="15" t="s">
        <v>40</v>
      </c>
    </row>
    <row r="731" spans="1:12">
      <c r="A731" s="6">
        <v>45980</v>
      </c>
      <c r="B731" s="7">
        <v>2</v>
      </c>
      <c r="C731" s="7">
        <v>248</v>
      </c>
      <c r="E731" s="7" t="s">
        <v>31</v>
      </c>
      <c r="F731" s="7">
        <v>15</v>
      </c>
      <c r="G731" s="7" t="s">
        <v>4</v>
      </c>
      <c r="H731" s="7">
        <v>15</v>
      </c>
      <c r="I731" s="7" t="s">
        <v>10</v>
      </c>
      <c r="L731" s="15" t="s">
        <v>40</v>
      </c>
    </row>
    <row r="732" spans="1:12">
      <c r="A732" s="6">
        <v>45980</v>
      </c>
      <c r="B732" s="7">
        <v>2</v>
      </c>
      <c r="C732" s="7">
        <v>248</v>
      </c>
      <c r="E732" s="7" t="s">
        <v>31</v>
      </c>
      <c r="F732" s="7">
        <v>15</v>
      </c>
      <c r="G732" s="7" t="s">
        <v>4</v>
      </c>
      <c r="H732" s="7">
        <v>15</v>
      </c>
      <c r="I732" s="7" t="s">
        <v>10</v>
      </c>
      <c r="L732" s="15" t="s">
        <v>40</v>
      </c>
    </row>
    <row r="733" spans="1:12">
      <c r="A733" s="6">
        <v>45980</v>
      </c>
      <c r="B733" s="7">
        <v>2</v>
      </c>
      <c r="C733" s="7">
        <v>248</v>
      </c>
      <c r="E733" s="7" t="s">
        <v>31</v>
      </c>
      <c r="F733" s="7">
        <v>15</v>
      </c>
      <c r="G733" s="7" t="s">
        <v>4</v>
      </c>
      <c r="H733" s="7">
        <v>15</v>
      </c>
      <c r="I733" s="7" t="s">
        <v>10</v>
      </c>
      <c r="L733" s="15" t="s">
        <v>40</v>
      </c>
    </row>
    <row r="734" spans="1:12">
      <c r="A734" s="6">
        <v>45980</v>
      </c>
      <c r="B734" s="7">
        <v>2</v>
      </c>
      <c r="C734" s="7">
        <v>248</v>
      </c>
      <c r="E734" s="7" t="s">
        <v>31</v>
      </c>
      <c r="F734" s="7">
        <v>15</v>
      </c>
      <c r="G734" s="7" t="s">
        <v>4</v>
      </c>
      <c r="H734" s="7">
        <v>15</v>
      </c>
      <c r="I734" s="7" t="s">
        <v>10</v>
      </c>
      <c r="L734" s="15" t="s">
        <v>40</v>
      </c>
    </row>
    <row r="735" spans="1:12">
      <c r="A735" s="6">
        <v>45981</v>
      </c>
      <c r="B735" s="7">
        <v>2</v>
      </c>
      <c r="C735" s="7">
        <v>248</v>
      </c>
      <c r="E735" s="7" t="s">
        <v>31</v>
      </c>
      <c r="F735" s="7">
        <v>15</v>
      </c>
      <c r="G735" s="7" t="s">
        <v>4</v>
      </c>
      <c r="H735" s="7">
        <v>15</v>
      </c>
      <c r="I735" s="7" t="s">
        <v>10</v>
      </c>
      <c r="L735" s="15" t="s">
        <v>40</v>
      </c>
    </row>
    <row r="736" spans="1:12">
      <c r="A736" s="6">
        <v>45981</v>
      </c>
      <c r="B736" s="7">
        <v>2</v>
      </c>
      <c r="C736" s="7">
        <v>248</v>
      </c>
      <c r="E736" s="7" t="s">
        <v>31</v>
      </c>
      <c r="F736" s="7">
        <v>15</v>
      </c>
      <c r="G736" s="7" t="s">
        <v>4</v>
      </c>
      <c r="H736" s="7">
        <v>15</v>
      </c>
      <c r="I736" s="7" t="s">
        <v>10</v>
      </c>
      <c r="L736" s="15" t="s">
        <v>40</v>
      </c>
    </row>
    <row r="737" spans="1:12">
      <c r="A737" s="6">
        <v>45981</v>
      </c>
      <c r="B737" s="7">
        <v>2</v>
      </c>
      <c r="C737" s="7">
        <v>248</v>
      </c>
      <c r="E737" s="7" t="s">
        <v>31</v>
      </c>
      <c r="F737" s="7">
        <v>15</v>
      </c>
      <c r="G737" s="7" t="s">
        <v>4</v>
      </c>
      <c r="H737" s="7">
        <v>15</v>
      </c>
      <c r="I737" s="7" t="s">
        <v>10</v>
      </c>
      <c r="L737" s="15" t="s">
        <v>40</v>
      </c>
    </row>
    <row r="738" spans="1:12">
      <c r="A738" s="6">
        <v>45981</v>
      </c>
      <c r="B738" s="7">
        <v>2</v>
      </c>
      <c r="C738" s="7">
        <v>248</v>
      </c>
      <c r="E738" s="7" t="s">
        <v>31</v>
      </c>
      <c r="F738" s="7">
        <v>15</v>
      </c>
      <c r="G738" s="7" t="s">
        <v>4</v>
      </c>
      <c r="H738" s="7">
        <v>15</v>
      </c>
      <c r="I738" s="7" t="s">
        <v>10</v>
      </c>
      <c r="L738" s="15" t="s">
        <v>40</v>
      </c>
    </row>
    <row r="739" spans="1:12">
      <c r="A739" s="6">
        <v>45981</v>
      </c>
      <c r="B739" s="7">
        <v>2</v>
      </c>
      <c r="C739" s="7">
        <v>248</v>
      </c>
      <c r="E739" s="7" t="s">
        <v>31</v>
      </c>
      <c r="F739" s="7">
        <v>15</v>
      </c>
      <c r="G739" s="7" t="s">
        <v>4</v>
      </c>
      <c r="H739" s="7">
        <v>15</v>
      </c>
      <c r="I739" s="7" t="s">
        <v>10</v>
      </c>
      <c r="L739" s="15" t="s">
        <v>40</v>
      </c>
    </row>
    <row r="740" spans="1:12">
      <c r="A740" s="6">
        <v>45981</v>
      </c>
      <c r="B740" s="7">
        <v>2</v>
      </c>
      <c r="C740" s="7">
        <v>248</v>
      </c>
      <c r="E740" s="7" t="s">
        <v>31</v>
      </c>
      <c r="F740" s="7">
        <v>15</v>
      </c>
      <c r="G740" s="7" t="s">
        <v>4</v>
      </c>
      <c r="H740" s="7">
        <v>15</v>
      </c>
      <c r="I740" s="7" t="s">
        <v>10</v>
      </c>
      <c r="L740" s="15" t="s">
        <v>40</v>
      </c>
    </row>
    <row r="741" spans="1:12">
      <c r="A741" s="6">
        <v>45981</v>
      </c>
      <c r="B741" s="7">
        <v>2</v>
      </c>
      <c r="C741" s="7">
        <v>248</v>
      </c>
      <c r="E741" s="7" t="s">
        <v>31</v>
      </c>
      <c r="F741" s="7">
        <v>15</v>
      </c>
      <c r="G741" s="7" t="s">
        <v>4</v>
      </c>
      <c r="H741" s="7">
        <v>15</v>
      </c>
      <c r="I741" s="7" t="s">
        <v>10</v>
      </c>
      <c r="L741" s="15" t="s">
        <v>40</v>
      </c>
    </row>
    <row r="742" spans="1:12">
      <c r="A742" s="6">
        <v>45981</v>
      </c>
      <c r="B742" s="7">
        <v>2</v>
      </c>
      <c r="C742" s="7">
        <v>248</v>
      </c>
      <c r="E742" s="7" t="s">
        <v>31</v>
      </c>
      <c r="F742" s="7">
        <v>15</v>
      </c>
      <c r="G742" s="7" t="s">
        <v>4</v>
      </c>
      <c r="H742" s="7">
        <v>15</v>
      </c>
      <c r="I742" s="7" t="s">
        <v>10</v>
      </c>
      <c r="L742" s="15" t="s">
        <v>40</v>
      </c>
    </row>
    <row r="743" spans="1:12">
      <c r="A743" s="6">
        <v>45981</v>
      </c>
      <c r="B743" s="7">
        <v>2</v>
      </c>
      <c r="C743" s="7">
        <v>248</v>
      </c>
      <c r="E743" s="7" t="s">
        <v>31</v>
      </c>
      <c r="F743" s="7">
        <v>15</v>
      </c>
      <c r="G743" s="7" t="s">
        <v>4</v>
      </c>
      <c r="H743" s="7">
        <v>15</v>
      </c>
      <c r="I743" s="7" t="s">
        <v>10</v>
      </c>
      <c r="L743" s="15" t="s">
        <v>40</v>
      </c>
    </row>
    <row r="744" spans="1:12">
      <c r="A744" s="6">
        <v>45981</v>
      </c>
      <c r="B744" s="7">
        <v>2</v>
      </c>
      <c r="C744" s="7">
        <v>248</v>
      </c>
      <c r="E744" s="7" t="s">
        <v>31</v>
      </c>
      <c r="F744" s="7">
        <v>15</v>
      </c>
      <c r="G744" s="7" t="s">
        <v>4</v>
      </c>
      <c r="H744" s="7">
        <v>15</v>
      </c>
      <c r="I744" s="7" t="s">
        <v>10</v>
      </c>
      <c r="L744" s="15" t="s">
        <v>40</v>
      </c>
    </row>
    <row r="745" spans="1:12">
      <c r="A745" s="6">
        <v>45981</v>
      </c>
      <c r="B745" s="7">
        <v>2</v>
      </c>
      <c r="C745" s="7">
        <v>248</v>
      </c>
      <c r="E745" s="7" t="s">
        <v>31</v>
      </c>
      <c r="F745" s="7">
        <v>15</v>
      </c>
      <c r="G745" s="7" t="s">
        <v>4</v>
      </c>
      <c r="H745" s="7">
        <v>15</v>
      </c>
      <c r="I745" s="7" t="s">
        <v>10</v>
      </c>
      <c r="L745" s="15" t="s">
        <v>40</v>
      </c>
    </row>
    <row r="746" spans="1:12">
      <c r="A746" s="6">
        <v>45981</v>
      </c>
      <c r="B746" s="7">
        <v>2</v>
      </c>
      <c r="C746" s="7">
        <v>248</v>
      </c>
      <c r="E746" s="7" t="s">
        <v>31</v>
      </c>
      <c r="F746" s="7">
        <v>15</v>
      </c>
      <c r="G746" s="7" t="s">
        <v>4</v>
      </c>
      <c r="H746" s="7">
        <v>15</v>
      </c>
      <c r="I746" s="7" t="s">
        <v>10</v>
      </c>
      <c r="L746" s="15" t="s">
        <v>40</v>
      </c>
    </row>
    <row r="747" spans="1:12">
      <c r="A747" s="6">
        <v>45981</v>
      </c>
      <c r="B747" s="7">
        <v>2</v>
      </c>
      <c r="C747" s="7">
        <v>248</v>
      </c>
      <c r="E747" s="7" t="s">
        <v>31</v>
      </c>
      <c r="F747" s="7">
        <v>15</v>
      </c>
      <c r="G747" s="7" t="s">
        <v>4</v>
      </c>
      <c r="H747" s="7">
        <v>15</v>
      </c>
      <c r="I747" s="7" t="s">
        <v>10</v>
      </c>
      <c r="L747" s="15" t="s">
        <v>40</v>
      </c>
    </row>
    <row r="748" spans="1:12">
      <c r="A748" s="6">
        <v>45981</v>
      </c>
      <c r="B748" s="7">
        <v>2</v>
      </c>
      <c r="C748" s="7">
        <v>248</v>
      </c>
      <c r="E748" s="7" t="s">
        <v>31</v>
      </c>
      <c r="F748" s="7">
        <v>15</v>
      </c>
      <c r="G748" s="7" t="s">
        <v>4</v>
      </c>
      <c r="H748" s="7">
        <v>15</v>
      </c>
      <c r="I748" s="7" t="s">
        <v>10</v>
      </c>
      <c r="L748" s="15" t="s">
        <v>40</v>
      </c>
    </row>
    <row r="749" spans="1:12">
      <c r="A749" s="6">
        <v>45981</v>
      </c>
      <c r="B749" s="7">
        <v>2</v>
      </c>
      <c r="C749" s="7">
        <v>248</v>
      </c>
      <c r="E749" s="7" t="s">
        <v>31</v>
      </c>
      <c r="F749" s="7">
        <v>15</v>
      </c>
      <c r="G749" s="7" t="s">
        <v>4</v>
      </c>
      <c r="H749" s="7">
        <v>15</v>
      </c>
      <c r="I749" s="7" t="s">
        <v>10</v>
      </c>
      <c r="L749" s="15" t="s">
        <v>40</v>
      </c>
    </row>
    <row r="750" spans="1:12">
      <c r="A750" s="6">
        <v>45981</v>
      </c>
      <c r="B750" s="7">
        <v>2</v>
      </c>
      <c r="C750" s="7">
        <v>248</v>
      </c>
      <c r="E750" s="7" t="s">
        <v>31</v>
      </c>
      <c r="F750" s="7">
        <v>15</v>
      </c>
      <c r="G750" s="7" t="s">
        <v>4</v>
      </c>
      <c r="H750" s="7">
        <v>15</v>
      </c>
      <c r="I750" s="7" t="s">
        <v>10</v>
      </c>
      <c r="L750" s="15" t="s">
        <v>40</v>
      </c>
    </row>
    <row r="751" spans="1:12">
      <c r="A751" s="6">
        <v>45981</v>
      </c>
      <c r="B751" s="7">
        <v>2</v>
      </c>
      <c r="C751" s="7">
        <v>248</v>
      </c>
      <c r="E751" s="7" t="s">
        <v>31</v>
      </c>
      <c r="F751" s="7">
        <v>15</v>
      </c>
      <c r="G751" s="7" t="s">
        <v>4</v>
      </c>
      <c r="H751" s="7">
        <v>15</v>
      </c>
      <c r="I751" s="7" t="s">
        <v>10</v>
      </c>
      <c r="L751" s="15" t="s">
        <v>40</v>
      </c>
    </row>
    <row r="752" spans="1:12">
      <c r="A752" s="6">
        <v>45981</v>
      </c>
      <c r="B752" s="7">
        <v>2</v>
      </c>
      <c r="C752" s="7">
        <v>248</v>
      </c>
      <c r="E752" s="7" t="s">
        <v>31</v>
      </c>
      <c r="F752" s="7">
        <v>15</v>
      </c>
      <c r="G752" s="7" t="s">
        <v>4</v>
      </c>
      <c r="H752" s="7">
        <v>15</v>
      </c>
      <c r="I752" s="7" t="s">
        <v>10</v>
      </c>
      <c r="L752" s="15" t="s">
        <v>40</v>
      </c>
    </row>
    <row r="753" spans="1:12">
      <c r="A753" s="6">
        <v>45981</v>
      </c>
      <c r="B753" s="7">
        <v>2</v>
      </c>
      <c r="C753" s="7">
        <v>248</v>
      </c>
      <c r="E753" s="7" t="s">
        <v>31</v>
      </c>
      <c r="F753" s="7">
        <v>15</v>
      </c>
      <c r="G753" s="7" t="s">
        <v>4</v>
      </c>
      <c r="H753" s="7">
        <v>15</v>
      </c>
      <c r="I753" s="7" t="s">
        <v>10</v>
      </c>
      <c r="L753" s="15" t="s">
        <v>40</v>
      </c>
    </row>
    <row r="754" spans="1:12">
      <c r="A754" s="6">
        <v>45981</v>
      </c>
      <c r="B754" s="7">
        <v>2</v>
      </c>
      <c r="C754" s="7">
        <v>248</v>
      </c>
      <c r="E754" s="7" t="s">
        <v>31</v>
      </c>
      <c r="F754" s="7">
        <v>15</v>
      </c>
      <c r="G754" s="7" t="s">
        <v>4</v>
      </c>
      <c r="H754" s="7">
        <v>15</v>
      </c>
      <c r="I754" s="7" t="s">
        <v>10</v>
      </c>
      <c r="L754" s="15" t="s">
        <v>40</v>
      </c>
    </row>
    <row r="755" spans="1:12">
      <c r="A755" s="6">
        <v>45981</v>
      </c>
      <c r="B755" s="7">
        <v>2</v>
      </c>
      <c r="C755" s="7">
        <v>248</v>
      </c>
      <c r="E755" s="7" t="s">
        <v>31</v>
      </c>
      <c r="F755" s="7">
        <v>15</v>
      </c>
      <c r="G755" s="7" t="s">
        <v>4</v>
      </c>
      <c r="H755" s="7">
        <v>15</v>
      </c>
      <c r="I755" s="7" t="s">
        <v>10</v>
      </c>
      <c r="L755" s="15" t="s">
        <v>40</v>
      </c>
    </row>
    <row r="756" spans="1:12">
      <c r="A756" s="6">
        <v>45980</v>
      </c>
      <c r="B756" s="7">
        <v>2</v>
      </c>
      <c r="C756" s="7">
        <v>350</v>
      </c>
      <c r="E756" s="7" t="s">
        <v>31</v>
      </c>
      <c r="F756" s="7">
        <v>15</v>
      </c>
      <c r="G756" s="7" t="s">
        <v>4</v>
      </c>
      <c r="H756" s="7">
        <v>15</v>
      </c>
      <c r="I756" s="7" t="s">
        <v>10</v>
      </c>
      <c r="L756" s="15" t="s">
        <v>40</v>
      </c>
    </row>
    <row r="757" spans="1:12">
      <c r="A757" s="6">
        <v>45982</v>
      </c>
      <c r="B757" s="7">
        <v>2</v>
      </c>
      <c r="C757" s="7">
        <v>211</v>
      </c>
      <c r="E757" s="7" t="s">
        <v>31</v>
      </c>
      <c r="F757" s="7">
        <v>60</v>
      </c>
      <c r="G757" s="7" t="s">
        <v>4</v>
      </c>
      <c r="H757" s="7">
        <v>15</v>
      </c>
      <c r="I757" s="7" t="s">
        <v>10</v>
      </c>
      <c r="L757" s="15" t="s">
        <v>40</v>
      </c>
    </row>
    <row r="758" spans="1:12">
      <c r="A758" s="6">
        <v>45985</v>
      </c>
      <c r="B758" s="7">
        <v>2</v>
      </c>
      <c r="C758" s="7">
        <v>270</v>
      </c>
      <c r="E758" s="7" t="s">
        <v>31</v>
      </c>
      <c r="F758" s="7">
        <v>60</v>
      </c>
      <c r="G758" s="7" t="s">
        <v>4</v>
      </c>
      <c r="H758" s="7">
        <v>15</v>
      </c>
      <c r="I758" s="7" t="s">
        <v>10</v>
      </c>
      <c r="L758" s="15" t="s">
        <v>40</v>
      </c>
    </row>
    <row r="759" spans="1:12">
      <c r="A759" s="6">
        <v>45986</v>
      </c>
      <c r="B759" s="7">
        <v>2</v>
      </c>
      <c r="C759" s="7">
        <v>232</v>
      </c>
      <c r="E759" s="7" t="s">
        <v>31</v>
      </c>
      <c r="F759" s="7">
        <v>15</v>
      </c>
      <c r="G759" s="7" t="s">
        <v>4</v>
      </c>
      <c r="H759" s="7">
        <v>15</v>
      </c>
      <c r="I759" s="7" t="s">
        <v>10</v>
      </c>
      <c r="L759" s="15" t="s">
        <v>40</v>
      </c>
    </row>
    <row r="760" spans="1:12">
      <c r="A760" s="6">
        <v>45987</v>
      </c>
      <c r="B760" s="7">
        <v>2</v>
      </c>
      <c r="C760" s="7">
        <v>360</v>
      </c>
      <c r="E760" s="7" t="s">
        <v>31</v>
      </c>
      <c r="F760" s="7">
        <v>15</v>
      </c>
      <c r="G760" s="7" t="s">
        <v>4</v>
      </c>
      <c r="H760" s="7">
        <v>15</v>
      </c>
      <c r="I760" s="7" t="s">
        <v>10</v>
      </c>
      <c r="L760" s="15" t="s">
        <v>40</v>
      </c>
    </row>
    <row r="761" spans="1:12">
      <c r="A761" s="6">
        <v>45987</v>
      </c>
      <c r="B761" s="7">
        <v>2</v>
      </c>
      <c r="C761" s="7">
        <v>360</v>
      </c>
      <c r="E761" s="7" t="s">
        <v>31</v>
      </c>
      <c r="F761" s="7">
        <v>15</v>
      </c>
      <c r="G761" s="7" t="s">
        <v>4</v>
      </c>
      <c r="H761" s="7">
        <v>15</v>
      </c>
      <c r="I761" s="7" t="s">
        <v>10</v>
      </c>
      <c r="L761" s="15" t="s">
        <v>40</v>
      </c>
    </row>
    <row r="762" spans="1:12">
      <c r="A762" s="6">
        <v>45988</v>
      </c>
      <c r="B762" s="7">
        <v>2</v>
      </c>
      <c r="C762" s="7">
        <v>282</v>
      </c>
      <c r="E762" s="7" t="s">
        <v>31</v>
      </c>
      <c r="F762" s="7">
        <v>30</v>
      </c>
      <c r="G762" s="7" t="s">
        <v>4</v>
      </c>
      <c r="H762" s="7">
        <v>15</v>
      </c>
      <c r="I762" s="7" t="s">
        <v>10</v>
      </c>
      <c r="L762" s="15" t="s">
        <v>40</v>
      </c>
    </row>
    <row r="763" spans="1:12">
      <c r="A763" s="6">
        <v>45993</v>
      </c>
      <c r="B763" s="7">
        <v>2</v>
      </c>
      <c r="C763" s="7">
        <v>75</v>
      </c>
      <c r="E763" s="7" t="s">
        <v>31</v>
      </c>
      <c r="F763" s="7">
        <v>15</v>
      </c>
      <c r="G763" s="7" t="s">
        <v>4</v>
      </c>
      <c r="H763" s="7">
        <v>15</v>
      </c>
      <c r="I763" s="7" t="s">
        <v>10</v>
      </c>
      <c r="L763" s="15" t="s">
        <v>40</v>
      </c>
    </row>
    <row r="764" spans="1:12">
      <c r="A764" s="6">
        <v>45994</v>
      </c>
      <c r="B764" s="7">
        <v>2</v>
      </c>
      <c r="C764" s="7">
        <v>210</v>
      </c>
      <c r="E764" s="7" t="s">
        <v>31</v>
      </c>
      <c r="F764" s="7">
        <v>15</v>
      </c>
      <c r="G764" s="7" t="s">
        <v>4</v>
      </c>
      <c r="H764" s="7">
        <v>15</v>
      </c>
      <c r="I764" s="7" t="s">
        <v>10</v>
      </c>
      <c r="L764" s="15" t="s">
        <v>40</v>
      </c>
    </row>
    <row r="765" spans="1:12">
      <c r="A765" s="6">
        <v>45995</v>
      </c>
      <c r="B765" s="7">
        <v>2</v>
      </c>
      <c r="C765" s="7">
        <v>262</v>
      </c>
      <c r="E765" s="7" t="s">
        <v>31</v>
      </c>
      <c r="F765" s="7">
        <v>15</v>
      </c>
      <c r="G765" s="7" t="s">
        <v>4</v>
      </c>
      <c r="H765" s="7">
        <v>15</v>
      </c>
      <c r="I765" s="7" t="s">
        <v>10</v>
      </c>
      <c r="L765" s="15" t="s">
        <v>40</v>
      </c>
    </row>
    <row r="766" spans="1:12">
      <c r="A766" s="6">
        <v>45996</v>
      </c>
      <c r="B766" s="7">
        <v>2</v>
      </c>
      <c r="C766" s="7">
        <v>180</v>
      </c>
      <c r="E766" s="7" t="s">
        <v>31</v>
      </c>
      <c r="F766" s="7">
        <v>75</v>
      </c>
      <c r="G766" s="7" t="s">
        <v>4</v>
      </c>
      <c r="H766" s="7">
        <v>15</v>
      </c>
      <c r="I766" s="7" t="s">
        <v>10</v>
      </c>
      <c r="L766" s="15" t="s">
        <v>40</v>
      </c>
    </row>
    <row r="767" spans="1:12">
      <c r="A767" s="6">
        <v>45999</v>
      </c>
      <c r="B767" s="7">
        <v>2</v>
      </c>
      <c r="C767" s="7">
        <v>138</v>
      </c>
      <c r="E767" s="7" t="s">
        <v>31</v>
      </c>
      <c r="F767" s="7">
        <v>15</v>
      </c>
      <c r="G767" s="7" t="s">
        <v>4</v>
      </c>
      <c r="H767" s="7">
        <v>15</v>
      </c>
      <c r="I767" s="7" t="s">
        <v>10</v>
      </c>
      <c r="L767" s="15" t="s">
        <v>40</v>
      </c>
    </row>
    <row r="768" spans="1:12">
      <c r="A768" s="6">
        <v>46000</v>
      </c>
      <c r="B768" s="7">
        <v>2</v>
      </c>
      <c r="C768" s="7">
        <v>78</v>
      </c>
      <c r="E768" s="7" t="s">
        <v>31</v>
      </c>
      <c r="F768" s="7">
        <v>420</v>
      </c>
      <c r="G768" s="7" t="s">
        <v>12</v>
      </c>
      <c r="H768" s="7">
        <v>15</v>
      </c>
      <c r="I768" s="7" t="s">
        <v>10</v>
      </c>
      <c r="L768" s="15" t="s">
        <v>40</v>
      </c>
    </row>
    <row r="769" spans="1:12">
      <c r="A769" s="6">
        <v>46000</v>
      </c>
      <c r="B769" s="7">
        <v>2</v>
      </c>
      <c r="C769" s="7">
        <v>250</v>
      </c>
      <c r="E769" s="7" t="s">
        <v>31</v>
      </c>
      <c r="F769" s="7">
        <v>0</v>
      </c>
      <c r="G769" s="7" t="s">
        <v>12</v>
      </c>
      <c r="H769" s="7">
        <v>15</v>
      </c>
      <c r="I769" s="7" t="s">
        <v>10</v>
      </c>
      <c r="L769" s="15" t="s">
        <v>40</v>
      </c>
    </row>
    <row r="770" spans="1:12">
      <c r="A770" s="6">
        <v>46000</v>
      </c>
      <c r="B770" s="7">
        <v>2</v>
      </c>
      <c r="C770" s="7">
        <v>250</v>
      </c>
      <c r="E770" s="7" t="s">
        <v>31</v>
      </c>
      <c r="F770" s="7">
        <v>0</v>
      </c>
      <c r="G770" s="7" t="s">
        <v>12</v>
      </c>
      <c r="H770" s="7">
        <v>15</v>
      </c>
      <c r="I770" s="7" t="s">
        <v>10</v>
      </c>
      <c r="L770" s="15" t="s">
        <v>40</v>
      </c>
    </row>
    <row r="771" spans="1:12">
      <c r="A771" s="6">
        <v>46000</v>
      </c>
      <c r="B771" s="7">
        <v>2</v>
      </c>
      <c r="C771" s="7">
        <v>250</v>
      </c>
      <c r="E771" s="7" t="s">
        <v>31</v>
      </c>
      <c r="F771" s="7">
        <v>0</v>
      </c>
      <c r="G771" s="7" t="s">
        <v>12</v>
      </c>
      <c r="H771" s="7">
        <v>15</v>
      </c>
      <c r="I771" s="7" t="s">
        <v>10</v>
      </c>
      <c r="L771" s="15" t="s">
        <v>40</v>
      </c>
    </row>
    <row r="772" spans="1:12">
      <c r="A772" s="6">
        <v>46001</v>
      </c>
      <c r="B772" s="7">
        <v>2</v>
      </c>
      <c r="C772" s="7">
        <v>250</v>
      </c>
      <c r="E772" s="7" t="s">
        <v>31</v>
      </c>
      <c r="F772" s="7">
        <v>0</v>
      </c>
      <c r="G772" s="7" t="s">
        <v>12</v>
      </c>
      <c r="H772" s="7">
        <v>15</v>
      </c>
      <c r="I772" s="7" t="s">
        <v>10</v>
      </c>
      <c r="L772" s="15" t="s">
        <v>40</v>
      </c>
    </row>
    <row r="773" spans="1:12">
      <c r="A773" s="6">
        <v>46001</v>
      </c>
      <c r="B773" s="7">
        <v>2</v>
      </c>
      <c r="C773" s="7">
        <v>250</v>
      </c>
      <c r="E773" s="7" t="s">
        <v>31</v>
      </c>
      <c r="F773" s="7">
        <v>0</v>
      </c>
      <c r="G773" s="7" t="s">
        <v>12</v>
      </c>
      <c r="H773" s="7">
        <v>15</v>
      </c>
      <c r="I773" s="7" t="s">
        <v>10</v>
      </c>
      <c r="L773" s="15" t="s">
        <v>40</v>
      </c>
    </row>
    <row r="774" spans="1:12">
      <c r="A774" s="6">
        <v>46001</v>
      </c>
      <c r="B774" s="7">
        <v>2</v>
      </c>
      <c r="C774" s="7">
        <v>250</v>
      </c>
      <c r="E774" s="7" t="s">
        <v>31</v>
      </c>
      <c r="F774" s="7">
        <v>0</v>
      </c>
      <c r="G774" s="7" t="s">
        <v>12</v>
      </c>
      <c r="H774" s="7">
        <v>15</v>
      </c>
      <c r="I774" s="7" t="s">
        <v>10</v>
      </c>
      <c r="L774" s="15" t="s">
        <v>40</v>
      </c>
    </row>
    <row r="775" spans="1:12">
      <c r="A775" s="6">
        <v>46001</v>
      </c>
      <c r="B775" s="7">
        <v>2</v>
      </c>
      <c r="C775" s="7">
        <v>250</v>
      </c>
      <c r="E775" s="7" t="s">
        <v>31</v>
      </c>
      <c r="F775" s="7">
        <v>0</v>
      </c>
      <c r="G775" s="7" t="s">
        <v>4</v>
      </c>
      <c r="H775" s="7">
        <v>15</v>
      </c>
      <c r="I775" s="7" t="s">
        <v>10</v>
      </c>
      <c r="L775" s="15" t="s">
        <v>40</v>
      </c>
    </row>
    <row r="776" spans="1:12">
      <c r="A776" s="6">
        <v>46001</v>
      </c>
      <c r="B776" s="7">
        <v>2</v>
      </c>
      <c r="C776" s="7">
        <v>250</v>
      </c>
      <c r="E776" s="7" t="s">
        <v>31</v>
      </c>
      <c r="F776" s="7">
        <v>15</v>
      </c>
      <c r="G776" s="7" t="s">
        <v>4</v>
      </c>
      <c r="H776" s="7">
        <v>15</v>
      </c>
      <c r="I776" s="7" t="s">
        <v>10</v>
      </c>
      <c r="L776" s="15" t="s">
        <v>40</v>
      </c>
    </row>
    <row r="777" spans="1:12">
      <c r="A777" s="6">
        <v>46001</v>
      </c>
      <c r="B777" s="7">
        <v>2</v>
      </c>
      <c r="C777" s="7">
        <v>230</v>
      </c>
      <c r="E777" s="7" t="s">
        <v>31</v>
      </c>
      <c r="F777" s="7">
        <v>15</v>
      </c>
      <c r="G777" s="7" t="s">
        <v>4</v>
      </c>
      <c r="H777" s="7">
        <v>15</v>
      </c>
      <c r="I777" s="7" t="s">
        <v>10</v>
      </c>
      <c r="L777" s="15" t="s">
        <v>40</v>
      </c>
    </row>
    <row r="778" spans="1:12">
      <c r="A778" s="6">
        <v>46002</v>
      </c>
      <c r="B778" s="7">
        <v>2</v>
      </c>
      <c r="C778" s="7">
        <v>250</v>
      </c>
      <c r="E778" s="7" t="s">
        <v>31</v>
      </c>
      <c r="F778" s="7">
        <v>15</v>
      </c>
      <c r="G778" s="7" t="s">
        <v>4</v>
      </c>
      <c r="H778" s="7">
        <v>15</v>
      </c>
      <c r="I778" s="7" t="s">
        <v>10</v>
      </c>
      <c r="L778" s="15" t="s">
        <v>40</v>
      </c>
    </row>
    <row r="779" spans="1:12">
      <c r="A779" s="6">
        <v>46003</v>
      </c>
      <c r="B779" s="7">
        <v>2</v>
      </c>
      <c r="C779" s="7">
        <v>232</v>
      </c>
      <c r="E779" s="7" t="s">
        <v>31</v>
      </c>
      <c r="F779" s="7">
        <v>60</v>
      </c>
      <c r="G779" s="7" t="s">
        <v>4</v>
      </c>
      <c r="H779" s="7">
        <v>15</v>
      </c>
      <c r="I779" s="7" t="s">
        <v>10</v>
      </c>
      <c r="L779" s="15" t="s">
        <v>40</v>
      </c>
    </row>
    <row r="780" spans="1:12">
      <c r="A780" s="6">
        <v>46006</v>
      </c>
      <c r="B780" s="7">
        <v>2</v>
      </c>
      <c r="C780" s="7">
        <v>380</v>
      </c>
      <c r="E780" s="7" t="s">
        <v>31</v>
      </c>
      <c r="F780" s="7">
        <v>15</v>
      </c>
      <c r="G780" s="7" t="s">
        <v>4</v>
      </c>
      <c r="H780" s="7">
        <v>15</v>
      </c>
      <c r="I780" s="7" t="s">
        <v>10</v>
      </c>
      <c r="L780" s="15" t="s">
        <v>40</v>
      </c>
    </row>
    <row r="781" spans="1:12">
      <c r="A781" s="6">
        <v>46007</v>
      </c>
      <c r="B781" s="7">
        <v>2</v>
      </c>
      <c r="C781" s="7">
        <v>300</v>
      </c>
      <c r="E781" s="7" t="s">
        <v>31</v>
      </c>
      <c r="F781" s="7">
        <v>15</v>
      </c>
      <c r="G781" s="7" t="s">
        <v>4</v>
      </c>
      <c r="H781" s="7">
        <v>15</v>
      </c>
      <c r="I781" s="7" t="s">
        <v>10</v>
      </c>
      <c r="L781" s="15" t="s">
        <v>40</v>
      </c>
    </row>
    <row r="782" spans="1:12">
      <c r="A782" s="6">
        <v>46008</v>
      </c>
      <c r="B782" s="7">
        <v>2</v>
      </c>
      <c r="C782" s="7">
        <v>350</v>
      </c>
      <c r="E782" s="7" t="s">
        <v>31</v>
      </c>
      <c r="F782" s="7">
        <v>15</v>
      </c>
      <c r="G782" s="7" t="s">
        <v>4</v>
      </c>
      <c r="H782" s="7">
        <v>15</v>
      </c>
      <c r="I782" s="7" t="s">
        <v>10</v>
      </c>
      <c r="L782" s="15" t="s">
        <v>40</v>
      </c>
    </row>
    <row r="783" spans="1:12">
      <c r="A783" s="6">
        <v>46010</v>
      </c>
      <c r="B783" s="7">
        <v>1</v>
      </c>
      <c r="C783" s="7">
        <v>1212</v>
      </c>
      <c r="E783" s="7" t="s">
        <v>31</v>
      </c>
      <c r="F783" s="7">
        <v>15</v>
      </c>
      <c r="G783" s="7" t="s">
        <v>4</v>
      </c>
      <c r="H783" s="7">
        <v>15</v>
      </c>
      <c r="I783" s="7" t="s">
        <v>10</v>
      </c>
      <c r="L783" s="15" t="s">
        <v>40</v>
      </c>
    </row>
    <row r="784" spans="1:12">
      <c r="A784" s="6">
        <v>46010</v>
      </c>
      <c r="B784" s="7">
        <v>2</v>
      </c>
      <c r="C784" s="7">
        <v>300</v>
      </c>
      <c r="E784" s="7" t="s">
        <v>31</v>
      </c>
      <c r="F784" s="7">
        <v>15</v>
      </c>
      <c r="G784" s="7" t="s">
        <v>4</v>
      </c>
      <c r="H784" s="7">
        <v>15</v>
      </c>
      <c r="I784" s="7" t="s">
        <v>10</v>
      </c>
      <c r="L784" s="15" t="s">
        <v>40</v>
      </c>
    </row>
    <row r="785" spans="1:12">
      <c r="A785" s="6">
        <v>46009</v>
      </c>
      <c r="B785" s="7">
        <v>2</v>
      </c>
      <c r="C785" s="7">
        <v>252</v>
      </c>
      <c r="E785" s="7" t="s">
        <v>31</v>
      </c>
      <c r="F785" s="7">
        <v>15</v>
      </c>
      <c r="G785" s="7" t="s">
        <v>4</v>
      </c>
      <c r="H785" s="7">
        <v>15</v>
      </c>
      <c r="I785" s="7" t="s">
        <v>10</v>
      </c>
      <c r="L785" s="15" t="s">
        <v>40</v>
      </c>
    </row>
    <row r="786" spans="1:12">
      <c r="A786" s="6">
        <v>46010</v>
      </c>
      <c r="B786" s="7">
        <v>2</v>
      </c>
      <c r="C786" s="7">
        <v>222</v>
      </c>
      <c r="E786" s="7" t="s">
        <v>31</v>
      </c>
      <c r="F786" s="7">
        <v>60</v>
      </c>
      <c r="G786" s="7" t="s">
        <v>4</v>
      </c>
      <c r="H786" s="7">
        <v>15</v>
      </c>
      <c r="I786" s="7" t="s">
        <v>8</v>
      </c>
      <c r="L786" s="15" t="s">
        <v>40</v>
      </c>
    </row>
    <row r="787" spans="1:12">
      <c r="A787" s="6">
        <v>46013</v>
      </c>
      <c r="B787" s="7">
        <v>2</v>
      </c>
      <c r="C787" s="7">
        <v>280</v>
      </c>
      <c r="E787" s="7" t="s">
        <v>31</v>
      </c>
      <c r="F787" s="7">
        <v>15</v>
      </c>
      <c r="G787" s="7" t="s">
        <v>4</v>
      </c>
      <c r="H787" s="7">
        <v>15</v>
      </c>
      <c r="I787" s="7" t="s">
        <v>8</v>
      </c>
      <c r="L787" s="15" t="s">
        <v>40</v>
      </c>
    </row>
    <row r="788" spans="1:12">
      <c r="A788" s="6">
        <v>46013</v>
      </c>
      <c r="B788" s="7">
        <v>2</v>
      </c>
      <c r="C788" s="7">
        <v>280</v>
      </c>
      <c r="E788" s="7" t="s">
        <v>31</v>
      </c>
      <c r="F788" s="7">
        <v>15</v>
      </c>
      <c r="G788" s="7" t="s">
        <v>4</v>
      </c>
      <c r="H788" s="7">
        <v>15</v>
      </c>
      <c r="I788" s="7" t="s">
        <v>8</v>
      </c>
      <c r="L788" s="15" t="s">
        <v>40</v>
      </c>
    </row>
    <row r="789" spans="1:12">
      <c r="A789" s="6">
        <v>46014</v>
      </c>
      <c r="B789" s="7">
        <v>2</v>
      </c>
      <c r="C789" s="7">
        <v>306</v>
      </c>
      <c r="E789" s="7" t="s">
        <v>31</v>
      </c>
      <c r="F789" s="7">
        <v>15</v>
      </c>
      <c r="G789" s="7" t="s">
        <v>4</v>
      </c>
      <c r="H789" s="7">
        <v>15</v>
      </c>
      <c r="I789" s="7" t="s">
        <v>10</v>
      </c>
      <c r="L789" s="15" t="s">
        <v>40</v>
      </c>
    </row>
    <row r="790" spans="1:12">
      <c r="A790" s="6">
        <v>46014</v>
      </c>
      <c r="B790" s="7">
        <v>2</v>
      </c>
      <c r="C790" s="7">
        <v>306</v>
      </c>
      <c r="E790" s="7" t="s">
        <v>31</v>
      </c>
      <c r="F790" s="7">
        <v>15</v>
      </c>
      <c r="G790" s="7" t="s">
        <v>4</v>
      </c>
      <c r="H790" s="7">
        <v>15</v>
      </c>
      <c r="I790" s="7" t="s">
        <v>10</v>
      </c>
      <c r="L790" s="15" t="s">
        <v>40</v>
      </c>
    </row>
    <row r="791" spans="1:12">
      <c r="A791" s="6">
        <v>46015</v>
      </c>
      <c r="B791" s="7">
        <v>2</v>
      </c>
      <c r="C791" s="7">
        <v>262</v>
      </c>
      <c r="E791" s="7" t="s">
        <v>31</v>
      </c>
      <c r="F791" s="7">
        <v>15</v>
      </c>
      <c r="G791" s="7" t="s">
        <v>4</v>
      </c>
      <c r="H791" s="7">
        <v>35</v>
      </c>
      <c r="I791" s="7" t="s">
        <v>28</v>
      </c>
      <c r="L791" s="15" t="s">
        <v>40</v>
      </c>
    </row>
    <row r="792" spans="1:12">
      <c r="A792" s="6">
        <v>46016</v>
      </c>
      <c r="B792" s="7">
        <v>2</v>
      </c>
      <c r="D792" s="7">
        <v>292</v>
      </c>
      <c r="E792" s="7" t="s">
        <v>31</v>
      </c>
      <c r="F792" s="7">
        <v>90</v>
      </c>
      <c r="G792" s="7" t="s">
        <v>28</v>
      </c>
      <c r="H792" s="7">
        <v>15</v>
      </c>
      <c r="I792" s="7" t="s">
        <v>4</v>
      </c>
    </row>
    <row r="793" spans="1:12">
      <c r="A793" s="6">
        <v>46017</v>
      </c>
      <c r="B793" s="7">
        <v>2</v>
      </c>
      <c r="D793" s="7">
        <v>257</v>
      </c>
      <c r="E793" s="7" t="s">
        <v>31</v>
      </c>
      <c r="F793" s="7">
        <v>15</v>
      </c>
      <c r="G793" s="7" t="s">
        <v>10</v>
      </c>
      <c r="H793" s="7">
        <v>90</v>
      </c>
      <c r="I793" s="7" t="s">
        <v>4</v>
      </c>
    </row>
    <row r="794" spans="1:12">
      <c r="A794" s="6">
        <v>46020</v>
      </c>
      <c r="B794" s="7">
        <v>2</v>
      </c>
      <c r="D794" s="7">
        <v>300</v>
      </c>
      <c r="E794" s="7" t="s">
        <v>31</v>
      </c>
      <c r="F794" s="7">
        <v>15</v>
      </c>
      <c r="G794" s="7" t="s">
        <v>10</v>
      </c>
      <c r="H794" s="7">
        <v>15</v>
      </c>
      <c r="I794" s="7" t="s">
        <v>4</v>
      </c>
    </row>
    <row r="795" spans="1:12">
      <c r="A795" s="6">
        <v>46020</v>
      </c>
      <c r="B795" s="7">
        <v>2</v>
      </c>
      <c r="D795" s="7">
        <v>300</v>
      </c>
      <c r="E795" s="7" t="s">
        <v>31</v>
      </c>
      <c r="F795" s="7">
        <v>15</v>
      </c>
      <c r="G795" s="7" t="s">
        <v>10</v>
      </c>
      <c r="H795" s="7">
        <v>15</v>
      </c>
      <c r="I795" s="7" t="s">
        <v>4</v>
      </c>
    </row>
    <row r="796" spans="1:12">
      <c r="A796" s="6">
        <v>46021</v>
      </c>
      <c r="B796" s="7">
        <v>2</v>
      </c>
      <c r="D796" s="7">
        <v>205</v>
      </c>
      <c r="E796" s="7" t="s">
        <v>31</v>
      </c>
      <c r="F796" s="7">
        <v>15</v>
      </c>
      <c r="G796" s="7" t="s">
        <v>10</v>
      </c>
      <c r="H796" s="7">
        <v>120</v>
      </c>
      <c r="I796" s="7" t="s">
        <v>4</v>
      </c>
    </row>
    <row r="797" spans="1:12">
      <c r="A797" s="6">
        <v>46027</v>
      </c>
      <c r="B797" s="7">
        <v>2</v>
      </c>
      <c r="D797" s="7">
        <v>190</v>
      </c>
      <c r="E797" s="7" t="s">
        <v>31</v>
      </c>
      <c r="F797" s="7">
        <v>15</v>
      </c>
      <c r="G797" s="7" t="s">
        <v>12</v>
      </c>
      <c r="H797" s="7">
        <v>180</v>
      </c>
      <c r="I797" s="7" t="s">
        <v>4</v>
      </c>
    </row>
    <row r="798" spans="1:12">
      <c r="A798" s="6">
        <v>46028</v>
      </c>
      <c r="B798" s="7">
        <v>2</v>
      </c>
      <c r="D798" s="7">
        <v>70</v>
      </c>
      <c r="E798" s="7" t="s">
        <v>31</v>
      </c>
      <c r="F798" s="7">
        <v>15</v>
      </c>
      <c r="G798" s="7" t="s">
        <v>12</v>
      </c>
      <c r="H798" s="7">
        <v>300</v>
      </c>
      <c r="I798" s="7" t="s">
        <v>4</v>
      </c>
    </row>
    <row r="799" spans="1:12">
      <c r="A799" s="6">
        <v>46029</v>
      </c>
      <c r="B799" s="7">
        <v>2</v>
      </c>
      <c r="D799" s="7">
        <v>22</v>
      </c>
      <c r="E799" s="7" t="s">
        <v>31</v>
      </c>
      <c r="F799" s="7">
        <v>15</v>
      </c>
      <c r="G799" s="7" t="s">
        <v>4</v>
      </c>
      <c r="H799" s="7">
        <v>540</v>
      </c>
      <c r="I799" s="7" t="s">
        <v>12</v>
      </c>
    </row>
    <row r="800" spans="1:12">
      <c r="A800" s="6">
        <v>46030</v>
      </c>
      <c r="B800" s="7">
        <v>2</v>
      </c>
      <c r="D800" s="7">
        <v>340</v>
      </c>
      <c r="E800" s="7" t="s">
        <v>31</v>
      </c>
      <c r="F800" s="7">
        <v>15</v>
      </c>
      <c r="G800" s="7" t="s">
        <v>4</v>
      </c>
      <c r="H800" s="7">
        <v>15</v>
      </c>
    </row>
    <row r="801" spans="1:11">
      <c r="A801" s="6">
        <v>46030</v>
      </c>
      <c r="B801" s="7">
        <v>2</v>
      </c>
      <c r="D801" s="7">
        <v>340</v>
      </c>
      <c r="E801" s="7" t="s">
        <v>31</v>
      </c>
      <c r="F801" s="7">
        <v>15</v>
      </c>
      <c r="G801" s="7" t="s">
        <v>4</v>
      </c>
      <c r="H801" s="7">
        <v>15</v>
      </c>
      <c r="I801" s="7" t="s">
        <v>4</v>
      </c>
    </row>
    <row r="802" spans="1:11">
      <c r="A802" s="6">
        <v>46031</v>
      </c>
      <c r="B802" s="7">
        <v>2</v>
      </c>
      <c r="D802" s="7">
        <v>280</v>
      </c>
      <c r="E802" s="7" t="s">
        <v>31</v>
      </c>
      <c r="F802" s="7">
        <v>15</v>
      </c>
      <c r="G802" s="7" t="s">
        <v>4</v>
      </c>
      <c r="H802" s="7">
        <v>60</v>
      </c>
      <c r="I802" s="7" t="s">
        <v>4</v>
      </c>
      <c r="J802" s="7">
        <v>30</v>
      </c>
      <c r="K802" s="7" t="s">
        <v>8</v>
      </c>
    </row>
    <row r="803" spans="1:11">
      <c r="A803" s="6">
        <v>46031</v>
      </c>
      <c r="B803" s="7">
        <v>2</v>
      </c>
      <c r="D803" s="7">
        <v>280</v>
      </c>
      <c r="E803" s="7" t="s">
        <v>31</v>
      </c>
      <c r="F803" s="7">
        <v>15</v>
      </c>
      <c r="G803" s="7" t="s">
        <v>4</v>
      </c>
      <c r="H803" s="7">
        <v>60</v>
      </c>
      <c r="I803" s="7" t="s">
        <v>4</v>
      </c>
      <c r="J803" s="7">
        <v>30</v>
      </c>
      <c r="K803" s="7" t="s">
        <v>8</v>
      </c>
    </row>
    <row r="804" spans="1:11">
      <c r="A804" s="6">
        <v>46034</v>
      </c>
      <c r="B804" s="7">
        <v>2</v>
      </c>
      <c r="D804" s="7">
        <v>358</v>
      </c>
      <c r="E804" s="7" t="s">
        <v>31</v>
      </c>
      <c r="F804" s="7">
        <v>60</v>
      </c>
      <c r="G804" s="7" t="s">
        <v>4</v>
      </c>
      <c r="H804" s="7">
        <v>0</v>
      </c>
      <c r="I804" s="7" t="s">
        <v>4</v>
      </c>
      <c r="J804" s="7">
        <v>15</v>
      </c>
      <c r="K804" s="7" t="s">
        <v>8</v>
      </c>
    </row>
    <row r="805" spans="1:11">
      <c r="A805" s="6">
        <v>46034</v>
      </c>
      <c r="B805" s="7">
        <v>2</v>
      </c>
      <c r="D805" s="7">
        <v>358</v>
      </c>
      <c r="E805" s="7" t="s">
        <v>31</v>
      </c>
      <c r="F805" s="7">
        <v>60</v>
      </c>
      <c r="G805" s="7" t="s">
        <v>12</v>
      </c>
      <c r="H805" s="7">
        <v>0</v>
      </c>
      <c r="I805" s="7" t="s">
        <v>4</v>
      </c>
      <c r="J805" s="7">
        <v>15</v>
      </c>
      <c r="K805" s="7" t="s">
        <v>8</v>
      </c>
    </row>
    <row r="806" spans="1:11">
      <c r="A806" s="6">
        <v>46034</v>
      </c>
      <c r="B806" s="7">
        <v>2</v>
      </c>
      <c r="D806" s="7">
        <v>358</v>
      </c>
      <c r="E806" s="7" t="s">
        <v>31</v>
      </c>
      <c r="F806" s="7">
        <v>60</v>
      </c>
      <c r="G806" s="7" t="s">
        <v>12</v>
      </c>
      <c r="H806" s="7">
        <v>0</v>
      </c>
      <c r="I806" s="7" t="s">
        <v>4</v>
      </c>
      <c r="J806" s="7">
        <v>15</v>
      </c>
      <c r="K806" s="7" t="s">
        <v>8</v>
      </c>
    </row>
    <row r="807" spans="1:11">
      <c r="A807" s="6">
        <v>46034</v>
      </c>
      <c r="B807" s="7">
        <v>2</v>
      </c>
      <c r="D807" s="7">
        <v>358</v>
      </c>
      <c r="E807" s="7" t="s">
        <v>31</v>
      </c>
      <c r="F807" s="7">
        <v>60</v>
      </c>
      <c r="G807" s="7" t="s">
        <v>12</v>
      </c>
      <c r="H807" s="7">
        <v>0</v>
      </c>
      <c r="I807" s="7" t="s">
        <v>4</v>
      </c>
      <c r="J807" s="7">
        <v>15</v>
      </c>
    </row>
    <row r="808" spans="1:11">
      <c r="A808" s="6">
        <v>46034</v>
      </c>
      <c r="B808" s="7">
        <v>2</v>
      </c>
      <c r="D808" s="7">
        <v>358</v>
      </c>
      <c r="E808" s="7" t="s">
        <v>31</v>
      </c>
      <c r="F808" s="7">
        <v>60</v>
      </c>
      <c r="G808" s="7" t="s">
        <v>12</v>
      </c>
      <c r="H808" s="7">
        <v>15</v>
      </c>
      <c r="I808" s="7" t="s">
        <v>4</v>
      </c>
    </row>
    <row r="809" spans="1:11">
      <c r="A809" s="6">
        <v>46035</v>
      </c>
      <c r="B809" s="7">
        <v>2</v>
      </c>
      <c r="D809" s="7">
        <v>370</v>
      </c>
      <c r="E809" s="7" t="s">
        <v>31</v>
      </c>
      <c r="F809" s="7">
        <v>15</v>
      </c>
      <c r="H809" s="7">
        <v>15</v>
      </c>
      <c r="I809" s="7" t="s">
        <v>4</v>
      </c>
    </row>
    <row r="810" spans="1:11">
      <c r="A810" s="6">
        <v>46035</v>
      </c>
      <c r="B810" s="7">
        <v>2</v>
      </c>
      <c r="D810" s="7">
        <v>320</v>
      </c>
      <c r="E810" s="7" t="s">
        <v>31</v>
      </c>
      <c r="F810" s="7">
        <v>15</v>
      </c>
      <c r="H810" s="7">
        <v>15</v>
      </c>
      <c r="I810" s="7" t="s">
        <v>4</v>
      </c>
    </row>
    <row r="811" spans="1:11">
      <c r="A811" s="6">
        <v>46035</v>
      </c>
      <c r="B811" s="7">
        <v>2</v>
      </c>
      <c r="D811" s="7">
        <v>320</v>
      </c>
      <c r="E811" s="7" t="s">
        <v>31</v>
      </c>
      <c r="F811" s="7">
        <v>15</v>
      </c>
      <c r="H811" s="7">
        <v>15</v>
      </c>
      <c r="I811" s="7" t="s">
        <v>4</v>
      </c>
    </row>
    <row r="812" spans="1:11">
      <c r="A812" s="6">
        <v>46036</v>
      </c>
      <c r="B812" s="7">
        <v>2</v>
      </c>
      <c r="D812" s="7">
        <v>320</v>
      </c>
      <c r="E812" s="7" t="s">
        <v>31</v>
      </c>
      <c r="F812" s="7">
        <v>15</v>
      </c>
      <c r="H812" s="7">
        <v>15</v>
      </c>
      <c r="I812" s="7" t="s">
        <v>4</v>
      </c>
    </row>
    <row r="813" spans="1:11">
      <c r="A813" s="6">
        <v>46036</v>
      </c>
      <c r="B813" s="7">
        <v>2</v>
      </c>
      <c r="D813" s="7">
        <v>320</v>
      </c>
      <c r="E813" s="7" t="s">
        <v>31</v>
      </c>
      <c r="F813" s="7">
        <v>15</v>
      </c>
      <c r="G813" s="7" t="s">
        <v>4</v>
      </c>
      <c r="H813" s="7">
        <v>15</v>
      </c>
      <c r="I813" s="7" t="s">
        <v>4</v>
      </c>
    </row>
    <row r="814" spans="1:11">
      <c r="A814" s="6">
        <v>46037</v>
      </c>
      <c r="B814" s="7">
        <v>2</v>
      </c>
      <c r="D814" s="7">
        <v>445</v>
      </c>
      <c r="E814" s="7" t="s">
        <v>31</v>
      </c>
      <c r="F814" s="7">
        <v>15</v>
      </c>
      <c r="G814" s="7" t="s">
        <v>4</v>
      </c>
      <c r="H814" s="7">
        <v>15</v>
      </c>
      <c r="I814" s="7" t="s">
        <v>4</v>
      </c>
    </row>
    <row r="815" spans="1:11">
      <c r="A815" s="6">
        <v>46038</v>
      </c>
      <c r="B815" s="7">
        <v>2</v>
      </c>
      <c r="D815" s="7">
        <v>330</v>
      </c>
      <c r="E815" s="7" t="s">
        <v>31</v>
      </c>
      <c r="F815" s="7">
        <v>15</v>
      </c>
      <c r="G815" s="7" t="s">
        <v>4</v>
      </c>
      <c r="H815" s="7">
        <v>60</v>
      </c>
      <c r="I815" s="7" t="s">
        <v>4</v>
      </c>
    </row>
    <row r="816" spans="1:11">
      <c r="A816" s="6">
        <v>46038</v>
      </c>
      <c r="B816" s="7">
        <v>2</v>
      </c>
      <c r="D816" s="7">
        <v>330</v>
      </c>
      <c r="E816" s="7" t="s">
        <v>31</v>
      </c>
      <c r="F816" s="7">
        <v>15</v>
      </c>
      <c r="G816" s="7" t="s">
        <v>4</v>
      </c>
      <c r="H816" s="7">
        <v>60</v>
      </c>
      <c r="I816" s="7" t="s">
        <v>4</v>
      </c>
    </row>
    <row r="817" spans="1:9">
      <c r="A817" s="6">
        <v>46041</v>
      </c>
      <c r="B817" s="7">
        <v>2</v>
      </c>
      <c r="D817" s="7">
        <v>405</v>
      </c>
      <c r="E817" s="7" t="s">
        <v>31</v>
      </c>
      <c r="F817" s="7">
        <v>15</v>
      </c>
      <c r="G817" s="7" t="s">
        <v>4</v>
      </c>
      <c r="H817" s="7">
        <v>15</v>
      </c>
      <c r="I817" s="7" t="s">
        <v>4</v>
      </c>
    </row>
    <row r="818" spans="1:9">
      <c r="A818" s="6">
        <v>46042</v>
      </c>
      <c r="B818" s="7">
        <v>2</v>
      </c>
      <c r="D818" s="7">
        <v>295</v>
      </c>
      <c r="E818" s="7" t="s">
        <v>31</v>
      </c>
      <c r="F818" s="7">
        <v>15</v>
      </c>
      <c r="G818" s="7" t="s">
        <v>4</v>
      </c>
      <c r="H818" s="7">
        <v>15</v>
      </c>
      <c r="I818" s="7" t="s">
        <v>4</v>
      </c>
    </row>
    <row r="819" spans="1:9">
      <c r="A819" s="6">
        <v>46043</v>
      </c>
      <c r="B819" s="7">
        <v>2</v>
      </c>
      <c r="D819" s="7">
        <v>60</v>
      </c>
      <c r="E819" s="7" t="s">
        <v>31</v>
      </c>
      <c r="F819" s="7">
        <v>15</v>
      </c>
      <c r="G819" s="7" t="s">
        <v>10</v>
      </c>
      <c r="H819" s="7">
        <v>480</v>
      </c>
      <c r="I819" s="7" t="s">
        <v>12</v>
      </c>
    </row>
    <row r="820" spans="1:9">
      <c r="A820" s="6">
        <v>46044</v>
      </c>
      <c r="B820" s="7">
        <v>2</v>
      </c>
      <c r="D820" s="7">
        <v>232</v>
      </c>
      <c r="E820" s="7" t="s">
        <v>31</v>
      </c>
      <c r="F820" s="7">
        <v>15</v>
      </c>
      <c r="G820" s="7" t="s">
        <v>10</v>
      </c>
      <c r="H820" s="7">
        <v>120</v>
      </c>
      <c r="I820" s="7" t="s">
        <v>8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topLeftCell="B1" workbookViewId="0">
      <selection activeCell="N13" sqref="N13"/>
    </sheetView>
  </sheetViews>
  <sheetFormatPr defaultRowHeight="14.25"/>
  <cols>
    <col min="1" max="1" width="9.1328125" customWidth="1"/>
    <col min="2" max="2" width="21.1328125" customWidth="1"/>
    <col min="3" max="4" width="21.59765625" customWidth="1"/>
    <col min="5" max="5" width="9.1328125" customWidth="1"/>
    <col min="6" max="6" width="12.1328125" bestFit="1" customWidth="1"/>
    <col min="7" max="10" width="9.1328125" customWidth="1"/>
    <col min="11" max="11" width="35.1328125" bestFit="1" customWidth="1"/>
    <col min="12" max="12" width="16.1328125" bestFit="1" customWidth="1"/>
    <col min="13" max="13" width="9.1328125" customWidth="1"/>
    <col min="14" max="14" width="17.59765625" bestFit="1" customWidth="1"/>
    <col min="15" max="15" width="9.1328125" customWidth="1"/>
    <col min="16" max="16" width="19.1328125" bestFit="1" customWidth="1"/>
    <col min="17" max="17" width="9.1328125" customWidth="1"/>
    <col min="18" max="18" width="8.59765625" customWidth="1"/>
    <col min="19" max="19" width="34.1328125" customWidth="1"/>
    <col min="20" max="20" width="58" customWidth="1"/>
  </cols>
  <sheetData>
    <row r="2" spans="1:16" ht="61.5">
      <c r="A2" s="28" t="s"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</row>
    <row r="6" spans="1:16">
      <c r="N6" s="2"/>
    </row>
    <row r="7" spans="1:16" ht="14.65" thickBot="1"/>
    <row r="8" spans="1:16" ht="18.399999999999999" thickBot="1">
      <c r="C8" s="3"/>
      <c r="P8" s="1"/>
    </row>
    <row r="9" spans="1:16" ht="23.65" thickBot="1">
      <c r="C9" s="4"/>
    </row>
    <row r="10" spans="1:16" ht="18" thickBot="1">
      <c r="C10" s="5"/>
      <c r="F10" t="s">
        <v>14</v>
      </c>
      <c r="J10">
        <v>1</v>
      </c>
      <c r="M10" s="1"/>
      <c r="N10" t="s">
        <v>31</v>
      </c>
      <c r="P10" t="s">
        <v>8</v>
      </c>
    </row>
    <row r="11" spans="1:16">
      <c r="J11">
        <v>2</v>
      </c>
      <c r="L11" t="s">
        <v>15</v>
      </c>
      <c r="N11" t="s">
        <v>32</v>
      </c>
      <c r="P11" t="s">
        <v>5</v>
      </c>
    </row>
    <row r="12" spans="1:16">
      <c r="J12">
        <v>3</v>
      </c>
      <c r="L12" t="s">
        <v>13</v>
      </c>
      <c r="N12" t="s">
        <v>33</v>
      </c>
      <c r="P12" t="s">
        <v>7</v>
      </c>
    </row>
    <row r="13" spans="1:16">
      <c r="J13">
        <v>4</v>
      </c>
      <c r="P13" t="s">
        <v>9</v>
      </c>
    </row>
    <row r="14" spans="1:16">
      <c r="P14" t="s">
        <v>10</v>
      </c>
    </row>
    <row r="15" spans="1:16">
      <c r="P15" t="s">
        <v>11</v>
      </c>
    </row>
    <row r="16" spans="1:16">
      <c r="P16" t="s">
        <v>12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28</v>
      </c>
    </row>
    <row r="21" spans="16:16">
      <c r="P21" t="s">
        <v>30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VERİ GİRİŞ</vt:lpstr>
      <vt:lpstr>ANA RAPOR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istasyon_CNC</cp:lastModifiedBy>
  <dcterms:created xsi:type="dcterms:W3CDTF">2015-06-05T18:19:34Z</dcterms:created>
  <dcterms:modified xsi:type="dcterms:W3CDTF">2026-01-22T14:12:19Z</dcterms:modified>
</cp:coreProperties>
</file>