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tabRatio="604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RAPORU'!$A$1:$T$290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P4" i="3" l="1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" i="3"/>
  <c r="S2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" i="3"/>
  <c r="R2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81" i="3"/>
  <c r="R82" i="3"/>
  <c r="R83" i="3"/>
  <c r="R84" i="3"/>
  <c r="R85" i="3"/>
  <c r="R86" i="3"/>
  <c r="R87" i="3"/>
  <c r="R88" i="3"/>
  <c r="R89" i="3"/>
  <c r="R90" i="3"/>
  <c r="R91" i="3"/>
  <c r="R92" i="3"/>
  <c r="R93" i="3"/>
  <c r="R94" i="3"/>
  <c r="R95" i="3"/>
  <c r="R96" i="3"/>
  <c r="R97" i="3"/>
  <c r="R98" i="3"/>
  <c r="R99" i="3"/>
  <c r="R100" i="3"/>
  <c r="R101" i="3"/>
  <c r="R102" i="3"/>
  <c r="R103" i="3"/>
  <c r="R104" i="3"/>
  <c r="R105" i="3"/>
  <c r="R106" i="3"/>
  <c r="R107" i="3"/>
  <c r="R108" i="3"/>
  <c r="R109" i="3"/>
  <c r="R110" i="3"/>
  <c r="R111" i="3"/>
  <c r="R112" i="3"/>
  <c r="R113" i="3"/>
  <c r="R114" i="3"/>
  <c r="R115" i="3"/>
  <c r="R116" i="3"/>
  <c r="R117" i="3"/>
  <c r="R118" i="3"/>
  <c r="R119" i="3"/>
  <c r="R120" i="3"/>
  <c r="R121" i="3"/>
  <c r="R122" i="3"/>
  <c r="R123" i="3"/>
  <c r="R124" i="3"/>
  <c r="R125" i="3"/>
  <c r="R126" i="3"/>
  <c r="R127" i="3"/>
  <c r="R128" i="3"/>
  <c r="R129" i="3"/>
  <c r="R130" i="3"/>
  <c r="R131" i="3"/>
  <c r="R132" i="3"/>
  <c r="R133" i="3"/>
  <c r="R134" i="3"/>
  <c r="R135" i="3"/>
  <c r="R136" i="3"/>
  <c r="R137" i="3"/>
  <c r="R138" i="3"/>
  <c r="R139" i="3"/>
  <c r="R140" i="3"/>
  <c r="R141" i="3"/>
  <c r="R142" i="3"/>
  <c r="R143" i="3"/>
  <c r="R144" i="3"/>
  <c r="R145" i="3"/>
  <c r="R146" i="3"/>
  <c r="R147" i="3"/>
  <c r="R148" i="3"/>
  <c r="R149" i="3"/>
  <c r="R150" i="3"/>
  <c r="R151" i="3"/>
  <c r="R152" i="3"/>
  <c r="R153" i="3"/>
  <c r="R154" i="3"/>
  <c r="R155" i="3"/>
  <c r="R156" i="3"/>
  <c r="R157" i="3"/>
  <c r="R158" i="3"/>
  <c r="R159" i="3"/>
  <c r="R160" i="3"/>
  <c r="R161" i="3"/>
  <c r="R162" i="3"/>
  <c r="R163" i="3"/>
  <c r="R164" i="3"/>
  <c r="R165" i="3"/>
  <c r="R166" i="3"/>
  <c r="R167" i="3"/>
  <c r="R168" i="3"/>
  <c r="R169" i="3"/>
  <c r="R170" i="3"/>
  <c r="R171" i="3"/>
  <c r="R172" i="3"/>
  <c r="R173" i="3"/>
  <c r="R174" i="3"/>
  <c r="R175" i="3"/>
  <c r="R176" i="3"/>
  <c r="R177" i="3"/>
  <c r="R178" i="3"/>
  <c r="R179" i="3"/>
  <c r="R180" i="3"/>
  <c r="R181" i="3"/>
  <c r="R182" i="3"/>
  <c r="R183" i="3"/>
  <c r="R184" i="3"/>
  <c r="R185" i="3"/>
  <c r="R186" i="3"/>
  <c r="R187" i="3"/>
  <c r="R188" i="3"/>
  <c r="R189" i="3"/>
  <c r="R190" i="3"/>
  <c r="R191" i="3"/>
  <c r="R192" i="3"/>
  <c r="R193" i="3"/>
  <c r="R194" i="3"/>
  <c r="R195" i="3"/>
  <c r="R196" i="3"/>
  <c r="R197" i="3"/>
  <c r="R198" i="3"/>
  <c r="R199" i="3"/>
  <c r="R200" i="3"/>
  <c r="R201" i="3"/>
  <c r="R202" i="3"/>
  <c r="R203" i="3"/>
  <c r="R204" i="3"/>
  <c r="R205" i="3"/>
  <c r="R206" i="3"/>
  <c r="R207" i="3"/>
  <c r="R208" i="3"/>
  <c r="R209" i="3"/>
  <c r="R210" i="3"/>
  <c r="R211" i="3"/>
  <c r="R212" i="3"/>
  <c r="R213" i="3"/>
  <c r="R214" i="3"/>
  <c r="R215" i="3"/>
  <c r="R216" i="3"/>
  <c r="R217" i="3"/>
  <c r="R218" i="3"/>
  <c r="R219" i="3"/>
  <c r="R220" i="3"/>
  <c r="R221" i="3"/>
  <c r="R222" i="3"/>
  <c r="R223" i="3"/>
  <c r="R224" i="3"/>
  <c r="R225" i="3"/>
  <c r="R226" i="3"/>
  <c r="R227" i="3"/>
  <c r="R228" i="3"/>
  <c r="R229" i="3"/>
  <c r="R230" i="3"/>
  <c r="R231" i="3"/>
  <c r="R232" i="3"/>
  <c r="R233" i="3"/>
  <c r="R234" i="3"/>
  <c r="R235" i="3"/>
  <c r="R236" i="3"/>
  <c r="R237" i="3"/>
  <c r="R238" i="3"/>
  <c r="R239" i="3"/>
  <c r="R240" i="3"/>
  <c r="R241" i="3"/>
  <c r="R242" i="3"/>
  <c r="R243" i="3"/>
  <c r="R244" i="3"/>
  <c r="R245" i="3"/>
  <c r="R246" i="3"/>
  <c r="R247" i="3"/>
  <c r="R248" i="3"/>
  <c r="R249" i="3"/>
  <c r="R250" i="3"/>
  <c r="R251" i="3"/>
  <c r="R252" i="3"/>
  <c r="R253" i="3"/>
  <c r="R254" i="3"/>
  <c r="R255" i="3"/>
  <c r="R256" i="3"/>
  <c r="R257" i="3"/>
  <c r="R258" i="3"/>
  <c r="R259" i="3"/>
  <c r="R260" i="3"/>
  <c r="R261" i="3"/>
  <c r="R262" i="3"/>
  <c r="R263" i="3"/>
  <c r="R264" i="3"/>
  <c r="R265" i="3"/>
  <c r="R266" i="3"/>
  <c r="R267" i="3"/>
  <c r="R268" i="3"/>
  <c r="R269" i="3"/>
  <c r="R270" i="3"/>
  <c r="R271" i="3"/>
  <c r="R272" i="3"/>
  <c r="R273" i="3"/>
  <c r="R274" i="3"/>
  <c r="R275" i="3"/>
  <c r="R276" i="3"/>
  <c r="R277" i="3"/>
  <c r="R278" i="3"/>
  <c r="R279" i="3"/>
  <c r="R280" i="3"/>
  <c r="R281" i="3"/>
  <c r="R282" i="3"/>
  <c r="R283" i="3"/>
  <c r="R284" i="3"/>
  <c r="R285" i="3"/>
  <c r="R286" i="3"/>
  <c r="R287" i="3"/>
  <c r="R288" i="3"/>
  <c r="R289" i="3"/>
  <c r="R290" i="3"/>
  <c r="R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" i="3"/>
  <c r="Q2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74" i="3"/>
  <c r="Q75" i="3"/>
  <c r="Q76" i="3"/>
  <c r="Q77" i="3"/>
  <c r="Q78" i="3"/>
  <c r="Q79" i="3"/>
  <c r="Q80" i="3"/>
  <c r="Q81" i="3"/>
  <c r="Q82" i="3"/>
  <c r="Q83" i="3"/>
  <c r="Q84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101" i="3"/>
  <c r="Q102" i="3"/>
  <c r="Q103" i="3"/>
  <c r="Q104" i="3"/>
  <c r="Q105" i="3"/>
  <c r="Q106" i="3"/>
  <c r="Q107" i="3"/>
  <c r="Q108" i="3"/>
  <c r="Q109" i="3"/>
  <c r="Q110" i="3"/>
  <c r="Q111" i="3"/>
  <c r="Q112" i="3"/>
  <c r="Q113" i="3"/>
  <c r="Q114" i="3"/>
  <c r="Q115" i="3"/>
  <c r="Q116" i="3"/>
  <c r="Q117" i="3"/>
  <c r="Q118" i="3"/>
  <c r="Q119" i="3"/>
  <c r="Q120" i="3"/>
  <c r="Q121" i="3"/>
  <c r="Q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Q138" i="3"/>
  <c r="Q139" i="3"/>
  <c r="Q140" i="3"/>
  <c r="Q141" i="3"/>
  <c r="Q142" i="3"/>
  <c r="Q143" i="3"/>
  <c r="Q144" i="3"/>
  <c r="Q145" i="3"/>
  <c r="Q146" i="3"/>
  <c r="Q147" i="3"/>
  <c r="Q148" i="3"/>
  <c r="Q149" i="3"/>
  <c r="Q150" i="3"/>
  <c r="Q151" i="3"/>
  <c r="Q152" i="3"/>
  <c r="Q153" i="3"/>
  <c r="Q154" i="3"/>
  <c r="Q155" i="3"/>
  <c r="Q156" i="3"/>
  <c r="Q157" i="3"/>
  <c r="Q158" i="3"/>
  <c r="Q159" i="3"/>
  <c r="Q160" i="3"/>
  <c r="Q161" i="3"/>
  <c r="Q162" i="3"/>
  <c r="Q163" i="3"/>
  <c r="Q164" i="3"/>
  <c r="Q165" i="3"/>
  <c r="Q166" i="3"/>
  <c r="Q167" i="3"/>
  <c r="Q168" i="3"/>
  <c r="Q169" i="3"/>
  <c r="Q170" i="3"/>
  <c r="Q171" i="3"/>
  <c r="Q172" i="3"/>
  <c r="Q173" i="3"/>
  <c r="Q174" i="3"/>
  <c r="Q175" i="3"/>
  <c r="Q176" i="3"/>
  <c r="Q177" i="3"/>
  <c r="Q178" i="3"/>
  <c r="Q179" i="3"/>
  <c r="Q180" i="3"/>
  <c r="Q181" i="3"/>
  <c r="Q182" i="3"/>
  <c r="Q183" i="3"/>
  <c r="Q184" i="3"/>
  <c r="Q185" i="3"/>
  <c r="Q186" i="3"/>
  <c r="Q187" i="3"/>
  <c r="Q188" i="3"/>
  <c r="Q189" i="3"/>
  <c r="Q190" i="3"/>
  <c r="Q191" i="3"/>
  <c r="Q192" i="3"/>
  <c r="Q193" i="3"/>
  <c r="Q194" i="3"/>
  <c r="Q195" i="3"/>
  <c r="Q196" i="3"/>
  <c r="Q197" i="3"/>
  <c r="Q198" i="3"/>
  <c r="Q199" i="3"/>
  <c r="Q200" i="3"/>
  <c r="Q201" i="3"/>
  <c r="Q202" i="3"/>
  <c r="Q203" i="3"/>
  <c r="Q204" i="3"/>
  <c r="Q205" i="3"/>
  <c r="Q206" i="3"/>
  <c r="Q207" i="3"/>
  <c r="Q208" i="3"/>
  <c r="Q209" i="3"/>
  <c r="Q210" i="3"/>
  <c r="Q211" i="3"/>
  <c r="Q212" i="3"/>
  <c r="Q213" i="3"/>
  <c r="Q214" i="3"/>
  <c r="Q215" i="3"/>
  <c r="Q216" i="3"/>
  <c r="Q217" i="3"/>
  <c r="Q218" i="3"/>
  <c r="Q219" i="3"/>
  <c r="Q220" i="3"/>
  <c r="Q221" i="3"/>
  <c r="Q222" i="3"/>
  <c r="Q223" i="3"/>
  <c r="Q224" i="3"/>
  <c r="Q225" i="3"/>
  <c r="Q226" i="3"/>
  <c r="Q227" i="3"/>
  <c r="Q228" i="3"/>
  <c r="Q229" i="3"/>
  <c r="Q230" i="3"/>
  <c r="Q231" i="3"/>
  <c r="Q232" i="3"/>
  <c r="Q233" i="3"/>
  <c r="Q234" i="3"/>
  <c r="Q235" i="3"/>
  <c r="Q236" i="3"/>
  <c r="Q237" i="3"/>
  <c r="Q238" i="3"/>
  <c r="Q239" i="3"/>
  <c r="Q240" i="3"/>
  <c r="Q241" i="3"/>
  <c r="Q242" i="3"/>
  <c r="Q243" i="3"/>
  <c r="Q244" i="3"/>
  <c r="Q245" i="3"/>
  <c r="Q246" i="3"/>
  <c r="Q247" i="3"/>
  <c r="Q248" i="3"/>
  <c r="Q249" i="3"/>
  <c r="Q250" i="3"/>
  <c r="Q251" i="3"/>
  <c r="Q252" i="3"/>
  <c r="Q253" i="3"/>
  <c r="Q254" i="3"/>
  <c r="Q255" i="3"/>
  <c r="Q256" i="3"/>
  <c r="Q257" i="3"/>
  <c r="Q258" i="3"/>
  <c r="Q259" i="3"/>
  <c r="Q260" i="3"/>
  <c r="Q261" i="3"/>
  <c r="Q262" i="3"/>
  <c r="Q263" i="3"/>
  <c r="Q264" i="3"/>
  <c r="Q265" i="3"/>
  <c r="Q266" i="3"/>
  <c r="Q267" i="3"/>
  <c r="Q268" i="3"/>
  <c r="Q269" i="3"/>
  <c r="Q270" i="3"/>
  <c r="Q271" i="3"/>
  <c r="Q272" i="3"/>
  <c r="Q273" i="3"/>
  <c r="Q274" i="3"/>
  <c r="Q275" i="3"/>
  <c r="Q276" i="3"/>
  <c r="Q277" i="3"/>
  <c r="Q278" i="3"/>
  <c r="Q279" i="3"/>
  <c r="Q280" i="3"/>
  <c r="Q281" i="3"/>
  <c r="Q282" i="3"/>
  <c r="Q283" i="3"/>
  <c r="Q284" i="3"/>
  <c r="Q285" i="3"/>
  <c r="Q286" i="3"/>
  <c r="Q287" i="3"/>
  <c r="Q288" i="3"/>
  <c r="Q289" i="3"/>
  <c r="Q290" i="3"/>
  <c r="Q4" i="3"/>
  <c r="P19" i="3"/>
  <c r="P16" i="3"/>
  <c r="P15" i="3"/>
  <c r="P14" i="3"/>
  <c r="T14" i="3" s="1"/>
  <c r="P13" i="3"/>
  <c r="P12" i="3"/>
  <c r="P11" i="3"/>
  <c r="P10" i="3"/>
  <c r="P9" i="3"/>
  <c r="P8" i="3"/>
  <c r="P7" i="3"/>
  <c r="P6" i="3"/>
  <c r="P5" i="3"/>
  <c r="P3" i="3"/>
  <c r="P2" i="3"/>
  <c r="P31" i="3"/>
  <c r="P32" i="3"/>
  <c r="P33" i="3"/>
  <c r="P34" i="3"/>
  <c r="P35" i="3"/>
  <c r="P36" i="3"/>
  <c r="P37" i="3"/>
  <c r="P38" i="3"/>
  <c r="T38" i="3" s="1"/>
  <c r="P39" i="3"/>
  <c r="P40" i="3"/>
  <c r="P41" i="3"/>
  <c r="P42" i="3"/>
  <c r="P43" i="3"/>
  <c r="P44" i="3"/>
  <c r="P45" i="3"/>
  <c r="P46" i="3"/>
  <c r="T46" i="3" s="1"/>
  <c r="P47" i="3"/>
  <c r="P48" i="3"/>
  <c r="P49" i="3"/>
  <c r="P50" i="3"/>
  <c r="P51" i="3"/>
  <c r="P52" i="3"/>
  <c r="P53" i="3"/>
  <c r="P54" i="3"/>
  <c r="P55" i="3"/>
  <c r="P56" i="3"/>
  <c r="P57" i="3"/>
  <c r="P58" i="3"/>
  <c r="T58" i="3" s="1"/>
  <c r="P59" i="3"/>
  <c r="P60" i="3"/>
  <c r="P61" i="3"/>
  <c r="P62" i="3"/>
  <c r="P63" i="3"/>
  <c r="P64" i="3"/>
  <c r="P65" i="3"/>
  <c r="P66" i="3"/>
  <c r="T66" i="3" s="1"/>
  <c r="P67" i="3"/>
  <c r="P68" i="3"/>
  <c r="P69" i="3"/>
  <c r="P70" i="3"/>
  <c r="P71" i="3"/>
  <c r="P72" i="3"/>
  <c r="P73" i="3"/>
  <c r="P74" i="3"/>
  <c r="P75" i="3"/>
  <c r="P76" i="3"/>
  <c r="P77" i="3"/>
  <c r="P78" i="3"/>
  <c r="T78" i="3" s="1"/>
  <c r="P79" i="3"/>
  <c r="P80" i="3"/>
  <c r="P81" i="3"/>
  <c r="P82" i="3"/>
  <c r="P83" i="3"/>
  <c r="P84" i="3"/>
  <c r="P85" i="3"/>
  <c r="P86" i="3"/>
  <c r="T86" i="3" s="1"/>
  <c r="P87" i="3"/>
  <c r="P88" i="3"/>
  <c r="P89" i="3"/>
  <c r="P90" i="3"/>
  <c r="P91" i="3"/>
  <c r="P92" i="3"/>
  <c r="P93" i="3"/>
  <c r="P94" i="3"/>
  <c r="P95" i="3"/>
  <c r="P96" i="3"/>
  <c r="P97" i="3"/>
  <c r="P98" i="3"/>
  <c r="T98" i="3" s="1"/>
  <c r="P99" i="3"/>
  <c r="P100" i="3"/>
  <c r="P101" i="3"/>
  <c r="P102" i="3"/>
  <c r="P103" i="3"/>
  <c r="P104" i="3"/>
  <c r="P105" i="3"/>
  <c r="P106" i="3"/>
  <c r="T106" i="3" s="1"/>
  <c r="P107" i="3"/>
  <c r="P108" i="3"/>
  <c r="P109" i="3"/>
  <c r="P110" i="3"/>
  <c r="P111" i="3"/>
  <c r="P112" i="3"/>
  <c r="P113" i="3"/>
  <c r="P114" i="3"/>
  <c r="P115" i="3"/>
  <c r="P116" i="3"/>
  <c r="P117" i="3"/>
  <c r="P118" i="3"/>
  <c r="T118" i="3" s="1"/>
  <c r="P119" i="3"/>
  <c r="P120" i="3"/>
  <c r="P121" i="3"/>
  <c r="P122" i="3"/>
  <c r="P123" i="3"/>
  <c r="P124" i="3"/>
  <c r="P125" i="3"/>
  <c r="P126" i="3"/>
  <c r="T126" i="3" s="1"/>
  <c r="P127" i="3"/>
  <c r="P128" i="3"/>
  <c r="P129" i="3"/>
  <c r="P130" i="3"/>
  <c r="P131" i="3"/>
  <c r="P132" i="3"/>
  <c r="P133" i="3"/>
  <c r="P134" i="3"/>
  <c r="P135" i="3"/>
  <c r="P136" i="3"/>
  <c r="P137" i="3"/>
  <c r="P138" i="3"/>
  <c r="T138" i="3" s="1"/>
  <c r="P139" i="3"/>
  <c r="P140" i="3"/>
  <c r="P141" i="3"/>
  <c r="P142" i="3"/>
  <c r="P143" i="3"/>
  <c r="P144" i="3"/>
  <c r="P145" i="3"/>
  <c r="P146" i="3"/>
  <c r="T146" i="3" s="1"/>
  <c r="P147" i="3"/>
  <c r="P148" i="3"/>
  <c r="P149" i="3"/>
  <c r="P150" i="3"/>
  <c r="P151" i="3"/>
  <c r="P152" i="3"/>
  <c r="P153" i="3"/>
  <c r="P154" i="3"/>
  <c r="P155" i="3"/>
  <c r="P156" i="3"/>
  <c r="P157" i="3"/>
  <c r="P158" i="3"/>
  <c r="T158" i="3" s="1"/>
  <c r="P159" i="3"/>
  <c r="P160" i="3"/>
  <c r="P161" i="3"/>
  <c r="P162" i="3"/>
  <c r="P163" i="3"/>
  <c r="P164" i="3"/>
  <c r="P165" i="3"/>
  <c r="T165" i="3" s="1"/>
  <c r="P166" i="3"/>
  <c r="T166" i="3" s="1"/>
  <c r="P167" i="3"/>
  <c r="P168" i="3"/>
  <c r="P169" i="3"/>
  <c r="P170" i="3"/>
  <c r="P171" i="3"/>
  <c r="P172" i="3"/>
  <c r="P173" i="3"/>
  <c r="P174" i="3"/>
  <c r="P175" i="3"/>
  <c r="P176" i="3"/>
  <c r="P177" i="3"/>
  <c r="P178" i="3"/>
  <c r="T178" i="3" s="1"/>
  <c r="P179" i="3"/>
  <c r="P180" i="3"/>
  <c r="P181" i="3"/>
  <c r="P182" i="3"/>
  <c r="P183" i="3"/>
  <c r="P184" i="3"/>
  <c r="P185" i="3"/>
  <c r="P186" i="3"/>
  <c r="T186" i="3" s="1"/>
  <c r="P187" i="3"/>
  <c r="P188" i="3"/>
  <c r="P189" i="3"/>
  <c r="P190" i="3"/>
  <c r="P191" i="3"/>
  <c r="P192" i="3"/>
  <c r="P193" i="3"/>
  <c r="P194" i="3"/>
  <c r="P195" i="3"/>
  <c r="P196" i="3"/>
  <c r="P197" i="3"/>
  <c r="P198" i="3"/>
  <c r="T198" i="3" s="1"/>
  <c r="P199" i="3"/>
  <c r="P200" i="3"/>
  <c r="P201" i="3"/>
  <c r="P202" i="3"/>
  <c r="P203" i="3"/>
  <c r="P204" i="3"/>
  <c r="P205" i="3"/>
  <c r="P206" i="3"/>
  <c r="T206" i="3" s="1"/>
  <c r="P207" i="3"/>
  <c r="P208" i="3"/>
  <c r="P209" i="3"/>
  <c r="P210" i="3"/>
  <c r="P211" i="3"/>
  <c r="P212" i="3"/>
  <c r="P213" i="3"/>
  <c r="P214" i="3"/>
  <c r="P215" i="3"/>
  <c r="P216" i="3"/>
  <c r="P217" i="3"/>
  <c r="P218" i="3"/>
  <c r="T218" i="3" s="1"/>
  <c r="P219" i="3"/>
  <c r="P220" i="3"/>
  <c r="P221" i="3"/>
  <c r="P222" i="3"/>
  <c r="P223" i="3"/>
  <c r="P224" i="3"/>
  <c r="P225" i="3"/>
  <c r="P226" i="3"/>
  <c r="T226" i="3" s="1"/>
  <c r="P227" i="3"/>
  <c r="P228" i="3"/>
  <c r="P229" i="3"/>
  <c r="P230" i="3"/>
  <c r="P231" i="3"/>
  <c r="P232" i="3"/>
  <c r="P233" i="3"/>
  <c r="P234" i="3"/>
  <c r="P235" i="3"/>
  <c r="P236" i="3"/>
  <c r="P237" i="3"/>
  <c r="P238" i="3"/>
  <c r="T238" i="3" s="1"/>
  <c r="P239" i="3"/>
  <c r="P240" i="3"/>
  <c r="P241" i="3"/>
  <c r="P242" i="3"/>
  <c r="P243" i="3"/>
  <c r="P244" i="3"/>
  <c r="P245" i="3"/>
  <c r="P246" i="3"/>
  <c r="T246" i="3" s="1"/>
  <c r="P247" i="3"/>
  <c r="P248" i="3"/>
  <c r="P249" i="3"/>
  <c r="P250" i="3"/>
  <c r="P251" i="3"/>
  <c r="P252" i="3"/>
  <c r="P253" i="3"/>
  <c r="P254" i="3"/>
  <c r="P255" i="3"/>
  <c r="P256" i="3"/>
  <c r="P257" i="3"/>
  <c r="P258" i="3"/>
  <c r="T258" i="3" s="1"/>
  <c r="P259" i="3"/>
  <c r="P260" i="3"/>
  <c r="P261" i="3"/>
  <c r="P262" i="3"/>
  <c r="P263" i="3"/>
  <c r="P264" i="3"/>
  <c r="P265" i="3"/>
  <c r="P266" i="3"/>
  <c r="T266" i="3" s="1"/>
  <c r="P267" i="3"/>
  <c r="P268" i="3"/>
  <c r="P269" i="3"/>
  <c r="P270" i="3"/>
  <c r="P271" i="3"/>
  <c r="P272" i="3"/>
  <c r="P273" i="3"/>
  <c r="P274" i="3"/>
  <c r="P275" i="3"/>
  <c r="P276" i="3"/>
  <c r="P277" i="3"/>
  <c r="P278" i="3"/>
  <c r="T278" i="3" s="1"/>
  <c r="P279" i="3"/>
  <c r="P280" i="3"/>
  <c r="P281" i="3"/>
  <c r="P282" i="3"/>
  <c r="P283" i="3"/>
  <c r="P284" i="3"/>
  <c r="P285" i="3"/>
  <c r="P286" i="3"/>
  <c r="T286" i="3" s="1"/>
  <c r="P287" i="3"/>
  <c r="P288" i="3"/>
  <c r="P289" i="3"/>
  <c r="P290" i="3"/>
  <c r="P29" i="3"/>
  <c r="T29" i="3" s="1"/>
  <c r="P28" i="3"/>
  <c r="P27" i="3"/>
  <c r="P26" i="3"/>
  <c r="P25" i="3"/>
  <c r="P24" i="3"/>
  <c r="P23" i="3"/>
  <c r="P22" i="3"/>
  <c r="P21" i="3"/>
  <c r="T21" i="3" s="1"/>
  <c r="P20" i="3"/>
  <c r="P18" i="3"/>
  <c r="P17" i="3"/>
  <c r="P30" i="3"/>
  <c r="T17" i="3" l="1"/>
  <c r="T282" i="3"/>
  <c r="T262" i="3"/>
  <c r="T242" i="3"/>
  <c r="T222" i="3"/>
  <c r="T202" i="3"/>
  <c r="T182" i="3"/>
  <c r="T162" i="3"/>
  <c r="T142" i="3"/>
  <c r="T122" i="3"/>
  <c r="T102" i="3"/>
  <c r="T82" i="3"/>
  <c r="T62" i="3"/>
  <c r="T42" i="3"/>
  <c r="T18" i="3"/>
  <c r="T25" i="3"/>
  <c r="T274" i="3"/>
  <c r="T234" i="3"/>
  <c r="T194" i="3"/>
  <c r="T154" i="3"/>
  <c r="T114" i="3"/>
  <c r="T74" i="3"/>
  <c r="T34" i="3"/>
  <c r="T26" i="3"/>
  <c r="T254" i="3"/>
  <c r="T214" i="3"/>
  <c r="T174" i="3"/>
  <c r="T134" i="3"/>
  <c r="T94" i="3"/>
  <c r="T54" i="3"/>
  <c r="T13" i="3"/>
  <c r="T22" i="3"/>
  <c r="T210" i="3"/>
  <c r="T270" i="3"/>
  <c r="T230" i="3"/>
  <c r="T170" i="3"/>
  <c r="T130" i="3"/>
  <c r="T90" i="3"/>
  <c r="T2" i="3"/>
  <c r="T290" i="3"/>
  <c r="T250" i="3"/>
  <c r="T190" i="3"/>
  <c r="T150" i="3"/>
  <c r="T110" i="3"/>
  <c r="T70" i="3"/>
  <c r="T50" i="3"/>
  <c r="T285" i="3"/>
  <c r="T273" i="3"/>
  <c r="T265" i="3"/>
  <c r="T261" i="3"/>
  <c r="T253" i="3"/>
  <c r="T245" i="3"/>
  <c r="T237" i="3"/>
  <c r="T225" i="3"/>
  <c r="T157" i="3"/>
  <c r="T289" i="3"/>
  <c r="T281" i="3"/>
  <c r="T277" i="3"/>
  <c r="T269" i="3"/>
  <c r="T257" i="3"/>
  <c r="T249" i="3"/>
  <c r="T241" i="3"/>
  <c r="T233" i="3"/>
  <c r="T229" i="3"/>
  <c r="T221" i="3"/>
  <c r="T217" i="3"/>
  <c r="T213" i="3"/>
  <c r="T209" i="3"/>
  <c r="T205" i="3"/>
  <c r="T201" i="3"/>
  <c r="T197" i="3"/>
  <c r="T193" i="3"/>
  <c r="T189" i="3"/>
  <c r="T185" i="3"/>
  <c r="T181" i="3"/>
  <c r="T177" i="3"/>
  <c r="T173" i="3"/>
  <c r="T169" i="3"/>
  <c r="T161" i="3"/>
  <c r="T153" i="3"/>
  <c r="T149" i="3"/>
  <c r="T145" i="3"/>
  <c r="T141" i="3"/>
  <c r="T137" i="3"/>
  <c r="T133" i="3"/>
  <c r="T129" i="3"/>
  <c r="T125" i="3"/>
  <c r="T121" i="3"/>
  <c r="T117" i="3"/>
  <c r="T113" i="3"/>
  <c r="T109" i="3"/>
  <c r="T105" i="3"/>
  <c r="T101" i="3"/>
  <c r="T97" i="3"/>
  <c r="T93" i="3"/>
  <c r="T89" i="3"/>
  <c r="T85" i="3"/>
  <c r="T81" i="3"/>
  <c r="T77" i="3"/>
  <c r="T73" i="3"/>
  <c r="T69" i="3"/>
  <c r="T65" i="3"/>
  <c r="T61" i="3"/>
  <c r="T57" i="3"/>
  <c r="T53" i="3"/>
  <c r="T49" i="3"/>
  <c r="T45" i="3"/>
  <c r="T41" i="3"/>
  <c r="T37" i="3"/>
  <c r="T33" i="3"/>
  <c r="T3" i="3"/>
  <c r="T11" i="3"/>
  <c r="T15" i="3"/>
  <c r="T288" i="3"/>
  <c r="T280" i="3"/>
  <c r="T276" i="3"/>
  <c r="T264" i="3"/>
  <c r="T256" i="3"/>
  <c r="T248" i="3"/>
  <c r="T240" i="3"/>
  <c r="T232" i="3"/>
  <c r="T220" i="3"/>
  <c r="T212" i="3"/>
  <c r="T204" i="3"/>
  <c r="T196" i="3"/>
  <c r="T192" i="3"/>
  <c r="T184" i="3"/>
  <c r="T176" i="3"/>
  <c r="T168" i="3"/>
  <c r="T164" i="3"/>
  <c r="T160" i="3"/>
  <c r="T156" i="3"/>
  <c r="T152" i="3"/>
  <c r="T148" i="3"/>
  <c r="T144" i="3"/>
  <c r="T140" i="3"/>
  <c r="T136" i="3"/>
  <c r="T132" i="3"/>
  <c r="T128" i="3"/>
  <c r="T124" i="3"/>
  <c r="T120" i="3"/>
  <c r="T116" i="3"/>
  <c r="T112" i="3"/>
  <c r="T108" i="3"/>
  <c r="T104" i="3"/>
  <c r="T100" i="3"/>
  <c r="T96" i="3"/>
  <c r="T92" i="3"/>
  <c r="T88" i="3"/>
  <c r="T84" i="3"/>
  <c r="T80" i="3"/>
  <c r="T76" i="3"/>
  <c r="T72" i="3"/>
  <c r="T68" i="3"/>
  <c r="T64" i="3"/>
  <c r="T60" i="3"/>
  <c r="T56" i="3"/>
  <c r="T52" i="3"/>
  <c r="T48" i="3"/>
  <c r="T44" i="3"/>
  <c r="T40" i="3"/>
  <c r="T36" i="3"/>
  <c r="T32" i="3"/>
  <c r="T284" i="3"/>
  <c r="T272" i="3"/>
  <c r="T268" i="3"/>
  <c r="T260" i="3"/>
  <c r="T252" i="3"/>
  <c r="T244" i="3"/>
  <c r="T236" i="3"/>
  <c r="T228" i="3"/>
  <c r="T224" i="3"/>
  <c r="T216" i="3"/>
  <c r="T208" i="3"/>
  <c r="T200" i="3"/>
  <c r="T188" i="3"/>
  <c r="T180" i="3"/>
  <c r="T172" i="3"/>
  <c r="T30" i="3"/>
  <c r="T23" i="3"/>
  <c r="T27" i="3"/>
  <c r="T12" i="3"/>
  <c r="T16" i="3"/>
  <c r="T20" i="3"/>
  <c r="T24" i="3"/>
  <c r="T28" i="3"/>
  <c r="T19" i="3"/>
  <c r="T287" i="3"/>
  <c r="T283" i="3"/>
  <c r="T279" i="3"/>
  <c r="T275" i="3"/>
  <c r="T271" i="3"/>
  <c r="T267" i="3"/>
  <c r="T263" i="3"/>
  <c r="T259" i="3"/>
  <c r="T255" i="3"/>
  <c r="T251" i="3"/>
  <c r="T247" i="3"/>
  <c r="T243" i="3"/>
  <c r="T239" i="3"/>
  <c r="T235" i="3"/>
  <c r="T231" i="3"/>
  <c r="T227" i="3"/>
  <c r="T223" i="3"/>
  <c r="T219" i="3"/>
  <c r="T215" i="3"/>
  <c r="T211" i="3"/>
  <c r="T207" i="3"/>
  <c r="T203" i="3"/>
  <c r="T199" i="3"/>
  <c r="T195" i="3"/>
  <c r="T191" i="3"/>
  <c r="T187" i="3"/>
  <c r="T183" i="3"/>
  <c r="T179" i="3"/>
  <c r="T175" i="3"/>
  <c r="T171" i="3"/>
  <c r="T167" i="3"/>
  <c r="T163" i="3"/>
  <c r="T159" i="3"/>
  <c r="T155" i="3"/>
  <c r="T151" i="3"/>
  <c r="T147" i="3"/>
  <c r="T143" i="3"/>
  <c r="T139" i="3"/>
  <c r="T135" i="3"/>
  <c r="T131" i="3"/>
  <c r="T127" i="3"/>
  <c r="T123" i="3"/>
  <c r="T119" i="3"/>
  <c r="T115" i="3"/>
  <c r="T111" i="3"/>
  <c r="T107" i="3"/>
  <c r="T103" i="3"/>
  <c r="T99" i="3"/>
  <c r="T95" i="3"/>
  <c r="T91" i="3"/>
  <c r="T87" i="3"/>
  <c r="T83" i="3"/>
  <c r="T79" i="3"/>
  <c r="T75" i="3"/>
  <c r="T71" i="3"/>
  <c r="T67" i="3"/>
  <c r="T63" i="3"/>
  <c r="T59" i="3"/>
  <c r="T55" i="3"/>
  <c r="T51" i="3"/>
  <c r="T47" i="3"/>
  <c r="T43" i="3"/>
  <c r="T39" i="3"/>
  <c r="T35" i="3"/>
  <c r="T31" i="3"/>
  <c r="T7" i="3"/>
  <c r="T10" i="3"/>
  <c r="T6" i="3"/>
  <c r="T4" i="3"/>
  <c r="T9" i="3"/>
  <c r="T5" i="3"/>
  <c r="T8" i="3"/>
</calcChain>
</file>

<file path=xl/sharedStrings.xml><?xml version="1.0" encoding="utf-8"?>
<sst xmlns="http://schemas.openxmlformats.org/spreadsheetml/2006/main" count="156" uniqueCount="43">
  <si>
    <t>TARİH</t>
  </si>
  <si>
    <t>KİŞİ SAYISI</t>
  </si>
  <si>
    <t>AYARLAR</t>
  </si>
  <si>
    <t>AÇIKLAMA:</t>
  </si>
  <si>
    <t>Temizlik</t>
  </si>
  <si>
    <t>Ayar</t>
  </si>
  <si>
    <t>İş bekleme</t>
  </si>
  <si>
    <t>Hammadde eksikliği</t>
  </si>
  <si>
    <t>Rover-B</t>
  </si>
  <si>
    <t>Ar-ge Çalışması</t>
  </si>
  <si>
    <t>Emici Sistem Arızası</t>
  </si>
  <si>
    <t>Hazırlık/İlk Isınma</t>
  </si>
  <si>
    <t>Kompresör Arızası</t>
  </si>
  <si>
    <t>Makine Arızası</t>
  </si>
  <si>
    <t>Delik+Freze</t>
  </si>
  <si>
    <t>Delik+Freze+PVC</t>
  </si>
  <si>
    <t>Elektrik Kesilmesi</t>
  </si>
  <si>
    <t>DELİK+FREEZE SAYISI</t>
  </si>
  <si>
    <t>DELİK+FREEZE+PVC SAYISI</t>
  </si>
  <si>
    <t>DURAKLAMA ZAMANI 1 (DK)</t>
  </si>
  <si>
    <t>DURAKLAMA NEDENİ 1</t>
  </si>
  <si>
    <t>DURAKLAMA ZAMANI 2 (DK)</t>
  </si>
  <si>
    <t>DURAKLAMA NEDENİ 2</t>
  </si>
  <si>
    <t>DURAKLAMA ZAMANI 3 (DK)</t>
  </si>
  <si>
    <t>DURAKLAMA NEDENİ 3</t>
  </si>
  <si>
    <t>Bakım/Onarım</t>
  </si>
  <si>
    <t>İstasyondan İş Bek.</t>
  </si>
  <si>
    <t>Normal Mesai</t>
  </si>
  <si>
    <t>Fazla Mesai</t>
  </si>
  <si>
    <t>Vardiya</t>
  </si>
  <si>
    <t>ÇALIŞMA KOŞULU</t>
  </si>
  <si>
    <t xml:space="preserve"> </t>
  </si>
  <si>
    <t>DURAKLAMA NEDENİ 4</t>
  </si>
  <si>
    <t>DURAKLAMA ZAMANI 4 (DK)</t>
  </si>
  <si>
    <t>PERFONMANS</t>
  </si>
  <si>
    <t>KULLANILABİLİRLİK</t>
  </si>
  <si>
    <t>KAYIP SÜRE</t>
  </si>
  <si>
    <t>hava yok</t>
  </si>
  <si>
    <t>HATALI PARÇA SAYISI(ROVER-B)</t>
  </si>
  <si>
    <t xml:space="preserve">HATALI PARÇA SAYISI </t>
  </si>
  <si>
    <t>KALİTE ORANI</t>
  </si>
  <si>
    <t>OEE</t>
  </si>
  <si>
    <t>BANTLAMA ÜNİTESİNİN BASKI TOPU ARIZASI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</si>
</sst>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1F]d\ mmmm\ yyyy\ h:mm;@"/>
    <numFmt numFmtId="165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sz val="11"/>
      <color rgb="FF000000"/>
      <name val="Arial"/>
      <family val="2"/>
      <charset val="162"/>
    </font>
    <font>
      <sz val="48"/>
      <color theme="1"/>
      <name val="Bodoni MT Black"/>
      <family val="1"/>
    </font>
    <font>
      <b/>
      <u/>
      <sz val="14"/>
      <color theme="1"/>
      <name val="Calibri"/>
      <family val="2"/>
      <charset val="162"/>
      <scheme val="minor"/>
    </font>
    <font>
      <sz val="18"/>
      <color theme="1"/>
      <name val="Calibri"/>
      <family val="2"/>
      <scheme val="minor"/>
    </font>
    <font>
      <i/>
      <u/>
      <sz val="14"/>
      <color rgb="FF000000"/>
      <name val="Arial"/>
      <family val="2"/>
      <charset val="162"/>
    </font>
    <font>
      <b/>
      <sz val="12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8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5" fillId="0" borderId="0" xfId="0" applyFont="1"/>
    <xf numFmtId="0" fontId="0" fillId="0" borderId="0" xfId="0" applyAlignment="1">
      <alignment wrapText="1"/>
    </xf>
    <xf numFmtId="0" fontId="7" fillId="5" borderId="2" xfId="0" applyFont="1" applyFill="1" applyBorder="1"/>
    <xf numFmtId="0" fontId="8" fillId="6" borderId="0" xfId="0" applyFont="1" applyFill="1"/>
    <xf numFmtId="165" fontId="9" fillId="4" borderId="2" xfId="0" applyNumberFormat="1" applyFont="1" applyFill="1" applyBorder="1"/>
    <xf numFmtId="164" fontId="10" fillId="0" borderId="0" xfId="0" applyNumberFormat="1" applyFont="1"/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1" fillId="2" borderId="1" xfId="0" applyFont="1" applyFill="1" applyBorder="1" applyProtection="1">
      <protection locked="0"/>
    </xf>
    <xf numFmtId="0" fontId="0" fillId="8" borderId="0" xfId="0" applyFill="1"/>
    <xf numFmtId="22" fontId="2" fillId="7" borderId="1" xfId="0" applyNumberFormat="1" applyFont="1" applyFill="1" applyBorder="1" applyAlignment="1">
      <alignment horizontal="left" vertical="center"/>
    </xf>
    <xf numFmtId="0" fontId="10" fillId="0" borderId="0" xfId="0" applyFont="1" applyAlignment="1">
      <alignment horizontal="center"/>
    </xf>
    <xf numFmtId="49" fontId="10" fillId="0" borderId="0" xfId="0" applyNumberFormat="1" applyFont="1"/>
    <xf numFmtId="0" fontId="10" fillId="9" borderId="0" xfId="0" applyFont="1" applyFill="1" applyAlignment="1">
      <alignment horizontal="center"/>
    </xf>
    <xf numFmtId="49" fontId="10" fillId="9" borderId="0" xfId="0" applyNumberFormat="1" applyFont="1" applyFill="1" applyAlignment="1">
      <alignment horizontal="center"/>
    </xf>
    <xf numFmtId="10" fontId="11" fillId="0" borderId="0" xfId="0" applyNumberFormat="1" applyFont="1" applyAlignment="1">
      <alignment horizontal="center" vertical="center"/>
    </xf>
    <xf numFmtId="0" fontId="11" fillId="0" borderId="0" xfId="0" applyFont="1"/>
    <xf numFmtId="10" fontId="10" fillId="9" borderId="0" xfId="0" applyNumberFormat="1" applyFont="1" applyFill="1" applyAlignment="1">
      <alignment horizontal="center"/>
    </xf>
    <xf numFmtId="10" fontId="11" fillId="0" borderId="0" xfId="0" applyNumberFormat="1" applyFont="1"/>
    <xf numFmtId="0" fontId="10" fillId="5" borderId="0" xfId="0" applyFont="1" applyFill="1" applyAlignment="1">
      <alignment horizontal="center"/>
    </xf>
    <xf numFmtId="49" fontId="10" fillId="5" borderId="0" xfId="0" applyNumberFormat="1" applyFont="1" applyFill="1" applyAlignment="1">
      <alignment horizontal="center"/>
    </xf>
    <xf numFmtId="0" fontId="1" fillId="7" borderId="1" xfId="0" applyFont="1" applyFill="1" applyBorder="1" applyProtection="1">
      <protection locked="0"/>
    </xf>
    <xf numFmtId="0" fontId="11" fillId="7" borderId="1" xfId="0" applyFont="1" applyFill="1" applyBorder="1"/>
    <xf numFmtId="0" fontId="3" fillId="8" borderId="0" xfId="0" applyFont="1" applyFill="1" applyAlignment="1">
      <alignment horizontal="right"/>
    </xf>
    <xf numFmtId="0" fontId="3" fillId="8" borderId="0" xfId="0" applyFont="1" applyFill="1"/>
    <xf numFmtId="0" fontId="0" fillId="8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2324099</xdr:colOff>
      <xdr:row>18</xdr:row>
      <xdr:rowOff>314324</xdr:rowOff>
    </xdr:from>
    <xdr:to>
      <xdr:col>4</xdr:col>
      <xdr:colOff>2343149</xdr:colOff>
      <xdr:row>20</xdr:row>
      <xdr:rowOff>209549</xdr:rowOff>
    </xdr:to>
    <xdr:sp macro="[0]!Kaydet_yeni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10049" y="7953374"/>
          <a:ext cx="3171825" cy="77152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</a:t>
          </a:r>
          <a:r>
            <a:rPr lang="tr-TR" sz="2400" b="1">
              <a:solidFill>
                <a:sysClr val="windowText" lastClr="000000"/>
              </a:solidFill>
            </a:rPr>
            <a:t>ROVER-B VERİ GİRİŞ EKRANI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H21"/>
  <sheetViews>
    <sheetView tabSelected="1" topLeftCell="A7" zoomScale="80" zoomScaleNormal="80" workbookViewId="0">
      <selection activeCell="E17" sqref="E17"/>
    </sheetView>
  </sheetViews>
  <sheetFormatPr defaultColWidth="9.140625" defaultRowHeight="15" x14ac:dyDescent="0.25"/>
  <cols>
    <col min="1" max="2" width="9.140625" style="7"/>
    <col min="3" max="3" width="9.140625" style="7" customWidth="1"/>
    <col min="4" max="4" width="46" style="7" customWidth="1"/>
    <col min="5" max="5" width="39.85546875" style="7" customWidth="1"/>
    <col min="6" max="16384" width="9.140625" style="7"/>
  </cols>
  <sheetData>
    <row r="1" spans="4:8" ht="55.5" customHeight="1" x14ac:dyDescent="0.25">
      <c r="D1" s="27"/>
      <c r="E1" s="27"/>
    </row>
    <row r="3" spans="4:8" x14ac:dyDescent="0.25">
      <c r="D3" s="10"/>
      <c r="E3" s="8"/>
    </row>
    <row r="4" spans="4:8" ht="35.25" customHeight="1" x14ac:dyDescent="0.3">
      <c r="D4" s="24" t="s">
        <v>0</v>
      </c>
      <c r="E4" s="11">
        <f ca="1">TODAY()</f>
        <v>46069</v>
      </c>
    </row>
    <row r="5" spans="4:8" ht="35.25" customHeight="1" x14ac:dyDescent="0.3">
      <c r="D5" s="24" t="s">
        <v>1</v>
      </c>
      <c r="E5" s="9"/>
    </row>
    <row r="6" spans="4:8" ht="35.25" customHeight="1" x14ac:dyDescent="0.3">
      <c r="D6" s="24" t="s">
        <v>17</v>
      </c>
      <c r="E6" s="22"/>
    </row>
    <row r="7" spans="4:8" ht="35.25" customHeight="1" x14ac:dyDescent="0.3">
      <c r="D7" s="24" t="s">
        <v>18</v>
      </c>
      <c r="E7" s="9"/>
    </row>
    <row r="8" spans="4:8" ht="35.25" customHeight="1" x14ac:dyDescent="0.3">
      <c r="D8" s="24" t="s">
        <v>30</v>
      </c>
      <c r="E8" s="22"/>
      <c r="H8" s="7" t="s">
        <v>31</v>
      </c>
    </row>
    <row r="9" spans="4:8" ht="35.25" customHeight="1" x14ac:dyDescent="0.3">
      <c r="D9" s="24" t="s">
        <v>19</v>
      </c>
      <c r="E9" s="9"/>
    </row>
    <row r="10" spans="4:8" ht="35.25" customHeight="1" x14ac:dyDescent="0.3">
      <c r="D10" s="24" t="s">
        <v>20</v>
      </c>
      <c r="E10" s="22"/>
    </row>
    <row r="11" spans="4:8" ht="35.25" customHeight="1" x14ac:dyDescent="0.3">
      <c r="D11" s="24" t="s">
        <v>21</v>
      </c>
      <c r="E11" s="9"/>
    </row>
    <row r="12" spans="4:8" ht="35.25" customHeight="1" x14ac:dyDescent="0.3">
      <c r="D12" s="24" t="s">
        <v>22</v>
      </c>
      <c r="E12" s="22"/>
    </row>
    <row r="13" spans="4:8" ht="35.25" customHeight="1" x14ac:dyDescent="0.3">
      <c r="D13" s="24" t="s">
        <v>23</v>
      </c>
      <c r="E13" s="9"/>
    </row>
    <row r="14" spans="4:8" ht="35.25" customHeight="1" x14ac:dyDescent="0.3">
      <c r="D14" s="24" t="s">
        <v>24</v>
      </c>
      <c r="E14" s="22"/>
    </row>
    <row r="15" spans="4:8" ht="35.25" customHeight="1" x14ac:dyDescent="0.3">
      <c r="D15" s="24" t="s">
        <v>33</v>
      </c>
      <c r="E15" s="9"/>
    </row>
    <row r="16" spans="4:8" ht="35.25" customHeight="1" x14ac:dyDescent="0.3">
      <c r="D16" s="24" t="s">
        <v>32</v>
      </c>
      <c r="E16" s="22"/>
    </row>
    <row r="17" spans="4:5" ht="35.25" customHeight="1" x14ac:dyDescent="0.3">
      <c r="D17" s="24" t="s">
        <v>38</v>
      </c>
      <c r="E17" s="9"/>
    </row>
    <row r="18" spans="4:5" ht="35.25" customHeight="1" x14ac:dyDescent="0.3">
      <c r="D18" s="24" t="s">
        <v>3</v>
      </c>
      <c r="E18" s="23"/>
    </row>
    <row r="19" spans="4:5" ht="35.25" customHeight="1" x14ac:dyDescent="0.3">
      <c r="D19" s="25"/>
      <c r="E19" s="25"/>
    </row>
    <row r="20" spans="4:5" ht="35.25" customHeight="1" x14ac:dyDescent="0.3">
      <c r="D20" s="25"/>
      <c r="E20" s="10"/>
    </row>
    <row r="21" spans="4:5" ht="35.25" customHeight="1" x14ac:dyDescent="0.25">
      <c r="D21" s="10"/>
      <c r="E21" s="26"/>
    </row>
  </sheetData>
  <dataConsolidate/>
  <mergeCells count="1">
    <mergeCell ref="D1:E1"/>
  </mergeCells>
  <phoneticPr fontId="12" type="noConversion"/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AYARLAR!$J$10:$J$13</xm:f>
          </x14:formula1>
          <xm:sqref>E5</xm:sqref>
        </x14:dataValidation>
        <x14:dataValidation type="list" allowBlank="1" showInputMessage="1" showErrorMessage="1">
          <x14:formula1>
            <xm:f>AYARLAR!$N$10:$N$12</xm:f>
          </x14:formula1>
          <xm:sqref>E8</xm:sqref>
        </x14:dataValidation>
        <x14:dataValidation type="list" allowBlank="1" showInputMessage="1" showErrorMessage="1">
          <x14:formula1>
            <xm:f>AYARLAR!$P$10:$P$21</xm:f>
          </x14:formula1>
          <xm:sqref>E10 E12 E14 E16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T290"/>
  <sheetViews>
    <sheetView zoomScale="130" zoomScaleNormal="130" workbookViewId="0">
      <selection activeCell="P2" sqref="P2"/>
    </sheetView>
  </sheetViews>
  <sheetFormatPr defaultRowHeight="15.75" x14ac:dyDescent="0.25"/>
  <cols>
    <col min="1" max="1" width="23.42578125" style="6" bestFit="1" customWidth="1"/>
    <col min="2" max="2" width="16.85546875" style="12" customWidth="1"/>
    <col min="3" max="3" width="30.140625" style="12" bestFit="1" customWidth="1"/>
    <col min="4" max="4" width="37" style="12" bestFit="1" customWidth="1"/>
    <col min="5" max="5" width="24.5703125" style="12" bestFit="1" customWidth="1"/>
    <col min="6" max="6" width="37" style="12" bestFit="1" customWidth="1"/>
    <col min="7" max="7" width="30.5703125" style="12" bestFit="1" customWidth="1"/>
    <col min="8" max="8" width="37" style="12" bestFit="1" customWidth="1"/>
    <col min="9" max="9" width="30.5703125" style="12" bestFit="1" customWidth="1"/>
    <col min="10" max="10" width="37" style="12" bestFit="1" customWidth="1"/>
    <col min="11" max="11" width="30.5703125" style="12" bestFit="1" customWidth="1"/>
    <col min="12" max="12" width="40" style="12" customWidth="1"/>
    <col min="13" max="14" width="40.42578125" style="12" customWidth="1"/>
    <col min="15" max="15" width="45.7109375" style="13" bestFit="1" customWidth="1"/>
    <col min="16" max="16" width="21.42578125" style="17" customWidth="1"/>
    <col min="17" max="17" width="18.28515625" style="19" customWidth="1"/>
    <col min="18" max="18" width="21" style="17" customWidth="1"/>
    <col min="19" max="19" width="18.140625" style="19" customWidth="1"/>
    <col min="20" max="20" width="11.42578125" style="17" customWidth="1"/>
  </cols>
  <sheetData>
    <row r="1" spans="1:20" x14ac:dyDescent="0.25">
      <c r="A1" s="14" t="s">
        <v>0</v>
      </c>
      <c r="B1" s="20" t="s">
        <v>1</v>
      </c>
      <c r="C1" s="14" t="s">
        <v>17</v>
      </c>
      <c r="D1" s="20" t="s">
        <v>18</v>
      </c>
      <c r="E1" s="14" t="s">
        <v>30</v>
      </c>
      <c r="F1" s="20" t="s">
        <v>19</v>
      </c>
      <c r="G1" s="14" t="s">
        <v>20</v>
      </c>
      <c r="H1" s="20" t="s">
        <v>21</v>
      </c>
      <c r="I1" s="14" t="s">
        <v>22</v>
      </c>
      <c r="J1" s="20" t="s">
        <v>23</v>
      </c>
      <c r="K1" s="14" t="s">
        <v>24</v>
      </c>
      <c r="L1" s="20" t="s">
        <v>33</v>
      </c>
      <c r="M1" s="14" t="s">
        <v>32</v>
      </c>
      <c r="N1" s="20" t="s">
        <v>39</v>
      </c>
      <c r="O1" s="15" t="s">
        <v>3</v>
      </c>
      <c r="P1" s="21" t="s">
        <v>34</v>
      </c>
      <c r="Q1" s="18" t="s">
        <v>36</v>
      </c>
      <c r="R1" s="21" t="s">
        <v>35</v>
      </c>
      <c r="S1" s="18" t="s">
        <v>40</v>
      </c>
      <c r="T1" s="21" t="s">
        <v>41</v>
      </c>
    </row>
    <row r="2" spans="1:20" x14ac:dyDescent="0.25">
      <c r="A2" s="6">
        <v>46066</v>
      </c>
      <c r="B2" s="12">
        <v>2</v>
      </c>
      <c r="C2" s="12">
        <v>25</v>
      </c>
      <c r="D2" s="12">
        <v>52</v>
      </c>
      <c r="E2" s="12" t="s">
        <v>27</v>
      </c>
      <c r="F2" s="12">
        <v>20</v>
      </c>
      <c r="G2" s="12" t="s">
        <v>11</v>
      </c>
      <c r="H2" s="12">
        <v>15</v>
      </c>
      <c r="I2" s="12" t="s">
        <v>5</v>
      </c>
      <c r="J2" s="12">
        <v>60</v>
      </c>
      <c r="K2" s="12" t="s">
        <v>4</v>
      </c>
      <c r="P2" s="16">
        <f t="shared" ref="P2:P65" si="0">(C2+D2)/350</f>
        <v>0.22</v>
      </c>
      <c r="Q2" s="19">
        <f t="shared" ref="Q2:Q65" si="1">(F2+H2+J2+L2)/510</f>
        <v>0.18627450980392157</v>
      </c>
      <c r="R2" s="19">
        <f t="shared" ref="R2:R65" si="2">(510-(F2+H2+J2+L2))/510</f>
        <v>0.81372549019607843</v>
      </c>
      <c r="S2" s="19">
        <f t="shared" ref="S2:S65" si="3">(C2+D2-N2)/(C2+D2)</f>
        <v>1</v>
      </c>
      <c r="T2" s="19">
        <f t="shared" ref="T2:T65" si="4">P2*R2*S2</f>
        <v>0.17901960784313725</v>
      </c>
    </row>
    <row r="3" spans="1:20" x14ac:dyDescent="0.25">
      <c r="A3" s="6">
        <v>46065</v>
      </c>
      <c r="B3" s="12">
        <v>2</v>
      </c>
      <c r="C3" s="12">
        <v>15</v>
      </c>
      <c r="D3" s="12">
        <v>16</v>
      </c>
      <c r="E3" s="12" t="s">
        <v>27</v>
      </c>
      <c r="F3" s="12">
        <v>20</v>
      </c>
      <c r="G3" s="12" t="s">
        <v>11</v>
      </c>
      <c r="H3" s="12">
        <v>10</v>
      </c>
      <c r="I3" s="12" t="s">
        <v>5</v>
      </c>
      <c r="J3" s="12">
        <v>10</v>
      </c>
      <c r="K3" s="12" t="s">
        <v>4</v>
      </c>
      <c r="L3" s="12">
        <v>360</v>
      </c>
      <c r="M3" s="12" t="s">
        <v>13</v>
      </c>
      <c r="O3" s="13" t="s">
        <v>42</v>
      </c>
      <c r="P3" s="16">
        <f t="shared" si="0"/>
        <v>8.8571428571428565E-2</v>
      </c>
      <c r="Q3" s="19">
        <f t="shared" si="1"/>
        <v>0.78431372549019607</v>
      </c>
      <c r="R3" s="19">
        <f t="shared" si="2"/>
        <v>0.21568627450980393</v>
      </c>
      <c r="S3" s="19">
        <f t="shared" si="3"/>
        <v>1</v>
      </c>
      <c r="T3" s="19">
        <f t="shared" si="4"/>
        <v>1.9103641456582634E-2</v>
      </c>
    </row>
    <row r="4" spans="1:20" x14ac:dyDescent="0.25">
      <c r="A4" s="6">
        <v>46064</v>
      </c>
      <c r="B4" s="12">
        <v>2</v>
      </c>
      <c r="C4" s="12">
        <v>40</v>
      </c>
      <c r="D4" s="12">
        <v>52</v>
      </c>
      <c r="E4" s="12" t="s">
        <v>27</v>
      </c>
      <c r="F4" s="12">
        <v>20</v>
      </c>
      <c r="G4" s="12" t="s">
        <v>11</v>
      </c>
      <c r="H4" s="12">
        <v>15</v>
      </c>
      <c r="I4" s="12" t="s">
        <v>5</v>
      </c>
      <c r="J4" s="12">
        <v>10</v>
      </c>
      <c r="K4" s="12" t="s">
        <v>4</v>
      </c>
      <c r="L4" s="12">
        <v>15</v>
      </c>
      <c r="M4" s="12" t="s">
        <v>37</v>
      </c>
      <c r="P4" s="16">
        <f t="shared" si="0"/>
        <v>0.26285714285714284</v>
      </c>
      <c r="Q4" s="19">
        <f t="shared" si="1"/>
        <v>0.11764705882352941</v>
      </c>
      <c r="R4" s="19">
        <f t="shared" si="2"/>
        <v>0.88235294117647056</v>
      </c>
      <c r="S4" s="19">
        <f t="shared" si="3"/>
        <v>1</v>
      </c>
      <c r="T4" s="19">
        <f t="shared" si="4"/>
        <v>0.23193277310924368</v>
      </c>
    </row>
    <row r="5" spans="1:20" x14ac:dyDescent="0.25">
      <c r="A5" s="6">
        <v>46063</v>
      </c>
      <c r="B5" s="12">
        <v>2</v>
      </c>
      <c r="C5" s="12">
        <v>151</v>
      </c>
      <c r="D5" s="12">
        <v>26</v>
      </c>
      <c r="E5" s="12" t="s">
        <v>27</v>
      </c>
      <c r="F5" s="12">
        <v>20</v>
      </c>
      <c r="G5" s="12" t="s">
        <v>11</v>
      </c>
      <c r="H5" s="12">
        <v>15</v>
      </c>
      <c r="I5" s="12" t="s">
        <v>5</v>
      </c>
      <c r="J5" s="12">
        <v>10</v>
      </c>
      <c r="K5" s="12" t="s">
        <v>4</v>
      </c>
      <c r="P5" s="16">
        <f t="shared" si="0"/>
        <v>0.50571428571428567</v>
      </c>
      <c r="Q5" s="19">
        <f t="shared" si="1"/>
        <v>8.8235294117647065E-2</v>
      </c>
      <c r="R5" s="19">
        <f t="shared" si="2"/>
        <v>0.91176470588235292</v>
      </c>
      <c r="S5" s="19">
        <f t="shared" si="3"/>
        <v>1</v>
      </c>
      <c r="T5" s="19">
        <f t="shared" si="4"/>
        <v>0.46109243697478985</v>
      </c>
    </row>
    <row r="6" spans="1:20" x14ac:dyDescent="0.25">
      <c r="A6" s="6">
        <v>46062</v>
      </c>
      <c r="B6" s="12">
        <v>2</v>
      </c>
      <c r="C6" s="12">
        <v>78</v>
      </c>
      <c r="D6" s="12">
        <v>45</v>
      </c>
      <c r="E6" s="12" t="s">
        <v>27</v>
      </c>
      <c r="F6" s="12">
        <v>20</v>
      </c>
      <c r="G6" s="12" t="s">
        <v>11</v>
      </c>
      <c r="H6" s="12">
        <v>15</v>
      </c>
      <c r="I6" s="12" t="s">
        <v>5</v>
      </c>
      <c r="J6" s="12">
        <v>15</v>
      </c>
      <c r="K6" s="12" t="s">
        <v>4</v>
      </c>
      <c r="P6" s="16">
        <f t="shared" si="0"/>
        <v>0.35142857142857142</v>
      </c>
      <c r="Q6" s="19">
        <f t="shared" si="1"/>
        <v>9.8039215686274508E-2</v>
      </c>
      <c r="R6" s="19">
        <f t="shared" si="2"/>
        <v>0.90196078431372551</v>
      </c>
      <c r="S6" s="19">
        <f t="shared" si="3"/>
        <v>1</v>
      </c>
      <c r="T6" s="19">
        <f t="shared" si="4"/>
        <v>0.31697478991596639</v>
      </c>
    </row>
    <row r="7" spans="1:20" x14ac:dyDescent="0.25">
      <c r="A7" s="6">
        <v>46059</v>
      </c>
      <c r="B7" s="12">
        <v>2</v>
      </c>
      <c r="C7" s="12">
        <v>70</v>
      </c>
      <c r="D7" s="12">
        <v>30</v>
      </c>
      <c r="E7" s="12" t="s">
        <v>27</v>
      </c>
      <c r="F7" s="12">
        <v>20</v>
      </c>
      <c r="G7" s="12" t="s">
        <v>5</v>
      </c>
      <c r="H7" s="12">
        <v>30</v>
      </c>
      <c r="I7" s="12" t="s">
        <v>11</v>
      </c>
      <c r="J7" s="12">
        <v>60</v>
      </c>
      <c r="K7" s="12" t="s">
        <v>4</v>
      </c>
      <c r="P7" s="16">
        <f t="shared" si="0"/>
        <v>0.2857142857142857</v>
      </c>
      <c r="Q7" s="19">
        <f t="shared" si="1"/>
        <v>0.21568627450980393</v>
      </c>
      <c r="R7" s="19">
        <f t="shared" si="2"/>
        <v>0.78431372549019607</v>
      </c>
      <c r="S7" s="19">
        <f t="shared" si="3"/>
        <v>1</v>
      </c>
      <c r="T7" s="19">
        <f t="shared" si="4"/>
        <v>0.22408963585434172</v>
      </c>
    </row>
    <row r="8" spans="1:20" x14ac:dyDescent="0.25">
      <c r="A8" s="6">
        <v>46058</v>
      </c>
      <c r="B8" s="12">
        <v>1</v>
      </c>
      <c r="C8" s="12">
        <v>70</v>
      </c>
      <c r="D8" s="12">
        <v>20</v>
      </c>
      <c r="E8" s="12" t="s">
        <v>27</v>
      </c>
      <c r="F8" s="12">
        <v>20</v>
      </c>
      <c r="G8" s="12" t="s">
        <v>11</v>
      </c>
      <c r="H8" s="12">
        <v>15</v>
      </c>
      <c r="I8" s="12" t="s">
        <v>5</v>
      </c>
      <c r="J8" s="12">
        <v>60</v>
      </c>
      <c r="K8" s="12" t="s">
        <v>4</v>
      </c>
      <c r="P8" s="16">
        <f t="shared" si="0"/>
        <v>0.25714285714285712</v>
      </c>
      <c r="Q8" s="19">
        <f t="shared" si="1"/>
        <v>0.18627450980392157</v>
      </c>
      <c r="R8" s="19">
        <f t="shared" si="2"/>
        <v>0.81372549019607843</v>
      </c>
      <c r="S8" s="19">
        <f t="shared" si="3"/>
        <v>1</v>
      </c>
      <c r="T8" s="19">
        <f t="shared" si="4"/>
        <v>0.20924369747899157</v>
      </c>
    </row>
    <row r="9" spans="1:20" x14ac:dyDescent="0.25">
      <c r="A9" s="6">
        <v>46057</v>
      </c>
      <c r="B9" s="12">
        <v>2</v>
      </c>
      <c r="C9" s="12">
        <v>105</v>
      </c>
      <c r="D9" s="12">
        <v>16</v>
      </c>
      <c r="E9" s="12" t="s">
        <v>27</v>
      </c>
      <c r="F9" s="12">
        <v>15</v>
      </c>
      <c r="G9" s="12" t="s">
        <v>5</v>
      </c>
      <c r="H9" s="12">
        <v>20</v>
      </c>
      <c r="I9" s="12" t="s">
        <v>11</v>
      </c>
      <c r="J9" s="12">
        <v>10</v>
      </c>
      <c r="K9" s="12" t="s">
        <v>11</v>
      </c>
      <c r="P9" s="16">
        <f t="shared" si="0"/>
        <v>0.3457142857142857</v>
      </c>
      <c r="Q9" s="19">
        <f t="shared" si="1"/>
        <v>8.8235294117647065E-2</v>
      </c>
      <c r="R9" s="19">
        <f t="shared" si="2"/>
        <v>0.91176470588235292</v>
      </c>
      <c r="S9" s="19">
        <f t="shared" si="3"/>
        <v>1</v>
      </c>
      <c r="T9" s="19">
        <f t="shared" si="4"/>
        <v>0.31521008403361345</v>
      </c>
    </row>
    <row r="10" spans="1:20" x14ac:dyDescent="0.25">
      <c r="A10" s="6">
        <v>46056</v>
      </c>
      <c r="B10" s="12">
        <v>2</v>
      </c>
      <c r="C10" s="12">
        <v>50</v>
      </c>
      <c r="D10" s="12">
        <v>20</v>
      </c>
      <c r="E10" s="12" t="s">
        <v>27</v>
      </c>
      <c r="F10" s="12">
        <v>20</v>
      </c>
      <c r="G10" s="12" t="s">
        <v>5</v>
      </c>
      <c r="H10" s="12">
        <v>30</v>
      </c>
      <c r="I10" s="12" t="s">
        <v>11</v>
      </c>
      <c r="J10" s="12">
        <v>10</v>
      </c>
      <c r="K10" s="12" t="s">
        <v>25</v>
      </c>
      <c r="P10" s="16">
        <f t="shared" si="0"/>
        <v>0.2</v>
      </c>
      <c r="Q10" s="19">
        <f t="shared" si="1"/>
        <v>0.11764705882352941</v>
      </c>
      <c r="R10" s="19">
        <f t="shared" si="2"/>
        <v>0.88235294117647056</v>
      </c>
      <c r="S10" s="19">
        <f t="shared" si="3"/>
        <v>1</v>
      </c>
      <c r="T10" s="19">
        <f t="shared" si="4"/>
        <v>0.17647058823529413</v>
      </c>
    </row>
    <row r="11" spans="1:20" x14ac:dyDescent="0.25">
      <c r="A11" s="6">
        <v>46055</v>
      </c>
      <c r="B11" s="12">
        <v>2</v>
      </c>
      <c r="C11" s="12">
        <v>60</v>
      </c>
      <c r="D11" s="12">
        <v>45</v>
      </c>
      <c r="E11" s="12" t="s">
        <v>27</v>
      </c>
      <c r="F11" s="12">
        <v>20</v>
      </c>
      <c r="G11" s="12" t="s">
        <v>5</v>
      </c>
      <c r="H11" s="12">
        <v>25</v>
      </c>
      <c r="I11" s="12" t="s">
        <v>11</v>
      </c>
      <c r="J11" s="12">
        <v>15</v>
      </c>
      <c r="K11" s="12" t="s">
        <v>4</v>
      </c>
      <c r="P11" s="16">
        <f t="shared" si="0"/>
        <v>0.3</v>
      </c>
      <c r="Q11" s="19">
        <f t="shared" si="1"/>
        <v>0.11764705882352941</v>
      </c>
      <c r="R11" s="19">
        <f t="shared" si="2"/>
        <v>0.88235294117647056</v>
      </c>
      <c r="S11" s="19">
        <f t="shared" si="3"/>
        <v>1</v>
      </c>
      <c r="T11" s="19">
        <f t="shared" si="4"/>
        <v>0.26470588235294118</v>
      </c>
    </row>
    <row r="12" spans="1:20" x14ac:dyDescent="0.25">
      <c r="A12" s="6">
        <v>46052</v>
      </c>
      <c r="B12" s="12">
        <v>2</v>
      </c>
      <c r="C12" s="12">
        <v>45</v>
      </c>
      <c r="D12" s="12">
        <v>38</v>
      </c>
      <c r="E12" s="12" t="s">
        <v>27</v>
      </c>
      <c r="F12" s="12">
        <v>25</v>
      </c>
      <c r="G12" s="12" t="s">
        <v>5</v>
      </c>
      <c r="H12" s="12">
        <v>30</v>
      </c>
      <c r="I12" s="12" t="s">
        <v>11</v>
      </c>
      <c r="J12" s="12">
        <v>60</v>
      </c>
      <c r="K12" s="12" t="s">
        <v>4</v>
      </c>
      <c r="P12" s="16">
        <f t="shared" si="0"/>
        <v>0.23714285714285716</v>
      </c>
      <c r="Q12" s="19">
        <f t="shared" si="1"/>
        <v>0.22549019607843138</v>
      </c>
      <c r="R12" s="19">
        <f t="shared" si="2"/>
        <v>0.77450980392156865</v>
      </c>
      <c r="S12" s="19">
        <f t="shared" si="3"/>
        <v>1</v>
      </c>
      <c r="T12" s="19">
        <f t="shared" si="4"/>
        <v>0.18366946778711485</v>
      </c>
    </row>
    <row r="13" spans="1:20" x14ac:dyDescent="0.25">
      <c r="A13" s="6">
        <v>46051</v>
      </c>
      <c r="B13" s="12">
        <v>2</v>
      </c>
      <c r="C13" s="12">
        <v>110</v>
      </c>
      <c r="D13" s="12">
        <v>20</v>
      </c>
      <c r="E13" s="12" t="s">
        <v>27</v>
      </c>
      <c r="F13" s="12">
        <v>20</v>
      </c>
      <c r="G13" s="12" t="s">
        <v>5</v>
      </c>
      <c r="H13" s="12">
        <v>30</v>
      </c>
      <c r="I13" s="12" t="s">
        <v>11</v>
      </c>
      <c r="J13" s="12">
        <v>10</v>
      </c>
      <c r="K13" s="12" t="s">
        <v>4</v>
      </c>
      <c r="P13" s="16">
        <f t="shared" si="0"/>
        <v>0.37142857142857144</v>
      </c>
      <c r="Q13" s="19">
        <f t="shared" si="1"/>
        <v>0.11764705882352941</v>
      </c>
      <c r="R13" s="19">
        <f t="shared" si="2"/>
        <v>0.88235294117647056</v>
      </c>
      <c r="S13" s="19">
        <f t="shared" si="3"/>
        <v>1</v>
      </c>
      <c r="T13" s="19">
        <f t="shared" si="4"/>
        <v>0.32773109243697479</v>
      </c>
    </row>
    <row r="14" spans="1:20" x14ac:dyDescent="0.25">
      <c r="A14" s="6">
        <v>46050</v>
      </c>
      <c r="J14" s="12">
        <v>510</v>
      </c>
      <c r="K14" s="12" t="s">
        <v>13</v>
      </c>
      <c r="P14" s="16">
        <f t="shared" si="0"/>
        <v>0</v>
      </c>
      <c r="Q14" s="19">
        <f t="shared" si="1"/>
        <v>1</v>
      </c>
      <c r="R14" s="19">
        <f t="shared" si="2"/>
        <v>0</v>
      </c>
      <c r="S14" s="19" t="e">
        <f t="shared" si="3"/>
        <v>#DIV/0!</v>
      </c>
      <c r="T14" s="19" t="e">
        <f t="shared" si="4"/>
        <v>#DIV/0!</v>
      </c>
    </row>
    <row r="15" spans="1:20" x14ac:dyDescent="0.25">
      <c r="A15" s="6">
        <v>46049</v>
      </c>
      <c r="J15" s="12">
        <v>510</v>
      </c>
      <c r="K15" s="12" t="s">
        <v>13</v>
      </c>
      <c r="P15" s="16">
        <f t="shared" si="0"/>
        <v>0</v>
      </c>
      <c r="Q15" s="19">
        <f t="shared" si="1"/>
        <v>1</v>
      </c>
      <c r="R15" s="19">
        <f t="shared" si="2"/>
        <v>0</v>
      </c>
      <c r="S15" s="19" t="e">
        <f t="shared" si="3"/>
        <v>#DIV/0!</v>
      </c>
      <c r="T15" s="19" t="e">
        <f t="shared" si="4"/>
        <v>#DIV/0!</v>
      </c>
    </row>
    <row r="16" spans="1:20" x14ac:dyDescent="0.25">
      <c r="A16" s="6">
        <v>46048</v>
      </c>
      <c r="J16" s="12">
        <v>510</v>
      </c>
      <c r="K16" s="12" t="s">
        <v>13</v>
      </c>
      <c r="P16" s="16">
        <f t="shared" si="0"/>
        <v>0</v>
      </c>
      <c r="Q16" s="19">
        <f t="shared" si="1"/>
        <v>1</v>
      </c>
      <c r="R16" s="19">
        <f t="shared" si="2"/>
        <v>0</v>
      </c>
      <c r="S16" s="19" t="e">
        <f t="shared" si="3"/>
        <v>#DIV/0!</v>
      </c>
      <c r="T16" s="19" t="e">
        <f t="shared" si="4"/>
        <v>#DIV/0!</v>
      </c>
    </row>
    <row r="17" spans="1:20" x14ac:dyDescent="0.25">
      <c r="A17" s="6">
        <v>46044</v>
      </c>
      <c r="F17" s="12">
        <v>510</v>
      </c>
      <c r="G17" s="12" t="s">
        <v>13</v>
      </c>
      <c r="P17" s="16">
        <f t="shared" si="0"/>
        <v>0</v>
      </c>
      <c r="Q17" s="19">
        <f t="shared" si="1"/>
        <v>1</v>
      </c>
      <c r="R17" s="19">
        <f t="shared" si="2"/>
        <v>0</v>
      </c>
      <c r="S17" s="19" t="e">
        <f t="shared" si="3"/>
        <v>#DIV/0!</v>
      </c>
      <c r="T17" s="19" t="e">
        <f t="shared" si="4"/>
        <v>#DIV/0!</v>
      </c>
    </row>
    <row r="18" spans="1:20" x14ac:dyDescent="0.25">
      <c r="A18" s="6">
        <v>46043</v>
      </c>
      <c r="F18" s="12">
        <v>510</v>
      </c>
      <c r="G18" s="12" t="s">
        <v>13</v>
      </c>
      <c r="P18" s="16">
        <f t="shared" si="0"/>
        <v>0</v>
      </c>
      <c r="Q18" s="19">
        <f t="shared" si="1"/>
        <v>1</v>
      </c>
      <c r="R18" s="19">
        <f t="shared" si="2"/>
        <v>0</v>
      </c>
      <c r="S18" s="19" t="e">
        <f t="shared" si="3"/>
        <v>#DIV/0!</v>
      </c>
      <c r="T18" s="19" t="e">
        <f t="shared" si="4"/>
        <v>#DIV/0!</v>
      </c>
    </row>
    <row r="19" spans="1:20" x14ac:dyDescent="0.25">
      <c r="A19" s="6">
        <v>46042</v>
      </c>
      <c r="F19" s="12">
        <v>510</v>
      </c>
      <c r="G19" s="12" t="s">
        <v>25</v>
      </c>
      <c r="P19" s="16">
        <f t="shared" si="0"/>
        <v>0</v>
      </c>
      <c r="Q19" s="19">
        <f t="shared" si="1"/>
        <v>1</v>
      </c>
      <c r="R19" s="19">
        <f t="shared" si="2"/>
        <v>0</v>
      </c>
      <c r="S19" s="19" t="e">
        <f t="shared" si="3"/>
        <v>#DIV/0!</v>
      </c>
      <c r="T19" s="19" t="e">
        <f t="shared" si="4"/>
        <v>#DIV/0!</v>
      </c>
    </row>
    <row r="20" spans="1:20" x14ac:dyDescent="0.25">
      <c r="A20" s="6">
        <v>46041</v>
      </c>
      <c r="B20" s="12">
        <v>2</v>
      </c>
      <c r="C20" s="12">
        <v>60</v>
      </c>
      <c r="D20" s="12">
        <v>6</v>
      </c>
      <c r="E20" s="12" t="s">
        <v>27</v>
      </c>
      <c r="F20" s="12">
        <v>10</v>
      </c>
      <c r="G20" s="12" t="s">
        <v>11</v>
      </c>
      <c r="H20" s="12">
        <v>15</v>
      </c>
      <c r="I20" s="12" t="s">
        <v>4</v>
      </c>
      <c r="J20" s="12">
        <v>10</v>
      </c>
      <c r="K20" s="12" t="s">
        <v>11</v>
      </c>
      <c r="P20" s="16">
        <f t="shared" si="0"/>
        <v>0.18857142857142858</v>
      </c>
      <c r="Q20" s="19">
        <f t="shared" si="1"/>
        <v>6.8627450980392163E-2</v>
      </c>
      <c r="R20" s="19">
        <f t="shared" si="2"/>
        <v>0.93137254901960786</v>
      </c>
      <c r="S20" s="19">
        <f t="shared" si="3"/>
        <v>1</v>
      </c>
      <c r="T20" s="19">
        <f t="shared" si="4"/>
        <v>0.17563025210084035</v>
      </c>
    </row>
    <row r="21" spans="1:20" x14ac:dyDescent="0.25">
      <c r="A21" s="6">
        <v>46038</v>
      </c>
      <c r="B21" s="12">
        <v>2</v>
      </c>
      <c r="C21" s="12">
        <v>162</v>
      </c>
      <c r="D21" s="12">
        <v>2</v>
      </c>
      <c r="E21" s="12" t="s">
        <v>27</v>
      </c>
      <c r="F21" s="12">
        <v>10</v>
      </c>
      <c r="G21" s="12" t="s">
        <v>11</v>
      </c>
      <c r="H21" s="12">
        <v>15</v>
      </c>
      <c r="I21" s="12" t="s">
        <v>4</v>
      </c>
      <c r="J21" s="12">
        <v>10</v>
      </c>
      <c r="K21" s="12" t="s">
        <v>11</v>
      </c>
      <c r="P21" s="16">
        <f t="shared" si="0"/>
        <v>0.46857142857142858</v>
      </c>
      <c r="Q21" s="19">
        <f t="shared" si="1"/>
        <v>6.8627450980392163E-2</v>
      </c>
      <c r="R21" s="19">
        <f t="shared" si="2"/>
        <v>0.93137254901960786</v>
      </c>
      <c r="S21" s="19">
        <f t="shared" si="3"/>
        <v>1</v>
      </c>
      <c r="T21" s="19">
        <f t="shared" si="4"/>
        <v>0.43641456582633054</v>
      </c>
    </row>
    <row r="22" spans="1:20" x14ac:dyDescent="0.25">
      <c r="A22" s="6">
        <v>46037</v>
      </c>
      <c r="B22" s="12">
        <v>2</v>
      </c>
      <c r="C22" s="12">
        <v>65</v>
      </c>
      <c r="D22" s="12">
        <v>35</v>
      </c>
      <c r="E22" s="12" t="s">
        <v>27</v>
      </c>
      <c r="F22" s="12">
        <v>10</v>
      </c>
      <c r="G22" s="12" t="s">
        <v>11</v>
      </c>
      <c r="H22" s="12">
        <v>15</v>
      </c>
      <c r="I22" s="12" t="s">
        <v>4</v>
      </c>
      <c r="J22" s="12">
        <v>10</v>
      </c>
      <c r="K22" s="12" t="s">
        <v>11</v>
      </c>
      <c r="P22" s="16">
        <f t="shared" si="0"/>
        <v>0.2857142857142857</v>
      </c>
      <c r="Q22" s="19">
        <f t="shared" si="1"/>
        <v>6.8627450980392163E-2</v>
      </c>
      <c r="R22" s="19">
        <f t="shared" si="2"/>
        <v>0.93137254901960786</v>
      </c>
      <c r="S22" s="19">
        <f t="shared" si="3"/>
        <v>1</v>
      </c>
      <c r="T22" s="19">
        <f t="shared" si="4"/>
        <v>0.26610644257703081</v>
      </c>
    </row>
    <row r="23" spans="1:20" x14ac:dyDescent="0.25">
      <c r="A23" s="6">
        <v>46036</v>
      </c>
      <c r="B23" s="12">
        <v>2</v>
      </c>
      <c r="C23" s="12">
        <v>35</v>
      </c>
      <c r="D23" s="12">
        <v>38</v>
      </c>
      <c r="E23" s="12" t="s">
        <v>27</v>
      </c>
      <c r="F23" s="12">
        <v>10</v>
      </c>
      <c r="G23" s="12" t="s">
        <v>11</v>
      </c>
      <c r="H23" s="12">
        <v>15</v>
      </c>
      <c r="I23" s="12" t="s">
        <v>4</v>
      </c>
      <c r="J23" s="12">
        <v>10</v>
      </c>
      <c r="K23" s="12" t="s">
        <v>11</v>
      </c>
      <c r="P23" s="16">
        <f t="shared" si="0"/>
        <v>0.20857142857142857</v>
      </c>
      <c r="Q23" s="19">
        <f t="shared" si="1"/>
        <v>6.8627450980392163E-2</v>
      </c>
      <c r="R23" s="19">
        <f t="shared" si="2"/>
        <v>0.93137254901960786</v>
      </c>
      <c r="S23" s="19">
        <f t="shared" si="3"/>
        <v>1</v>
      </c>
      <c r="T23" s="19">
        <f t="shared" si="4"/>
        <v>0.1942577030812325</v>
      </c>
    </row>
    <row r="24" spans="1:20" x14ac:dyDescent="0.25">
      <c r="A24" s="6">
        <v>46035</v>
      </c>
      <c r="B24" s="12">
        <v>2</v>
      </c>
      <c r="C24" s="12">
        <v>50</v>
      </c>
      <c r="D24" s="12">
        <v>35</v>
      </c>
      <c r="E24" s="12" t="s">
        <v>27</v>
      </c>
      <c r="F24" s="12">
        <v>10</v>
      </c>
      <c r="G24" s="12" t="s">
        <v>11</v>
      </c>
      <c r="H24" s="12">
        <v>15</v>
      </c>
      <c r="I24" s="12" t="s">
        <v>4</v>
      </c>
      <c r="J24" s="12">
        <v>10</v>
      </c>
      <c r="K24" s="12" t="s">
        <v>11</v>
      </c>
      <c r="P24" s="16">
        <f t="shared" si="0"/>
        <v>0.24285714285714285</v>
      </c>
      <c r="Q24" s="19">
        <f t="shared" si="1"/>
        <v>6.8627450980392163E-2</v>
      </c>
      <c r="R24" s="19">
        <f t="shared" si="2"/>
        <v>0.93137254901960786</v>
      </c>
      <c r="S24" s="19">
        <f t="shared" si="3"/>
        <v>1</v>
      </c>
      <c r="T24" s="19">
        <f t="shared" si="4"/>
        <v>0.22619047619047619</v>
      </c>
    </row>
    <row r="25" spans="1:20" x14ac:dyDescent="0.25">
      <c r="A25" s="6">
        <v>46034</v>
      </c>
      <c r="B25" s="12">
        <v>2</v>
      </c>
      <c r="C25" s="12">
        <v>50</v>
      </c>
      <c r="D25" s="12">
        <v>35</v>
      </c>
      <c r="E25" s="12" t="s">
        <v>27</v>
      </c>
      <c r="F25" s="12">
        <v>10</v>
      </c>
      <c r="G25" s="12" t="s">
        <v>11</v>
      </c>
      <c r="H25" s="12">
        <v>15</v>
      </c>
      <c r="I25" s="12" t="s">
        <v>4</v>
      </c>
      <c r="J25" s="12">
        <v>10</v>
      </c>
      <c r="K25" s="12" t="s">
        <v>11</v>
      </c>
      <c r="P25" s="16">
        <f t="shared" si="0"/>
        <v>0.24285714285714285</v>
      </c>
      <c r="Q25" s="19">
        <f t="shared" si="1"/>
        <v>6.8627450980392163E-2</v>
      </c>
      <c r="R25" s="19">
        <f t="shared" si="2"/>
        <v>0.93137254901960786</v>
      </c>
      <c r="S25" s="19">
        <f t="shared" si="3"/>
        <v>1</v>
      </c>
      <c r="T25" s="19">
        <f t="shared" si="4"/>
        <v>0.22619047619047619</v>
      </c>
    </row>
    <row r="26" spans="1:20" x14ac:dyDescent="0.25">
      <c r="A26" s="6">
        <v>46031</v>
      </c>
      <c r="B26" s="12">
        <v>2</v>
      </c>
      <c r="C26" s="12">
        <v>25</v>
      </c>
      <c r="D26" s="12">
        <v>30</v>
      </c>
      <c r="E26" s="12" t="s">
        <v>27</v>
      </c>
      <c r="F26" s="12">
        <v>10</v>
      </c>
      <c r="G26" s="12" t="s">
        <v>11</v>
      </c>
      <c r="H26" s="12">
        <v>15</v>
      </c>
      <c r="I26" s="12" t="s">
        <v>4</v>
      </c>
      <c r="J26" s="12">
        <v>60</v>
      </c>
      <c r="K26" s="12" t="s">
        <v>11</v>
      </c>
      <c r="P26" s="16">
        <f t="shared" si="0"/>
        <v>0.15714285714285714</v>
      </c>
      <c r="Q26" s="19">
        <f t="shared" si="1"/>
        <v>0.16666666666666666</v>
      </c>
      <c r="R26" s="19">
        <f t="shared" si="2"/>
        <v>0.83333333333333337</v>
      </c>
      <c r="S26" s="19">
        <f t="shared" si="3"/>
        <v>1</v>
      </c>
      <c r="T26" s="19">
        <f t="shared" si="4"/>
        <v>0.13095238095238096</v>
      </c>
    </row>
    <row r="27" spans="1:20" x14ac:dyDescent="0.25">
      <c r="A27" s="6">
        <v>46030</v>
      </c>
      <c r="B27" s="12">
        <v>2</v>
      </c>
      <c r="C27" s="12">
        <v>25</v>
      </c>
      <c r="D27" s="12">
        <v>30</v>
      </c>
      <c r="E27" s="12" t="s">
        <v>27</v>
      </c>
      <c r="F27" s="12">
        <v>10</v>
      </c>
      <c r="G27" s="12" t="s">
        <v>11</v>
      </c>
      <c r="H27" s="12">
        <v>15</v>
      </c>
      <c r="I27" s="12" t="s">
        <v>4</v>
      </c>
      <c r="J27" s="12">
        <v>60</v>
      </c>
      <c r="K27" s="12" t="s">
        <v>11</v>
      </c>
      <c r="P27" s="16">
        <f t="shared" si="0"/>
        <v>0.15714285714285714</v>
      </c>
      <c r="Q27" s="19">
        <f t="shared" si="1"/>
        <v>0.16666666666666666</v>
      </c>
      <c r="R27" s="19">
        <f t="shared" si="2"/>
        <v>0.83333333333333337</v>
      </c>
      <c r="S27" s="19">
        <f t="shared" si="3"/>
        <v>1</v>
      </c>
      <c r="T27" s="19">
        <f t="shared" si="4"/>
        <v>0.13095238095238096</v>
      </c>
    </row>
    <row r="28" spans="1:20" x14ac:dyDescent="0.25">
      <c r="A28" s="6">
        <v>46029</v>
      </c>
      <c r="B28" s="12">
        <v>2</v>
      </c>
      <c r="C28" s="12">
        <v>130</v>
      </c>
      <c r="D28" s="12">
        <v>26</v>
      </c>
      <c r="E28" s="12" t="s">
        <v>27</v>
      </c>
      <c r="F28" s="12">
        <v>10</v>
      </c>
      <c r="G28" s="12" t="s">
        <v>11</v>
      </c>
      <c r="H28" s="12">
        <v>15</v>
      </c>
      <c r="I28" s="12" t="s">
        <v>4</v>
      </c>
      <c r="J28" s="12">
        <v>10</v>
      </c>
      <c r="K28" s="12" t="s">
        <v>11</v>
      </c>
      <c r="P28" s="16">
        <f t="shared" si="0"/>
        <v>0.44571428571428573</v>
      </c>
      <c r="Q28" s="19">
        <f t="shared" si="1"/>
        <v>6.8627450980392163E-2</v>
      </c>
      <c r="R28" s="19">
        <f t="shared" si="2"/>
        <v>0.93137254901960786</v>
      </c>
      <c r="S28" s="19">
        <f t="shared" si="3"/>
        <v>1</v>
      </c>
      <c r="T28" s="19">
        <f t="shared" si="4"/>
        <v>0.41512605042016809</v>
      </c>
    </row>
    <row r="29" spans="1:20" x14ac:dyDescent="0.25">
      <c r="A29" s="6">
        <v>46028</v>
      </c>
      <c r="B29" s="12">
        <v>2</v>
      </c>
      <c r="C29" s="12">
        <v>65</v>
      </c>
      <c r="D29" s="12">
        <v>20</v>
      </c>
      <c r="E29" s="12" t="s">
        <v>27</v>
      </c>
      <c r="F29" s="12">
        <v>10</v>
      </c>
      <c r="G29" s="12" t="s">
        <v>11</v>
      </c>
      <c r="H29" s="12">
        <v>15</v>
      </c>
      <c r="I29" s="12" t="s">
        <v>4</v>
      </c>
      <c r="J29" s="12">
        <v>10</v>
      </c>
      <c r="K29" s="12" t="s">
        <v>11</v>
      </c>
      <c r="P29" s="16">
        <f t="shared" si="0"/>
        <v>0.24285714285714285</v>
      </c>
      <c r="Q29" s="19">
        <f t="shared" si="1"/>
        <v>6.8627450980392163E-2</v>
      </c>
      <c r="R29" s="19">
        <f t="shared" si="2"/>
        <v>0.93137254901960786</v>
      </c>
      <c r="S29" s="19">
        <f t="shared" si="3"/>
        <v>1</v>
      </c>
      <c r="T29" s="19">
        <f t="shared" si="4"/>
        <v>0.22619047619047619</v>
      </c>
    </row>
    <row r="30" spans="1:20" x14ac:dyDescent="0.25">
      <c r="A30" s="6">
        <v>46027</v>
      </c>
      <c r="B30" s="12">
        <v>1</v>
      </c>
      <c r="C30" s="12">
        <v>190</v>
      </c>
      <c r="D30" s="12">
        <v>16</v>
      </c>
      <c r="E30" s="12" t="s">
        <v>27</v>
      </c>
      <c r="F30" s="12">
        <v>10</v>
      </c>
      <c r="G30" s="12" t="s">
        <v>11</v>
      </c>
      <c r="H30" s="12">
        <v>15</v>
      </c>
      <c r="I30" s="12" t="s">
        <v>4</v>
      </c>
      <c r="J30" s="12">
        <v>10</v>
      </c>
      <c r="K30" s="12" t="s">
        <v>11</v>
      </c>
      <c r="P30" s="16">
        <f t="shared" si="0"/>
        <v>0.58857142857142852</v>
      </c>
      <c r="Q30" s="19">
        <f t="shared" si="1"/>
        <v>6.8627450980392163E-2</v>
      </c>
      <c r="R30" s="19">
        <f t="shared" si="2"/>
        <v>0.93137254901960786</v>
      </c>
      <c r="S30" s="19">
        <f t="shared" si="3"/>
        <v>1</v>
      </c>
      <c r="T30" s="19">
        <f t="shared" si="4"/>
        <v>0.54817927170868341</v>
      </c>
    </row>
    <row r="31" spans="1:20" x14ac:dyDescent="0.25">
      <c r="P31" s="16">
        <f t="shared" si="0"/>
        <v>0</v>
      </c>
      <c r="Q31" s="19">
        <f t="shared" si="1"/>
        <v>0</v>
      </c>
      <c r="R31" s="19">
        <f t="shared" si="2"/>
        <v>1</v>
      </c>
      <c r="S31" s="19" t="e">
        <f t="shared" si="3"/>
        <v>#DIV/0!</v>
      </c>
      <c r="T31" s="19" t="e">
        <f t="shared" si="4"/>
        <v>#DIV/0!</v>
      </c>
    </row>
    <row r="32" spans="1:20" x14ac:dyDescent="0.25">
      <c r="P32" s="16">
        <f t="shared" si="0"/>
        <v>0</v>
      </c>
      <c r="Q32" s="19">
        <f t="shared" si="1"/>
        <v>0</v>
      </c>
      <c r="R32" s="19">
        <f t="shared" si="2"/>
        <v>1</v>
      </c>
      <c r="S32" s="19" t="e">
        <f t="shared" si="3"/>
        <v>#DIV/0!</v>
      </c>
      <c r="T32" s="19" t="e">
        <f t="shared" si="4"/>
        <v>#DIV/0!</v>
      </c>
    </row>
    <row r="33" spans="16:20" x14ac:dyDescent="0.25">
      <c r="P33" s="16">
        <f t="shared" si="0"/>
        <v>0</v>
      </c>
      <c r="Q33" s="19">
        <f t="shared" si="1"/>
        <v>0</v>
      </c>
      <c r="R33" s="19">
        <f t="shared" si="2"/>
        <v>1</v>
      </c>
      <c r="S33" s="19" t="e">
        <f t="shared" si="3"/>
        <v>#DIV/0!</v>
      </c>
      <c r="T33" s="19" t="e">
        <f t="shared" si="4"/>
        <v>#DIV/0!</v>
      </c>
    </row>
    <row r="34" spans="16:20" x14ac:dyDescent="0.25">
      <c r="P34" s="16">
        <f t="shared" si="0"/>
        <v>0</v>
      </c>
      <c r="Q34" s="19">
        <f t="shared" si="1"/>
        <v>0</v>
      </c>
      <c r="R34" s="19">
        <f t="shared" si="2"/>
        <v>1</v>
      </c>
      <c r="S34" s="19" t="e">
        <f t="shared" si="3"/>
        <v>#DIV/0!</v>
      </c>
      <c r="T34" s="19" t="e">
        <f t="shared" si="4"/>
        <v>#DIV/0!</v>
      </c>
    </row>
    <row r="35" spans="16:20" x14ac:dyDescent="0.25">
      <c r="P35" s="16">
        <f t="shared" si="0"/>
        <v>0</v>
      </c>
      <c r="Q35" s="19">
        <f t="shared" si="1"/>
        <v>0</v>
      </c>
      <c r="R35" s="19">
        <f t="shared" si="2"/>
        <v>1</v>
      </c>
      <c r="S35" s="19" t="e">
        <f t="shared" si="3"/>
        <v>#DIV/0!</v>
      </c>
      <c r="T35" s="19" t="e">
        <f t="shared" si="4"/>
        <v>#DIV/0!</v>
      </c>
    </row>
    <row r="36" spans="16:20" x14ac:dyDescent="0.25">
      <c r="P36" s="16">
        <f t="shared" si="0"/>
        <v>0</v>
      </c>
      <c r="Q36" s="19">
        <f t="shared" si="1"/>
        <v>0</v>
      </c>
      <c r="R36" s="19">
        <f t="shared" si="2"/>
        <v>1</v>
      </c>
      <c r="S36" s="19" t="e">
        <f t="shared" si="3"/>
        <v>#DIV/0!</v>
      </c>
      <c r="T36" s="19" t="e">
        <f t="shared" si="4"/>
        <v>#DIV/0!</v>
      </c>
    </row>
    <row r="37" spans="16:20" x14ac:dyDescent="0.25">
      <c r="P37" s="16">
        <f t="shared" si="0"/>
        <v>0</v>
      </c>
      <c r="Q37" s="19">
        <f t="shared" si="1"/>
        <v>0</v>
      </c>
      <c r="R37" s="19">
        <f t="shared" si="2"/>
        <v>1</v>
      </c>
      <c r="S37" s="19" t="e">
        <f t="shared" si="3"/>
        <v>#DIV/0!</v>
      </c>
      <c r="T37" s="19" t="e">
        <f t="shared" si="4"/>
        <v>#DIV/0!</v>
      </c>
    </row>
    <row r="38" spans="16:20" x14ac:dyDescent="0.25">
      <c r="P38" s="16">
        <f t="shared" si="0"/>
        <v>0</v>
      </c>
      <c r="Q38" s="19">
        <f t="shared" si="1"/>
        <v>0</v>
      </c>
      <c r="R38" s="19">
        <f t="shared" si="2"/>
        <v>1</v>
      </c>
      <c r="S38" s="19" t="e">
        <f t="shared" si="3"/>
        <v>#DIV/0!</v>
      </c>
      <c r="T38" s="19" t="e">
        <f t="shared" si="4"/>
        <v>#DIV/0!</v>
      </c>
    </row>
    <row r="39" spans="16:20" x14ac:dyDescent="0.25">
      <c r="P39" s="16">
        <f t="shared" si="0"/>
        <v>0</v>
      </c>
      <c r="Q39" s="19">
        <f t="shared" si="1"/>
        <v>0</v>
      </c>
      <c r="R39" s="19">
        <f t="shared" si="2"/>
        <v>1</v>
      </c>
      <c r="S39" s="19" t="e">
        <f t="shared" si="3"/>
        <v>#DIV/0!</v>
      </c>
      <c r="T39" s="19" t="e">
        <f t="shared" si="4"/>
        <v>#DIV/0!</v>
      </c>
    </row>
    <row r="40" spans="16:20" x14ac:dyDescent="0.25">
      <c r="P40" s="16">
        <f t="shared" si="0"/>
        <v>0</v>
      </c>
      <c r="Q40" s="19">
        <f t="shared" si="1"/>
        <v>0</v>
      </c>
      <c r="R40" s="19">
        <f t="shared" si="2"/>
        <v>1</v>
      </c>
      <c r="S40" s="19" t="e">
        <f t="shared" si="3"/>
        <v>#DIV/0!</v>
      </c>
      <c r="T40" s="19" t="e">
        <f t="shared" si="4"/>
        <v>#DIV/0!</v>
      </c>
    </row>
    <row r="41" spans="16:20" x14ac:dyDescent="0.25">
      <c r="P41" s="16">
        <f t="shared" si="0"/>
        <v>0</v>
      </c>
      <c r="Q41" s="19">
        <f t="shared" si="1"/>
        <v>0</v>
      </c>
      <c r="R41" s="19">
        <f t="shared" si="2"/>
        <v>1</v>
      </c>
      <c r="S41" s="19" t="e">
        <f t="shared" si="3"/>
        <v>#DIV/0!</v>
      </c>
      <c r="T41" s="19" t="e">
        <f t="shared" si="4"/>
        <v>#DIV/0!</v>
      </c>
    </row>
    <row r="42" spans="16:20" x14ac:dyDescent="0.25">
      <c r="P42" s="16">
        <f t="shared" si="0"/>
        <v>0</v>
      </c>
      <c r="Q42" s="19">
        <f t="shared" si="1"/>
        <v>0</v>
      </c>
      <c r="R42" s="19">
        <f t="shared" si="2"/>
        <v>1</v>
      </c>
      <c r="S42" s="19" t="e">
        <f t="shared" si="3"/>
        <v>#DIV/0!</v>
      </c>
      <c r="T42" s="19" t="e">
        <f t="shared" si="4"/>
        <v>#DIV/0!</v>
      </c>
    </row>
    <row r="43" spans="16:20" x14ac:dyDescent="0.25">
      <c r="P43" s="16">
        <f t="shared" si="0"/>
        <v>0</v>
      </c>
      <c r="Q43" s="19">
        <f t="shared" si="1"/>
        <v>0</v>
      </c>
      <c r="R43" s="19">
        <f t="shared" si="2"/>
        <v>1</v>
      </c>
      <c r="S43" s="19" t="e">
        <f t="shared" si="3"/>
        <v>#DIV/0!</v>
      </c>
      <c r="T43" s="19" t="e">
        <f t="shared" si="4"/>
        <v>#DIV/0!</v>
      </c>
    </row>
    <row r="44" spans="16:20" x14ac:dyDescent="0.25">
      <c r="P44" s="16">
        <f t="shared" si="0"/>
        <v>0</v>
      </c>
      <c r="Q44" s="19">
        <f t="shared" si="1"/>
        <v>0</v>
      </c>
      <c r="R44" s="19">
        <f t="shared" si="2"/>
        <v>1</v>
      </c>
      <c r="S44" s="19" t="e">
        <f t="shared" si="3"/>
        <v>#DIV/0!</v>
      </c>
      <c r="T44" s="19" t="e">
        <f t="shared" si="4"/>
        <v>#DIV/0!</v>
      </c>
    </row>
    <row r="45" spans="16:20" x14ac:dyDescent="0.25">
      <c r="P45" s="16">
        <f t="shared" si="0"/>
        <v>0</v>
      </c>
      <c r="Q45" s="19">
        <f t="shared" si="1"/>
        <v>0</v>
      </c>
      <c r="R45" s="19">
        <f t="shared" si="2"/>
        <v>1</v>
      </c>
      <c r="S45" s="19" t="e">
        <f t="shared" si="3"/>
        <v>#DIV/0!</v>
      </c>
      <c r="T45" s="19" t="e">
        <f t="shared" si="4"/>
        <v>#DIV/0!</v>
      </c>
    </row>
    <row r="46" spans="16:20" x14ac:dyDescent="0.25">
      <c r="P46" s="16">
        <f t="shared" si="0"/>
        <v>0</v>
      </c>
      <c r="Q46" s="19">
        <f t="shared" si="1"/>
        <v>0</v>
      </c>
      <c r="R46" s="19">
        <f t="shared" si="2"/>
        <v>1</v>
      </c>
      <c r="S46" s="19" t="e">
        <f t="shared" si="3"/>
        <v>#DIV/0!</v>
      </c>
      <c r="T46" s="19" t="e">
        <f t="shared" si="4"/>
        <v>#DIV/0!</v>
      </c>
    </row>
    <row r="47" spans="16:20" x14ac:dyDescent="0.25">
      <c r="P47" s="16">
        <f t="shared" si="0"/>
        <v>0</v>
      </c>
      <c r="Q47" s="19">
        <f t="shared" si="1"/>
        <v>0</v>
      </c>
      <c r="R47" s="19">
        <f t="shared" si="2"/>
        <v>1</v>
      </c>
      <c r="S47" s="19" t="e">
        <f t="shared" si="3"/>
        <v>#DIV/0!</v>
      </c>
      <c r="T47" s="19" t="e">
        <f t="shared" si="4"/>
        <v>#DIV/0!</v>
      </c>
    </row>
    <row r="48" spans="16:20" x14ac:dyDescent="0.25">
      <c r="P48" s="16">
        <f t="shared" si="0"/>
        <v>0</v>
      </c>
      <c r="Q48" s="19">
        <f t="shared" si="1"/>
        <v>0</v>
      </c>
      <c r="R48" s="19">
        <f t="shared" si="2"/>
        <v>1</v>
      </c>
      <c r="S48" s="19" t="e">
        <f t="shared" si="3"/>
        <v>#DIV/0!</v>
      </c>
      <c r="T48" s="19" t="e">
        <f t="shared" si="4"/>
        <v>#DIV/0!</v>
      </c>
    </row>
    <row r="49" spans="16:20" x14ac:dyDescent="0.25">
      <c r="P49" s="16">
        <f t="shared" si="0"/>
        <v>0</v>
      </c>
      <c r="Q49" s="19">
        <f t="shared" si="1"/>
        <v>0</v>
      </c>
      <c r="R49" s="19">
        <f t="shared" si="2"/>
        <v>1</v>
      </c>
      <c r="S49" s="19" t="e">
        <f t="shared" si="3"/>
        <v>#DIV/0!</v>
      </c>
      <c r="T49" s="19" t="e">
        <f t="shared" si="4"/>
        <v>#DIV/0!</v>
      </c>
    </row>
    <row r="50" spans="16:20" x14ac:dyDescent="0.25">
      <c r="P50" s="16">
        <f t="shared" si="0"/>
        <v>0</v>
      </c>
      <c r="Q50" s="19">
        <f t="shared" si="1"/>
        <v>0</v>
      </c>
      <c r="R50" s="19">
        <f t="shared" si="2"/>
        <v>1</v>
      </c>
      <c r="S50" s="19" t="e">
        <f t="shared" si="3"/>
        <v>#DIV/0!</v>
      </c>
      <c r="T50" s="19" t="e">
        <f t="shared" si="4"/>
        <v>#DIV/0!</v>
      </c>
    </row>
    <row r="51" spans="16:20" x14ac:dyDescent="0.25">
      <c r="P51" s="16">
        <f t="shared" si="0"/>
        <v>0</v>
      </c>
      <c r="Q51" s="19">
        <f t="shared" si="1"/>
        <v>0</v>
      </c>
      <c r="R51" s="19">
        <f t="shared" si="2"/>
        <v>1</v>
      </c>
      <c r="S51" s="19" t="e">
        <f t="shared" si="3"/>
        <v>#DIV/0!</v>
      </c>
      <c r="T51" s="19" t="e">
        <f t="shared" si="4"/>
        <v>#DIV/0!</v>
      </c>
    </row>
    <row r="52" spans="16:20" x14ac:dyDescent="0.25">
      <c r="P52" s="16">
        <f t="shared" si="0"/>
        <v>0</v>
      </c>
      <c r="Q52" s="19">
        <f t="shared" si="1"/>
        <v>0</v>
      </c>
      <c r="R52" s="19">
        <f t="shared" si="2"/>
        <v>1</v>
      </c>
      <c r="S52" s="19" t="e">
        <f t="shared" si="3"/>
        <v>#DIV/0!</v>
      </c>
      <c r="T52" s="19" t="e">
        <f t="shared" si="4"/>
        <v>#DIV/0!</v>
      </c>
    </row>
    <row r="53" spans="16:20" x14ac:dyDescent="0.25">
      <c r="P53" s="16">
        <f t="shared" si="0"/>
        <v>0</v>
      </c>
      <c r="Q53" s="19">
        <f t="shared" si="1"/>
        <v>0</v>
      </c>
      <c r="R53" s="19">
        <f t="shared" si="2"/>
        <v>1</v>
      </c>
      <c r="S53" s="19" t="e">
        <f t="shared" si="3"/>
        <v>#DIV/0!</v>
      </c>
      <c r="T53" s="19" t="e">
        <f t="shared" si="4"/>
        <v>#DIV/0!</v>
      </c>
    </row>
    <row r="54" spans="16:20" x14ac:dyDescent="0.25">
      <c r="P54" s="16">
        <f t="shared" si="0"/>
        <v>0</v>
      </c>
      <c r="Q54" s="19">
        <f t="shared" si="1"/>
        <v>0</v>
      </c>
      <c r="R54" s="19">
        <f t="shared" si="2"/>
        <v>1</v>
      </c>
      <c r="S54" s="19" t="e">
        <f t="shared" si="3"/>
        <v>#DIV/0!</v>
      </c>
      <c r="T54" s="19" t="e">
        <f t="shared" si="4"/>
        <v>#DIV/0!</v>
      </c>
    </row>
    <row r="55" spans="16:20" x14ac:dyDescent="0.25">
      <c r="P55" s="16">
        <f t="shared" si="0"/>
        <v>0</v>
      </c>
      <c r="Q55" s="19">
        <f t="shared" si="1"/>
        <v>0</v>
      </c>
      <c r="R55" s="19">
        <f t="shared" si="2"/>
        <v>1</v>
      </c>
      <c r="S55" s="19" t="e">
        <f t="shared" si="3"/>
        <v>#DIV/0!</v>
      </c>
      <c r="T55" s="19" t="e">
        <f t="shared" si="4"/>
        <v>#DIV/0!</v>
      </c>
    </row>
    <row r="56" spans="16:20" x14ac:dyDescent="0.25">
      <c r="P56" s="16">
        <f t="shared" si="0"/>
        <v>0</v>
      </c>
      <c r="Q56" s="19">
        <f t="shared" si="1"/>
        <v>0</v>
      </c>
      <c r="R56" s="19">
        <f t="shared" si="2"/>
        <v>1</v>
      </c>
      <c r="S56" s="19" t="e">
        <f t="shared" si="3"/>
        <v>#DIV/0!</v>
      </c>
      <c r="T56" s="19" t="e">
        <f t="shared" si="4"/>
        <v>#DIV/0!</v>
      </c>
    </row>
    <row r="57" spans="16:20" x14ac:dyDescent="0.25">
      <c r="P57" s="16">
        <f t="shared" si="0"/>
        <v>0</v>
      </c>
      <c r="Q57" s="19">
        <f t="shared" si="1"/>
        <v>0</v>
      </c>
      <c r="R57" s="19">
        <f t="shared" si="2"/>
        <v>1</v>
      </c>
      <c r="S57" s="19" t="e">
        <f t="shared" si="3"/>
        <v>#DIV/0!</v>
      </c>
      <c r="T57" s="19" t="e">
        <f t="shared" si="4"/>
        <v>#DIV/0!</v>
      </c>
    </row>
    <row r="58" spans="16:20" x14ac:dyDescent="0.25">
      <c r="P58" s="16">
        <f t="shared" si="0"/>
        <v>0</v>
      </c>
      <c r="Q58" s="19">
        <f t="shared" si="1"/>
        <v>0</v>
      </c>
      <c r="R58" s="19">
        <f t="shared" si="2"/>
        <v>1</v>
      </c>
      <c r="S58" s="19" t="e">
        <f t="shared" si="3"/>
        <v>#DIV/0!</v>
      </c>
      <c r="T58" s="19" t="e">
        <f t="shared" si="4"/>
        <v>#DIV/0!</v>
      </c>
    </row>
    <row r="59" spans="16:20" x14ac:dyDescent="0.25">
      <c r="P59" s="16">
        <f t="shared" si="0"/>
        <v>0</v>
      </c>
      <c r="Q59" s="19">
        <f t="shared" si="1"/>
        <v>0</v>
      </c>
      <c r="R59" s="19">
        <f t="shared" si="2"/>
        <v>1</v>
      </c>
      <c r="S59" s="19" t="e">
        <f t="shared" si="3"/>
        <v>#DIV/0!</v>
      </c>
      <c r="T59" s="19" t="e">
        <f t="shared" si="4"/>
        <v>#DIV/0!</v>
      </c>
    </row>
    <row r="60" spans="16:20" x14ac:dyDescent="0.25">
      <c r="P60" s="16">
        <f t="shared" si="0"/>
        <v>0</v>
      </c>
      <c r="Q60" s="19">
        <f t="shared" si="1"/>
        <v>0</v>
      </c>
      <c r="R60" s="19">
        <f t="shared" si="2"/>
        <v>1</v>
      </c>
      <c r="S60" s="19" t="e">
        <f t="shared" si="3"/>
        <v>#DIV/0!</v>
      </c>
      <c r="T60" s="19" t="e">
        <f t="shared" si="4"/>
        <v>#DIV/0!</v>
      </c>
    </row>
    <row r="61" spans="16:20" x14ac:dyDescent="0.25">
      <c r="P61" s="16">
        <f t="shared" si="0"/>
        <v>0</v>
      </c>
      <c r="Q61" s="19">
        <f t="shared" si="1"/>
        <v>0</v>
      </c>
      <c r="R61" s="19">
        <f t="shared" si="2"/>
        <v>1</v>
      </c>
      <c r="S61" s="19" t="e">
        <f t="shared" si="3"/>
        <v>#DIV/0!</v>
      </c>
      <c r="T61" s="19" t="e">
        <f t="shared" si="4"/>
        <v>#DIV/0!</v>
      </c>
    </row>
    <row r="62" spans="16:20" x14ac:dyDescent="0.25">
      <c r="P62" s="16">
        <f t="shared" si="0"/>
        <v>0</v>
      </c>
      <c r="Q62" s="19">
        <f t="shared" si="1"/>
        <v>0</v>
      </c>
      <c r="R62" s="19">
        <f t="shared" si="2"/>
        <v>1</v>
      </c>
      <c r="S62" s="19" t="e">
        <f t="shared" si="3"/>
        <v>#DIV/0!</v>
      </c>
      <c r="T62" s="19" t="e">
        <f t="shared" si="4"/>
        <v>#DIV/0!</v>
      </c>
    </row>
    <row r="63" spans="16:20" x14ac:dyDescent="0.25">
      <c r="P63" s="16">
        <f t="shared" si="0"/>
        <v>0</v>
      </c>
      <c r="Q63" s="19">
        <f t="shared" si="1"/>
        <v>0</v>
      </c>
      <c r="R63" s="19">
        <f t="shared" si="2"/>
        <v>1</v>
      </c>
      <c r="S63" s="19" t="e">
        <f t="shared" si="3"/>
        <v>#DIV/0!</v>
      </c>
      <c r="T63" s="19" t="e">
        <f t="shared" si="4"/>
        <v>#DIV/0!</v>
      </c>
    </row>
    <row r="64" spans="16:20" x14ac:dyDescent="0.25">
      <c r="P64" s="16">
        <f t="shared" si="0"/>
        <v>0</v>
      </c>
      <c r="Q64" s="19">
        <f t="shared" si="1"/>
        <v>0</v>
      </c>
      <c r="R64" s="19">
        <f t="shared" si="2"/>
        <v>1</v>
      </c>
      <c r="S64" s="19" t="e">
        <f t="shared" si="3"/>
        <v>#DIV/0!</v>
      </c>
      <c r="T64" s="19" t="e">
        <f t="shared" si="4"/>
        <v>#DIV/0!</v>
      </c>
    </row>
    <row r="65" spans="16:20" x14ac:dyDescent="0.25">
      <c r="P65" s="16">
        <f t="shared" si="0"/>
        <v>0</v>
      </c>
      <c r="Q65" s="19">
        <f t="shared" si="1"/>
        <v>0</v>
      </c>
      <c r="R65" s="19">
        <f t="shared" si="2"/>
        <v>1</v>
      </c>
      <c r="S65" s="19" t="e">
        <f t="shared" si="3"/>
        <v>#DIV/0!</v>
      </c>
      <c r="T65" s="19" t="e">
        <f t="shared" si="4"/>
        <v>#DIV/0!</v>
      </c>
    </row>
    <row r="66" spans="16:20" x14ac:dyDescent="0.25">
      <c r="P66" s="16">
        <f t="shared" ref="P66:P129" si="5">(C66+D66)/350</f>
        <v>0</v>
      </c>
      <c r="Q66" s="19">
        <f t="shared" ref="Q66:Q129" si="6">(F66+H66+J66+L66)/510</f>
        <v>0</v>
      </c>
      <c r="R66" s="19">
        <f t="shared" ref="R66:R129" si="7">(510-(F66+H66+J66+L66))/510</f>
        <v>1</v>
      </c>
      <c r="S66" s="19" t="e">
        <f t="shared" ref="S66:S129" si="8">(C66+D66-N66)/(C66+D66)</f>
        <v>#DIV/0!</v>
      </c>
      <c r="T66" s="19" t="e">
        <f t="shared" ref="T66:T129" si="9">P66*R66*S66</f>
        <v>#DIV/0!</v>
      </c>
    </row>
    <row r="67" spans="16:20" x14ac:dyDescent="0.25">
      <c r="P67" s="16">
        <f t="shared" si="5"/>
        <v>0</v>
      </c>
      <c r="Q67" s="19">
        <f t="shared" si="6"/>
        <v>0</v>
      </c>
      <c r="R67" s="19">
        <f t="shared" si="7"/>
        <v>1</v>
      </c>
      <c r="S67" s="19" t="e">
        <f t="shared" si="8"/>
        <v>#DIV/0!</v>
      </c>
      <c r="T67" s="19" t="e">
        <f t="shared" si="9"/>
        <v>#DIV/0!</v>
      </c>
    </row>
    <row r="68" spans="16:20" x14ac:dyDescent="0.25">
      <c r="P68" s="16">
        <f t="shared" si="5"/>
        <v>0</v>
      </c>
      <c r="Q68" s="19">
        <f t="shared" si="6"/>
        <v>0</v>
      </c>
      <c r="R68" s="19">
        <f t="shared" si="7"/>
        <v>1</v>
      </c>
      <c r="S68" s="19" t="e">
        <f t="shared" si="8"/>
        <v>#DIV/0!</v>
      </c>
      <c r="T68" s="19" t="e">
        <f t="shared" si="9"/>
        <v>#DIV/0!</v>
      </c>
    </row>
    <row r="69" spans="16:20" x14ac:dyDescent="0.25">
      <c r="P69" s="16">
        <f t="shared" si="5"/>
        <v>0</v>
      </c>
      <c r="Q69" s="19">
        <f t="shared" si="6"/>
        <v>0</v>
      </c>
      <c r="R69" s="19">
        <f t="shared" si="7"/>
        <v>1</v>
      </c>
      <c r="S69" s="19" t="e">
        <f t="shared" si="8"/>
        <v>#DIV/0!</v>
      </c>
      <c r="T69" s="19" t="e">
        <f t="shared" si="9"/>
        <v>#DIV/0!</v>
      </c>
    </row>
    <row r="70" spans="16:20" x14ac:dyDescent="0.25">
      <c r="P70" s="16">
        <f t="shared" si="5"/>
        <v>0</v>
      </c>
      <c r="Q70" s="19">
        <f t="shared" si="6"/>
        <v>0</v>
      </c>
      <c r="R70" s="19">
        <f t="shared" si="7"/>
        <v>1</v>
      </c>
      <c r="S70" s="19" t="e">
        <f t="shared" si="8"/>
        <v>#DIV/0!</v>
      </c>
      <c r="T70" s="19" t="e">
        <f t="shared" si="9"/>
        <v>#DIV/0!</v>
      </c>
    </row>
    <row r="71" spans="16:20" x14ac:dyDescent="0.25">
      <c r="P71" s="16">
        <f t="shared" si="5"/>
        <v>0</v>
      </c>
      <c r="Q71" s="19">
        <f t="shared" si="6"/>
        <v>0</v>
      </c>
      <c r="R71" s="19">
        <f t="shared" si="7"/>
        <v>1</v>
      </c>
      <c r="S71" s="19" t="e">
        <f t="shared" si="8"/>
        <v>#DIV/0!</v>
      </c>
      <c r="T71" s="19" t="e">
        <f t="shared" si="9"/>
        <v>#DIV/0!</v>
      </c>
    </row>
    <row r="72" spans="16:20" x14ac:dyDescent="0.25">
      <c r="P72" s="16">
        <f t="shared" si="5"/>
        <v>0</v>
      </c>
      <c r="Q72" s="19">
        <f t="shared" si="6"/>
        <v>0</v>
      </c>
      <c r="R72" s="19">
        <f t="shared" si="7"/>
        <v>1</v>
      </c>
      <c r="S72" s="19" t="e">
        <f t="shared" si="8"/>
        <v>#DIV/0!</v>
      </c>
      <c r="T72" s="19" t="e">
        <f t="shared" si="9"/>
        <v>#DIV/0!</v>
      </c>
    </row>
    <row r="73" spans="16:20" x14ac:dyDescent="0.25">
      <c r="P73" s="16">
        <f t="shared" si="5"/>
        <v>0</v>
      </c>
      <c r="Q73" s="19">
        <f t="shared" si="6"/>
        <v>0</v>
      </c>
      <c r="R73" s="19">
        <f t="shared" si="7"/>
        <v>1</v>
      </c>
      <c r="S73" s="19" t="e">
        <f t="shared" si="8"/>
        <v>#DIV/0!</v>
      </c>
      <c r="T73" s="19" t="e">
        <f t="shared" si="9"/>
        <v>#DIV/0!</v>
      </c>
    </row>
    <row r="74" spans="16:20" x14ac:dyDescent="0.25">
      <c r="P74" s="16">
        <f t="shared" si="5"/>
        <v>0</v>
      </c>
      <c r="Q74" s="19">
        <f t="shared" si="6"/>
        <v>0</v>
      </c>
      <c r="R74" s="19">
        <f t="shared" si="7"/>
        <v>1</v>
      </c>
      <c r="S74" s="19" t="e">
        <f t="shared" si="8"/>
        <v>#DIV/0!</v>
      </c>
      <c r="T74" s="19" t="e">
        <f t="shared" si="9"/>
        <v>#DIV/0!</v>
      </c>
    </row>
    <row r="75" spans="16:20" x14ac:dyDescent="0.25">
      <c r="P75" s="16">
        <f t="shared" si="5"/>
        <v>0</v>
      </c>
      <c r="Q75" s="19">
        <f t="shared" si="6"/>
        <v>0</v>
      </c>
      <c r="R75" s="19">
        <f t="shared" si="7"/>
        <v>1</v>
      </c>
      <c r="S75" s="19" t="e">
        <f t="shared" si="8"/>
        <v>#DIV/0!</v>
      </c>
      <c r="T75" s="19" t="e">
        <f t="shared" si="9"/>
        <v>#DIV/0!</v>
      </c>
    </row>
    <row r="76" spans="16:20" x14ac:dyDescent="0.25">
      <c r="P76" s="16">
        <f t="shared" si="5"/>
        <v>0</v>
      </c>
      <c r="Q76" s="19">
        <f t="shared" si="6"/>
        <v>0</v>
      </c>
      <c r="R76" s="19">
        <f t="shared" si="7"/>
        <v>1</v>
      </c>
      <c r="S76" s="19" t="e">
        <f t="shared" si="8"/>
        <v>#DIV/0!</v>
      </c>
      <c r="T76" s="19" t="e">
        <f t="shared" si="9"/>
        <v>#DIV/0!</v>
      </c>
    </row>
    <row r="77" spans="16:20" x14ac:dyDescent="0.25">
      <c r="P77" s="16">
        <f t="shared" si="5"/>
        <v>0</v>
      </c>
      <c r="Q77" s="19">
        <f t="shared" si="6"/>
        <v>0</v>
      </c>
      <c r="R77" s="19">
        <f t="shared" si="7"/>
        <v>1</v>
      </c>
      <c r="S77" s="19" t="e">
        <f t="shared" si="8"/>
        <v>#DIV/0!</v>
      </c>
      <c r="T77" s="19" t="e">
        <f t="shared" si="9"/>
        <v>#DIV/0!</v>
      </c>
    </row>
    <row r="78" spans="16:20" x14ac:dyDescent="0.25">
      <c r="P78" s="16">
        <f t="shared" si="5"/>
        <v>0</v>
      </c>
      <c r="Q78" s="19">
        <f t="shared" si="6"/>
        <v>0</v>
      </c>
      <c r="R78" s="19">
        <f t="shared" si="7"/>
        <v>1</v>
      </c>
      <c r="S78" s="19" t="e">
        <f t="shared" si="8"/>
        <v>#DIV/0!</v>
      </c>
      <c r="T78" s="19" t="e">
        <f t="shared" si="9"/>
        <v>#DIV/0!</v>
      </c>
    </row>
    <row r="79" spans="16:20" x14ac:dyDescent="0.25">
      <c r="P79" s="16">
        <f t="shared" si="5"/>
        <v>0</v>
      </c>
      <c r="Q79" s="19">
        <f t="shared" si="6"/>
        <v>0</v>
      </c>
      <c r="R79" s="19">
        <f t="shared" si="7"/>
        <v>1</v>
      </c>
      <c r="S79" s="19" t="e">
        <f t="shared" si="8"/>
        <v>#DIV/0!</v>
      </c>
      <c r="T79" s="19" t="e">
        <f t="shared" si="9"/>
        <v>#DIV/0!</v>
      </c>
    </row>
    <row r="80" spans="16:20" x14ac:dyDescent="0.25">
      <c r="P80" s="16">
        <f t="shared" si="5"/>
        <v>0</v>
      </c>
      <c r="Q80" s="19">
        <f t="shared" si="6"/>
        <v>0</v>
      </c>
      <c r="R80" s="19">
        <f t="shared" si="7"/>
        <v>1</v>
      </c>
      <c r="S80" s="19" t="e">
        <f t="shared" si="8"/>
        <v>#DIV/0!</v>
      </c>
      <c r="T80" s="19" t="e">
        <f t="shared" si="9"/>
        <v>#DIV/0!</v>
      </c>
    </row>
    <row r="81" spans="16:20" x14ac:dyDescent="0.25">
      <c r="P81" s="16">
        <f t="shared" si="5"/>
        <v>0</v>
      </c>
      <c r="Q81" s="19">
        <f t="shared" si="6"/>
        <v>0</v>
      </c>
      <c r="R81" s="19">
        <f t="shared" si="7"/>
        <v>1</v>
      </c>
      <c r="S81" s="19" t="e">
        <f t="shared" si="8"/>
        <v>#DIV/0!</v>
      </c>
      <c r="T81" s="19" t="e">
        <f t="shared" si="9"/>
        <v>#DIV/0!</v>
      </c>
    </row>
    <row r="82" spans="16:20" x14ac:dyDescent="0.25">
      <c r="P82" s="16">
        <f t="shared" si="5"/>
        <v>0</v>
      </c>
      <c r="Q82" s="19">
        <f t="shared" si="6"/>
        <v>0</v>
      </c>
      <c r="R82" s="19">
        <f t="shared" si="7"/>
        <v>1</v>
      </c>
      <c r="S82" s="19" t="e">
        <f t="shared" si="8"/>
        <v>#DIV/0!</v>
      </c>
      <c r="T82" s="19" t="e">
        <f t="shared" si="9"/>
        <v>#DIV/0!</v>
      </c>
    </row>
    <row r="83" spans="16:20" x14ac:dyDescent="0.25">
      <c r="P83" s="16">
        <f t="shared" si="5"/>
        <v>0</v>
      </c>
      <c r="Q83" s="19">
        <f t="shared" si="6"/>
        <v>0</v>
      </c>
      <c r="R83" s="19">
        <f t="shared" si="7"/>
        <v>1</v>
      </c>
      <c r="S83" s="19" t="e">
        <f t="shared" si="8"/>
        <v>#DIV/0!</v>
      </c>
      <c r="T83" s="19" t="e">
        <f t="shared" si="9"/>
        <v>#DIV/0!</v>
      </c>
    </row>
    <row r="84" spans="16:20" x14ac:dyDescent="0.25">
      <c r="P84" s="16">
        <f t="shared" si="5"/>
        <v>0</v>
      </c>
      <c r="Q84" s="19">
        <f t="shared" si="6"/>
        <v>0</v>
      </c>
      <c r="R84" s="19">
        <f t="shared" si="7"/>
        <v>1</v>
      </c>
      <c r="S84" s="19" t="e">
        <f t="shared" si="8"/>
        <v>#DIV/0!</v>
      </c>
      <c r="T84" s="19" t="e">
        <f t="shared" si="9"/>
        <v>#DIV/0!</v>
      </c>
    </row>
    <row r="85" spans="16:20" x14ac:dyDescent="0.25">
      <c r="P85" s="16">
        <f t="shared" si="5"/>
        <v>0</v>
      </c>
      <c r="Q85" s="19">
        <f t="shared" si="6"/>
        <v>0</v>
      </c>
      <c r="R85" s="19">
        <f t="shared" si="7"/>
        <v>1</v>
      </c>
      <c r="S85" s="19" t="e">
        <f t="shared" si="8"/>
        <v>#DIV/0!</v>
      </c>
      <c r="T85" s="19" t="e">
        <f t="shared" si="9"/>
        <v>#DIV/0!</v>
      </c>
    </row>
    <row r="86" spans="16:20" x14ac:dyDescent="0.25">
      <c r="P86" s="16">
        <f t="shared" si="5"/>
        <v>0</v>
      </c>
      <c r="Q86" s="19">
        <f t="shared" si="6"/>
        <v>0</v>
      </c>
      <c r="R86" s="19">
        <f t="shared" si="7"/>
        <v>1</v>
      </c>
      <c r="S86" s="19" t="e">
        <f t="shared" si="8"/>
        <v>#DIV/0!</v>
      </c>
      <c r="T86" s="19" t="e">
        <f t="shared" si="9"/>
        <v>#DIV/0!</v>
      </c>
    </row>
    <row r="87" spans="16:20" x14ac:dyDescent="0.25">
      <c r="P87" s="16">
        <f t="shared" si="5"/>
        <v>0</v>
      </c>
      <c r="Q87" s="19">
        <f t="shared" si="6"/>
        <v>0</v>
      </c>
      <c r="R87" s="19">
        <f t="shared" si="7"/>
        <v>1</v>
      </c>
      <c r="S87" s="19" t="e">
        <f t="shared" si="8"/>
        <v>#DIV/0!</v>
      </c>
      <c r="T87" s="19" t="e">
        <f t="shared" si="9"/>
        <v>#DIV/0!</v>
      </c>
    </row>
    <row r="88" spans="16:20" x14ac:dyDescent="0.25">
      <c r="P88" s="16">
        <f t="shared" si="5"/>
        <v>0</v>
      </c>
      <c r="Q88" s="19">
        <f t="shared" si="6"/>
        <v>0</v>
      </c>
      <c r="R88" s="19">
        <f t="shared" si="7"/>
        <v>1</v>
      </c>
      <c r="S88" s="19" t="e">
        <f t="shared" si="8"/>
        <v>#DIV/0!</v>
      </c>
      <c r="T88" s="19" t="e">
        <f t="shared" si="9"/>
        <v>#DIV/0!</v>
      </c>
    </row>
    <row r="89" spans="16:20" x14ac:dyDescent="0.25">
      <c r="P89" s="16">
        <f t="shared" si="5"/>
        <v>0</v>
      </c>
      <c r="Q89" s="19">
        <f t="shared" si="6"/>
        <v>0</v>
      </c>
      <c r="R89" s="19">
        <f t="shared" si="7"/>
        <v>1</v>
      </c>
      <c r="S89" s="19" t="e">
        <f t="shared" si="8"/>
        <v>#DIV/0!</v>
      </c>
      <c r="T89" s="19" t="e">
        <f t="shared" si="9"/>
        <v>#DIV/0!</v>
      </c>
    </row>
    <row r="90" spans="16:20" x14ac:dyDescent="0.25">
      <c r="P90" s="16">
        <f t="shared" si="5"/>
        <v>0</v>
      </c>
      <c r="Q90" s="19">
        <f t="shared" si="6"/>
        <v>0</v>
      </c>
      <c r="R90" s="19">
        <f t="shared" si="7"/>
        <v>1</v>
      </c>
      <c r="S90" s="19" t="e">
        <f t="shared" si="8"/>
        <v>#DIV/0!</v>
      </c>
      <c r="T90" s="19" t="e">
        <f t="shared" si="9"/>
        <v>#DIV/0!</v>
      </c>
    </row>
    <row r="91" spans="16:20" x14ac:dyDescent="0.25">
      <c r="P91" s="16">
        <f t="shared" si="5"/>
        <v>0</v>
      </c>
      <c r="Q91" s="19">
        <f t="shared" si="6"/>
        <v>0</v>
      </c>
      <c r="R91" s="19">
        <f t="shared" si="7"/>
        <v>1</v>
      </c>
      <c r="S91" s="19" t="e">
        <f t="shared" si="8"/>
        <v>#DIV/0!</v>
      </c>
      <c r="T91" s="19" t="e">
        <f t="shared" si="9"/>
        <v>#DIV/0!</v>
      </c>
    </row>
    <row r="92" spans="16:20" x14ac:dyDescent="0.25">
      <c r="P92" s="16">
        <f t="shared" si="5"/>
        <v>0</v>
      </c>
      <c r="Q92" s="19">
        <f t="shared" si="6"/>
        <v>0</v>
      </c>
      <c r="R92" s="19">
        <f t="shared" si="7"/>
        <v>1</v>
      </c>
      <c r="S92" s="19" t="e">
        <f t="shared" si="8"/>
        <v>#DIV/0!</v>
      </c>
      <c r="T92" s="19" t="e">
        <f t="shared" si="9"/>
        <v>#DIV/0!</v>
      </c>
    </row>
    <row r="93" spans="16:20" x14ac:dyDescent="0.25">
      <c r="P93" s="16">
        <f t="shared" si="5"/>
        <v>0</v>
      </c>
      <c r="Q93" s="19">
        <f t="shared" si="6"/>
        <v>0</v>
      </c>
      <c r="R93" s="19">
        <f t="shared" si="7"/>
        <v>1</v>
      </c>
      <c r="S93" s="19" t="e">
        <f t="shared" si="8"/>
        <v>#DIV/0!</v>
      </c>
      <c r="T93" s="19" t="e">
        <f t="shared" si="9"/>
        <v>#DIV/0!</v>
      </c>
    </row>
    <row r="94" spans="16:20" x14ac:dyDescent="0.25">
      <c r="P94" s="16">
        <f t="shared" si="5"/>
        <v>0</v>
      </c>
      <c r="Q94" s="19">
        <f t="shared" si="6"/>
        <v>0</v>
      </c>
      <c r="R94" s="19">
        <f t="shared" si="7"/>
        <v>1</v>
      </c>
      <c r="S94" s="19" t="e">
        <f t="shared" si="8"/>
        <v>#DIV/0!</v>
      </c>
      <c r="T94" s="19" t="e">
        <f t="shared" si="9"/>
        <v>#DIV/0!</v>
      </c>
    </row>
    <row r="95" spans="16:20" x14ac:dyDescent="0.25">
      <c r="P95" s="16">
        <f t="shared" si="5"/>
        <v>0</v>
      </c>
      <c r="Q95" s="19">
        <f t="shared" si="6"/>
        <v>0</v>
      </c>
      <c r="R95" s="19">
        <f t="shared" si="7"/>
        <v>1</v>
      </c>
      <c r="S95" s="19" t="e">
        <f t="shared" si="8"/>
        <v>#DIV/0!</v>
      </c>
      <c r="T95" s="19" t="e">
        <f t="shared" si="9"/>
        <v>#DIV/0!</v>
      </c>
    </row>
    <row r="96" spans="16:20" x14ac:dyDescent="0.25">
      <c r="P96" s="16">
        <f t="shared" si="5"/>
        <v>0</v>
      </c>
      <c r="Q96" s="19">
        <f t="shared" si="6"/>
        <v>0</v>
      </c>
      <c r="R96" s="19">
        <f t="shared" si="7"/>
        <v>1</v>
      </c>
      <c r="S96" s="19" t="e">
        <f t="shared" si="8"/>
        <v>#DIV/0!</v>
      </c>
      <c r="T96" s="19" t="e">
        <f t="shared" si="9"/>
        <v>#DIV/0!</v>
      </c>
    </row>
    <row r="97" spans="16:20" x14ac:dyDescent="0.25">
      <c r="P97" s="16">
        <f t="shared" si="5"/>
        <v>0</v>
      </c>
      <c r="Q97" s="19">
        <f t="shared" si="6"/>
        <v>0</v>
      </c>
      <c r="R97" s="19">
        <f t="shared" si="7"/>
        <v>1</v>
      </c>
      <c r="S97" s="19" t="e">
        <f t="shared" si="8"/>
        <v>#DIV/0!</v>
      </c>
      <c r="T97" s="19" t="e">
        <f t="shared" si="9"/>
        <v>#DIV/0!</v>
      </c>
    </row>
    <row r="98" spans="16:20" x14ac:dyDescent="0.25">
      <c r="P98" s="16">
        <f t="shared" si="5"/>
        <v>0</v>
      </c>
      <c r="Q98" s="19">
        <f t="shared" si="6"/>
        <v>0</v>
      </c>
      <c r="R98" s="19">
        <f t="shared" si="7"/>
        <v>1</v>
      </c>
      <c r="S98" s="19" t="e">
        <f t="shared" si="8"/>
        <v>#DIV/0!</v>
      </c>
      <c r="T98" s="19" t="e">
        <f t="shared" si="9"/>
        <v>#DIV/0!</v>
      </c>
    </row>
    <row r="99" spans="16:20" x14ac:dyDescent="0.25">
      <c r="P99" s="16">
        <f t="shared" si="5"/>
        <v>0</v>
      </c>
      <c r="Q99" s="19">
        <f t="shared" si="6"/>
        <v>0</v>
      </c>
      <c r="R99" s="19">
        <f t="shared" si="7"/>
        <v>1</v>
      </c>
      <c r="S99" s="19" t="e">
        <f t="shared" si="8"/>
        <v>#DIV/0!</v>
      </c>
      <c r="T99" s="19" t="e">
        <f t="shared" si="9"/>
        <v>#DIV/0!</v>
      </c>
    </row>
    <row r="100" spans="16:20" x14ac:dyDescent="0.25">
      <c r="P100" s="16">
        <f t="shared" si="5"/>
        <v>0</v>
      </c>
      <c r="Q100" s="19">
        <f t="shared" si="6"/>
        <v>0</v>
      </c>
      <c r="R100" s="19">
        <f t="shared" si="7"/>
        <v>1</v>
      </c>
      <c r="S100" s="19" t="e">
        <f t="shared" si="8"/>
        <v>#DIV/0!</v>
      </c>
      <c r="T100" s="19" t="e">
        <f t="shared" si="9"/>
        <v>#DIV/0!</v>
      </c>
    </row>
    <row r="101" spans="16:20" x14ac:dyDescent="0.25">
      <c r="P101" s="16">
        <f t="shared" si="5"/>
        <v>0</v>
      </c>
      <c r="Q101" s="19">
        <f t="shared" si="6"/>
        <v>0</v>
      </c>
      <c r="R101" s="19">
        <f t="shared" si="7"/>
        <v>1</v>
      </c>
      <c r="S101" s="19" t="e">
        <f t="shared" si="8"/>
        <v>#DIV/0!</v>
      </c>
      <c r="T101" s="19" t="e">
        <f t="shared" si="9"/>
        <v>#DIV/0!</v>
      </c>
    </row>
    <row r="102" spans="16:20" x14ac:dyDescent="0.25">
      <c r="P102" s="16">
        <f t="shared" si="5"/>
        <v>0</v>
      </c>
      <c r="Q102" s="19">
        <f t="shared" si="6"/>
        <v>0</v>
      </c>
      <c r="R102" s="19">
        <f t="shared" si="7"/>
        <v>1</v>
      </c>
      <c r="S102" s="19" t="e">
        <f t="shared" si="8"/>
        <v>#DIV/0!</v>
      </c>
      <c r="T102" s="19" t="e">
        <f t="shared" si="9"/>
        <v>#DIV/0!</v>
      </c>
    </row>
    <row r="103" spans="16:20" x14ac:dyDescent="0.25">
      <c r="P103" s="16">
        <f t="shared" si="5"/>
        <v>0</v>
      </c>
      <c r="Q103" s="19">
        <f t="shared" si="6"/>
        <v>0</v>
      </c>
      <c r="R103" s="19">
        <f t="shared" si="7"/>
        <v>1</v>
      </c>
      <c r="S103" s="19" t="e">
        <f t="shared" si="8"/>
        <v>#DIV/0!</v>
      </c>
      <c r="T103" s="19" t="e">
        <f t="shared" si="9"/>
        <v>#DIV/0!</v>
      </c>
    </row>
    <row r="104" spans="16:20" x14ac:dyDescent="0.25">
      <c r="P104" s="16">
        <f t="shared" si="5"/>
        <v>0</v>
      </c>
      <c r="Q104" s="19">
        <f t="shared" si="6"/>
        <v>0</v>
      </c>
      <c r="R104" s="19">
        <f t="shared" si="7"/>
        <v>1</v>
      </c>
      <c r="S104" s="19" t="e">
        <f t="shared" si="8"/>
        <v>#DIV/0!</v>
      </c>
      <c r="T104" s="19" t="e">
        <f t="shared" si="9"/>
        <v>#DIV/0!</v>
      </c>
    </row>
    <row r="105" spans="16:20" x14ac:dyDescent="0.25">
      <c r="P105" s="16">
        <f t="shared" si="5"/>
        <v>0</v>
      </c>
      <c r="Q105" s="19">
        <f t="shared" si="6"/>
        <v>0</v>
      </c>
      <c r="R105" s="19">
        <f t="shared" si="7"/>
        <v>1</v>
      </c>
      <c r="S105" s="19" t="e">
        <f t="shared" si="8"/>
        <v>#DIV/0!</v>
      </c>
      <c r="T105" s="19" t="e">
        <f t="shared" si="9"/>
        <v>#DIV/0!</v>
      </c>
    </row>
    <row r="106" spans="16:20" x14ac:dyDescent="0.25">
      <c r="P106" s="16">
        <f t="shared" si="5"/>
        <v>0</v>
      </c>
      <c r="Q106" s="19">
        <f t="shared" si="6"/>
        <v>0</v>
      </c>
      <c r="R106" s="19">
        <f t="shared" si="7"/>
        <v>1</v>
      </c>
      <c r="S106" s="19" t="e">
        <f t="shared" si="8"/>
        <v>#DIV/0!</v>
      </c>
      <c r="T106" s="19" t="e">
        <f t="shared" si="9"/>
        <v>#DIV/0!</v>
      </c>
    </row>
    <row r="107" spans="16:20" x14ac:dyDescent="0.25">
      <c r="P107" s="16">
        <f t="shared" si="5"/>
        <v>0</v>
      </c>
      <c r="Q107" s="19">
        <f t="shared" si="6"/>
        <v>0</v>
      </c>
      <c r="R107" s="19">
        <f t="shared" si="7"/>
        <v>1</v>
      </c>
      <c r="S107" s="19" t="e">
        <f t="shared" si="8"/>
        <v>#DIV/0!</v>
      </c>
      <c r="T107" s="19" t="e">
        <f t="shared" si="9"/>
        <v>#DIV/0!</v>
      </c>
    </row>
    <row r="108" spans="16:20" x14ac:dyDescent="0.25">
      <c r="P108" s="16">
        <f t="shared" si="5"/>
        <v>0</v>
      </c>
      <c r="Q108" s="19">
        <f t="shared" si="6"/>
        <v>0</v>
      </c>
      <c r="R108" s="19">
        <f t="shared" si="7"/>
        <v>1</v>
      </c>
      <c r="S108" s="19" t="e">
        <f t="shared" si="8"/>
        <v>#DIV/0!</v>
      </c>
      <c r="T108" s="19" t="e">
        <f t="shared" si="9"/>
        <v>#DIV/0!</v>
      </c>
    </row>
    <row r="109" spans="16:20" x14ac:dyDescent="0.25">
      <c r="P109" s="16">
        <f t="shared" si="5"/>
        <v>0</v>
      </c>
      <c r="Q109" s="19">
        <f t="shared" si="6"/>
        <v>0</v>
      </c>
      <c r="R109" s="19">
        <f t="shared" si="7"/>
        <v>1</v>
      </c>
      <c r="S109" s="19" t="e">
        <f t="shared" si="8"/>
        <v>#DIV/0!</v>
      </c>
      <c r="T109" s="19" t="e">
        <f t="shared" si="9"/>
        <v>#DIV/0!</v>
      </c>
    </row>
    <row r="110" spans="16:20" x14ac:dyDescent="0.25">
      <c r="P110" s="16">
        <f t="shared" si="5"/>
        <v>0</v>
      </c>
      <c r="Q110" s="19">
        <f t="shared" si="6"/>
        <v>0</v>
      </c>
      <c r="R110" s="19">
        <f t="shared" si="7"/>
        <v>1</v>
      </c>
      <c r="S110" s="19" t="e">
        <f t="shared" si="8"/>
        <v>#DIV/0!</v>
      </c>
      <c r="T110" s="19" t="e">
        <f t="shared" si="9"/>
        <v>#DIV/0!</v>
      </c>
    </row>
    <row r="111" spans="16:20" x14ac:dyDescent="0.25">
      <c r="P111" s="16">
        <f t="shared" si="5"/>
        <v>0</v>
      </c>
      <c r="Q111" s="19">
        <f t="shared" si="6"/>
        <v>0</v>
      </c>
      <c r="R111" s="19">
        <f t="shared" si="7"/>
        <v>1</v>
      </c>
      <c r="S111" s="19" t="e">
        <f t="shared" si="8"/>
        <v>#DIV/0!</v>
      </c>
      <c r="T111" s="19" t="e">
        <f t="shared" si="9"/>
        <v>#DIV/0!</v>
      </c>
    </row>
    <row r="112" spans="16:20" x14ac:dyDescent="0.25">
      <c r="P112" s="16">
        <f t="shared" si="5"/>
        <v>0</v>
      </c>
      <c r="Q112" s="19">
        <f t="shared" si="6"/>
        <v>0</v>
      </c>
      <c r="R112" s="19">
        <f t="shared" si="7"/>
        <v>1</v>
      </c>
      <c r="S112" s="19" t="e">
        <f t="shared" si="8"/>
        <v>#DIV/0!</v>
      </c>
      <c r="T112" s="19" t="e">
        <f t="shared" si="9"/>
        <v>#DIV/0!</v>
      </c>
    </row>
    <row r="113" spans="16:20" x14ac:dyDescent="0.25">
      <c r="P113" s="16">
        <f t="shared" si="5"/>
        <v>0</v>
      </c>
      <c r="Q113" s="19">
        <f t="shared" si="6"/>
        <v>0</v>
      </c>
      <c r="R113" s="19">
        <f t="shared" si="7"/>
        <v>1</v>
      </c>
      <c r="S113" s="19" t="e">
        <f t="shared" si="8"/>
        <v>#DIV/0!</v>
      </c>
      <c r="T113" s="19" t="e">
        <f t="shared" si="9"/>
        <v>#DIV/0!</v>
      </c>
    </row>
    <row r="114" spans="16:20" x14ac:dyDescent="0.25">
      <c r="P114" s="16">
        <f t="shared" si="5"/>
        <v>0</v>
      </c>
      <c r="Q114" s="19">
        <f t="shared" si="6"/>
        <v>0</v>
      </c>
      <c r="R114" s="19">
        <f t="shared" si="7"/>
        <v>1</v>
      </c>
      <c r="S114" s="19" t="e">
        <f t="shared" si="8"/>
        <v>#DIV/0!</v>
      </c>
      <c r="T114" s="19" t="e">
        <f t="shared" si="9"/>
        <v>#DIV/0!</v>
      </c>
    </row>
    <row r="115" spans="16:20" x14ac:dyDescent="0.25">
      <c r="P115" s="16">
        <f t="shared" si="5"/>
        <v>0</v>
      </c>
      <c r="Q115" s="19">
        <f t="shared" si="6"/>
        <v>0</v>
      </c>
      <c r="R115" s="19">
        <f t="shared" si="7"/>
        <v>1</v>
      </c>
      <c r="S115" s="19" t="e">
        <f t="shared" si="8"/>
        <v>#DIV/0!</v>
      </c>
      <c r="T115" s="19" t="e">
        <f t="shared" si="9"/>
        <v>#DIV/0!</v>
      </c>
    </row>
    <row r="116" spans="16:20" x14ac:dyDescent="0.25">
      <c r="P116" s="16">
        <f t="shared" si="5"/>
        <v>0</v>
      </c>
      <c r="Q116" s="19">
        <f t="shared" si="6"/>
        <v>0</v>
      </c>
      <c r="R116" s="19">
        <f t="shared" si="7"/>
        <v>1</v>
      </c>
      <c r="S116" s="19" t="e">
        <f t="shared" si="8"/>
        <v>#DIV/0!</v>
      </c>
      <c r="T116" s="19" t="e">
        <f t="shared" si="9"/>
        <v>#DIV/0!</v>
      </c>
    </row>
    <row r="117" spans="16:20" x14ac:dyDescent="0.25">
      <c r="P117" s="16">
        <f t="shared" si="5"/>
        <v>0</v>
      </c>
      <c r="Q117" s="19">
        <f t="shared" si="6"/>
        <v>0</v>
      </c>
      <c r="R117" s="19">
        <f t="shared" si="7"/>
        <v>1</v>
      </c>
      <c r="S117" s="19" t="e">
        <f t="shared" si="8"/>
        <v>#DIV/0!</v>
      </c>
      <c r="T117" s="19" t="e">
        <f t="shared" si="9"/>
        <v>#DIV/0!</v>
      </c>
    </row>
    <row r="118" spans="16:20" x14ac:dyDescent="0.25">
      <c r="P118" s="16">
        <f t="shared" si="5"/>
        <v>0</v>
      </c>
      <c r="Q118" s="19">
        <f t="shared" si="6"/>
        <v>0</v>
      </c>
      <c r="R118" s="19">
        <f t="shared" si="7"/>
        <v>1</v>
      </c>
      <c r="S118" s="19" t="e">
        <f t="shared" si="8"/>
        <v>#DIV/0!</v>
      </c>
      <c r="T118" s="19" t="e">
        <f t="shared" si="9"/>
        <v>#DIV/0!</v>
      </c>
    </row>
    <row r="119" spans="16:20" x14ac:dyDescent="0.25">
      <c r="P119" s="16">
        <f t="shared" si="5"/>
        <v>0</v>
      </c>
      <c r="Q119" s="19">
        <f t="shared" si="6"/>
        <v>0</v>
      </c>
      <c r="R119" s="19">
        <f t="shared" si="7"/>
        <v>1</v>
      </c>
      <c r="S119" s="19" t="e">
        <f t="shared" si="8"/>
        <v>#DIV/0!</v>
      </c>
      <c r="T119" s="19" t="e">
        <f t="shared" si="9"/>
        <v>#DIV/0!</v>
      </c>
    </row>
    <row r="120" spans="16:20" x14ac:dyDescent="0.25">
      <c r="P120" s="16">
        <f t="shared" si="5"/>
        <v>0</v>
      </c>
      <c r="Q120" s="19">
        <f t="shared" si="6"/>
        <v>0</v>
      </c>
      <c r="R120" s="19">
        <f t="shared" si="7"/>
        <v>1</v>
      </c>
      <c r="S120" s="19" t="e">
        <f t="shared" si="8"/>
        <v>#DIV/0!</v>
      </c>
      <c r="T120" s="19" t="e">
        <f t="shared" si="9"/>
        <v>#DIV/0!</v>
      </c>
    </row>
    <row r="121" spans="16:20" x14ac:dyDescent="0.25">
      <c r="P121" s="16">
        <f t="shared" si="5"/>
        <v>0</v>
      </c>
      <c r="Q121" s="19">
        <f t="shared" si="6"/>
        <v>0</v>
      </c>
      <c r="R121" s="19">
        <f t="shared" si="7"/>
        <v>1</v>
      </c>
      <c r="S121" s="19" t="e">
        <f t="shared" si="8"/>
        <v>#DIV/0!</v>
      </c>
      <c r="T121" s="19" t="e">
        <f t="shared" si="9"/>
        <v>#DIV/0!</v>
      </c>
    </row>
    <row r="122" spans="16:20" x14ac:dyDescent="0.25">
      <c r="P122" s="16">
        <f t="shared" si="5"/>
        <v>0</v>
      </c>
      <c r="Q122" s="19">
        <f t="shared" si="6"/>
        <v>0</v>
      </c>
      <c r="R122" s="19">
        <f t="shared" si="7"/>
        <v>1</v>
      </c>
      <c r="S122" s="19" t="e">
        <f t="shared" si="8"/>
        <v>#DIV/0!</v>
      </c>
      <c r="T122" s="19" t="e">
        <f t="shared" si="9"/>
        <v>#DIV/0!</v>
      </c>
    </row>
    <row r="123" spans="16:20" x14ac:dyDescent="0.25">
      <c r="P123" s="16">
        <f t="shared" si="5"/>
        <v>0</v>
      </c>
      <c r="Q123" s="19">
        <f t="shared" si="6"/>
        <v>0</v>
      </c>
      <c r="R123" s="19">
        <f t="shared" si="7"/>
        <v>1</v>
      </c>
      <c r="S123" s="19" t="e">
        <f t="shared" si="8"/>
        <v>#DIV/0!</v>
      </c>
      <c r="T123" s="19" t="e">
        <f t="shared" si="9"/>
        <v>#DIV/0!</v>
      </c>
    </row>
    <row r="124" spans="16:20" x14ac:dyDescent="0.25">
      <c r="P124" s="16">
        <f t="shared" si="5"/>
        <v>0</v>
      </c>
      <c r="Q124" s="19">
        <f t="shared" si="6"/>
        <v>0</v>
      </c>
      <c r="R124" s="19">
        <f t="shared" si="7"/>
        <v>1</v>
      </c>
      <c r="S124" s="19" t="e">
        <f t="shared" si="8"/>
        <v>#DIV/0!</v>
      </c>
      <c r="T124" s="19" t="e">
        <f t="shared" si="9"/>
        <v>#DIV/0!</v>
      </c>
    </row>
    <row r="125" spans="16:20" x14ac:dyDescent="0.25">
      <c r="P125" s="16">
        <f t="shared" si="5"/>
        <v>0</v>
      </c>
      <c r="Q125" s="19">
        <f t="shared" si="6"/>
        <v>0</v>
      </c>
      <c r="R125" s="19">
        <f t="shared" si="7"/>
        <v>1</v>
      </c>
      <c r="S125" s="19" t="e">
        <f t="shared" si="8"/>
        <v>#DIV/0!</v>
      </c>
      <c r="T125" s="19" t="e">
        <f t="shared" si="9"/>
        <v>#DIV/0!</v>
      </c>
    </row>
    <row r="126" spans="16:20" x14ac:dyDescent="0.25">
      <c r="P126" s="16">
        <f t="shared" si="5"/>
        <v>0</v>
      </c>
      <c r="Q126" s="19">
        <f t="shared" si="6"/>
        <v>0</v>
      </c>
      <c r="R126" s="19">
        <f t="shared" si="7"/>
        <v>1</v>
      </c>
      <c r="S126" s="19" t="e">
        <f t="shared" si="8"/>
        <v>#DIV/0!</v>
      </c>
      <c r="T126" s="19" t="e">
        <f t="shared" si="9"/>
        <v>#DIV/0!</v>
      </c>
    </row>
    <row r="127" spans="16:20" x14ac:dyDescent="0.25">
      <c r="P127" s="16">
        <f t="shared" si="5"/>
        <v>0</v>
      </c>
      <c r="Q127" s="19">
        <f t="shared" si="6"/>
        <v>0</v>
      </c>
      <c r="R127" s="19">
        <f t="shared" si="7"/>
        <v>1</v>
      </c>
      <c r="S127" s="19" t="e">
        <f t="shared" si="8"/>
        <v>#DIV/0!</v>
      </c>
      <c r="T127" s="19" t="e">
        <f t="shared" si="9"/>
        <v>#DIV/0!</v>
      </c>
    </row>
    <row r="128" spans="16:20" x14ac:dyDescent="0.25">
      <c r="P128" s="16">
        <f t="shared" si="5"/>
        <v>0</v>
      </c>
      <c r="Q128" s="19">
        <f t="shared" si="6"/>
        <v>0</v>
      </c>
      <c r="R128" s="19">
        <f t="shared" si="7"/>
        <v>1</v>
      </c>
      <c r="S128" s="19" t="e">
        <f t="shared" si="8"/>
        <v>#DIV/0!</v>
      </c>
      <c r="T128" s="19" t="e">
        <f t="shared" si="9"/>
        <v>#DIV/0!</v>
      </c>
    </row>
    <row r="129" spans="16:20" x14ac:dyDescent="0.25">
      <c r="P129" s="16">
        <f t="shared" si="5"/>
        <v>0</v>
      </c>
      <c r="Q129" s="19">
        <f t="shared" si="6"/>
        <v>0</v>
      </c>
      <c r="R129" s="19">
        <f t="shared" si="7"/>
        <v>1</v>
      </c>
      <c r="S129" s="19" t="e">
        <f t="shared" si="8"/>
        <v>#DIV/0!</v>
      </c>
      <c r="T129" s="19" t="e">
        <f t="shared" si="9"/>
        <v>#DIV/0!</v>
      </c>
    </row>
    <row r="130" spans="16:20" x14ac:dyDescent="0.25">
      <c r="P130" s="16">
        <f t="shared" ref="P130:P193" si="10">(C130+D130)/350</f>
        <v>0</v>
      </c>
      <c r="Q130" s="19">
        <f t="shared" ref="Q130:Q193" si="11">(F130+H130+J130+L130)/510</f>
        <v>0</v>
      </c>
      <c r="R130" s="19">
        <f t="shared" ref="R130:R193" si="12">(510-(F130+H130+J130+L130))/510</f>
        <v>1</v>
      </c>
      <c r="S130" s="19" t="e">
        <f t="shared" ref="S130:S193" si="13">(C130+D130-N130)/(C130+D130)</f>
        <v>#DIV/0!</v>
      </c>
      <c r="T130" s="19" t="e">
        <f t="shared" ref="T130:T193" si="14">P130*R130*S130</f>
        <v>#DIV/0!</v>
      </c>
    </row>
    <row r="131" spans="16:20" x14ac:dyDescent="0.25">
      <c r="P131" s="16">
        <f t="shared" si="10"/>
        <v>0</v>
      </c>
      <c r="Q131" s="19">
        <f t="shared" si="11"/>
        <v>0</v>
      </c>
      <c r="R131" s="19">
        <f t="shared" si="12"/>
        <v>1</v>
      </c>
      <c r="S131" s="19" t="e">
        <f t="shared" si="13"/>
        <v>#DIV/0!</v>
      </c>
      <c r="T131" s="19" t="e">
        <f t="shared" si="14"/>
        <v>#DIV/0!</v>
      </c>
    </row>
    <row r="132" spans="16:20" x14ac:dyDescent="0.25">
      <c r="P132" s="16">
        <f t="shared" si="10"/>
        <v>0</v>
      </c>
      <c r="Q132" s="19">
        <f t="shared" si="11"/>
        <v>0</v>
      </c>
      <c r="R132" s="19">
        <f t="shared" si="12"/>
        <v>1</v>
      </c>
      <c r="S132" s="19" t="e">
        <f t="shared" si="13"/>
        <v>#DIV/0!</v>
      </c>
      <c r="T132" s="19" t="e">
        <f t="shared" si="14"/>
        <v>#DIV/0!</v>
      </c>
    </row>
    <row r="133" spans="16:20" x14ac:dyDescent="0.25">
      <c r="P133" s="16">
        <f t="shared" si="10"/>
        <v>0</v>
      </c>
      <c r="Q133" s="19">
        <f t="shared" si="11"/>
        <v>0</v>
      </c>
      <c r="R133" s="19">
        <f t="shared" si="12"/>
        <v>1</v>
      </c>
      <c r="S133" s="19" t="e">
        <f t="shared" si="13"/>
        <v>#DIV/0!</v>
      </c>
      <c r="T133" s="19" t="e">
        <f t="shared" si="14"/>
        <v>#DIV/0!</v>
      </c>
    </row>
    <row r="134" spans="16:20" x14ac:dyDescent="0.25">
      <c r="P134" s="16">
        <f t="shared" si="10"/>
        <v>0</v>
      </c>
      <c r="Q134" s="19">
        <f t="shared" si="11"/>
        <v>0</v>
      </c>
      <c r="R134" s="19">
        <f t="shared" si="12"/>
        <v>1</v>
      </c>
      <c r="S134" s="19" t="e">
        <f t="shared" si="13"/>
        <v>#DIV/0!</v>
      </c>
      <c r="T134" s="19" t="e">
        <f t="shared" si="14"/>
        <v>#DIV/0!</v>
      </c>
    </row>
    <row r="135" spans="16:20" x14ac:dyDescent="0.25">
      <c r="P135" s="16">
        <f t="shared" si="10"/>
        <v>0</v>
      </c>
      <c r="Q135" s="19">
        <f t="shared" si="11"/>
        <v>0</v>
      </c>
      <c r="R135" s="19">
        <f t="shared" si="12"/>
        <v>1</v>
      </c>
      <c r="S135" s="19" t="e">
        <f t="shared" si="13"/>
        <v>#DIV/0!</v>
      </c>
      <c r="T135" s="19" t="e">
        <f t="shared" si="14"/>
        <v>#DIV/0!</v>
      </c>
    </row>
    <row r="136" spans="16:20" x14ac:dyDescent="0.25">
      <c r="P136" s="16">
        <f t="shared" si="10"/>
        <v>0</v>
      </c>
      <c r="Q136" s="19">
        <f t="shared" si="11"/>
        <v>0</v>
      </c>
      <c r="R136" s="19">
        <f t="shared" si="12"/>
        <v>1</v>
      </c>
      <c r="S136" s="19" t="e">
        <f t="shared" si="13"/>
        <v>#DIV/0!</v>
      </c>
      <c r="T136" s="19" t="e">
        <f t="shared" si="14"/>
        <v>#DIV/0!</v>
      </c>
    </row>
    <row r="137" spans="16:20" x14ac:dyDescent="0.25">
      <c r="P137" s="16">
        <f t="shared" si="10"/>
        <v>0</v>
      </c>
      <c r="Q137" s="19">
        <f t="shared" si="11"/>
        <v>0</v>
      </c>
      <c r="R137" s="19">
        <f t="shared" si="12"/>
        <v>1</v>
      </c>
      <c r="S137" s="19" t="e">
        <f t="shared" si="13"/>
        <v>#DIV/0!</v>
      </c>
      <c r="T137" s="19" t="e">
        <f t="shared" si="14"/>
        <v>#DIV/0!</v>
      </c>
    </row>
    <row r="138" spans="16:20" x14ac:dyDescent="0.25">
      <c r="P138" s="16">
        <f t="shared" si="10"/>
        <v>0</v>
      </c>
      <c r="Q138" s="19">
        <f t="shared" si="11"/>
        <v>0</v>
      </c>
      <c r="R138" s="19">
        <f t="shared" si="12"/>
        <v>1</v>
      </c>
      <c r="S138" s="19" t="e">
        <f t="shared" si="13"/>
        <v>#DIV/0!</v>
      </c>
      <c r="T138" s="19" t="e">
        <f t="shared" si="14"/>
        <v>#DIV/0!</v>
      </c>
    </row>
    <row r="139" spans="16:20" x14ac:dyDescent="0.25">
      <c r="P139" s="16">
        <f t="shared" si="10"/>
        <v>0</v>
      </c>
      <c r="Q139" s="19">
        <f t="shared" si="11"/>
        <v>0</v>
      </c>
      <c r="R139" s="19">
        <f t="shared" si="12"/>
        <v>1</v>
      </c>
      <c r="S139" s="19" t="e">
        <f t="shared" si="13"/>
        <v>#DIV/0!</v>
      </c>
      <c r="T139" s="19" t="e">
        <f t="shared" si="14"/>
        <v>#DIV/0!</v>
      </c>
    </row>
    <row r="140" spans="16:20" x14ac:dyDescent="0.25">
      <c r="P140" s="16">
        <f t="shared" si="10"/>
        <v>0</v>
      </c>
      <c r="Q140" s="19">
        <f t="shared" si="11"/>
        <v>0</v>
      </c>
      <c r="R140" s="19">
        <f t="shared" si="12"/>
        <v>1</v>
      </c>
      <c r="S140" s="19" t="e">
        <f t="shared" si="13"/>
        <v>#DIV/0!</v>
      </c>
      <c r="T140" s="19" t="e">
        <f t="shared" si="14"/>
        <v>#DIV/0!</v>
      </c>
    </row>
    <row r="141" spans="16:20" x14ac:dyDescent="0.25">
      <c r="P141" s="16">
        <f t="shared" si="10"/>
        <v>0</v>
      </c>
      <c r="Q141" s="19">
        <f t="shared" si="11"/>
        <v>0</v>
      </c>
      <c r="R141" s="19">
        <f t="shared" si="12"/>
        <v>1</v>
      </c>
      <c r="S141" s="19" t="e">
        <f t="shared" si="13"/>
        <v>#DIV/0!</v>
      </c>
      <c r="T141" s="19" t="e">
        <f t="shared" si="14"/>
        <v>#DIV/0!</v>
      </c>
    </row>
    <row r="142" spans="16:20" x14ac:dyDescent="0.25">
      <c r="P142" s="16">
        <f t="shared" si="10"/>
        <v>0</v>
      </c>
      <c r="Q142" s="19">
        <f t="shared" si="11"/>
        <v>0</v>
      </c>
      <c r="R142" s="19">
        <f t="shared" si="12"/>
        <v>1</v>
      </c>
      <c r="S142" s="19" t="e">
        <f t="shared" si="13"/>
        <v>#DIV/0!</v>
      </c>
      <c r="T142" s="19" t="e">
        <f t="shared" si="14"/>
        <v>#DIV/0!</v>
      </c>
    </row>
    <row r="143" spans="16:20" x14ac:dyDescent="0.25">
      <c r="P143" s="16">
        <f t="shared" si="10"/>
        <v>0</v>
      </c>
      <c r="Q143" s="19">
        <f t="shared" si="11"/>
        <v>0</v>
      </c>
      <c r="R143" s="19">
        <f t="shared" si="12"/>
        <v>1</v>
      </c>
      <c r="S143" s="19" t="e">
        <f t="shared" si="13"/>
        <v>#DIV/0!</v>
      </c>
      <c r="T143" s="19" t="e">
        <f t="shared" si="14"/>
        <v>#DIV/0!</v>
      </c>
    </row>
    <row r="144" spans="16:20" x14ac:dyDescent="0.25">
      <c r="P144" s="16">
        <f t="shared" si="10"/>
        <v>0</v>
      </c>
      <c r="Q144" s="19">
        <f t="shared" si="11"/>
        <v>0</v>
      </c>
      <c r="R144" s="19">
        <f t="shared" si="12"/>
        <v>1</v>
      </c>
      <c r="S144" s="19" t="e">
        <f t="shared" si="13"/>
        <v>#DIV/0!</v>
      </c>
      <c r="T144" s="19" t="e">
        <f t="shared" si="14"/>
        <v>#DIV/0!</v>
      </c>
    </row>
    <row r="145" spans="16:20" x14ac:dyDescent="0.25">
      <c r="P145" s="16">
        <f t="shared" si="10"/>
        <v>0</v>
      </c>
      <c r="Q145" s="19">
        <f t="shared" si="11"/>
        <v>0</v>
      </c>
      <c r="R145" s="19">
        <f t="shared" si="12"/>
        <v>1</v>
      </c>
      <c r="S145" s="19" t="e">
        <f t="shared" si="13"/>
        <v>#DIV/0!</v>
      </c>
      <c r="T145" s="19" t="e">
        <f t="shared" si="14"/>
        <v>#DIV/0!</v>
      </c>
    </row>
    <row r="146" spans="16:20" x14ac:dyDescent="0.25">
      <c r="P146" s="16">
        <f t="shared" si="10"/>
        <v>0</v>
      </c>
      <c r="Q146" s="19">
        <f t="shared" si="11"/>
        <v>0</v>
      </c>
      <c r="R146" s="19">
        <f t="shared" si="12"/>
        <v>1</v>
      </c>
      <c r="S146" s="19" t="e">
        <f t="shared" si="13"/>
        <v>#DIV/0!</v>
      </c>
      <c r="T146" s="19" t="e">
        <f t="shared" si="14"/>
        <v>#DIV/0!</v>
      </c>
    </row>
    <row r="147" spans="16:20" x14ac:dyDescent="0.25">
      <c r="P147" s="16">
        <f t="shared" si="10"/>
        <v>0</v>
      </c>
      <c r="Q147" s="19">
        <f t="shared" si="11"/>
        <v>0</v>
      </c>
      <c r="R147" s="19">
        <f t="shared" si="12"/>
        <v>1</v>
      </c>
      <c r="S147" s="19" t="e">
        <f t="shared" si="13"/>
        <v>#DIV/0!</v>
      </c>
      <c r="T147" s="19" t="e">
        <f t="shared" si="14"/>
        <v>#DIV/0!</v>
      </c>
    </row>
    <row r="148" spans="16:20" x14ac:dyDescent="0.25">
      <c r="P148" s="16">
        <f t="shared" si="10"/>
        <v>0</v>
      </c>
      <c r="Q148" s="19">
        <f t="shared" si="11"/>
        <v>0</v>
      </c>
      <c r="R148" s="19">
        <f t="shared" si="12"/>
        <v>1</v>
      </c>
      <c r="S148" s="19" t="e">
        <f t="shared" si="13"/>
        <v>#DIV/0!</v>
      </c>
      <c r="T148" s="19" t="e">
        <f t="shared" si="14"/>
        <v>#DIV/0!</v>
      </c>
    </row>
    <row r="149" spans="16:20" x14ac:dyDescent="0.25">
      <c r="P149" s="16">
        <f t="shared" si="10"/>
        <v>0</v>
      </c>
      <c r="Q149" s="19">
        <f t="shared" si="11"/>
        <v>0</v>
      </c>
      <c r="R149" s="19">
        <f t="shared" si="12"/>
        <v>1</v>
      </c>
      <c r="S149" s="19" t="e">
        <f t="shared" si="13"/>
        <v>#DIV/0!</v>
      </c>
      <c r="T149" s="19" t="e">
        <f t="shared" si="14"/>
        <v>#DIV/0!</v>
      </c>
    </row>
    <row r="150" spans="16:20" x14ac:dyDescent="0.25">
      <c r="P150" s="16">
        <f t="shared" si="10"/>
        <v>0</v>
      </c>
      <c r="Q150" s="19">
        <f t="shared" si="11"/>
        <v>0</v>
      </c>
      <c r="R150" s="19">
        <f t="shared" si="12"/>
        <v>1</v>
      </c>
      <c r="S150" s="19" t="e">
        <f t="shared" si="13"/>
        <v>#DIV/0!</v>
      </c>
      <c r="T150" s="19" t="e">
        <f t="shared" si="14"/>
        <v>#DIV/0!</v>
      </c>
    </row>
    <row r="151" spans="16:20" x14ac:dyDescent="0.25">
      <c r="P151" s="16">
        <f t="shared" si="10"/>
        <v>0</v>
      </c>
      <c r="Q151" s="19">
        <f t="shared" si="11"/>
        <v>0</v>
      </c>
      <c r="R151" s="19">
        <f t="shared" si="12"/>
        <v>1</v>
      </c>
      <c r="S151" s="19" t="e">
        <f t="shared" si="13"/>
        <v>#DIV/0!</v>
      </c>
      <c r="T151" s="19" t="e">
        <f t="shared" si="14"/>
        <v>#DIV/0!</v>
      </c>
    </row>
    <row r="152" spans="16:20" x14ac:dyDescent="0.25">
      <c r="P152" s="16">
        <f t="shared" si="10"/>
        <v>0</v>
      </c>
      <c r="Q152" s="19">
        <f t="shared" si="11"/>
        <v>0</v>
      </c>
      <c r="R152" s="19">
        <f t="shared" si="12"/>
        <v>1</v>
      </c>
      <c r="S152" s="19" t="e">
        <f t="shared" si="13"/>
        <v>#DIV/0!</v>
      </c>
      <c r="T152" s="19" t="e">
        <f t="shared" si="14"/>
        <v>#DIV/0!</v>
      </c>
    </row>
    <row r="153" spans="16:20" x14ac:dyDescent="0.25">
      <c r="P153" s="16">
        <f t="shared" si="10"/>
        <v>0</v>
      </c>
      <c r="Q153" s="19">
        <f t="shared" si="11"/>
        <v>0</v>
      </c>
      <c r="R153" s="19">
        <f t="shared" si="12"/>
        <v>1</v>
      </c>
      <c r="S153" s="19" t="e">
        <f t="shared" si="13"/>
        <v>#DIV/0!</v>
      </c>
      <c r="T153" s="19" t="e">
        <f t="shared" si="14"/>
        <v>#DIV/0!</v>
      </c>
    </row>
    <row r="154" spans="16:20" x14ac:dyDescent="0.25">
      <c r="P154" s="16">
        <f t="shared" si="10"/>
        <v>0</v>
      </c>
      <c r="Q154" s="19">
        <f t="shared" si="11"/>
        <v>0</v>
      </c>
      <c r="R154" s="19">
        <f t="shared" si="12"/>
        <v>1</v>
      </c>
      <c r="S154" s="19" t="e">
        <f t="shared" si="13"/>
        <v>#DIV/0!</v>
      </c>
      <c r="T154" s="19" t="e">
        <f t="shared" si="14"/>
        <v>#DIV/0!</v>
      </c>
    </row>
    <row r="155" spans="16:20" x14ac:dyDescent="0.25">
      <c r="P155" s="16">
        <f t="shared" si="10"/>
        <v>0</v>
      </c>
      <c r="Q155" s="19">
        <f t="shared" si="11"/>
        <v>0</v>
      </c>
      <c r="R155" s="19">
        <f t="shared" si="12"/>
        <v>1</v>
      </c>
      <c r="S155" s="19" t="e">
        <f t="shared" si="13"/>
        <v>#DIV/0!</v>
      </c>
      <c r="T155" s="19" t="e">
        <f t="shared" si="14"/>
        <v>#DIV/0!</v>
      </c>
    </row>
    <row r="156" spans="16:20" x14ac:dyDescent="0.25">
      <c r="P156" s="16">
        <f t="shared" si="10"/>
        <v>0</v>
      </c>
      <c r="Q156" s="19">
        <f t="shared" si="11"/>
        <v>0</v>
      </c>
      <c r="R156" s="19">
        <f t="shared" si="12"/>
        <v>1</v>
      </c>
      <c r="S156" s="19" t="e">
        <f t="shared" si="13"/>
        <v>#DIV/0!</v>
      </c>
      <c r="T156" s="19" t="e">
        <f t="shared" si="14"/>
        <v>#DIV/0!</v>
      </c>
    </row>
    <row r="157" spans="16:20" x14ac:dyDescent="0.25">
      <c r="P157" s="16">
        <f t="shared" si="10"/>
        <v>0</v>
      </c>
      <c r="Q157" s="19">
        <f t="shared" si="11"/>
        <v>0</v>
      </c>
      <c r="R157" s="19">
        <f t="shared" si="12"/>
        <v>1</v>
      </c>
      <c r="S157" s="19" t="e">
        <f t="shared" si="13"/>
        <v>#DIV/0!</v>
      </c>
      <c r="T157" s="19" t="e">
        <f t="shared" si="14"/>
        <v>#DIV/0!</v>
      </c>
    </row>
    <row r="158" spans="16:20" x14ac:dyDescent="0.25">
      <c r="P158" s="16">
        <f t="shared" si="10"/>
        <v>0</v>
      </c>
      <c r="Q158" s="19">
        <f t="shared" si="11"/>
        <v>0</v>
      </c>
      <c r="R158" s="19">
        <f t="shared" si="12"/>
        <v>1</v>
      </c>
      <c r="S158" s="19" t="e">
        <f t="shared" si="13"/>
        <v>#DIV/0!</v>
      </c>
      <c r="T158" s="19" t="e">
        <f t="shared" si="14"/>
        <v>#DIV/0!</v>
      </c>
    </row>
    <row r="159" spans="16:20" x14ac:dyDescent="0.25">
      <c r="P159" s="16">
        <f t="shared" si="10"/>
        <v>0</v>
      </c>
      <c r="Q159" s="19">
        <f t="shared" si="11"/>
        <v>0</v>
      </c>
      <c r="R159" s="19">
        <f t="shared" si="12"/>
        <v>1</v>
      </c>
      <c r="S159" s="19" t="e">
        <f t="shared" si="13"/>
        <v>#DIV/0!</v>
      </c>
      <c r="T159" s="19" t="e">
        <f t="shared" si="14"/>
        <v>#DIV/0!</v>
      </c>
    </row>
    <row r="160" spans="16:20" x14ac:dyDescent="0.25">
      <c r="P160" s="16">
        <f t="shared" si="10"/>
        <v>0</v>
      </c>
      <c r="Q160" s="19">
        <f t="shared" si="11"/>
        <v>0</v>
      </c>
      <c r="R160" s="19">
        <f t="shared" si="12"/>
        <v>1</v>
      </c>
      <c r="S160" s="19" t="e">
        <f t="shared" si="13"/>
        <v>#DIV/0!</v>
      </c>
      <c r="T160" s="19" t="e">
        <f t="shared" si="14"/>
        <v>#DIV/0!</v>
      </c>
    </row>
    <row r="161" spans="16:20" x14ac:dyDescent="0.25">
      <c r="P161" s="16">
        <f t="shared" si="10"/>
        <v>0</v>
      </c>
      <c r="Q161" s="19">
        <f t="shared" si="11"/>
        <v>0</v>
      </c>
      <c r="R161" s="19">
        <f t="shared" si="12"/>
        <v>1</v>
      </c>
      <c r="S161" s="19" t="e">
        <f t="shared" si="13"/>
        <v>#DIV/0!</v>
      </c>
      <c r="T161" s="19" t="e">
        <f t="shared" si="14"/>
        <v>#DIV/0!</v>
      </c>
    </row>
    <row r="162" spans="16:20" x14ac:dyDescent="0.25">
      <c r="P162" s="16">
        <f t="shared" si="10"/>
        <v>0</v>
      </c>
      <c r="Q162" s="19">
        <f t="shared" si="11"/>
        <v>0</v>
      </c>
      <c r="R162" s="19">
        <f t="shared" si="12"/>
        <v>1</v>
      </c>
      <c r="S162" s="19" t="e">
        <f t="shared" si="13"/>
        <v>#DIV/0!</v>
      </c>
      <c r="T162" s="19" t="e">
        <f t="shared" si="14"/>
        <v>#DIV/0!</v>
      </c>
    </row>
    <row r="163" spans="16:20" x14ac:dyDescent="0.25">
      <c r="P163" s="16">
        <f t="shared" si="10"/>
        <v>0</v>
      </c>
      <c r="Q163" s="19">
        <f t="shared" si="11"/>
        <v>0</v>
      </c>
      <c r="R163" s="19">
        <f t="shared" si="12"/>
        <v>1</v>
      </c>
      <c r="S163" s="19" t="e">
        <f t="shared" si="13"/>
        <v>#DIV/0!</v>
      </c>
      <c r="T163" s="19" t="e">
        <f t="shared" si="14"/>
        <v>#DIV/0!</v>
      </c>
    </row>
    <row r="164" spans="16:20" x14ac:dyDescent="0.25">
      <c r="P164" s="16">
        <f t="shared" si="10"/>
        <v>0</v>
      </c>
      <c r="Q164" s="19">
        <f t="shared" si="11"/>
        <v>0</v>
      </c>
      <c r="R164" s="19">
        <f t="shared" si="12"/>
        <v>1</v>
      </c>
      <c r="S164" s="19" t="e">
        <f t="shared" si="13"/>
        <v>#DIV/0!</v>
      </c>
      <c r="T164" s="19" t="e">
        <f t="shared" si="14"/>
        <v>#DIV/0!</v>
      </c>
    </row>
    <row r="165" spans="16:20" x14ac:dyDescent="0.25">
      <c r="P165" s="16">
        <f t="shared" si="10"/>
        <v>0</v>
      </c>
      <c r="Q165" s="19">
        <f t="shared" si="11"/>
        <v>0</v>
      </c>
      <c r="R165" s="19">
        <f t="shared" si="12"/>
        <v>1</v>
      </c>
      <c r="S165" s="19" t="e">
        <f t="shared" si="13"/>
        <v>#DIV/0!</v>
      </c>
      <c r="T165" s="19" t="e">
        <f t="shared" si="14"/>
        <v>#DIV/0!</v>
      </c>
    </row>
    <row r="166" spans="16:20" x14ac:dyDescent="0.25">
      <c r="P166" s="16">
        <f t="shared" si="10"/>
        <v>0</v>
      </c>
      <c r="Q166" s="19">
        <f t="shared" si="11"/>
        <v>0</v>
      </c>
      <c r="R166" s="19">
        <f t="shared" si="12"/>
        <v>1</v>
      </c>
      <c r="S166" s="19" t="e">
        <f t="shared" si="13"/>
        <v>#DIV/0!</v>
      </c>
      <c r="T166" s="19" t="e">
        <f t="shared" si="14"/>
        <v>#DIV/0!</v>
      </c>
    </row>
    <row r="167" spans="16:20" x14ac:dyDescent="0.25">
      <c r="P167" s="16">
        <f t="shared" si="10"/>
        <v>0</v>
      </c>
      <c r="Q167" s="19">
        <f t="shared" si="11"/>
        <v>0</v>
      </c>
      <c r="R167" s="19">
        <f t="shared" si="12"/>
        <v>1</v>
      </c>
      <c r="S167" s="19" t="e">
        <f t="shared" si="13"/>
        <v>#DIV/0!</v>
      </c>
      <c r="T167" s="19" t="e">
        <f t="shared" si="14"/>
        <v>#DIV/0!</v>
      </c>
    </row>
    <row r="168" spans="16:20" x14ac:dyDescent="0.25">
      <c r="P168" s="16">
        <f t="shared" si="10"/>
        <v>0</v>
      </c>
      <c r="Q168" s="19">
        <f t="shared" si="11"/>
        <v>0</v>
      </c>
      <c r="R168" s="19">
        <f t="shared" si="12"/>
        <v>1</v>
      </c>
      <c r="S168" s="19" t="e">
        <f t="shared" si="13"/>
        <v>#DIV/0!</v>
      </c>
      <c r="T168" s="19" t="e">
        <f t="shared" si="14"/>
        <v>#DIV/0!</v>
      </c>
    </row>
    <row r="169" spans="16:20" x14ac:dyDescent="0.25">
      <c r="P169" s="16">
        <f t="shared" si="10"/>
        <v>0</v>
      </c>
      <c r="Q169" s="19">
        <f t="shared" si="11"/>
        <v>0</v>
      </c>
      <c r="R169" s="19">
        <f t="shared" si="12"/>
        <v>1</v>
      </c>
      <c r="S169" s="19" t="e">
        <f t="shared" si="13"/>
        <v>#DIV/0!</v>
      </c>
      <c r="T169" s="19" t="e">
        <f t="shared" si="14"/>
        <v>#DIV/0!</v>
      </c>
    </row>
    <row r="170" spans="16:20" x14ac:dyDescent="0.25">
      <c r="P170" s="16">
        <f t="shared" si="10"/>
        <v>0</v>
      </c>
      <c r="Q170" s="19">
        <f t="shared" si="11"/>
        <v>0</v>
      </c>
      <c r="R170" s="19">
        <f t="shared" si="12"/>
        <v>1</v>
      </c>
      <c r="S170" s="19" t="e">
        <f t="shared" si="13"/>
        <v>#DIV/0!</v>
      </c>
      <c r="T170" s="19" t="e">
        <f t="shared" si="14"/>
        <v>#DIV/0!</v>
      </c>
    </row>
    <row r="171" spans="16:20" x14ac:dyDescent="0.25">
      <c r="P171" s="16">
        <f t="shared" si="10"/>
        <v>0</v>
      </c>
      <c r="Q171" s="19">
        <f t="shared" si="11"/>
        <v>0</v>
      </c>
      <c r="R171" s="19">
        <f t="shared" si="12"/>
        <v>1</v>
      </c>
      <c r="S171" s="19" t="e">
        <f t="shared" si="13"/>
        <v>#DIV/0!</v>
      </c>
      <c r="T171" s="19" t="e">
        <f t="shared" si="14"/>
        <v>#DIV/0!</v>
      </c>
    </row>
    <row r="172" spans="16:20" x14ac:dyDescent="0.25">
      <c r="P172" s="16">
        <f t="shared" si="10"/>
        <v>0</v>
      </c>
      <c r="Q172" s="19">
        <f t="shared" si="11"/>
        <v>0</v>
      </c>
      <c r="R172" s="19">
        <f t="shared" si="12"/>
        <v>1</v>
      </c>
      <c r="S172" s="19" t="e">
        <f t="shared" si="13"/>
        <v>#DIV/0!</v>
      </c>
      <c r="T172" s="19" t="e">
        <f t="shared" si="14"/>
        <v>#DIV/0!</v>
      </c>
    </row>
    <row r="173" spans="16:20" x14ac:dyDescent="0.25">
      <c r="P173" s="16">
        <f t="shared" si="10"/>
        <v>0</v>
      </c>
      <c r="Q173" s="19">
        <f t="shared" si="11"/>
        <v>0</v>
      </c>
      <c r="R173" s="19">
        <f t="shared" si="12"/>
        <v>1</v>
      </c>
      <c r="S173" s="19" t="e">
        <f t="shared" si="13"/>
        <v>#DIV/0!</v>
      </c>
      <c r="T173" s="19" t="e">
        <f t="shared" si="14"/>
        <v>#DIV/0!</v>
      </c>
    </row>
    <row r="174" spans="16:20" x14ac:dyDescent="0.25">
      <c r="P174" s="16">
        <f t="shared" si="10"/>
        <v>0</v>
      </c>
      <c r="Q174" s="19">
        <f t="shared" si="11"/>
        <v>0</v>
      </c>
      <c r="R174" s="19">
        <f t="shared" si="12"/>
        <v>1</v>
      </c>
      <c r="S174" s="19" t="e">
        <f t="shared" si="13"/>
        <v>#DIV/0!</v>
      </c>
      <c r="T174" s="19" t="e">
        <f t="shared" si="14"/>
        <v>#DIV/0!</v>
      </c>
    </row>
    <row r="175" spans="16:20" x14ac:dyDescent="0.25">
      <c r="P175" s="16">
        <f t="shared" si="10"/>
        <v>0</v>
      </c>
      <c r="Q175" s="19">
        <f t="shared" si="11"/>
        <v>0</v>
      </c>
      <c r="R175" s="19">
        <f t="shared" si="12"/>
        <v>1</v>
      </c>
      <c r="S175" s="19" t="e">
        <f t="shared" si="13"/>
        <v>#DIV/0!</v>
      </c>
      <c r="T175" s="19" t="e">
        <f t="shared" si="14"/>
        <v>#DIV/0!</v>
      </c>
    </row>
    <row r="176" spans="16:20" x14ac:dyDescent="0.25">
      <c r="P176" s="16">
        <f t="shared" si="10"/>
        <v>0</v>
      </c>
      <c r="Q176" s="19">
        <f t="shared" si="11"/>
        <v>0</v>
      </c>
      <c r="R176" s="19">
        <f t="shared" si="12"/>
        <v>1</v>
      </c>
      <c r="S176" s="19" t="e">
        <f t="shared" si="13"/>
        <v>#DIV/0!</v>
      </c>
      <c r="T176" s="19" t="e">
        <f t="shared" si="14"/>
        <v>#DIV/0!</v>
      </c>
    </row>
    <row r="177" spans="16:20" x14ac:dyDescent="0.25">
      <c r="P177" s="16">
        <f t="shared" si="10"/>
        <v>0</v>
      </c>
      <c r="Q177" s="19">
        <f t="shared" si="11"/>
        <v>0</v>
      </c>
      <c r="R177" s="19">
        <f t="shared" si="12"/>
        <v>1</v>
      </c>
      <c r="S177" s="19" t="e">
        <f t="shared" si="13"/>
        <v>#DIV/0!</v>
      </c>
      <c r="T177" s="19" t="e">
        <f t="shared" si="14"/>
        <v>#DIV/0!</v>
      </c>
    </row>
    <row r="178" spans="16:20" x14ac:dyDescent="0.25">
      <c r="P178" s="16">
        <f t="shared" si="10"/>
        <v>0</v>
      </c>
      <c r="Q178" s="19">
        <f t="shared" si="11"/>
        <v>0</v>
      </c>
      <c r="R178" s="19">
        <f t="shared" si="12"/>
        <v>1</v>
      </c>
      <c r="S178" s="19" t="e">
        <f t="shared" si="13"/>
        <v>#DIV/0!</v>
      </c>
      <c r="T178" s="19" t="e">
        <f t="shared" si="14"/>
        <v>#DIV/0!</v>
      </c>
    </row>
    <row r="179" spans="16:20" x14ac:dyDescent="0.25">
      <c r="P179" s="16">
        <f t="shared" si="10"/>
        <v>0</v>
      </c>
      <c r="Q179" s="19">
        <f t="shared" si="11"/>
        <v>0</v>
      </c>
      <c r="R179" s="19">
        <f t="shared" si="12"/>
        <v>1</v>
      </c>
      <c r="S179" s="19" t="e">
        <f t="shared" si="13"/>
        <v>#DIV/0!</v>
      </c>
      <c r="T179" s="19" t="e">
        <f t="shared" si="14"/>
        <v>#DIV/0!</v>
      </c>
    </row>
    <row r="180" spans="16:20" x14ac:dyDescent="0.25">
      <c r="P180" s="16">
        <f t="shared" si="10"/>
        <v>0</v>
      </c>
      <c r="Q180" s="19">
        <f t="shared" si="11"/>
        <v>0</v>
      </c>
      <c r="R180" s="19">
        <f t="shared" si="12"/>
        <v>1</v>
      </c>
      <c r="S180" s="19" t="e">
        <f t="shared" si="13"/>
        <v>#DIV/0!</v>
      </c>
      <c r="T180" s="19" t="e">
        <f t="shared" si="14"/>
        <v>#DIV/0!</v>
      </c>
    </row>
    <row r="181" spans="16:20" x14ac:dyDescent="0.25">
      <c r="P181" s="16">
        <f t="shared" si="10"/>
        <v>0</v>
      </c>
      <c r="Q181" s="19">
        <f t="shared" si="11"/>
        <v>0</v>
      </c>
      <c r="R181" s="19">
        <f t="shared" si="12"/>
        <v>1</v>
      </c>
      <c r="S181" s="19" t="e">
        <f t="shared" si="13"/>
        <v>#DIV/0!</v>
      </c>
      <c r="T181" s="19" t="e">
        <f t="shared" si="14"/>
        <v>#DIV/0!</v>
      </c>
    </row>
    <row r="182" spans="16:20" x14ac:dyDescent="0.25">
      <c r="P182" s="16">
        <f t="shared" si="10"/>
        <v>0</v>
      </c>
      <c r="Q182" s="19">
        <f t="shared" si="11"/>
        <v>0</v>
      </c>
      <c r="R182" s="19">
        <f t="shared" si="12"/>
        <v>1</v>
      </c>
      <c r="S182" s="19" t="e">
        <f t="shared" si="13"/>
        <v>#DIV/0!</v>
      </c>
      <c r="T182" s="19" t="e">
        <f t="shared" si="14"/>
        <v>#DIV/0!</v>
      </c>
    </row>
    <row r="183" spans="16:20" x14ac:dyDescent="0.25">
      <c r="P183" s="16">
        <f t="shared" si="10"/>
        <v>0</v>
      </c>
      <c r="Q183" s="19">
        <f t="shared" si="11"/>
        <v>0</v>
      </c>
      <c r="R183" s="19">
        <f t="shared" si="12"/>
        <v>1</v>
      </c>
      <c r="S183" s="19" t="e">
        <f t="shared" si="13"/>
        <v>#DIV/0!</v>
      </c>
      <c r="T183" s="19" t="e">
        <f t="shared" si="14"/>
        <v>#DIV/0!</v>
      </c>
    </row>
    <row r="184" spans="16:20" x14ac:dyDescent="0.25">
      <c r="P184" s="16">
        <f t="shared" si="10"/>
        <v>0</v>
      </c>
      <c r="Q184" s="19">
        <f t="shared" si="11"/>
        <v>0</v>
      </c>
      <c r="R184" s="19">
        <f t="shared" si="12"/>
        <v>1</v>
      </c>
      <c r="S184" s="19" t="e">
        <f t="shared" si="13"/>
        <v>#DIV/0!</v>
      </c>
      <c r="T184" s="19" t="e">
        <f t="shared" si="14"/>
        <v>#DIV/0!</v>
      </c>
    </row>
    <row r="185" spans="16:20" x14ac:dyDescent="0.25">
      <c r="P185" s="16">
        <f t="shared" si="10"/>
        <v>0</v>
      </c>
      <c r="Q185" s="19">
        <f t="shared" si="11"/>
        <v>0</v>
      </c>
      <c r="R185" s="19">
        <f t="shared" si="12"/>
        <v>1</v>
      </c>
      <c r="S185" s="19" t="e">
        <f t="shared" si="13"/>
        <v>#DIV/0!</v>
      </c>
      <c r="T185" s="19" t="e">
        <f t="shared" si="14"/>
        <v>#DIV/0!</v>
      </c>
    </row>
    <row r="186" spans="16:20" x14ac:dyDescent="0.25">
      <c r="P186" s="16">
        <f t="shared" si="10"/>
        <v>0</v>
      </c>
      <c r="Q186" s="19">
        <f t="shared" si="11"/>
        <v>0</v>
      </c>
      <c r="R186" s="19">
        <f t="shared" si="12"/>
        <v>1</v>
      </c>
      <c r="S186" s="19" t="e">
        <f t="shared" si="13"/>
        <v>#DIV/0!</v>
      </c>
      <c r="T186" s="19" t="e">
        <f t="shared" si="14"/>
        <v>#DIV/0!</v>
      </c>
    </row>
    <row r="187" spans="16:20" x14ac:dyDescent="0.25">
      <c r="P187" s="16">
        <f t="shared" si="10"/>
        <v>0</v>
      </c>
      <c r="Q187" s="19">
        <f t="shared" si="11"/>
        <v>0</v>
      </c>
      <c r="R187" s="19">
        <f t="shared" si="12"/>
        <v>1</v>
      </c>
      <c r="S187" s="19" t="e">
        <f t="shared" si="13"/>
        <v>#DIV/0!</v>
      </c>
      <c r="T187" s="19" t="e">
        <f t="shared" si="14"/>
        <v>#DIV/0!</v>
      </c>
    </row>
    <row r="188" spans="16:20" x14ac:dyDescent="0.25">
      <c r="P188" s="16">
        <f t="shared" si="10"/>
        <v>0</v>
      </c>
      <c r="Q188" s="19">
        <f t="shared" si="11"/>
        <v>0</v>
      </c>
      <c r="R188" s="19">
        <f t="shared" si="12"/>
        <v>1</v>
      </c>
      <c r="S188" s="19" t="e">
        <f t="shared" si="13"/>
        <v>#DIV/0!</v>
      </c>
      <c r="T188" s="19" t="e">
        <f t="shared" si="14"/>
        <v>#DIV/0!</v>
      </c>
    </row>
    <row r="189" spans="16:20" x14ac:dyDescent="0.25">
      <c r="P189" s="16">
        <f t="shared" si="10"/>
        <v>0</v>
      </c>
      <c r="Q189" s="19">
        <f t="shared" si="11"/>
        <v>0</v>
      </c>
      <c r="R189" s="19">
        <f t="shared" si="12"/>
        <v>1</v>
      </c>
      <c r="S189" s="19" t="e">
        <f t="shared" si="13"/>
        <v>#DIV/0!</v>
      </c>
      <c r="T189" s="19" t="e">
        <f t="shared" si="14"/>
        <v>#DIV/0!</v>
      </c>
    </row>
    <row r="190" spans="16:20" x14ac:dyDescent="0.25">
      <c r="P190" s="16">
        <f t="shared" si="10"/>
        <v>0</v>
      </c>
      <c r="Q190" s="19">
        <f t="shared" si="11"/>
        <v>0</v>
      </c>
      <c r="R190" s="19">
        <f t="shared" si="12"/>
        <v>1</v>
      </c>
      <c r="S190" s="19" t="e">
        <f t="shared" si="13"/>
        <v>#DIV/0!</v>
      </c>
      <c r="T190" s="19" t="e">
        <f t="shared" si="14"/>
        <v>#DIV/0!</v>
      </c>
    </row>
    <row r="191" spans="16:20" x14ac:dyDescent="0.25">
      <c r="P191" s="16">
        <f t="shared" si="10"/>
        <v>0</v>
      </c>
      <c r="Q191" s="19">
        <f t="shared" si="11"/>
        <v>0</v>
      </c>
      <c r="R191" s="19">
        <f t="shared" si="12"/>
        <v>1</v>
      </c>
      <c r="S191" s="19" t="e">
        <f t="shared" si="13"/>
        <v>#DIV/0!</v>
      </c>
      <c r="T191" s="19" t="e">
        <f t="shared" si="14"/>
        <v>#DIV/0!</v>
      </c>
    </row>
    <row r="192" spans="16:20" x14ac:dyDescent="0.25">
      <c r="P192" s="16">
        <f t="shared" si="10"/>
        <v>0</v>
      </c>
      <c r="Q192" s="19">
        <f t="shared" si="11"/>
        <v>0</v>
      </c>
      <c r="R192" s="19">
        <f t="shared" si="12"/>
        <v>1</v>
      </c>
      <c r="S192" s="19" t="e">
        <f t="shared" si="13"/>
        <v>#DIV/0!</v>
      </c>
      <c r="T192" s="19" t="e">
        <f t="shared" si="14"/>
        <v>#DIV/0!</v>
      </c>
    </row>
    <row r="193" spans="16:20" x14ac:dyDescent="0.25">
      <c r="P193" s="16">
        <f t="shared" si="10"/>
        <v>0</v>
      </c>
      <c r="Q193" s="19">
        <f t="shared" si="11"/>
        <v>0</v>
      </c>
      <c r="R193" s="19">
        <f t="shared" si="12"/>
        <v>1</v>
      </c>
      <c r="S193" s="19" t="e">
        <f t="shared" si="13"/>
        <v>#DIV/0!</v>
      </c>
      <c r="T193" s="19" t="e">
        <f t="shared" si="14"/>
        <v>#DIV/0!</v>
      </c>
    </row>
    <row r="194" spans="16:20" x14ac:dyDescent="0.25">
      <c r="P194" s="16">
        <f t="shared" ref="P194:P257" si="15">(C194+D194)/350</f>
        <v>0</v>
      </c>
      <c r="Q194" s="19">
        <f t="shared" ref="Q194:Q257" si="16">(F194+H194+J194+L194)/510</f>
        <v>0</v>
      </c>
      <c r="R194" s="19">
        <f t="shared" ref="R194:R257" si="17">(510-(F194+H194+J194+L194))/510</f>
        <v>1</v>
      </c>
      <c r="S194" s="19" t="e">
        <f t="shared" ref="S194:S257" si="18">(C194+D194-N194)/(C194+D194)</f>
        <v>#DIV/0!</v>
      </c>
      <c r="T194" s="19" t="e">
        <f t="shared" ref="T194:T257" si="19">P194*R194*S194</f>
        <v>#DIV/0!</v>
      </c>
    </row>
    <row r="195" spans="16:20" x14ac:dyDescent="0.25">
      <c r="P195" s="16">
        <f t="shared" si="15"/>
        <v>0</v>
      </c>
      <c r="Q195" s="19">
        <f t="shared" si="16"/>
        <v>0</v>
      </c>
      <c r="R195" s="19">
        <f t="shared" si="17"/>
        <v>1</v>
      </c>
      <c r="S195" s="19" t="e">
        <f t="shared" si="18"/>
        <v>#DIV/0!</v>
      </c>
      <c r="T195" s="19" t="e">
        <f t="shared" si="19"/>
        <v>#DIV/0!</v>
      </c>
    </row>
    <row r="196" spans="16:20" x14ac:dyDescent="0.25">
      <c r="P196" s="16">
        <f t="shared" si="15"/>
        <v>0</v>
      </c>
      <c r="Q196" s="19">
        <f t="shared" si="16"/>
        <v>0</v>
      </c>
      <c r="R196" s="19">
        <f t="shared" si="17"/>
        <v>1</v>
      </c>
      <c r="S196" s="19" t="e">
        <f t="shared" si="18"/>
        <v>#DIV/0!</v>
      </c>
      <c r="T196" s="19" t="e">
        <f t="shared" si="19"/>
        <v>#DIV/0!</v>
      </c>
    </row>
    <row r="197" spans="16:20" x14ac:dyDescent="0.25">
      <c r="P197" s="16">
        <f t="shared" si="15"/>
        <v>0</v>
      </c>
      <c r="Q197" s="19">
        <f t="shared" si="16"/>
        <v>0</v>
      </c>
      <c r="R197" s="19">
        <f t="shared" si="17"/>
        <v>1</v>
      </c>
      <c r="S197" s="19" t="e">
        <f t="shared" si="18"/>
        <v>#DIV/0!</v>
      </c>
      <c r="T197" s="19" t="e">
        <f t="shared" si="19"/>
        <v>#DIV/0!</v>
      </c>
    </row>
    <row r="198" spans="16:20" x14ac:dyDescent="0.25">
      <c r="P198" s="16">
        <f t="shared" si="15"/>
        <v>0</v>
      </c>
      <c r="Q198" s="19">
        <f t="shared" si="16"/>
        <v>0</v>
      </c>
      <c r="R198" s="19">
        <f t="shared" si="17"/>
        <v>1</v>
      </c>
      <c r="S198" s="19" t="e">
        <f t="shared" si="18"/>
        <v>#DIV/0!</v>
      </c>
      <c r="T198" s="19" t="e">
        <f t="shared" si="19"/>
        <v>#DIV/0!</v>
      </c>
    </row>
    <row r="199" spans="16:20" x14ac:dyDescent="0.25">
      <c r="P199" s="16">
        <f t="shared" si="15"/>
        <v>0</v>
      </c>
      <c r="Q199" s="19">
        <f t="shared" si="16"/>
        <v>0</v>
      </c>
      <c r="R199" s="19">
        <f t="shared" si="17"/>
        <v>1</v>
      </c>
      <c r="S199" s="19" t="e">
        <f t="shared" si="18"/>
        <v>#DIV/0!</v>
      </c>
      <c r="T199" s="19" t="e">
        <f t="shared" si="19"/>
        <v>#DIV/0!</v>
      </c>
    </row>
    <row r="200" spans="16:20" x14ac:dyDescent="0.25">
      <c r="P200" s="16">
        <f t="shared" si="15"/>
        <v>0</v>
      </c>
      <c r="Q200" s="19">
        <f t="shared" si="16"/>
        <v>0</v>
      </c>
      <c r="R200" s="19">
        <f t="shared" si="17"/>
        <v>1</v>
      </c>
      <c r="S200" s="19" t="e">
        <f t="shared" si="18"/>
        <v>#DIV/0!</v>
      </c>
      <c r="T200" s="19" t="e">
        <f t="shared" si="19"/>
        <v>#DIV/0!</v>
      </c>
    </row>
    <row r="201" spans="16:20" x14ac:dyDescent="0.25">
      <c r="P201" s="16">
        <f t="shared" si="15"/>
        <v>0</v>
      </c>
      <c r="Q201" s="19">
        <f t="shared" si="16"/>
        <v>0</v>
      </c>
      <c r="R201" s="19">
        <f t="shared" si="17"/>
        <v>1</v>
      </c>
      <c r="S201" s="19" t="e">
        <f t="shared" si="18"/>
        <v>#DIV/0!</v>
      </c>
      <c r="T201" s="19" t="e">
        <f t="shared" si="19"/>
        <v>#DIV/0!</v>
      </c>
    </row>
    <row r="202" spans="16:20" x14ac:dyDescent="0.25">
      <c r="P202" s="16">
        <f t="shared" si="15"/>
        <v>0</v>
      </c>
      <c r="Q202" s="19">
        <f t="shared" si="16"/>
        <v>0</v>
      </c>
      <c r="R202" s="19">
        <f t="shared" si="17"/>
        <v>1</v>
      </c>
      <c r="S202" s="19" t="e">
        <f t="shared" si="18"/>
        <v>#DIV/0!</v>
      </c>
      <c r="T202" s="19" t="e">
        <f t="shared" si="19"/>
        <v>#DIV/0!</v>
      </c>
    </row>
    <row r="203" spans="16:20" x14ac:dyDescent="0.25">
      <c r="P203" s="16">
        <f t="shared" si="15"/>
        <v>0</v>
      </c>
      <c r="Q203" s="19">
        <f t="shared" si="16"/>
        <v>0</v>
      </c>
      <c r="R203" s="19">
        <f t="shared" si="17"/>
        <v>1</v>
      </c>
      <c r="S203" s="19" t="e">
        <f t="shared" si="18"/>
        <v>#DIV/0!</v>
      </c>
      <c r="T203" s="19" t="e">
        <f t="shared" si="19"/>
        <v>#DIV/0!</v>
      </c>
    </row>
    <row r="204" spans="16:20" x14ac:dyDescent="0.25">
      <c r="P204" s="16">
        <f t="shared" si="15"/>
        <v>0</v>
      </c>
      <c r="Q204" s="19">
        <f t="shared" si="16"/>
        <v>0</v>
      </c>
      <c r="R204" s="19">
        <f t="shared" si="17"/>
        <v>1</v>
      </c>
      <c r="S204" s="19" t="e">
        <f t="shared" si="18"/>
        <v>#DIV/0!</v>
      </c>
      <c r="T204" s="19" t="e">
        <f t="shared" si="19"/>
        <v>#DIV/0!</v>
      </c>
    </row>
    <row r="205" spans="16:20" x14ac:dyDescent="0.25">
      <c r="P205" s="16">
        <f t="shared" si="15"/>
        <v>0</v>
      </c>
      <c r="Q205" s="19">
        <f t="shared" si="16"/>
        <v>0</v>
      </c>
      <c r="R205" s="19">
        <f t="shared" si="17"/>
        <v>1</v>
      </c>
      <c r="S205" s="19" t="e">
        <f t="shared" si="18"/>
        <v>#DIV/0!</v>
      </c>
      <c r="T205" s="19" t="e">
        <f t="shared" si="19"/>
        <v>#DIV/0!</v>
      </c>
    </row>
    <row r="206" spans="16:20" x14ac:dyDescent="0.25">
      <c r="P206" s="16">
        <f t="shared" si="15"/>
        <v>0</v>
      </c>
      <c r="Q206" s="19">
        <f t="shared" si="16"/>
        <v>0</v>
      </c>
      <c r="R206" s="19">
        <f t="shared" si="17"/>
        <v>1</v>
      </c>
      <c r="S206" s="19" t="e">
        <f t="shared" si="18"/>
        <v>#DIV/0!</v>
      </c>
      <c r="T206" s="19" t="e">
        <f t="shared" si="19"/>
        <v>#DIV/0!</v>
      </c>
    </row>
    <row r="207" spans="16:20" x14ac:dyDescent="0.25">
      <c r="P207" s="16">
        <f t="shared" si="15"/>
        <v>0</v>
      </c>
      <c r="Q207" s="19">
        <f t="shared" si="16"/>
        <v>0</v>
      </c>
      <c r="R207" s="19">
        <f t="shared" si="17"/>
        <v>1</v>
      </c>
      <c r="S207" s="19" t="e">
        <f t="shared" si="18"/>
        <v>#DIV/0!</v>
      </c>
      <c r="T207" s="19" t="e">
        <f t="shared" si="19"/>
        <v>#DIV/0!</v>
      </c>
    </row>
    <row r="208" spans="16:20" x14ac:dyDescent="0.25">
      <c r="P208" s="16">
        <f t="shared" si="15"/>
        <v>0</v>
      </c>
      <c r="Q208" s="19">
        <f t="shared" si="16"/>
        <v>0</v>
      </c>
      <c r="R208" s="19">
        <f t="shared" si="17"/>
        <v>1</v>
      </c>
      <c r="S208" s="19" t="e">
        <f t="shared" si="18"/>
        <v>#DIV/0!</v>
      </c>
      <c r="T208" s="19" t="e">
        <f t="shared" si="19"/>
        <v>#DIV/0!</v>
      </c>
    </row>
    <row r="209" spans="16:20" x14ac:dyDescent="0.25">
      <c r="P209" s="16">
        <f t="shared" si="15"/>
        <v>0</v>
      </c>
      <c r="Q209" s="19">
        <f t="shared" si="16"/>
        <v>0</v>
      </c>
      <c r="R209" s="19">
        <f t="shared" si="17"/>
        <v>1</v>
      </c>
      <c r="S209" s="19" t="e">
        <f t="shared" si="18"/>
        <v>#DIV/0!</v>
      </c>
      <c r="T209" s="19" t="e">
        <f t="shared" si="19"/>
        <v>#DIV/0!</v>
      </c>
    </row>
    <row r="210" spans="16:20" x14ac:dyDescent="0.25">
      <c r="P210" s="16">
        <f t="shared" si="15"/>
        <v>0</v>
      </c>
      <c r="Q210" s="19">
        <f t="shared" si="16"/>
        <v>0</v>
      </c>
      <c r="R210" s="19">
        <f t="shared" si="17"/>
        <v>1</v>
      </c>
      <c r="S210" s="19" t="e">
        <f t="shared" si="18"/>
        <v>#DIV/0!</v>
      </c>
      <c r="T210" s="19" t="e">
        <f t="shared" si="19"/>
        <v>#DIV/0!</v>
      </c>
    </row>
    <row r="211" spans="16:20" x14ac:dyDescent="0.25">
      <c r="P211" s="16">
        <f t="shared" si="15"/>
        <v>0</v>
      </c>
      <c r="Q211" s="19">
        <f t="shared" si="16"/>
        <v>0</v>
      </c>
      <c r="R211" s="19">
        <f t="shared" si="17"/>
        <v>1</v>
      </c>
      <c r="S211" s="19" t="e">
        <f t="shared" si="18"/>
        <v>#DIV/0!</v>
      </c>
      <c r="T211" s="19" t="e">
        <f t="shared" si="19"/>
        <v>#DIV/0!</v>
      </c>
    </row>
    <row r="212" spans="16:20" x14ac:dyDescent="0.25">
      <c r="P212" s="16">
        <f t="shared" si="15"/>
        <v>0</v>
      </c>
      <c r="Q212" s="19">
        <f t="shared" si="16"/>
        <v>0</v>
      </c>
      <c r="R212" s="19">
        <f t="shared" si="17"/>
        <v>1</v>
      </c>
      <c r="S212" s="19" t="e">
        <f t="shared" si="18"/>
        <v>#DIV/0!</v>
      </c>
      <c r="T212" s="19" t="e">
        <f t="shared" si="19"/>
        <v>#DIV/0!</v>
      </c>
    </row>
    <row r="213" spans="16:20" x14ac:dyDescent="0.25">
      <c r="P213" s="16">
        <f t="shared" si="15"/>
        <v>0</v>
      </c>
      <c r="Q213" s="19">
        <f t="shared" si="16"/>
        <v>0</v>
      </c>
      <c r="R213" s="19">
        <f t="shared" si="17"/>
        <v>1</v>
      </c>
      <c r="S213" s="19" t="e">
        <f t="shared" si="18"/>
        <v>#DIV/0!</v>
      </c>
      <c r="T213" s="19" t="e">
        <f t="shared" si="19"/>
        <v>#DIV/0!</v>
      </c>
    </row>
    <row r="214" spans="16:20" x14ac:dyDescent="0.25">
      <c r="P214" s="16">
        <f t="shared" si="15"/>
        <v>0</v>
      </c>
      <c r="Q214" s="19">
        <f t="shared" si="16"/>
        <v>0</v>
      </c>
      <c r="R214" s="19">
        <f t="shared" si="17"/>
        <v>1</v>
      </c>
      <c r="S214" s="19" t="e">
        <f t="shared" si="18"/>
        <v>#DIV/0!</v>
      </c>
      <c r="T214" s="19" t="e">
        <f t="shared" si="19"/>
        <v>#DIV/0!</v>
      </c>
    </row>
    <row r="215" spans="16:20" x14ac:dyDescent="0.25">
      <c r="P215" s="16">
        <f t="shared" si="15"/>
        <v>0</v>
      </c>
      <c r="Q215" s="19">
        <f t="shared" si="16"/>
        <v>0</v>
      </c>
      <c r="R215" s="19">
        <f t="shared" si="17"/>
        <v>1</v>
      </c>
      <c r="S215" s="19" t="e">
        <f t="shared" si="18"/>
        <v>#DIV/0!</v>
      </c>
      <c r="T215" s="19" t="e">
        <f t="shared" si="19"/>
        <v>#DIV/0!</v>
      </c>
    </row>
    <row r="216" spans="16:20" x14ac:dyDescent="0.25">
      <c r="P216" s="16">
        <f t="shared" si="15"/>
        <v>0</v>
      </c>
      <c r="Q216" s="19">
        <f t="shared" si="16"/>
        <v>0</v>
      </c>
      <c r="R216" s="19">
        <f t="shared" si="17"/>
        <v>1</v>
      </c>
      <c r="S216" s="19" t="e">
        <f t="shared" si="18"/>
        <v>#DIV/0!</v>
      </c>
      <c r="T216" s="19" t="e">
        <f t="shared" si="19"/>
        <v>#DIV/0!</v>
      </c>
    </row>
    <row r="217" spans="16:20" x14ac:dyDescent="0.25">
      <c r="P217" s="16">
        <f t="shared" si="15"/>
        <v>0</v>
      </c>
      <c r="Q217" s="19">
        <f t="shared" si="16"/>
        <v>0</v>
      </c>
      <c r="R217" s="19">
        <f t="shared" si="17"/>
        <v>1</v>
      </c>
      <c r="S217" s="19" t="e">
        <f t="shared" si="18"/>
        <v>#DIV/0!</v>
      </c>
      <c r="T217" s="19" t="e">
        <f t="shared" si="19"/>
        <v>#DIV/0!</v>
      </c>
    </row>
    <row r="218" spans="16:20" x14ac:dyDescent="0.25">
      <c r="P218" s="16">
        <f t="shared" si="15"/>
        <v>0</v>
      </c>
      <c r="Q218" s="19">
        <f t="shared" si="16"/>
        <v>0</v>
      </c>
      <c r="R218" s="19">
        <f t="shared" si="17"/>
        <v>1</v>
      </c>
      <c r="S218" s="19" t="e">
        <f t="shared" si="18"/>
        <v>#DIV/0!</v>
      </c>
      <c r="T218" s="19" t="e">
        <f t="shared" si="19"/>
        <v>#DIV/0!</v>
      </c>
    </row>
    <row r="219" spans="16:20" x14ac:dyDescent="0.25">
      <c r="P219" s="16">
        <f t="shared" si="15"/>
        <v>0</v>
      </c>
      <c r="Q219" s="19">
        <f t="shared" si="16"/>
        <v>0</v>
      </c>
      <c r="R219" s="19">
        <f t="shared" si="17"/>
        <v>1</v>
      </c>
      <c r="S219" s="19" t="e">
        <f t="shared" si="18"/>
        <v>#DIV/0!</v>
      </c>
      <c r="T219" s="19" t="e">
        <f t="shared" si="19"/>
        <v>#DIV/0!</v>
      </c>
    </row>
    <row r="220" spans="16:20" x14ac:dyDescent="0.25">
      <c r="P220" s="16">
        <f t="shared" si="15"/>
        <v>0</v>
      </c>
      <c r="Q220" s="19">
        <f t="shared" si="16"/>
        <v>0</v>
      </c>
      <c r="R220" s="19">
        <f t="shared" si="17"/>
        <v>1</v>
      </c>
      <c r="S220" s="19" t="e">
        <f t="shared" si="18"/>
        <v>#DIV/0!</v>
      </c>
      <c r="T220" s="19" t="e">
        <f t="shared" si="19"/>
        <v>#DIV/0!</v>
      </c>
    </row>
    <row r="221" spans="16:20" x14ac:dyDescent="0.25">
      <c r="P221" s="16">
        <f t="shared" si="15"/>
        <v>0</v>
      </c>
      <c r="Q221" s="19">
        <f t="shared" si="16"/>
        <v>0</v>
      </c>
      <c r="R221" s="19">
        <f t="shared" si="17"/>
        <v>1</v>
      </c>
      <c r="S221" s="19" t="e">
        <f t="shared" si="18"/>
        <v>#DIV/0!</v>
      </c>
      <c r="T221" s="19" t="e">
        <f t="shared" si="19"/>
        <v>#DIV/0!</v>
      </c>
    </row>
    <row r="222" spans="16:20" x14ac:dyDescent="0.25">
      <c r="P222" s="16">
        <f t="shared" si="15"/>
        <v>0</v>
      </c>
      <c r="Q222" s="19">
        <f t="shared" si="16"/>
        <v>0</v>
      </c>
      <c r="R222" s="19">
        <f t="shared" si="17"/>
        <v>1</v>
      </c>
      <c r="S222" s="19" t="e">
        <f t="shared" si="18"/>
        <v>#DIV/0!</v>
      </c>
      <c r="T222" s="19" t="e">
        <f t="shared" si="19"/>
        <v>#DIV/0!</v>
      </c>
    </row>
    <row r="223" spans="16:20" x14ac:dyDescent="0.25">
      <c r="P223" s="16">
        <f t="shared" si="15"/>
        <v>0</v>
      </c>
      <c r="Q223" s="19">
        <f t="shared" si="16"/>
        <v>0</v>
      </c>
      <c r="R223" s="19">
        <f t="shared" si="17"/>
        <v>1</v>
      </c>
      <c r="S223" s="19" t="e">
        <f t="shared" si="18"/>
        <v>#DIV/0!</v>
      </c>
      <c r="T223" s="19" t="e">
        <f t="shared" si="19"/>
        <v>#DIV/0!</v>
      </c>
    </row>
    <row r="224" spans="16:20" x14ac:dyDescent="0.25">
      <c r="P224" s="16">
        <f t="shared" si="15"/>
        <v>0</v>
      </c>
      <c r="Q224" s="19">
        <f t="shared" si="16"/>
        <v>0</v>
      </c>
      <c r="R224" s="19">
        <f t="shared" si="17"/>
        <v>1</v>
      </c>
      <c r="S224" s="19" t="e">
        <f t="shared" si="18"/>
        <v>#DIV/0!</v>
      </c>
      <c r="T224" s="19" t="e">
        <f t="shared" si="19"/>
        <v>#DIV/0!</v>
      </c>
    </row>
    <row r="225" spans="16:20" x14ac:dyDescent="0.25">
      <c r="P225" s="16">
        <f t="shared" si="15"/>
        <v>0</v>
      </c>
      <c r="Q225" s="19">
        <f t="shared" si="16"/>
        <v>0</v>
      </c>
      <c r="R225" s="19">
        <f t="shared" si="17"/>
        <v>1</v>
      </c>
      <c r="S225" s="19" t="e">
        <f t="shared" si="18"/>
        <v>#DIV/0!</v>
      </c>
      <c r="T225" s="19" t="e">
        <f t="shared" si="19"/>
        <v>#DIV/0!</v>
      </c>
    </row>
    <row r="226" spans="16:20" x14ac:dyDescent="0.25">
      <c r="P226" s="16">
        <f t="shared" si="15"/>
        <v>0</v>
      </c>
      <c r="Q226" s="19">
        <f t="shared" si="16"/>
        <v>0</v>
      </c>
      <c r="R226" s="19">
        <f t="shared" si="17"/>
        <v>1</v>
      </c>
      <c r="S226" s="19" t="e">
        <f t="shared" si="18"/>
        <v>#DIV/0!</v>
      </c>
      <c r="T226" s="19" t="e">
        <f t="shared" si="19"/>
        <v>#DIV/0!</v>
      </c>
    </row>
    <row r="227" spans="16:20" x14ac:dyDescent="0.25">
      <c r="P227" s="16">
        <f t="shared" si="15"/>
        <v>0</v>
      </c>
      <c r="Q227" s="19">
        <f t="shared" si="16"/>
        <v>0</v>
      </c>
      <c r="R227" s="19">
        <f t="shared" si="17"/>
        <v>1</v>
      </c>
      <c r="S227" s="19" t="e">
        <f t="shared" si="18"/>
        <v>#DIV/0!</v>
      </c>
      <c r="T227" s="19" t="e">
        <f t="shared" si="19"/>
        <v>#DIV/0!</v>
      </c>
    </row>
    <row r="228" spans="16:20" x14ac:dyDescent="0.25">
      <c r="P228" s="16">
        <f t="shared" si="15"/>
        <v>0</v>
      </c>
      <c r="Q228" s="19">
        <f t="shared" si="16"/>
        <v>0</v>
      </c>
      <c r="R228" s="19">
        <f t="shared" si="17"/>
        <v>1</v>
      </c>
      <c r="S228" s="19" t="e">
        <f t="shared" si="18"/>
        <v>#DIV/0!</v>
      </c>
      <c r="T228" s="19" t="e">
        <f t="shared" si="19"/>
        <v>#DIV/0!</v>
      </c>
    </row>
    <row r="229" spans="16:20" x14ac:dyDescent="0.25">
      <c r="P229" s="16">
        <f t="shared" si="15"/>
        <v>0</v>
      </c>
      <c r="Q229" s="19">
        <f t="shared" si="16"/>
        <v>0</v>
      </c>
      <c r="R229" s="19">
        <f t="shared" si="17"/>
        <v>1</v>
      </c>
      <c r="S229" s="19" t="e">
        <f t="shared" si="18"/>
        <v>#DIV/0!</v>
      </c>
      <c r="T229" s="19" t="e">
        <f t="shared" si="19"/>
        <v>#DIV/0!</v>
      </c>
    </row>
    <row r="230" spans="16:20" x14ac:dyDescent="0.25">
      <c r="P230" s="16">
        <f t="shared" si="15"/>
        <v>0</v>
      </c>
      <c r="Q230" s="19">
        <f t="shared" si="16"/>
        <v>0</v>
      </c>
      <c r="R230" s="19">
        <f t="shared" si="17"/>
        <v>1</v>
      </c>
      <c r="S230" s="19" t="e">
        <f t="shared" si="18"/>
        <v>#DIV/0!</v>
      </c>
      <c r="T230" s="19" t="e">
        <f t="shared" si="19"/>
        <v>#DIV/0!</v>
      </c>
    </row>
    <row r="231" spans="16:20" x14ac:dyDescent="0.25">
      <c r="P231" s="16">
        <f t="shared" si="15"/>
        <v>0</v>
      </c>
      <c r="Q231" s="19">
        <f t="shared" si="16"/>
        <v>0</v>
      </c>
      <c r="R231" s="19">
        <f t="shared" si="17"/>
        <v>1</v>
      </c>
      <c r="S231" s="19" t="e">
        <f t="shared" si="18"/>
        <v>#DIV/0!</v>
      </c>
      <c r="T231" s="19" t="e">
        <f t="shared" si="19"/>
        <v>#DIV/0!</v>
      </c>
    </row>
    <row r="232" spans="16:20" x14ac:dyDescent="0.25">
      <c r="P232" s="16">
        <f t="shared" si="15"/>
        <v>0</v>
      </c>
      <c r="Q232" s="19">
        <f t="shared" si="16"/>
        <v>0</v>
      </c>
      <c r="R232" s="19">
        <f t="shared" si="17"/>
        <v>1</v>
      </c>
      <c r="S232" s="19" t="e">
        <f t="shared" si="18"/>
        <v>#DIV/0!</v>
      </c>
      <c r="T232" s="19" t="e">
        <f t="shared" si="19"/>
        <v>#DIV/0!</v>
      </c>
    </row>
    <row r="233" spans="16:20" x14ac:dyDescent="0.25">
      <c r="P233" s="16">
        <f t="shared" si="15"/>
        <v>0</v>
      </c>
      <c r="Q233" s="19">
        <f t="shared" si="16"/>
        <v>0</v>
      </c>
      <c r="R233" s="19">
        <f t="shared" si="17"/>
        <v>1</v>
      </c>
      <c r="S233" s="19" t="e">
        <f t="shared" si="18"/>
        <v>#DIV/0!</v>
      </c>
      <c r="T233" s="19" t="e">
        <f t="shared" si="19"/>
        <v>#DIV/0!</v>
      </c>
    </row>
    <row r="234" spans="16:20" x14ac:dyDescent="0.25">
      <c r="P234" s="16">
        <f t="shared" si="15"/>
        <v>0</v>
      </c>
      <c r="Q234" s="19">
        <f t="shared" si="16"/>
        <v>0</v>
      </c>
      <c r="R234" s="19">
        <f t="shared" si="17"/>
        <v>1</v>
      </c>
      <c r="S234" s="19" t="e">
        <f t="shared" si="18"/>
        <v>#DIV/0!</v>
      </c>
      <c r="T234" s="19" t="e">
        <f t="shared" si="19"/>
        <v>#DIV/0!</v>
      </c>
    </row>
    <row r="235" spans="16:20" x14ac:dyDescent="0.25">
      <c r="P235" s="16">
        <f t="shared" si="15"/>
        <v>0</v>
      </c>
      <c r="Q235" s="19">
        <f t="shared" si="16"/>
        <v>0</v>
      </c>
      <c r="R235" s="19">
        <f t="shared" si="17"/>
        <v>1</v>
      </c>
      <c r="S235" s="19" t="e">
        <f t="shared" si="18"/>
        <v>#DIV/0!</v>
      </c>
      <c r="T235" s="19" t="e">
        <f t="shared" si="19"/>
        <v>#DIV/0!</v>
      </c>
    </row>
    <row r="236" spans="16:20" x14ac:dyDescent="0.25">
      <c r="P236" s="16">
        <f t="shared" si="15"/>
        <v>0</v>
      </c>
      <c r="Q236" s="19">
        <f t="shared" si="16"/>
        <v>0</v>
      </c>
      <c r="R236" s="19">
        <f t="shared" si="17"/>
        <v>1</v>
      </c>
      <c r="S236" s="19" t="e">
        <f t="shared" si="18"/>
        <v>#DIV/0!</v>
      </c>
      <c r="T236" s="19" t="e">
        <f t="shared" si="19"/>
        <v>#DIV/0!</v>
      </c>
    </row>
    <row r="237" spans="16:20" x14ac:dyDescent="0.25">
      <c r="P237" s="16">
        <f t="shared" si="15"/>
        <v>0</v>
      </c>
      <c r="Q237" s="19">
        <f t="shared" si="16"/>
        <v>0</v>
      </c>
      <c r="R237" s="19">
        <f t="shared" si="17"/>
        <v>1</v>
      </c>
      <c r="S237" s="19" t="e">
        <f t="shared" si="18"/>
        <v>#DIV/0!</v>
      </c>
      <c r="T237" s="19" t="e">
        <f t="shared" si="19"/>
        <v>#DIV/0!</v>
      </c>
    </row>
    <row r="238" spans="16:20" x14ac:dyDescent="0.25">
      <c r="P238" s="16">
        <f t="shared" si="15"/>
        <v>0</v>
      </c>
      <c r="Q238" s="19">
        <f t="shared" si="16"/>
        <v>0</v>
      </c>
      <c r="R238" s="19">
        <f t="shared" si="17"/>
        <v>1</v>
      </c>
      <c r="S238" s="19" t="e">
        <f t="shared" si="18"/>
        <v>#DIV/0!</v>
      </c>
      <c r="T238" s="19" t="e">
        <f t="shared" si="19"/>
        <v>#DIV/0!</v>
      </c>
    </row>
    <row r="239" spans="16:20" x14ac:dyDescent="0.25">
      <c r="P239" s="16">
        <f t="shared" si="15"/>
        <v>0</v>
      </c>
      <c r="Q239" s="19">
        <f t="shared" si="16"/>
        <v>0</v>
      </c>
      <c r="R239" s="19">
        <f t="shared" si="17"/>
        <v>1</v>
      </c>
      <c r="S239" s="19" t="e">
        <f t="shared" si="18"/>
        <v>#DIV/0!</v>
      </c>
      <c r="T239" s="19" t="e">
        <f t="shared" si="19"/>
        <v>#DIV/0!</v>
      </c>
    </row>
    <row r="240" spans="16:20" x14ac:dyDescent="0.25">
      <c r="P240" s="16">
        <f t="shared" si="15"/>
        <v>0</v>
      </c>
      <c r="Q240" s="19">
        <f t="shared" si="16"/>
        <v>0</v>
      </c>
      <c r="R240" s="19">
        <f t="shared" si="17"/>
        <v>1</v>
      </c>
      <c r="S240" s="19" t="e">
        <f t="shared" si="18"/>
        <v>#DIV/0!</v>
      </c>
      <c r="T240" s="19" t="e">
        <f t="shared" si="19"/>
        <v>#DIV/0!</v>
      </c>
    </row>
    <row r="241" spans="16:20" x14ac:dyDescent="0.25">
      <c r="P241" s="16">
        <f t="shared" si="15"/>
        <v>0</v>
      </c>
      <c r="Q241" s="19">
        <f t="shared" si="16"/>
        <v>0</v>
      </c>
      <c r="R241" s="19">
        <f t="shared" si="17"/>
        <v>1</v>
      </c>
      <c r="S241" s="19" t="e">
        <f t="shared" si="18"/>
        <v>#DIV/0!</v>
      </c>
      <c r="T241" s="19" t="e">
        <f t="shared" si="19"/>
        <v>#DIV/0!</v>
      </c>
    </row>
    <row r="242" spans="16:20" x14ac:dyDescent="0.25">
      <c r="P242" s="16">
        <f t="shared" si="15"/>
        <v>0</v>
      </c>
      <c r="Q242" s="19">
        <f t="shared" si="16"/>
        <v>0</v>
      </c>
      <c r="R242" s="19">
        <f t="shared" si="17"/>
        <v>1</v>
      </c>
      <c r="S242" s="19" t="e">
        <f t="shared" si="18"/>
        <v>#DIV/0!</v>
      </c>
      <c r="T242" s="19" t="e">
        <f t="shared" si="19"/>
        <v>#DIV/0!</v>
      </c>
    </row>
    <row r="243" spans="16:20" x14ac:dyDescent="0.25">
      <c r="P243" s="16">
        <f t="shared" si="15"/>
        <v>0</v>
      </c>
      <c r="Q243" s="19">
        <f t="shared" si="16"/>
        <v>0</v>
      </c>
      <c r="R243" s="19">
        <f t="shared" si="17"/>
        <v>1</v>
      </c>
      <c r="S243" s="19" t="e">
        <f t="shared" si="18"/>
        <v>#DIV/0!</v>
      </c>
      <c r="T243" s="19" t="e">
        <f t="shared" si="19"/>
        <v>#DIV/0!</v>
      </c>
    </row>
    <row r="244" spans="16:20" x14ac:dyDescent="0.25">
      <c r="P244" s="16">
        <f t="shared" si="15"/>
        <v>0</v>
      </c>
      <c r="Q244" s="19">
        <f t="shared" si="16"/>
        <v>0</v>
      </c>
      <c r="R244" s="19">
        <f t="shared" si="17"/>
        <v>1</v>
      </c>
      <c r="S244" s="19" t="e">
        <f t="shared" si="18"/>
        <v>#DIV/0!</v>
      </c>
      <c r="T244" s="19" t="e">
        <f t="shared" si="19"/>
        <v>#DIV/0!</v>
      </c>
    </row>
    <row r="245" spans="16:20" x14ac:dyDescent="0.25">
      <c r="P245" s="16">
        <f t="shared" si="15"/>
        <v>0</v>
      </c>
      <c r="Q245" s="19">
        <f t="shared" si="16"/>
        <v>0</v>
      </c>
      <c r="R245" s="19">
        <f t="shared" si="17"/>
        <v>1</v>
      </c>
      <c r="S245" s="19" t="e">
        <f t="shared" si="18"/>
        <v>#DIV/0!</v>
      </c>
      <c r="T245" s="19" t="e">
        <f t="shared" si="19"/>
        <v>#DIV/0!</v>
      </c>
    </row>
    <row r="246" spans="16:20" x14ac:dyDescent="0.25">
      <c r="P246" s="16">
        <f t="shared" si="15"/>
        <v>0</v>
      </c>
      <c r="Q246" s="19">
        <f t="shared" si="16"/>
        <v>0</v>
      </c>
      <c r="R246" s="19">
        <f t="shared" si="17"/>
        <v>1</v>
      </c>
      <c r="S246" s="19" t="e">
        <f t="shared" si="18"/>
        <v>#DIV/0!</v>
      </c>
      <c r="T246" s="19" t="e">
        <f t="shared" si="19"/>
        <v>#DIV/0!</v>
      </c>
    </row>
    <row r="247" spans="16:20" x14ac:dyDescent="0.25">
      <c r="P247" s="16">
        <f t="shared" si="15"/>
        <v>0</v>
      </c>
      <c r="Q247" s="19">
        <f t="shared" si="16"/>
        <v>0</v>
      </c>
      <c r="R247" s="19">
        <f t="shared" si="17"/>
        <v>1</v>
      </c>
      <c r="S247" s="19" t="e">
        <f t="shared" si="18"/>
        <v>#DIV/0!</v>
      </c>
      <c r="T247" s="19" t="e">
        <f t="shared" si="19"/>
        <v>#DIV/0!</v>
      </c>
    </row>
    <row r="248" spans="16:20" x14ac:dyDescent="0.25">
      <c r="P248" s="16">
        <f t="shared" si="15"/>
        <v>0</v>
      </c>
      <c r="Q248" s="19">
        <f t="shared" si="16"/>
        <v>0</v>
      </c>
      <c r="R248" s="19">
        <f t="shared" si="17"/>
        <v>1</v>
      </c>
      <c r="S248" s="19" t="e">
        <f t="shared" si="18"/>
        <v>#DIV/0!</v>
      </c>
      <c r="T248" s="19" t="e">
        <f t="shared" si="19"/>
        <v>#DIV/0!</v>
      </c>
    </row>
    <row r="249" spans="16:20" x14ac:dyDescent="0.25">
      <c r="P249" s="16">
        <f t="shared" si="15"/>
        <v>0</v>
      </c>
      <c r="Q249" s="19">
        <f t="shared" si="16"/>
        <v>0</v>
      </c>
      <c r="R249" s="19">
        <f t="shared" si="17"/>
        <v>1</v>
      </c>
      <c r="S249" s="19" t="e">
        <f t="shared" si="18"/>
        <v>#DIV/0!</v>
      </c>
      <c r="T249" s="19" t="e">
        <f t="shared" si="19"/>
        <v>#DIV/0!</v>
      </c>
    </row>
    <row r="250" spans="16:20" x14ac:dyDescent="0.25">
      <c r="P250" s="16">
        <f t="shared" si="15"/>
        <v>0</v>
      </c>
      <c r="Q250" s="19">
        <f t="shared" si="16"/>
        <v>0</v>
      </c>
      <c r="R250" s="19">
        <f t="shared" si="17"/>
        <v>1</v>
      </c>
      <c r="S250" s="19" t="e">
        <f t="shared" si="18"/>
        <v>#DIV/0!</v>
      </c>
      <c r="T250" s="19" t="e">
        <f t="shared" si="19"/>
        <v>#DIV/0!</v>
      </c>
    </row>
    <row r="251" spans="16:20" x14ac:dyDescent="0.25">
      <c r="P251" s="16">
        <f t="shared" si="15"/>
        <v>0</v>
      </c>
      <c r="Q251" s="19">
        <f t="shared" si="16"/>
        <v>0</v>
      </c>
      <c r="R251" s="19">
        <f t="shared" si="17"/>
        <v>1</v>
      </c>
      <c r="S251" s="19" t="e">
        <f t="shared" si="18"/>
        <v>#DIV/0!</v>
      </c>
      <c r="T251" s="19" t="e">
        <f t="shared" si="19"/>
        <v>#DIV/0!</v>
      </c>
    </row>
    <row r="252" spans="16:20" x14ac:dyDescent="0.25">
      <c r="P252" s="16">
        <f t="shared" si="15"/>
        <v>0</v>
      </c>
      <c r="Q252" s="19">
        <f t="shared" si="16"/>
        <v>0</v>
      </c>
      <c r="R252" s="19">
        <f t="shared" si="17"/>
        <v>1</v>
      </c>
      <c r="S252" s="19" t="e">
        <f t="shared" si="18"/>
        <v>#DIV/0!</v>
      </c>
      <c r="T252" s="19" t="e">
        <f t="shared" si="19"/>
        <v>#DIV/0!</v>
      </c>
    </row>
    <row r="253" spans="16:20" x14ac:dyDescent="0.25">
      <c r="P253" s="16">
        <f t="shared" si="15"/>
        <v>0</v>
      </c>
      <c r="Q253" s="19">
        <f t="shared" si="16"/>
        <v>0</v>
      </c>
      <c r="R253" s="19">
        <f t="shared" si="17"/>
        <v>1</v>
      </c>
      <c r="S253" s="19" t="e">
        <f t="shared" si="18"/>
        <v>#DIV/0!</v>
      </c>
      <c r="T253" s="19" t="e">
        <f t="shared" si="19"/>
        <v>#DIV/0!</v>
      </c>
    </row>
    <row r="254" spans="16:20" x14ac:dyDescent="0.25">
      <c r="P254" s="16">
        <f t="shared" si="15"/>
        <v>0</v>
      </c>
      <c r="Q254" s="19">
        <f t="shared" si="16"/>
        <v>0</v>
      </c>
      <c r="R254" s="19">
        <f t="shared" si="17"/>
        <v>1</v>
      </c>
      <c r="S254" s="19" t="e">
        <f t="shared" si="18"/>
        <v>#DIV/0!</v>
      </c>
      <c r="T254" s="19" t="e">
        <f t="shared" si="19"/>
        <v>#DIV/0!</v>
      </c>
    </row>
    <row r="255" spans="16:20" x14ac:dyDescent="0.25">
      <c r="P255" s="16">
        <f t="shared" si="15"/>
        <v>0</v>
      </c>
      <c r="Q255" s="19">
        <f t="shared" si="16"/>
        <v>0</v>
      </c>
      <c r="R255" s="19">
        <f t="shared" si="17"/>
        <v>1</v>
      </c>
      <c r="S255" s="19" t="e">
        <f t="shared" si="18"/>
        <v>#DIV/0!</v>
      </c>
      <c r="T255" s="19" t="e">
        <f t="shared" si="19"/>
        <v>#DIV/0!</v>
      </c>
    </row>
    <row r="256" spans="16:20" x14ac:dyDescent="0.25">
      <c r="P256" s="16">
        <f t="shared" si="15"/>
        <v>0</v>
      </c>
      <c r="Q256" s="19">
        <f t="shared" si="16"/>
        <v>0</v>
      </c>
      <c r="R256" s="19">
        <f t="shared" si="17"/>
        <v>1</v>
      </c>
      <c r="S256" s="19" t="e">
        <f t="shared" si="18"/>
        <v>#DIV/0!</v>
      </c>
      <c r="T256" s="19" t="e">
        <f t="shared" si="19"/>
        <v>#DIV/0!</v>
      </c>
    </row>
    <row r="257" spans="16:20" x14ac:dyDescent="0.25">
      <c r="P257" s="16">
        <f t="shared" si="15"/>
        <v>0</v>
      </c>
      <c r="Q257" s="19">
        <f t="shared" si="16"/>
        <v>0</v>
      </c>
      <c r="R257" s="19">
        <f t="shared" si="17"/>
        <v>1</v>
      </c>
      <c r="S257" s="19" t="e">
        <f t="shared" si="18"/>
        <v>#DIV/0!</v>
      </c>
      <c r="T257" s="19" t="e">
        <f t="shared" si="19"/>
        <v>#DIV/0!</v>
      </c>
    </row>
    <row r="258" spans="16:20" x14ac:dyDescent="0.25">
      <c r="P258" s="16">
        <f t="shared" ref="P258:P290" si="20">(C258+D258)/350</f>
        <v>0</v>
      </c>
      <c r="Q258" s="19">
        <f t="shared" ref="Q258:Q290" si="21">(F258+H258+J258+L258)/510</f>
        <v>0</v>
      </c>
      <c r="R258" s="19">
        <f t="shared" ref="R258:R290" si="22">(510-(F258+H258+J258+L258))/510</f>
        <v>1</v>
      </c>
      <c r="S258" s="19" t="e">
        <f t="shared" ref="S258:S290" si="23">(C258+D258-N258)/(C258+D258)</f>
        <v>#DIV/0!</v>
      </c>
      <c r="T258" s="19" t="e">
        <f t="shared" ref="T258:T321" si="24">P258*R258*S258</f>
        <v>#DIV/0!</v>
      </c>
    </row>
    <row r="259" spans="16:20" x14ac:dyDescent="0.25">
      <c r="P259" s="16">
        <f t="shared" si="20"/>
        <v>0</v>
      </c>
      <c r="Q259" s="19">
        <f t="shared" si="21"/>
        <v>0</v>
      </c>
      <c r="R259" s="19">
        <f t="shared" si="22"/>
        <v>1</v>
      </c>
      <c r="S259" s="19" t="e">
        <f t="shared" si="23"/>
        <v>#DIV/0!</v>
      </c>
      <c r="T259" s="19" t="e">
        <f t="shared" si="24"/>
        <v>#DIV/0!</v>
      </c>
    </row>
    <row r="260" spans="16:20" x14ac:dyDescent="0.25">
      <c r="P260" s="16">
        <f t="shared" si="20"/>
        <v>0</v>
      </c>
      <c r="Q260" s="19">
        <f t="shared" si="21"/>
        <v>0</v>
      </c>
      <c r="R260" s="19">
        <f t="shared" si="22"/>
        <v>1</v>
      </c>
      <c r="S260" s="19" t="e">
        <f t="shared" si="23"/>
        <v>#DIV/0!</v>
      </c>
      <c r="T260" s="19" t="e">
        <f t="shared" si="24"/>
        <v>#DIV/0!</v>
      </c>
    </row>
    <row r="261" spans="16:20" x14ac:dyDescent="0.25">
      <c r="P261" s="16">
        <f t="shared" si="20"/>
        <v>0</v>
      </c>
      <c r="Q261" s="19">
        <f t="shared" si="21"/>
        <v>0</v>
      </c>
      <c r="R261" s="19">
        <f t="shared" si="22"/>
        <v>1</v>
      </c>
      <c r="S261" s="19" t="e">
        <f t="shared" si="23"/>
        <v>#DIV/0!</v>
      </c>
      <c r="T261" s="19" t="e">
        <f t="shared" si="24"/>
        <v>#DIV/0!</v>
      </c>
    </row>
    <row r="262" spans="16:20" x14ac:dyDescent="0.25">
      <c r="P262" s="16">
        <f t="shared" si="20"/>
        <v>0</v>
      </c>
      <c r="Q262" s="19">
        <f t="shared" si="21"/>
        <v>0</v>
      </c>
      <c r="R262" s="19">
        <f t="shared" si="22"/>
        <v>1</v>
      </c>
      <c r="S262" s="19" t="e">
        <f t="shared" si="23"/>
        <v>#DIV/0!</v>
      </c>
      <c r="T262" s="19" t="e">
        <f t="shared" si="24"/>
        <v>#DIV/0!</v>
      </c>
    </row>
    <row r="263" spans="16:20" x14ac:dyDescent="0.25">
      <c r="P263" s="16">
        <f t="shared" si="20"/>
        <v>0</v>
      </c>
      <c r="Q263" s="19">
        <f t="shared" si="21"/>
        <v>0</v>
      </c>
      <c r="R263" s="19">
        <f t="shared" si="22"/>
        <v>1</v>
      </c>
      <c r="S263" s="19" t="e">
        <f t="shared" si="23"/>
        <v>#DIV/0!</v>
      </c>
      <c r="T263" s="19" t="e">
        <f t="shared" si="24"/>
        <v>#DIV/0!</v>
      </c>
    </row>
    <row r="264" spans="16:20" x14ac:dyDescent="0.25">
      <c r="P264" s="16">
        <f t="shared" si="20"/>
        <v>0</v>
      </c>
      <c r="Q264" s="19">
        <f t="shared" si="21"/>
        <v>0</v>
      </c>
      <c r="R264" s="19">
        <f t="shared" si="22"/>
        <v>1</v>
      </c>
      <c r="S264" s="19" t="e">
        <f t="shared" si="23"/>
        <v>#DIV/0!</v>
      </c>
      <c r="T264" s="19" t="e">
        <f t="shared" si="24"/>
        <v>#DIV/0!</v>
      </c>
    </row>
    <row r="265" spans="16:20" x14ac:dyDescent="0.25">
      <c r="P265" s="16">
        <f t="shared" si="20"/>
        <v>0</v>
      </c>
      <c r="Q265" s="19">
        <f t="shared" si="21"/>
        <v>0</v>
      </c>
      <c r="R265" s="19">
        <f t="shared" si="22"/>
        <v>1</v>
      </c>
      <c r="S265" s="19" t="e">
        <f t="shared" si="23"/>
        <v>#DIV/0!</v>
      </c>
      <c r="T265" s="19" t="e">
        <f t="shared" si="24"/>
        <v>#DIV/0!</v>
      </c>
    </row>
    <row r="266" spans="16:20" x14ac:dyDescent="0.25">
      <c r="P266" s="16">
        <f t="shared" si="20"/>
        <v>0</v>
      </c>
      <c r="Q266" s="19">
        <f t="shared" si="21"/>
        <v>0</v>
      </c>
      <c r="R266" s="19">
        <f t="shared" si="22"/>
        <v>1</v>
      </c>
      <c r="S266" s="19" t="e">
        <f t="shared" si="23"/>
        <v>#DIV/0!</v>
      </c>
      <c r="T266" s="19" t="e">
        <f t="shared" si="24"/>
        <v>#DIV/0!</v>
      </c>
    </row>
    <row r="267" spans="16:20" x14ac:dyDescent="0.25">
      <c r="P267" s="16">
        <f t="shared" si="20"/>
        <v>0</v>
      </c>
      <c r="Q267" s="19">
        <f t="shared" si="21"/>
        <v>0</v>
      </c>
      <c r="R267" s="19">
        <f t="shared" si="22"/>
        <v>1</v>
      </c>
      <c r="S267" s="19" t="e">
        <f t="shared" si="23"/>
        <v>#DIV/0!</v>
      </c>
      <c r="T267" s="19" t="e">
        <f t="shared" si="24"/>
        <v>#DIV/0!</v>
      </c>
    </row>
    <row r="268" spans="16:20" x14ac:dyDescent="0.25">
      <c r="P268" s="16">
        <f t="shared" si="20"/>
        <v>0</v>
      </c>
      <c r="Q268" s="19">
        <f t="shared" si="21"/>
        <v>0</v>
      </c>
      <c r="R268" s="19">
        <f t="shared" si="22"/>
        <v>1</v>
      </c>
      <c r="S268" s="19" t="e">
        <f t="shared" si="23"/>
        <v>#DIV/0!</v>
      </c>
      <c r="T268" s="19" t="e">
        <f t="shared" si="24"/>
        <v>#DIV/0!</v>
      </c>
    </row>
    <row r="269" spans="16:20" x14ac:dyDescent="0.25">
      <c r="P269" s="16">
        <f t="shared" si="20"/>
        <v>0</v>
      </c>
      <c r="Q269" s="19">
        <f t="shared" si="21"/>
        <v>0</v>
      </c>
      <c r="R269" s="19">
        <f t="shared" si="22"/>
        <v>1</v>
      </c>
      <c r="S269" s="19" t="e">
        <f t="shared" si="23"/>
        <v>#DIV/0!</v>
      </c>
      <c r="T269" s="19" t="e">
        <f t="shared" si="24"/>
        <v>#DIV/0!</v>
      </c>
    </row>
    <row r="270" spans="16:20" x14ac:dyDescent="0.25">
      <c r="P270" s="16">
        <f t="shared" si="20"/>
        <v>0</v>
      </c>
      <c r="Q270" s="19">
        <f t="shared" si="21"/>
        <v>0</v>
      </c>
      <c r="R270" s="19">
        <f t="shared" si="22"/>
        <v>1</v>
      </c>
      <c r="S270" s="19" t="e">
        <f t="shared" si="23"/>
        <v>#DIV/0!</v>
      </c>
      <c r="T270" s="19" t="e">
        <f t="shared" si="24"/>
        <v>#DIV/0!</v>
      </c>
    </row>
    <row r="271" spans="16:20" x14ac:dyDescent="0.25">
      <c r="P271" s="16">
        <f t="shared" si="20"/>
        <v>0</v>
      </c>
      <c r="Q271" s="19">
        <f t="shared" si="21"/>
        <v>0</v>
      </c>
      <c r="R271" s="19">
        <f t="shared" si="22"/>
        <v>1</v>
      </c>
      <c r="S271" s="19" t="e">
        <f t="shared" si="23"/>
        <v>#DIV/0!</v>
      </c>
      <c r="T271" s="19" t="e">
        <f t="shared" si="24"/>
        <v>#DIV/0!</v>
      </c>
    </row>
    <row r="272" spans="16:20" x14ac:dyDescent="0.25">
      <c r="P272" s="16">
        <f t="shared" si="20"/>
        <v>0</v>
      </c>
      <c r="Q272" s="19">
        <f t="shared" si="21"/>
        <v>0</v>
      </c>
      <c r="R272" s="19">
        <f t="shared" si="22"/>
        <v>1</v>
      </c>
      <c r="S272" s="19" t="e">
        <f t="shared" si="23"/>
        <v>#DIV/0!</v>
      </c>
      <c r="T272" s="19" t="e">
        <f t="shared" si="24"/>
        <v>#DIV/0!</v>
      </c>
    </row>
    <row r="273" spans="16:20" x14ac:dyDescent="0.25">
      <c r="P273" s="16">
        <f t="shared" si="20"/>
        <v>0</v>
      </c>
      <c r="Q273" s="19">
        <f t="shared" si="21"/>
        <v>0</v>
      </c>
      <c r="R273" s="19">
        <f t="shared" si="22"/>
        <v>1</v>
      </c>
      <c r="S273" s="19" t="e">
        <f t="shared" si="23"/>
        <v>#DIV/0!</v>
      </c>
      <c r="T273" s="19" t="e">
        <f t="shared" si="24"/>
        <v>#DIV/0!</v>
      </c>
    </row>
    <row r="274" spans="16:20" x14ac:dyDescent="0.25">
      <c r="P274" s="16">
        <f t="shared" si="20"/>
        <v>0</v>
      </c>
      <c r="Q274" s="19">
        <f t="shared" si="21"/>
        <v>0</v>
      </c>
      <c r="R274" s="19">
        <f t="shared" si="22"/>
        <v>1</v>
      </c>
      <c r="S274" s="19" t="e">
        <f t="shared" si="23"/>
        <v>#DIV/0!</v>
      </c>
      <c r="T274" s="19" t="e">
        <f t="shared" si="24"/>
        <v>#DIV/0!</v>
      </c>
    </row>
    <row r="275" spans="16:20" x14ac:dyDescent="0.25">
      <c r="P275" s="16">
        <f t="shared" si="20"/>
        <v>0</v>
      </c>
      <c r="Q275" s="19">
        <f t="shared" si="21"/>
        <v>0</v>
      </c>
      <c r="R275" s="19">
        <f t="shared" si="22"/>
        <v>1</v>
      </c>
      <c r="S275" s="19" t="e">
        <f t="shared" si="23"/>
        <v>#DIV/0!</v>
      </c>
      <c r="T275" s="19" t="e">
        <f t="shared" si="24"/>
        <v>#DIV/0!</v>
      </c>
    </row>
    <row r="276" spans="16:20" x14ac:dyDescent="0.25">
      <c r="P276" s="16">
        <f t="shared" si="20"/>
        <v>0</v>
      </c>
      <c r="Q276" s="19">
        <f t="shared" si="21"/>
        <v>0</v>
      </c>
      <c r="R276" s="19">
        <f t="shared" si="22"/>
        <v>1</v>
      </c>
      <c r="S276" s="19" t="e">
        <f t="shared" si="23"/>
        <v>#DIV/0!</v>
      </c>
      <c r="T276" s="19" t="e">
        <f t="shared" si="24"/>
        <v>#DIV/0!</v>
      </c>
    </row>
    <row r="277" spans="16:20" x14ac:dyDescent="0.25">
      <c r="P277" s="16">
        <f t="shared" si="20"/>
        <v>0</v>
      </c>
      <c r="Q277" s="19">
        <f t="shared" si="21"/>
        <v>0</v>
      </c>
      <c r="R277" s="19">
        <f t="shared" si="22"/>
        <v>1</v>
      </c>
      <c r="S277" s="19" t="e">
        <f t="shared" si="23"/>
        <v>#DIV/0!</v>
      </c>
      <c r="T277" s="19" t="e">
        <f t="shared" si="24"/>
        <v>#DIV/0!</v>
      </c>
    </row>
    <row r="278" spans="16:20" x14ac:dyDescent="0.25">
      <c r="P278" s="16">
        <f t="shared" si="20"/>
        <v>0</v>
      </c>
      <c r="Q278" s="19">
        <f t="shared" si="21"/>
        <v>0</v>
      </c>
      <c r="R278" s="19">
        <f t="shared" si="22"/>
        <v>1</v>
      </c>
      <c r="S278" s="19" t="e">
        <f t="shared" si="23"/>
        <v>#DIV/0!</v>
      </c>
      <c r="T278" s="19" t="e">
        <f t="shared" si="24"/>
        <v>#DIV/0!</v>
      </c>
    </row>
    <row r="279" spans="16:20" x14ac:dyDescent="0.25">
      <c r="P279" s="16">
        <f t="shared" si="20"/>
        <v>0</v>
      </c>
      <c r="Q279" s="19">
        <f t="shared" si="21"/>
        <v>0</v>
      </c>
      <c r="R279" s="19">
        <f t="shared" si="22"/>
        <v>1</v>
      </c>
      <c r="S279" s="19" t="e">
        <f t="shared" si="23"/>
        <v>#DIV/0!</v>
      </c>
      <c r="T279" s="19" t="e">
        <f t="shared" si="24"/>
        <v>#DIV/0!</v>
      </c>
    </row>
    <row r="280" spans="16:20" x14ac:dyDescent="0.25">
      <c r="P280" s="16">
        <f t="shared" si="20"/>
        <v>0</v>
      </c>
      <c r="Q280" s="19">
        <f t="shared" si="21"/>
        <v>0</v>
      </c>
      <c r="R280" s="19">
        <f t="shared" si="22"/>
        <v>1</v>
      </c>
      <c r="S280" s="19" t="e">
        <f t="shared" si="23"/>
        <v>#DIV/0!</v>
      </c>
      <c r="T280" s="19" t="e">
        <f t="shared" si="24"/>
        <v>#DIV/0!</v>
      </c>
    </row>
    <row r="281" spans="16:20" x14ac:dyDescent="0.25">
      <c r="P281" s="16">
        <f t="shared" si="20"/>
        <v>0</v>
      </c>
      <c r="Q281" s="19">
        <f t="shared" si="21"/>
        <v>0</v>
      </c>
      <c r="R281" s="19">
        <f t="shared" si="22"/>
        <v>1</v>
      </c>
      <c r="S281" s="19" t="e">
        <f t="shared" si="23"/>
        <v>#DIV/0!</v>
      </c>
      <c r="T281" s="19" t="e">
        <f t="shared" si="24"/>
        <v>#DIV/0!</v>
      </c>
    </row>
    <row r="282" spans="16:20" x14ac:dyDescent="0.25">
      <c r="P282" s="16">
        <f t="shared" si="20"/>
        <v>0</v>
      </c>
      <c r="Q282" s="19">
        <f t="shared" si="21"/>
        <v>0</v>
      </c>
      <c r="R282" s="19">
        <f t="shared" si="22"/>
        <v>1</v>
      </c>
      <c r="S282" s="19" t="e">
        <f t="shared" si="23"/>
        <v>#DIV/0!</v>
      </c>
      <c r="T282" s="19" t="e">
        <f t="shared" si="24"/>
        <v>#DIV/0!</v>
      </c>
    </row>
    <row r="283" spans="16:20" x14ac:dyDescent="0.25">
      <c r="P283" s="16">
        <f t="shared" si="20"/>
        <v>0</v>
      </c>
      <c r="Q283" s="19">
        <f t="shared" si="21"/>
        <v>0</v>
      </c>
      <c r="R283" s="19">
        <f t="shared" si="22"/>
        <v>1</v>
      </c>
      <c r="S283" s="19" t="e">
        <f t="shared" si="23"/>
        <v>#DIV/0!</v>
      </c>
      <c r="T283" s="19" t="e">
        <f t="shared" si="24"/>
        <v>#DIV/0!</v>
      </c>
    </row>
    <row r="284" spans="16:20" x14ac:dyDescent="0.25">
      <c r="P284" s="16">
        <f t="shared" si="20"/>
        <v>0</v>
      </c>
      <c r="Q284" s="19">
        <f t="shared" si="21"/>
        <v>0</v>
      </c>
      <c r="R284" s="19">
        <f t="shared" si="22"/>
        <v>1</v>
      </c>
      <c r="S284" s="19" t="e">
        <f t="shared" si="23"/>
        <v>#DIV/0!</v>
      </c>
      <c r="T284" s="19" t="e">
        <f t="shared" si="24"/>
        <v>#DIV/0!</v>
      </c>
    </row>
    <row r="285" spans="16:20" x14ac:dyDescent="0.25">
      <c r="P285" s="16">
        <f t="shared" si="20"/>
        <v>0</v>
      </c>
      <c r="Q285" s="19">
        <f t="shared" si="21"/>
        <v>0</v>
      </c>
      <c r="R285" s="19">
        <f t="shared" si="22"/>
        <v>1</v>
      </c>
      <c r="S285" s="19" t="e">
        <f t="shared" si="23"/>
        <v>#DIV/0!</v>
      </c>
      <c r="T285" s="19" t="e">
        <f t="shared" si="24"/>
        <v>#DIV/0!</v>
      </c>
    </row>
    <row r="286" spans="16:20" x14ac:dyDescent="0.25">
      <c r="P286" s="16">
        <f t="shared" si="20"/>
        <v>0</v>
      </c>
      <c r="Q286" s="19">
        <f t="shared" si="21"/>
        <v>0</v>
      </c>
      <c r="R286" s="19">
        <f t="shared" si="22"/>
        <v>1</v>
      </c>
      <c r="S286" s="19" t="e">
        <f t="shared" si="23"/>
        <v>#DIV/0!</v>
      </c>
      <c r="T286" s="19" t="e">
        <f t="shared" si="24"/>
        <v>#DIV/0!</v>
      </c>
    </row>
    <row r="287" spans="16:20" x14ac:dyDescent="0.25">
      <c r="P287" s="16">
        <f t="shared" si="20"/>
        <v>0</v>
      </c>
      <c r="Q287" s="19">
        <f t="shared" si="21"/>
        <v>0</v>
      </c>
      <c r="R287" s="19">
        <f t="shared" si="22"/>
        <v>1</v>
      </c>
      <c r="S287" s="19" t="e">
        <f t="shared" si="23"/>
        <v>#DIV/0!</v>
      </c>
      <c r="T287" s="19" t="e">
        <f t="shared" si="24"/>
        <v>#DIV/0!</v>
      </c>
    </row>
    <row r="288" spans="16:20" x14ac:dyDescent="0.25">
      <c r="P288" s="16">
        <f t="shared" si="20"/>
        <v>0</v>
      </c>
      <c r="Q288" s="19">
        <f t="shared" si="21"/>
        <v>0</v>
      </c>
      <c r="R288" s="19">
        <f t="shared" si="22"/>
        <v>1</v>
      </c>
      <c r="S288" s="19" t="e">
        <f t="shared" si="23"/>
        <v>#DIV/0!</v>
      </c>
      <c r="T288" s="19" t="e">
        <f t="shared" si="24"/>
        <v>#DIV/0!</v>
      </c>
    </row>
    <row r="289" spans="16:20" x14ac:dyDescent="0.25">
      <c r="P289" s="16">
        <f t="shared" si="20"/>
        <v>0</v>
      </c>
      <c r="Q289" s="19">
        <f t="shared" si="21"/>
        <v>0</v>
      </c>
      <c r="R289" s="19">
        <f t="shared" si="22"/>
        <v>1</v>
      </c>
      <c r="S289" s="19" t="e">
        <f t="shared" si="23"/>
        <v>#DIV/0!</v>
      </c>
      <c r="T289" s="19" t="e">
        <f t="shared" si="24"/>
        <v>#DIV/0!</v>
      </c>
    </row>
    <row r="290" spans="16:20" x14ac:dyDescent="0.25">
      <c r="P290" s="16">
        <f t="shared" si="20"/>
        <v>0</v>
      </c>
      <c r="Q290" s="19">
        <f t="shared" si="21"/>
        <v>0</v>
      </c>
      <c r="R290" s="19">
        <f t="shared" si="22"/>
        <v>1</v>
      </c>
      <c r="S290" s="19" t="e">
        <f t="shared" si="23"/>
        <v>#DIV/0!</v>
      </c>
      <c r="T290" s="19" t="e">
        <f t="shared" si="24"/>
        <v>#DIV/0!</v>
      </c>
    </row>
  </sheetData>
  <autoFilter ref="A1:T290">
    <sortState ref="A2:T290">
      <sortCondition descending="1" ref="A1:A290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P21"/>
  <sheetViews>
    <sheetView workbookViewId="0">
      <selection activeCell="F18" sqref="F18"/>
    </sheetView>
  </sheetViews>
  <sheetFormatPr defaultRowHeight="15" x14ac:dyDescent="0.25"/>
  <cols>
    <col min="1" max="1" width="9.140625" customWidth="1"/>
    <col min="2" max="2" width="21.42578125" customWidth="1"/>
    <col min="3" max="4" width="21.5703125" customWidth="1"/>
    <col min="5" max="5" width="9.140625" customWidth="1"/>
    <col min="6" max="6" width="12.140625" bestFit="1" customWidth="1"/>
    <col min="7" max="10" width="9.140625" customWidth="1"/>
    <col min="11" max="11" width="35.42578125" bestFit="1" customWidth="1"/>
    <col min="12" max="12" width="16.140625" bestFit="1" customWidth="1"/>
    <col min="13" max="13" width="9.140625" customWidth="1"/>
    <col min="14" max="14" width="17.5703125" bestFit="1" customWidth="1"/>
    <col min="15" max="15" width="9.140625" customWidth="1"/>
    <col min="16" max="16" width="19.140625" bestFit="1" customWidth="1"/>
    <col min="17" max="17" width="9.140625" customWidth="1"/>
    <col min="18" max="18" width="8.85546875" customWidth="1"/>
    <col min="19" max="19" width="34.42578125" customWidth="1"/>
    <col min="20" max="20" width="58" customWidth="1"/>
  </cols>
  <sheetData>
    <row r="2" spans="1:16" ht="60.75" x14ac:dyDescent="0.85">
      <c r="A2" s="28" t="s">
        <v>2</v>
      </c>
      <c r="B2" s="28"/>
      <c r="C2" s="28"/>
      <c r="D2" s="28"/>
      <c r="E2" s="28"/>
      <c r="F2" s="28"/>
      <c r="G2" s="28"/>
      <c r="H2" s="28"/>
      <c r="I2" s="28"/>
      <c r="J2" s="28"/>
      <c r="K2" s="28"/>
    </row>
    <row r="6" spans="1:16" x14ac:dyDescent="0.25">
      <c r="N6" s="2"/>
    </row>
    <row r="7" spans="1:16" ht="15.75" thickBot="1" x14ac:dyDescent="0.3"/>
    <row r="8" spans="1:16" ht="19.5" thickBot="1" x14ac:dyDescent="0.35">
      <c r="C8" s="3"/>
      <c r="P8" s="1"/>
    </row>
    <row r="9" spans="1:16" ht="24" thickBot="1" x14ac:dyDescent="0.4">
      <c r="C9" s="4"/>
    </row>
    <row r="10" spans="1:16" ht="19.5" thickBot="1" x14ac:dyDescent="0.35">
      <c r="C10" s="5"/>
      <c r="F10" t="s">
        <v>8</v>
      </c>
      <c r="H10">
        <v>1</v>
      </c>
      <c r="J10">
        <v>1</v>
      </c>
      <c r="M10" s="1"/>
      <c r="N10" t="s">
        <v>27</v>
      </c>
      <c r="P10" t="s">
        <v>9</v>
      </c>
    </row>
    <row r="11" spans="1:16" x14ac:dyDescent="0.25">
      <c r="H11">
        <v>2</v>
      </c>
      <c r="J11">
        <v>2</v>
      </c>
      <c r="L11" t="s">
        <v>14</v>
      </c>
      <c r="N11" t="s">
        <v>28</v>
      </c>
      <c r="P11" t="s">
        <v>5</v>
      </c>
    </row>
    <row r="12" spans="1:16" x14ac:dyDescent="0.25">
      <c r="H12">
        <v>3</v>
      </c>
      <c r="J12">
        <v>3</v>
      </c>
      <c r="L12" t="s">
        <v>15</v>
      </c>
      <c r="N12" t="s">
        <v>29</v>
      </c>
      <c r="P12" t="s">
        <v>7</v>
      </c>
    </row>
    <row r="13" spans="1:16" x14ac:dyDescent="0.25">
      <c r="H13">
        <v>4</v>
      </c>
      <c r="J13">
        <v>4</v>
      </c>
      <c r="P13" t="s">
        <v>10</v>
      </c>
    </row>
    <row r="14" spans="1:16" x14ac:dyDescent="0.25">
      <c r="H14">
        <v>5</v>
      </c>
      <c r="P14" t="s">
        <v>11</v>
      </c>
    </row>
    <row r="15" spans="1:16" x14ac:dyDescent="0.25">
      <c r="H15">
        <v>6</v>
      </c>
      <c r="P15" t="s">
        <v>12</v>
      </c>
    </row>
    <row r="16" spans="1:16" x14ac:dyDescent="0.25">
      <c r="H16">
        <v>7</v>
      </c>
      <c r="P16" t="s">
        <v>13</v>
      </c>
    </row>
    <row r="17" spans="8:16" x14ac:dyDescent="0.25">
      <c r="H17">
        <v>8</v>
      </c>
      <c r="P17" t="s">
        <v>6</v>
      </c>
    </row>
    <row r="18" spans="8:16" x14ac:dyDescent="0.25">
      <c r="H18">
        <v>9</v>
      </c>
      <c r="P18" t="s">
        <v>4</v>
      </c>
    </row>
    <row r="19" spans="8:16" x14ac:dyDescent="0.25">
      <c r="P19" t="s">
        <v>16</v>
      </c>
    </row>
    <row r="20" spans="8:16" x14ac:dyDescent="0.25">
      <c r="P20" t="s">
        <v>25</v>
      </c>
    </row>
    <row r="21" spans="8:16" x14ac:dyDescent="0.25">
      <c r="P21" t="s">
        <v>26</v>
      </c>
    </row>
  </sheetData>
  <mergeCells count="1">
    <mergeCell ref="A2:K2"/>
  </mergeCells>
  <dataValidations count="1">
    <dataValidation type="list" allowBlank="1" showInputMessage="1" showErrorMessage="1" sqref="C9">
      <formula1>#N/A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E3E8E41-6060-480D-B6FD-922666FDB3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Marwood</cp:lastModifiedBy>
  <dcterms:created xsi:type="dcterms:W3CDTF">2015-06-05T18:19:34Z</dcterms:created>
  <dcterms:modified xsi:type="dcterms:W3CDTF">2026-02-16T06:15:59Z</dcterms:modified>
</cp:coreProperties>
</file>