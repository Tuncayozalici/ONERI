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BuÇalışmaKitabı" defaultThemeVersion="164011"/>
  <mc:AlternateContent xmlns:mc="http://schemas.openxmlformats.org/markup-compatibility/2006">
    <mc:Choice Requires="x15">
      <x15ac:absPath xmlns:x15ac="http://schemas.microsoft.com/office/spreadsheetml/2010/11/ac" url="\\MarwoodNas\Üretim\ÜRETİM VERİLERİ\PANEL GÜNLÜK VERİLER\"/>
    </mc:Choice>
  </mc:AlternateContent>
  <bookViews>
    <workbookView xWindow="-120" yWindow="-120" windowWidth="29040" windowHeight="15720" activeTab="1"/>
  </bookViews>
  <sheets>
    <sheet name="VERİ GİRİŞ" sheetId="1" r:id="rId1"/>
    <sheet name="GİRDİ RAPORU" sheetId="3" r:id="rId2"/>
    <sheet name="AYARLAR" sheetId="6" state="hidden" r:id="rId3"/>
  </sheets>
  <definedNames>
    <definedName name="_xlnm._FilterDatabase" localSheetId="1" hidden="1">'GİRDİ RAPORU'!$A$1:$M$1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" i="1" l="1"/>
</calcChain>
</file>

<file path=xl/sharedStrings.xml><?xml version="1.0" encoding="utf-8"?>
<sst xmlns="http://schemas.openxmlformats.org/spreadsheetml/2006/main" count="272" uniqueCount="89">
  <si>
    <t>TARİH</t>
  </si>
  <si>
    <t>KİŞİ SAYISI</t>
  </si>
  <si>
    <t>PARÇA ADETİ</t>
  </si>
  <si>
    <t>AYARLAR</t>
  </si>
  <si>
    <t>SÜRE(dk)</t>
  </si>
  <si>
    <t>TEZGAH ÜRÜNLERİ</t>
  </si>
  <si>
    <t>SÜRE(DK)</t>
  </si>
  <si>
    <t>AÇIKLAMA</t>
  </si>
  <si>
    <t>Keson Grupları</t>
  </si>
  <si>
    <t>Kalınlaştırma</t>
  </si>
  <si>
    <t>ELEKTRİK KESİLMESİ</t>
  </si>
  <si>
    <t>İŞ BEKLEME</t>
  </si>
  <si>
    <t>KOMPRASÖR ARIZASI</t>
  </si>
  <si>
    <t>TEMİZLİK</t>
  </si>
  <si>
    <t>PERSONEL BEKLEME</t>
  </si>
  <si>
    <t>HAMMADDE EKSİKLİĞİ</t>
  </si>
  <si>
    <t>HAZIRLIK</t>
  </si>
  <si>
    <t>Major</t>
  </si>
  <si>
    <t>Fly</t>
  </si>
  <si>
    <t>Eva</t>
  </si>
  <si>
    <t>Viyana</t>
  </si>
  <si>
    <t>Loft</t>
  </si>
  <si>
    <t>Regal</t>
  </si>
  <si>
    <t>Ottoman</t>
  </si>
  <si>
    <t>Atlas</t>
  </si>
  <si>
    <t>Space Masa Konsol</t>
  </si>
  <si>
    <t>Pratik Konsol Tekli</t>
  </si>
  <si>
    <t>Silver Keson</t>
  </si>
  <si>
    <t>Platin Keson</t>
  </si>
  <si>
    <t>Salva Keson</t>
  </si>
  <si>
    <t>Sydney Keson</t>
  </si>
  <si>
    <t>Safir Keson</t>
  </si>
  <si>
    <t>DURAKLAMA</t>
  </si>
  <si>
    <t>İstasyondan İş Bek.</t>
  </si>
  <si>
    <t>ÇALIŞMA KOŞULU</t>
  </si>
  <si>
    <t>Normal Mesai</t>
  </si>
  <si>
    <t>Fazla Mesai</t>
  </si>
  <si>
    <t>Vardiya</t>
  </si>
  <si>
    <t>Tin Keson</t>
  </si>
  <si>
    <t>Tin Etejer</t>
  </si>
  <si>
    <t>Zeta Keson</t>
  </si>
  <si>
    <t>Silver Etejer</t>
  </si>
  <si>
    <t>Miraç Keson</t>
  </si>
  <si>
    <t>Breze Keson</t>
  </si>
  <si>
    <t>KAYIP SÜRE NEDENİ 1</t>
  </si>
  <si>
    <t>KAYIP ZAMAN 1 (dk)</t>
  </si>
  <si>
    <t>KAYIP SÜRE NEDENİ 2</t>
  </si>
  <si>
    <t>KAYIP ZAMAN 2 (dk)</t>
  </si>
  <si>
    <t>KAYIP SÜRE NEDENİ 3</t>
  </si>
  <si>
    <t>KAYIP ZAMAN 3 (dk)</t>
  </si>
  <si>
    <t>OEE</t>
  </si>
  <si>
    <t>KAYIP SÜRE 1(dk)</t>
  </si>
  <si>
    <t>KAYIP SÜRE 2(dk)</t>
  </si>
  <si>
    <t>KAYIP SÜRE 3(dk)</t>
  </si>
  <si>
    <t>karışık parçalar</t>
  </si>
  <si>
    <t>parça</t>
  </si>
  <si>
    <t xml:space="preserve"> </t>
  </si>
  <si>
    <t>karma barça</t>
  </si>
  <si>
    <t>karışık kesonlar</t>
  </si>
  <si>
    <t>hazırlık</t>
  </si>
  <si>
    <t>denizbank konsol</t>
  </si>
  <si>
    <t>CAM ÇERÇEVE</t>
  </si>
  <si>
    <t>karma keson</t>
  </si>
  <si>
    <t>Karma Parça</t>
  </si>
  <si>
    <t>KARMA KESONLAR</t>
  </si>
  <si>
    <t>Özel Keson Hazırlıkları</t>
  </si>
  <si>
    <t>Özel Keson</t>
  </si>
  <si>
    <t>Karma Keson</t>
  </si>
  <si>
    <t>Denizbank Konsol</t>
  </si>
  <si>
    <t>Ziraat Bank Konsol</t>
  </si>
  <si>
    <t>Riva Banko</t>
  </si>
  <si>
    <t>Golf Banko</t>
  </si>
  <si>
    <t>Zeta Masa</t>
  </si>
  <si>
    <t>Pratik Etejer</t>
  </si>
  <si>
    <t>Planet Konsol</t>
  </si>
  <si>
    <t>Trio Perde</t>
  </si>
  <si>
    <t>Trio Konsol Altı</t>
  </si>
  <si>
    <t>Kayra Masa</t>
  </si>
  <si>
    <t>Kayra Konsol</t>
  </si>
  <si>
    <t>Work Konsol</t>
  </si>
  <si>
    <t>Geo Konsol</t>
  </si>
  <si>
    <t>Elit Masa</t>
  </si>
  <si>
    <t>Elit Etejer</t>
  </si>
  <si>
    <t>Elit Sehpa</t>
  </si>
  <si>
    <t>Majör Dolap Altı</t>
  </si>
  <si>
    <t>Profil Çerçeve Kapak</t>
  </si>
  <si>
    <t>Motto Konsol Alt Üst</t>
  </si>
  <si>
    <t xml:space="preserve">Valens Çekmece </t>
  </si>
  <si>
    <t>Valens Konsol Üst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</si>
</sst>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1F]d\ mmmm\ yyyy\ h:mm;@"/>
    <numFmt numFmtId="165" formatCode="0.0"/>
    <numFmt numFmtId="166" formatCode="[$-F800]dddd\,\ mmmm\ dd\,\ yyyy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Arial Rounded MT Bold"/>
      <family val="2"/>
    </font>
    <font>
      <sz val="14"/>
      <color theme="1"/>
      <name val="Arial Rounded MT Bold"/>
      <family val="2"/>
    </font>
    <font>
      <b/>
      <i/>
      <u/>
      <sz val="16"/>
      <color theme="1"/>
      <name val="Arial Narrow"/>
      <family val="2"/>
      <charset val="162"/>
    </font>
    <font>
      <sz val="24"/>
      <color theme="1"/>
      <name val="Calibri"/>
      <family val="2"/>
      <scheme val="minor"/>
    </font>
    <font>
      <b/>
      <u/>
      <sz val="12"/>
      <color theme="1"/>
      <name val="Arial Black"/>
      <family val="2"/>
      <charset val="162"/>
    </font>
    <font>
      <sz val="48"/>
      <color theme="1"/>
      <name val="Bodoni MT Black"/>
      <family val="1"/>
    </font>
    <font>
      <b/>
      <sz val="12"/>
      <color theme="1"/>
      <name val="Calibri"/>
      <family val="2"/>
      <charset val="162"/>
      <scheme val="minor"/>
    </font>
    <font>
      <i/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99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164" fontId="5" fillId="5" borderId="1" xfId="0" applyNumberFormat="1" applyFont="1" applyFill="1" applyBorder="1" applyAlignment="1">
      <alignment horizontal="center"/>
    </xf>
    <xf numFmtId="0" fontId="0" fillId="0" borderId="0" xfId="0" applyAlignment="1">
      <alignment wrapText="1"/>
    </xf>
    <xf numFmtId="164" fontId="7" fillId="0" borderId="0" xfId="0" applyNumberFormat="1" applyFont="1"/>
    <xf numFmtId="0" fontId="7" fillId="0" borderId="0" xfId="0" applyFont="1"/>
    <xf numFmtId="165" fontId="7" fillId="0" borderId="0" xfId="0" applyNumberFormat="1" applyFont="1" applyAlignment="1">
      <alignment horizontal="center"/>
    </xf>
    <xf numFmtId="0" fontId="0" fillId="2" borderId="0" xfId="0" applyFill="1" applyProtection="1">
      <protection locked="0"/>
    </xf>
    <xf numFmtId="0" fontId="0" fillId="3" borderId="0" xfId="0" applyFill="1" applyProtection="1">
      <protection locked="0"/>
    </xf>
    <xf numFmtId="0" fontId="5" fillId="5" borderId="1" xfId="0" applyFont="1" applyFill="1" applyBorder="1" applyAlignment="1">
      <alignment horizontal="center"/>
    </xf>
    <xf numFmtId="0" fontId="0" fillId="6" borderId="3" xfId="0" applyFill="1" applyBorder="1"/>
    <xf numFmtId="0" fontId="3" fillId="3" borderId="0" xfId="0" applyFont="1" applyFill="1" applyProtection="1">
      <protection locked="0"/>
    </xf>
    <xf numFmtId="0" fontId="3" fillId="3" borderId="0" xfId="0" applyFont="1" applyFill="1" applyAlignment="1">
      <alignment horizontal="right"/>
    </xf>
    <xf numFmtId="22" fontId="2" fillId="4" borderId="2" xfId="0" applyNumberFormat="1" applyFont="1" applyFill="1" applyBorder="1" applyAlignment="1">
      <alignment horizontal="left" vertical="center"/>
    </xf>
    <xf numFmtId="0" fontId="1" fillId="7" borderId="2" xfId="0" applyFont="1" applyFill="1" applyBorder="1" applyProtection="1">
      <protection locked="0"/>
    </xf>
    <xf numFmtId="0" fontId="0" fillId="0" borderId="3" xfId="0" applyBorder="1"/>
    <xf numFmtId="0" fontId="0" fillId="0" borderId="0" xfId="0" applyProtection="1">
      <protection locked="0"/>
    </xf>
    <xf numFmtId="0" fontId="1" fillId="2" borderId="2" xfId="0" applyFont="1" applyFill="1" applyBorder="1" applyProtection="1">
      <protection locked="0"/>
    </xf>
    <xf numFmtId="0" fontId="8" fillId="2" borderId="2" xfId="0" applyFont="1" applyFill="1" applyBorder="1" applyProtection="1">
      <protection locked="0"/>
    </xf>
    <xf numFmtId="0" fontId="5" fillId="5" borderId="4" xfId="0" applyFont="1" applyFill="1" applyBorder="1" applyAlignment="1">
      <alignment horizontal="center"/>
    </xf>
    <xf numFmtId="166" fontId="7" fillId="0" borderId="0" xfId="0" applyNumberFormat="1" applyFont="1" applyAlignment="1">
      <alignment horizontal="right"/>
    </xf>
    <xf numFmtId="0" fontId="9" fillId="0" borderId="3" xfId="0" applyFont="1" applyBorder="1"/>
    <xf numFmtId="0" fontId="4" fillId="2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999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1371599</xdr:colOff>
      <xdr:row>16</xdr:row>
      <xdr:rowOff>180974</xdr:rowOff>
    </xdr:from>
    <xdr:to>
      <xdr:col>4</xdr:col>
      <xdr:colOff>1390649</xdr:colOff>
      <xdr:row>18</xdr:row>
      <xdr:rowOff>76199</xdr:rowOff>
    </xdr:to>
    <xdr:sp macro="[0]!Module1.Kaydet" textlink="">
      <xdr:nvSpPr>
        <xdr:cNvPr id="3" name="Yuvarlatılmış Dikdört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00399" y="4419599"/>
          <a:ext cx="2124075" cy="790575"/>
        </a:xfrm>
        <a:prstGeom prst="roundRect">
          <a:avLst/>
        </a:prstGeom>
        <a:ln w="38100">
          <a:solidFill>
            <a:schemeClr val="bg1"/>
          </a:solidFill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1100"/>
            <a:t>                              </a:t>
          </a:r>
        </a:p>
        <a:p>
          <a:pPr algn="l"/>
          <a:r>
            <a:rPr lang="tr-TR" sz="1100"/>
            <a:t>         </a:t>
          </a:r>
          <a:r>
            <a:rPr lang="tr-TR" sz="2800" b="0">
              <a:solidFill>
                <a:schemeClr val="lt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  <a:sym typeface="Wingdings" panose="05000000000000000000" pitchFamily="2" charset="2"/>
            </a:rPr>
            <a:t></a:t>
          </a:r>
          <a:r>
            <a:rPr lang="tr-TR" sz="2400"/>
            <a:t>  </a:t>
          </a:r>
          <a:r>
            <a:rPr lang="tr-TR" sz="1100"/>
            <a:t>      </a:t>
          </a:r>
          <a:r>
            <a:rPr lang="tr-TR" sz="2200" b="1">
              <a:latin typeface="Arial Black" panose="020B0A04020102020204" pitchFamily="34" charset="0"/>
            </a:rPr>
            <a:t>KAYDET</a:t>
          </a:r>
        </a:p>
      </xdr:txBody>
    </xdr:sp>
    <xdr:clientData/>
  </xdr:twoCellAnchor>
  <xdr:twoCellAnchor>
    <xdr:from>
      <xdr:col>3</xdr:col>
      <xdr:colOff>38100</xdr:colOff>
      <xdr:row>0</xdr:row>
      <xdr:rowOff>76200</xdr:rowOff>
    </xdr:from>
    <xdr:to>
      <xdr:col>5</xdr:col>
      <xdr:colOff>28575</xdr:colOff>
      <xdr:row>1</xdr:row>
      <xdr:rowOff>95249</xdr:rowOff>
    </xdr:to>
    <xdr:sp macro="" textlink="">
      <xdr:nvSpPr>
        <xdr:cNvPr id="7" name="Yuvarlatılmış Dikdört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866900" y="76200"/>
          <a:ext cx="3752850" cy="723899"/>
        </a:xfrm>
        <a:prstGeom prst="roundRect">
          <a:avLst/>
        </a:prstGeom>
        <a:gradFill flip="none" rotWithShape="1">
          <a:gsLst>
            <a:gs pos="0">
              <a:schemeClr val="bg1">
                <a:lumMod val="75000"/>
                <a:shade val="30000"/>
                <a:satMod val="115000"/>
              </a:schemeClr>
            </a:gs>
            <a:gs pos="50000">
              <a:schemeClr val="bg1">
                <a:lumMod val="75000"/>
                <a:shade val="67500"/>
                <a:satMod val="115000"/>
              </a:schemeClr>
            </a:gs>
            <a:gs pos="100000">
              <a:schemeClr val="bg1">
                <a:lumMod val="75000"/>
                <a:shade val="100000"/>
                <a:satMod val="115000"/>
              </a:schemeClr>
            </a:gs>
          </a:gsLst>
          <a:lin ang="2700000" scaled="1"/>
          <a:tileRect/>
        </a:gradFill>
        <a:ln w="19050">
          <a:solidFill>
            <a:schemeClr val="tx1"/>
          </a:solidFill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tr-TR" sz="2800"/>
            <a:t>                </a:t>
          </a:r>
          <a:r>
            <a:rPr lang="tr-TR" sz="2800" b="1">
              <a:solidFill>
                <a:schemeClr val="tx1"/>
              </a:solidFill>
            </a:rPr>
            <a:t>VERİ GİRİŞ EKRANI</a:t>
          </a:r>
        </a:p>
      </xdr:txBody>
    </xdr:sp>
    <xdr:clientData/>
  </xdr:twoCellAnchor>
  <xdr:twoCellAnchor>
    <xdr:from>
      <xdr:col>3</xdr:col>
      <xdr:colOff>30480</xdr:colOff>
      <xdr:row>3</xdr:row>
      <xdr:rowOff>175260</xdr:rowOff>
    </xdr:from>
    <xdr:to>
      <xdr:col>3</xdr:col>
      <xdr:colOff>1386840</xdr:colOff>
      <xdr:row>6</xdr:row>
      <xdr:rowOff>60960</xdr:rowOff>
    </xdr:to>
    <xdr:sp macro="" textlink="">
      <xdr:nvSpPr>
        <xdr:cNvPr id="5" name="Ok: Şeritli Sağ 4">
          <a:extLst>
            <a:ext uri="{FF2B5EF4-FFF2-40B4-BE49-F238E27FC236}">
              <a16:creationId xmlns:a16="http://schemas.microsoft.com/office/drawing/2014/main" id="{1A2FF63C-EA51-304D-77C0-1FED07303674}"/>
            </a:ext>
          </a:extLst>
        </xdr:cNvPr>
        <xdr:cNvSpPr/>
      </xdr:nvSpPr>
      <xdr:spPr>
        <a:xfrm>
          <a:off x="1905000" y="1249680"/>
          <a:ext cx="1356360" cy="1211580"/>
        </a:xfrm>
        <a:prstGeom prst="striped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900"/>
            <a:t>DEĞER</a:t>
          </a:r>
          <a:r>
            <a:rPr lang="tr-TR" sz="900" baseline="0"/>
            <a:t> OTOMATİK GİRİLCEK </a:t>
          </a:r>
          <a:endParaRPr lang="tr-TR" sz="900"/>
        </a:p>
      </xdr:txBody>
    </xdr:sp>
    <xdr:clientData/>
  </xdr:twoCellAnchor>
  <xdr:oneCellAnchor>
    <xdr:from>
      <xdr:col>3</xdr:col>
      <xdr:colOff>1219200</xdr:colOff>
      <xdr:row>4</xdr:row>
      <xdr:rowOff>228600</xdr:rowOff>
    </xdr:from>
    <xdr:ext cx="184731" cy="264560"/>
    <xdr:sp macro="" textlink="">
      <xdr:nvSpPr>
        <xdr:cNvPr id="8" name="Metin kutusu 7">
          <a:extLst>
            <a:ext uri="{FF2B5EF4-FFF2-40B4-BE49-F238E27FC236}">
              <a16:creationId xmlns:a16="http://schemas.microsoft.com/office/drawing/2014/main" id="{837924D7-C423-8E07-9EAF-6C647B60B84A}"/>
            </a:ext>
          </a:extLst>
        </xdr:cNvPr>
        <xdr:cNvSpPr txBox="1"/>
      </xdr:nvSpPr>
      <xdr:spPr>
        <a:xfrm>
          <a:off x="3093720" y="174498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tr-TR" sz="1100"/>
        </a:p>
      </xdr:txBody>
    </xdr:sp>
    <xdr:clientData/>
  </xdr:oneCellAnchor>
  <xdr:twoCellAnchor>
    <xdr:from>
      <xdr:col>2</xdr:col>
      <xdr:colOff>593912</xdr:colOff>
      <xdr:row>9</xdr:row>
      <xdr:rowOff>350522</xdr:rowOff>
    </xdr:from>
    <xdr:to>
      <xdr:col>3</xdr:col>
      <xdr:colOff>1266265</xdr:colOff>
      <xdr:row>12</xdr:row>
      <xdr:rowOff>291355</xdr:rowOff>
    </xdr:to>
    <xdr:sp macro="" textlink="">
      <xdr:nvSpPr>
        <xdr:cNvPr id="9" name="Ok: Şeritli Sağ 8">
          <a:extLst>
            <a:ext uri="{FF2B5EF4-FFF2-40B4-BE49-F238E27FC236}">
              <a16:creationId xmlns:a16="http://schemas.microsoft.com/office/drawing/2014/main" id="{60101CD8-E2F9-1214-26BB-220827898775}"/>
            </a:ext>
          </a:extLst>
        </xdr:cNvPr>
        <xdr:cNvSpPr/>
      </xdr:nvSpPr>
      <xdr:spPr>
        <a:xfrm>
          <a:off x="1804147" y="4138110"/>
          <a:ext cx="1277471" cy="1285539"/>
        </a:xfrm>
        <a:prstGeom prst="stripedRightArrow">
          <a:avLst>
            <a:gd name="adj1" fmla="val 50000"/>
            <a:gd name="adj2" fmla="val 53353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tr-TR" sz="900"/>
            <a:t>DEĞER</a:t>
          </a:r>
          <a:r>
            <a:rPr lang="tr-TR" sz="900" baseline="0"/>
            <a:t> OTOMATİK GİRİLCEK </a:t>
          </a:r>
          <a:endParaRPr lang="tr-TR" sz="900"/>
        </a:p>
      </xdr:txBody>
    </xdr:sp>
    <xdr:clientData/>
  </xdr:twoCellAnchor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2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EEE58BE3-C6B1-44FE-801D-5BFC6114EB02}">
  <we:reference id="wa104381026" version="1.2.0.0" store="tr-TR" storeType="OMEX"/>
  <we:alternateReferences>
    <we:reference id="WA104381026" version="1.2.0.0" store="WA104381026" storeType="OMEX"/>
  </we:alternateReferences>
  <we:properties>
    <we:property name="insertIntoSheet" value="&quot;STOK GİRİŞ ve ÇIKIŞ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Entry_FORM"/>
  <dimension ref="D1:F19"/>
  <sheetViews>
    <sheetView topLeftCell="A4" zoomScale="85" zoomScaleNormal="85" workbookViewId="0">
      <selection activeCell="E7" sqref="E7"/>
    </sheetView>
  </sheetViews>
  <sheetFormatPr defaultColWidth="9" defaultRowHeight="14.4" x14ac:dyDescent="0.55000000000000004"/>
  <cols>
    <col min="1" max="3" width="9" style="6"/>
    <col min="4" max="4" width="45.578125" style="6" bestFit="1" customWidth="1"/>
    <col min="5" max="5" width="39.83984375" style="6" customWidth="1"/>
    <col min="6" max="6" width="9" style="6" customWidth="1"/>
    <col min="7" max="12" width="9" style="6"/>
    <col min="13" max="13" width="9" style="6" customWidth="1"/>
    <col min="14" max="16384" width="9" style="6"/>
  </cols>
  <sheetData>
    <row r="1" spans="4:6" ht="55.5" customHeight="1" x14ac:dyDescent="0.55000000000000004">
      <c r="D1" s="21"/>
      <c r="E1" s="21"/>
    </row>
    <row r="3" spans="4:6" ht="14.7" thickBot="1" x14ac:dyDescent="0.6">
      <c r="D3" s="7"/>
      <c r="F3" s="15"/>
    </row>
    <row r="4" spans="4:6" ht="35.25" customHeight="1" thickBot="1" x14ac:dyDescent="0.7">
      <c r="D4" s="11" t="s">
        <v>0</v>
      </c>
      <c r="E4" s="12">
        <f ca="1">TODAY()</f>
        <v>46111</v>
      </c>
    </row>
    <row r="5" spans="4:6" ht="35.25" customHeight="1" thickBot="1" x14ac:dyDescent="0.7">
      <c r="D5" s="11" t="s">
        <v>5</v>
      </c>
      <c r="E5" s="13" t="s">
        <v>68</v>
      </c>
    </row>
    <row r="6" spans="4:6" ht="35.25" customHeight="1" thickBot="1" x14ac:dyDescent="0.7">
      <c r="D6" s="11" t="s">
        <v>1</v>
      </c>
      <c r="E6" s="16">
        <v>2</v>
      </c>
    </row>
    <row r="7" spans="4:6" ht="35.25" customHeight="1" thickBot="1" x14ac:dyDescent="0.7">
      <c r="D7" s="11" t="s">
        <v>2</v>
      </c>
      <c r="E7" s="16">
        <v>1</v>
      </c>
    </row>
    <row r="8" spans="4:6" ht="35.25" customHeight="1" thickBot="1" x14ac:dyDescent="0.7">
      <c r="D8" s="11" t="s">
        <v>4</v>
      </c>
      <c r="E8" s="16">
        <v>480</v>
      </c>
    </row>
    <row r="9" spans="4:6" ht="35.25" customHeight="1" thickBot="1" x14ac:dyDescent="0.7">
      <c r="D9" s="11" t="s">
        <v>34</v>
      </c>
      <c r="E9" s="13" t="s">
        <v>35</v>
      </c>
    </row>
    <row r="10" spans="4:6" ht="35.25" customHeight="1" thickBot="1" x14ac:dyDescent="0.7">
      <c r="D10" s="11" t="s">
        <v>44</v>
      </c>
      <c r="E10" s="13" t="s">
        <v>16</v>
      </c>
    </row>
    <row r="11" spans="4:6" ht="35.25" customHeight="1" thickBot="1" x14ac:dyDescent="0.7">
      <c r="D11" s="11" t="s">
        <v>45</v>
      </c>
      <c r="E11" s="16"/>
    </row>
    <row r="12" spans="4:6" ht="35.25" customHeight="1" thickBot="1" x14ac:dyDescent="0.7">
      <c r="D12" s="11" t="s">
        <v>46</v>
      </c>
      <c r="E12" s="13"/>
    </row>
    <row r="13" spans="4:6" ht="35.25" customHeight="1" thickBot="1" x14ac:dyDescent="0.7">
      <c r="D13" s="11" t="s">
        <v>47</v>
      </c>
      <c r="E13" s="16"/>
    </row>
    <row r="14" spans="4:6" ht="35.25" customHeight="1" thickBot="1" x14ac:dyDescent="0.7">
      <c r="D14" s="11" t="s">
        <v>48</v>
      </c>
      <c r="E14" s="13"/>
    </row>
    <row r="15" spans="4:6" ht="35.25" customHeight="1" thickBot="1" x14ac:dyDescent="0.7">
      <c r="D15" s="11" t="s">
        <v>49</v>
      </c>
      <c r="E15" s="16"/>
    </row>
    <row r="16" spans="4:6" ht="35.25" customHeight="1" thickBot="1" x14ac:dyDescent="0.7">
      <c r="D16" s="11" t="s">
        <v>7</v>
      </c>
      <c r="E16" s="17" t="s">
        <v>55</v>
      </c>
    </row>
    <row r="17" spans="4:5" ht="35.25" customHeight="1" x14ac:dyDescent="0.65">
      <c r="D17" s="10"/>
      <c r="E17" s="7"/>
    </row>
    <row r="18" spans="4:5" ht="35.25" customHeight="1" x14ac:dyDescent="0.65">
      <c r="D18" s="10"/>
      <c r="E18" s="10"/>
    </row>
    <row r="19" spans="4:5" ht="35.25" customHeight="1" x14ac:dyDescent="0.55000000000000004">
      <c r="D19" s="7"/>
      <c r="E19" s="7"/>
    </row>
  </sheetData>
  <mergeCells count="1">
    <mergeCell ref="D1:E1"/>
  </mergeCells>
  <pageMargins left="0.7" right="0.7" top="0.75" bottom="0.75" header="0.3" footer="0.3"/>
  <pageSetup paperSize="9"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AYARLAR!$J$11:$J$19</xm:f>
          </x14:formula1>
          <xm:sqref>E10 E12 E14</xm:sqref>
        </x14:dataValidation>
        <x14:dataValidation type="list" allowBlank="1" showInputMessage="1" showErrorMessage="1">
          <x14:formula1>
            <xm:f>AYARLAR!$E$14:$E$16</xm:f>
          </x14:formula1>
          <xm:sqref>E9</xm:sqref>
        </x14:dataValidation>
        <x14:dataValidation type="list" allowBlank="1" showInputMessage="1" showErrorMessage="1">
          <x14:formula1>
            <xm:f>AYARLAR!$C$13:$C$60</xm:f>
          </x14:formula1>
          <xm:sqref>E5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_DB"/>
  <dimension ref="A1:Q57"/>
  <sheetViews>
    <sheetView tabSelected="1" topLeftCell="A34" workbookViewId="0">
      <selection activeCell="D56" sqref="D56"/>
    </sheetView>
  </sheetViews>
  <sheetFormatPr defaultRowHeight="15.6" x14ac:dyDescent="0.6"/>
  <cols>
    <col min="1" max="1" width="23" style="3" bestFit="1" customWidth="1"/>
    <col min="2" max="2" width="30.83984375" style="4" bestFit="1" customWidth="1"/>
    <col min="3" max="3" width="20.578125" style="4" bestFit="1" customWidth="1"/>
    <col min="4" max="4" width="23" style="4" bestFit="1" customWidth="1"/>
    <col min="5" max="5" width="18" style="4" bestFit="1" customWidth="1"/>
    <col min="6" max="6" width="29" style="4" bestFit="1" customWidth="1"/>
    <col min="7" max="7" width="36.578125" style="4" customWidth="1"/>
    <col min="8" max="8" width="38" style="4" customWidth="1"/>
    <col min="9" max="9" width="36.578125" style="4" customWidth="1"/>
    <col min="10" max="10" width="38" style="4" customWidth="1"/>
    <col min="11" max="11" width="36.578125" style="4" customWidth="1"/>
    <col min="12" max="12" width="38" style="4" customWidth="1"/>
    <col min="13" max="13" width="31.578125" style="4" customWidth="1"/>
    <col min="14" max="14" width="25.83984375" style="4" customWidth="1"/>
    <col min="15" max="15" width="39" style="5" bestFit="1" customWidth="1"/>
    <col min="16" max="17" width="9" style="4" bestFit="1" customWidth="1"/>
  </cols>
  <sheetData>
    <row r="1" spans="1:17" ht="18.3" x14ac:dyDescent="0.85">
      <c r="A1" s="1" t="s">
        <v>0</v>
      </c>
      <c r="B1" s="8" t="s">
        <v>5</v>
      </c>
      <c r="C1" s="8" t="s">
        <v>1</v>
      </c>
      <c r="D1" s="8" t="s">
        <v>2</v>
      </c>
      <c r="E1" s="8" t="s">
        <v>6</v>
      </c>
      <c r="F1" s="8" t="s">
        <v>34</v>
      </c>
      <c r="G1" s="8" t="s">
        <v>44</v>
      </c>
      <c r="H1" s="8" t="s">
        <v>51</v>
      </c>
      <c r="I1" s="8" t="s">
        <v>46</v>
      </c>
      <c r="J1" s="8" t="s">
        <v>52</v>
      </c>
      <c r="K1" s="8" t="s">
        <v>48</v>
      </c>
      <c r="L1" s="8" t="s">
        <v>53</v>
      </c>
      <c r="M1" s="8" t="s">
        <v>7</v>
      </c>
      <c r="N1" s="18" t="s">
        <v>50</v>
      </c>
      <c r="O1"/>
      <c r="P1"/>
      <c r="Q1"/>
    </row>
    <row r="2" spans="1:17" x14ac:dyDescent="0.6">
      <c r="A2" s="3">
        <v>46106</v>
      </c>
      <c r="B2" s="4" t="s">
        <v>66</v>
      </c>
      <c r="C2" s="4">
        <v>4</v>
      </c>
      <c r="D2" s="4">
        <v>28</v>
      </c>
      <c r="E2" s="4">
        <v>480</v>
      </c>
      <c r="F2" s="4" t="s">
        <v>35</v>
      </c>
      <c r="M2" s="4" t="s">
        <v>55</v>
      </c>
    </row>
    <row r="3" spans="1:17" x14ac:dyDescent="0.6">
      <c r="A3" s="3">
        <v>46106</v>
      </c>
      <c r="B3" s="4" t="s">
        <v>74</v>
      </c>
      <c r="C3" s="4">
        <v>1</v>
      </c>
      <c r="D3" s="4">
        <v>275</v>
      </c>
      <c r="E3" s="4">
        <v>480</v>
      </c>
      <c r="F3" s="4" t="s">
        <v>35</v>
      </c>
      <c r="M3" s="4" t="s">
        <v>55</v>
      </c>
    </row>
    <row r="4" spans="1:17" x14ac:dyDescent="0.6">
      <c r="A4" s="3">
        <v>46106</v>
      </c>
      <c r="B4" s="4" t="s">
        <v>9</v>
      </c>
      <c r="C4" s="4">
        <v>2</v>
      </c>
      <c r="D4" s="4">
        <v>1</v>
      </c>
      <c r="E4" s="4">
        <v>20</v>
      </c>
      <c r="F4" s="4" t="s">
        <v>35</v>
      </c>
      <c r="M4" s="4" t="s">
        <v>55</v>
      </c>
    </row>
    <row r="5" spans="1:17" x14ac:dyDescent="0.6">
      <c r="A5" s="3">
        <v>46105</v>
      </c>
      <c r="B5" s="4" t="s">
        <v>68</v>
      </c>
      <c r="C5" s="4">
        <v>3</v>
      </c>
      <c r="D5" s="4">
        <v>11</v>
      </c>
      <c r="E5" s="4">
        <v>480</v>
      </c>
      <c r="F5" s="4" t="s">
        <v>35</v>
      </c>
      <c r="M5" s="4" t="s">
        <v>55</v>
      </c>
    </row>
    <row r="6" spans="1:17" x14ac:dyDescent="0.6">
      <c r="A6" s="3">
        <v>46105</v>
      </c>
      <c r="B6" s="4" t="s">
        <v>41</v>
      </c>
      <c r="C6" s="4">
        <v>4</v>
      </c>
      <c r="D6" s="4">
        <v>130</v>
      </c>
      <c r="E6" s="4">
        <v>480</v>
      </c>
      <c r="F6" s="4" t="s">
        <v>35</v>
      </c>
      <c r="M6" s="4" t="s">
        <v>55</v>
      </c>
    </row>
    <row r="7" spans="1:17" x14ac:dyDescent="0.6">
      <c r="A7" s="3">
        <v>46104</v>
      </c>
      <c r="B7" s="4" t="s">
        <v>68</v>
      </c>
      <c r="C7" s="4">
        <v>3</v>
      </c>
      <c r="D7" s="4">
        <v>6</v>
      </c>
      <c r="E7" s="4">
        <v>480</v>
      </c>
      <c r="F7" s="4" t="s">
        <v>35</v>
      </c>
      <c r="M7" s="4" t="s">
        <v>55</v>
      </c>
    </row>
    <row r="8" spans="1:17" x14ac:dyDescent="0.6">
      <c r="A8" s="3">
        <v>46104</v>
      </c>
      <c r="B8" s="4" t="s">
        <v>68</v>
      </c>
      <c r="C8" s="4">
        <v>4</v>
      </c>
      <c r="D8" s="4" t="s">
        <v>56</v>
      </c>
      <c r="E8" s="4">
        <v>480</v>
      </c>
      <c r="F8" s="4" t="s">
        <v>35</v>
      </c>
      <c r="M8" s="4" t="s">
        <v>55</v>
      </c>
    </row>
    <row r="9" spans="1:17" x14ac:dyDescent="0.6">
      <c r="A9" s="3">
        <v>46098</v>
      </c>
      <c r="B9" s="4" t="s">
        <v>68</v>
      </c>
      <c r="C9" s="4">
        <v>3</v>
      </c>
      <c r="D9" s="4">
        <v>10</v>
      </c>
      <c r="E9" s="4">
        <v>480</v>
      </c>
      <c r="F9" s="4" t="s">
        <v>35</v>
      </c>
      <c r="M9" s="4" t="s">
        <v>55</v>
      </c>
    </row>
    <row r="10" spans="1:17" x14ac:dyDescent="0.6">
      <c r="A10" s="3">
        <v>46098</v>
      </c>
      <c r="B10" s="4" t="s">
        <v>63</v>
      </c>
      <c r="C10" s="4">
        <v>3</v>
      </c>
      <c r="D10" s="4">
        <v>75</v>
      </c>
      <c r="E10" s="4">
        <v>480</v>
      </c>
      <c r="F10" s="4" t="s">
        <v>35</v>
      </c>
      <c r="M10" s="4" t="s">
        <v>55</v>
      </c>
    </row>
    <row r="11" spans="1:17" x14ac:dyDescent="0.6">
      <c r="A11" s="3">
        <v>46097</v>
      </c>
      <c r="B11" s="4" t="s">
        <v>67</v>
      </c>
      <c r="C11" s="4">
        <v>2</v>
      </c>
      <c r="D11" s="4">
        <v>5</v>
      </c>
      <c r="E11" s="4">
        <v>75</v>
      </c>
      <c r="F11" s="4" t="s">
        <v>35</v>
      </c>
      <c r="M11" s="4" t="s">
        <v>55</v>
      </c>
    </row>
    <row r="12" spans="1:17" x14ac:dyDescent="0.6">
      <c r="A12" s="3">
        <v>46097</v>
      </c>
      <c r="B12" s="4" t="s">
        <v>63</v>
      </c>
      <c r="C12" s="4">
        <v>2</v>
      </c>
      <c r="D12" s="4">
        <v>230</v>
      </c>
      <c r="E12" s="4">
        <v>480</v>
      </c>
      <c r="F12" s="4" t="s">
        <v>35</v>
      </c>
      <c r="M12" s="4" t="s">
        <v>55</v>
      </c>
    </row>
    <row r="13" spans="1:17" x14ac:dyDescent="0.6">
      <c r="A13" s="3">
        <v>46094</v>
      </c>
      <c r="B13" s="4" t="s">
        <v>63</v>
      </c>
      <c r="C13" s="4">
        <v>2</v>
      </c>
      <c r="D13" s="4" t="s">
        <v>56</v>
      </c>
      <c r="E13" s="4">
        <v>480</v>
      </c>
      <c r="F13" s="4" t="s">
        <v>35</v>
      </c>
      <c r="M13" s="4" t="s">
        <v>55</v>
      </c>
    </row>
    <row r="14" spans="1:17" x14ac:dyDescent="0.6">
      <c r="A14" s="3">
        <v>46094</v>
      </c>
      <c r="B14" s="4" t="s">
        <v>67</v>
      </c>
      <c r="C14" s="4">
        <v>2</v>
      </c>
      <c r="D14" s="4">
        <v>15</v>
      </c>
      <c r="E14" s="4">
        <v>480</v>
      </c>
      <c r="F14" s="4" t="s">
        <v>35</v>
      </c>
      <c r="M14" s="4" t="s">
        <v>55</v>
      </c>
    </row>
    <row r="15" spans="1:17" x14ac:dyDescent="0.6">
      <c r="A15" s="3">
        <v>46093</v>
      </c>
      <c r="B15" s="4" t="s">
        <v>66</v>
      </c>
      <c r="C15" s="4">
        <v>6</v>
      </c>
      <c r="D15" s="4">
        <v>30</v>
      </c>
      <c r="E15" s="4">
        <v>480</v>
      </c>
      <c r="F15" s="4" t="s">
        <v>35</v>
      </c>
      <c r="M15" s="4" t="s">
        <v>55</v>
      </c>
    </row>
    <row r="16" spans="1:17" x14ac:dyDescent="0.6">
      <c r="A16" s="3">
        <v>46093</v>
      </c>
      <c r="B16" s="4" t="s">
        <v>63</v>
      </c>
      <c r="C16" s="4">
        <v>2</v>
      </c>
      <c r="D16" s="4">
        <v>35</v>
      </c>
      <c r="E16" s="4">
        <v>480</v>
      </c>
      <c r="F16" s="4" t="s">
        <v>35</v>
      </c>
      <c r="M16" s="4" t="s">
        <v>55</v>
      </c>
    </row>
    <row r="17" spans="1:17" x14ac:dyDescent="0.6">
      <c r="A17" s="3">
        <v>46092</v>
      </c>
      <c r="B17" s="4" t="s">
        <v>65</v>
      </c>
      <c r="C17" s="4">
        <v>9</v>
      </c>
      <c r="E17" s="4">
        <v>510</v>
      </c>
      <c r="F17" s="4" t="s">
        <v>35</v>
      </c>
    </row>
    <row r="18" spans="1:17" x14ac:dyDescent="0.6">
      <c r="A18" s="3">
        <v>46091</v>
      </c>
      <c r="B18" s="4" t="s">
        <v>65</v>
      </c>
      <c r="C18" s="4">
        <v>9</v>
      </c>
      <c r="E18" s="4">
        <v>510</v>
      </c>
      <c r="F18" s="4" t="s">
        <v>35</v>
      </c>
    </row>
    <row r="19" spans="1:17" x14ac:dyDescent="0.6">
      <c r="A19" s="3">
        <v>46090</v>
      </c>
      <c r="B19" s="4" t="s">
        <v>63</v>
      </c>
      <c r="C19" s="4">
        <v>2</v>
      </c>
      <c r="D19" s="4">
        <v>0</v>
      </c>
      <c r="E19" s="4">
        <v>240</v>
      </c>
      <c r="F19" s="4" t="s">
        <v>35</v>
      </c>
      <c r="M19" s="4" t="s">
        <v>55</v>
      </c>
      <c r="N19"/>
      <c r="O19"/>
      <c r="P19"/>
      <c r="Q19"/>
    </row>
    <row r="20" spans="1:17" x14ac:dyDescent="0.6">
      <c r="A20" s="3">
        <v>46090</v>
      </c>
      <c r="B20" s="4" t="s">
        <v>63</v>
      </c>
      <c r="C20" s="4">
        <v>2</v>
      </c>
      <c r="D20" s="4">
        <v>15</v>
      </c>
      <c r="E20" s="4">
        <v>100</v>
      </c>
      <c r="F20" s="4" t="s">
        <v>35</v>
      </c>
      <c r="M20" s="4" t="s">
        <v>55</v>
      </c>
    </row>
    <row r="21" spans="1:17" x14ac:dyDescent="0.6">
      <c r="A21" s="3">
        <v>46090</v>
      </c>
      <c r="B21" s="4" t="s">
        <v>62</v>
      </c>
      <c r="C21" s="4">
        <v>2</v>
      </c>
      <c r="D21" s="4">
        <v>10</v>
      </c>
      <c r="E21" s="4">
        <v>100</v>
      </c>
      <c r="F21" s="4" t="s">
        <v>35</v>
      </c>
      <c r="M21" s="4" t="s">
        <v>55</v>
      </c>
    </row>
    <row r="22" spans="1:17" x14ac:dyDescent="0.6">
      <c r="A22" s="3">
        <v>46087</v>
      </c>
      <c r="B22" s="4" t="s">
        <v>38</v>
      </c>
      <c r="C22" s="4">
        <v>3</v>
      </c>
      <c r="D22" s="4">
        <v>15</v>
      </c>
      <c r="E22" s="4">
        <v>240</v>
      </c>
      <c r="F22" s="4" t="s">
        <v>35</v>
      </c>
      <c r="M22" s="4" t="s">
        <v>55</v>
      </c>
    </row>
    <row r="23" spans="1:17" x14ac:dyDescent="0.6">
      <c r="A23" s="3">
        <v>46087</v>
      </c>
      <c r="B23" s="4" t="s">
        <v>63</v>
      </c>
      <c r="C23" s="4">
        <v>2</v>
      </c>
      <c r="D23" s="4">
        <v>55</v>
      </c>
      <c r="E23" s="4">
        <v>240</v>
      </c>
      <c r="F23" s="4" t="s">
        <v>35</v>
      </c>
      <c r="M23" s="4" t="s">
        <v>55</v>
      </c>
    </row>
    <row r="24" spans="1:17" x14ac:dyDescent="0.6">
      <c r="A24" s="3">
        <v>46086</v>
      </c>
      <c r="B24" s="4" t="s">
        <v>63</v>
      </c>
      <c r="C24" s="4">
        <v>2</v>
      </c>
      <c r="D24" s="4">
        <v>70</v>
      </c>
      <c r="E24" s="4">
        <v>200</v>
      </c>
      <c r="F24" s="4" t="s">
        <v>35</v>
      </c>
      <c r="M24" s="4" t="s">
        <v>55</v>
      </c>
    </row>
    <row r="25" spans="1:17" x14ac:dyDescent="0.6">
      <c r="A25" s="3">
        <v>46086</v>
      </c>
      <c r="B25" s="4" t="s">
        <v>27</v>
      </c>
      <c r="C25" s="4">
        <v>2</v>
      </c>
      <c r="D25" s="4">
        <v>20</v>
      </c>
      <c r="E25" s="4">
        <v>240</v>
      </c>
      <c r="F25" s="4" t="s">
        <v>35</v>
      </c>
      <c r="M25" s="4" t="s">
        <v>55</v>
      </c>
    </row>
    <row r="26" spans="1:17" x14ac:dyDescent="0.6">
      <c r="A26" s="19">
        <v>46085</v>
      </c>
      <c r="B26" s="4" t="s">
        <v>64</v>
      </c>
      <c r="C26" s="4">
        <v>2</v>
      </c>
      <c r="D26" s="4">
        <v>14</v>
      </c>
      <c r="E26" s="4">
        <v>120</v>
      </c>
      <c r="F26" s="4" t="s">
        <v>35</v>
      </c>
      <c r="J26" s="5"/>
      <c r="M26" t="s">
        <v>55</v>
      </c>
    </row>
    <row r="27" spans="1:17" x14ac:dyDescent="0.6">
      <c r="A27" s="19">
        <v>46085</v>
      </c>
      <c r="B27" s="4" t="s">
        <v>63</v>
      </c>
      <c r="C27" s="4">
        <v>2</v>
      </c>
      <c r="D27" s="4">
        <v>52</v>
      </c>
      <c r="E27" s="4">
        <v>180</v>
      </c>
      <c r="F27" s="4" t="s">
        <v>35</v>
      </c>
      <c r="M27" s="4" t="s">
        <v>55</v>
      </c>
    </row>
    <row r="28" spans="1:17" x14ac:dyDescent="0.6">
      <c r="A28" s="3">
        <v>46084</v>
      </c>
      <c r="B28" s="4" t="s">
        <v>62</v>
      </c>
      <c r="C28" s="4">
        <v>2</v>
      </c>
      <c r="D28" s="4">
        <v>25</v>
      </c>
      <c r="E28" s="4">
        <v>240</v>
      </c>
      <c r="F28" s="4" t="s">
        <v>35</v>
      </c>
      <c r="M28" s="4" t="s">
        <v>55</v>
      </c>
    </row>
    <row r="29" spans="1:17" x14ac:dyDescent="0.6">
      <c r="A29" s="3">
        <v>46084</v>
      </c>
      <c r="B29" s="4" t="s">
        <v>54</v>
      </c>
      <c r="C29" s="4">
        <v>2</v>
      </c>
      <c r="D29" s="4">
        <v>105</v>
      </c>
      <c r="E29" s="4">
        <v>480</v>
      </c>
      <c r="F29" s="4" t="s">
        <v>35</v>
      </c>
      <c r="M29" s="4" t="s">
        <v>55</v>
      </c>
    </row>
    <row r="30" spans="1:17" x14ac:dyDescent="0.6">
      <c r="A30" s="3">
        <v>46083</v>
      </c>
      <c r="B30" s="4" t="s">
        <v>58</v>
      </c>
      <c r="C30" s="4">
        <v>2</v>
      </c>
      <c r="D30" s="4">
        <v>12</v>
      </c>
      <c r="E30" s="4">
        <v>150</v>
      </c>
      <c r="F30" s="4" t="s">
        <v>35</v>
      </c>
      <c r="M30" s="4" t="s">
        <v>55</v>
      </c>
    </row>
    <row r="31" spans="1:17" x14ac:dyDescent="0.6">
      <c r="A31" s="3">
        <v>46083</v>
      </c>
      <c r="B31" s="4" t="s">
        <v>57</v>
      </c>
      <c r="C31" s="4">
        <v>1</v>
      </c>
      <c r="D31" s="4">
        <v>55</v>
      </c>
      <c r="E31" s="4">
        <v>480</v>
      </c>
      <c r="F31" s="4" t="s">
        <v>35</v>
      </c>
      <c r="M31" s="4" t="s">
        <v>55</v>
      </c>
    </row>
    <row r="32" spans="1:17" x14ac:dyDescent="0.6">
      <c r="A32" s="3">
        <v>46083</v>
      </c>
      <c r="B32" s="4" t="s">
        <v>59</v>
      </c>
      <c r="C32" s="4">
        <v>3</v>
      </c>
      <c r="D32" s="4" t="s">
        <v>56</v>
      </c>
      <c r="E32" s="4">
        <v>480</v>
      </c>
      <c r="F32" s="4" t="s">
        <v>35</v>
      </c>
      <c r="M32" s="4" t="s">
        <v>55</v>
      </c>
    </row>
    <row r="33" spans="1:13" x14ac:dyDescent="0.6">
      <c r="A33" s="3">
        <v>46080</v>
      </c>
      <c r="B33" s="4" t="s">
        <v>27</v>
      </c>
      <c r="C33" s="4">
        <v>2</v>
      </c>
      <c r="D33" s="4">
        <v>25</v>
      </c>
      <c r="E33" s="4">
        <v>480</v>
      </c>
      <c r="F33" s="4" t="s">
        <v>35</v>
      </c>
      <c r="M33" s="4" t="s">
        <v>55</v>
      </c>
    </row>
    <row r="34" spans="1:13" x14ac:dyDescent="0.6">
      <c r="A34" s="3">
        <v>46080</v>
      </c>
      <c r="B34" s="4" t="s">
        <v>57</v>
      </c>
      <c r="C34" s="4">
        <v>1</v>
      </c>
      <c r="D34" s="4">
        <v>65</v>
      </c>
      <c r="E34" s="4">
        <v>480</v>
      </c>
      <c r="F34" s="4" t="s">
        <v>35</v>
      </c>
      <c r="M34" s="4" t="s">
        <v>55</v>
      </c>
    </row>
    <row r="35" spans="1:13" x14ac:dyDescent="0.6">
      <c r="A35" s="3">
        <v>46080</v>
      </c>
      <c r="B35" s="4" t="s">
        <v>60</v>
      </c>
      <c r="C35" s="4">
        <v>2</v>
      </c>
      <c r="D35" s="4">
        <v>10</v>
      </c>
      <c r="E35" s="4">
        <v>480</v>
      </c>
      <c r="F35" s="4" t="s">
        <v>35</v>
      </c>
      <c r="M35" s="4" t="s">
        <v>55</v>
      </c>
    </row>
    <row r="36" spans="1:13" x14ac:dyDescent="0.6">
      <c r="A36" s="3">
        <v>46079</v>
      </c>
      <c r="B36" s="4" t="s">
        <v>41</v>
      </c>
      <c r="C36" s="4">
        <v>2</v>
      </c>
      <c r="D36" s="4">
        <v>40</v>
      </c>
      <c r="E36" s="4">
        <v>150</v>
      </c>
      <c r="F36" s="4" t="s">
        <v>35</v>
      </c>
      <c r="G36" s="4" t="s">
        <v>56</v>
      </c>
      <c r="M36" s="4" t="s">
        <v>55</v>
      </c>
    </row>
    <row r="37" spans="1:13" x14ac:dyDescent="0.6">
      <c r="A37" s="3">
        <v>46079</v>
      </c>
      <c r="B37" s="4" t="s">
        <v>60</v>
      </c>
      <c r="C37" s="4">
        <v>3</v>
      </c>
      <c r="D37" s="4">
        <v>20</v>
      </c>
      <c r="E37" s="4">
        <v>480</v>
      </c>
      <c r="F37" s="4" t="s">
        <v>35</v>
      </c>
      <c r="G37" s="4" t="s">
        <v>56</v>
      </c>
      <c r="M37" s="4" t="s">
        <v>55</v>
      </c>
    </row>
    <row r="38" spans="1:13" x14ac:dyDescent="0.6">
      <c r="A38" s="3">
        <v>46078</v>
      </c>
      <c r="B38" s="4" t="s">
        <v>31</v>
      </c>
      <c r="C38" s="4">
        <v>2</v>
      </c>
      <c r="D38" s="4">
        <v>16</v>
      </c>
      <c r="E38" s="4">
        <v>120</v>
      </c>
      <c r="F38" s="4" t="s">
        <v>35</v>
      </c>
      <c r="M38" s="4" t="s">
        <v>55</v>
      </c>
    </row>
    <row r="39" spans="1:13" x14ac:dyDescent="0.6">
      <c r="A39" s="3">
        <v>46078</v>
      </c>
      <c r="B39" s="4" t="s">
        <v>61</v>
      </c>
      <c r="C39" s="4">
        <v>3</v>
      </c>
      <c r="D39" s="4">
        <v>42</v>
      </c>
      <c r="E39" s="4">
        <v>160</v>
      </c>
      <c r="F39" s="4" t="s">
        <v>35</v>
      </c>
      <c r="M39" s="4" t="s">
        <v>55</v>
      </c>
    </row>
    <row r="40" spans="1:13" x14ac:dyDescent="0.6">
      <c r="A40" s="3">
        <v>46077</v>
      </c>
      <c r="B40" s="4" t="s">
        <v>41</v>
      </c>
      <c r="C40" s="4">
        <v>2</v>
      </c>
      <c r="D40" s="4">
        <v>40</v>
      </c>
      <c r="E40" s="4">
        <v>140</v>
      </c>
      <c r="F40" s="4" t="s">
        <v>35</v>
      </c>
    </row>
    <row r="41" spans="1:13" x14ac:dyDescent="0.6">
      <c r="A41" s="3">
        <v>46077</v>
      </c>
      <c r="B41" s="4" t="s">
        <v>40</v>
      </c>
      <c r="C41" s="4">
        <v>1</v>
      </c>
      <c r="D41" s="4">
        <v>12</v>
      </c>
      <c r="E41" s="4">
        <v>70</v>
      </c>
      <c r="F41" s="4" t="s">
        <v>35</v>
      </c>
    </row>
    <row r="42" spans="1:13" x14ac:dyDescent="0.6">
      <c r="A42" s="3">
        <v>46077</v>
      </c>
      <c r="B42" s="4" t="s">
        <v>55</v>
      </c>
      <c r="C42" s="4">
        <v>4</v>
      </c>
      <c r="D42" s="4">
        <v>120</v>
      </c>
      <c r="E42" s="4">
        <v>400</v>
      </c>
      <c r="F42" s="4" t="s">
        <v>35</v>
      </c>
      <c r="M42" s="4" t="s">
        <v>55</v>
      </c>
    </row>
    <row r="43" spans="1:13" x14ac:dyDescent="0.6">
      <c r="A43" s="3">
        <v>46076</v>
      </c>
      <c r="B43" s="4" t="s">
        <v>41</v>
      </c>
      <c r="C43" s="4">
        <v>2</v>
      </c>
      <c r="D43" s="4">
        <v>120</v>
      </c>
      <c r="E43" s="4">
        <v>480</v>
      </c>
      <c r="F43" s="4" t="s">
        <v>35</v>
      </c>
      <c r="M43" s="4" t="s">
        <v>54</v>
      </c>
    </row>
    <row r="44" spans="1:13" x14ac:dyDescent="0.6">
      <c r="A44" s="3">
        <v>46076</v>
      </c>
      <c r="B44" s="4" t="s">
        <v>54</v>
      </c>
      <c r="C44" s="4">
        <v>14</v>
      </c>
      <c r="D44" s="4">
        <v>25</v>
      </c>
      <c r="E44" s="4">
        <v>120</v>
      </c>
      <c r="F44" s="4" t="s">
        <v>35</v>
      </c>
    </row>
    <row r="45" spans="1:13" x14ac:dyDescent="0.6">
      <c r="A45" s="3">
        <v>46107</v>
      </c>
      <c r="B45" s="4" t="s">
        <v>74</v>
      </c>
      <c r="C45" s="4">
        <v>1</v>
      </c>
      <c r="D45" s="4">
        <v>94</v>
      </c>
      <c r="E45" s="4">
        <v>480</v>
      </c>
      <c r="F45" s="4" t="s">
        <v>35</v>
      </c>
      <c r="G45" s="4" t="s">
        <v>16</v>
      </c>
      <c r="M45" s="4" t="s">
        <v>55</v>
      </c>
    </row>
    <row r="46" spans="1:13" x14ac:dyDescent="0.6">
      <c r="A46" s="3">
        <v>46111</v>
      </c>
      <c r="B46" s="4" t="s">
        <v>41</v>
      </c>
      <c r="C46" s="4">
        <v>3</v>
      </c>
      <c r="D46" s="4">
        <v>17</v>
      </c>
      <c r="E46" s="4">
        <v>480</v>
      </c>
      <c r="F46" s="4" t="s">
        <v>35</v>
      </c>
      <c r="G46" s="4" t="s">
        <v>16</v>
      </c>
      <c r="M46" s="4" t="s">
        <v>55</v>
      </c>
    </row>
    <row r="47" spans="1:13" x14ac:dyDescent="0.6">
      <c r="A47" s="3">
        <v>46111</v>
      </c>
      <c r="B47" s="4" t="s">
        <v>27</v>
      </c>
      <c r="C47" s="4">
        <v>3</v>
      </c>
      <c r="D47" s="4">
        <v>5</v>
      </c>
      <c r="E47" s="4">
        <v>480</v>
      </c>
      <c r="F47" s="4" t="s">
        <v>35</v>
      </c>
      <c r="G47" s="4" t="s">
        <v>16</v>
      </c>
      <c r="M47" s="4" t="s">
        <v>55</v>
      </c>
    </row>
    <row r="48" spans="1:13" x14ac:dyDescent="0.6">
      <c r="A48" s="3">
        <v>46111</v>
      </c>
      <c r="B48" s="4" t="s">
        <v>17</v>
      </c>
      <c r="C48" s="4">
        <v>3</v>
      </c>
      <c r="D48" s="4">
        <v>1</v>
      </c>
      <c r="E48" s="4">
        <v>480</v>
      </c>
      <c r="F48" s="4" t="s">
        <v>35</v>
      </c>
      <c r="G48" s="4" t="s">
        <v>16</v>
      </c>
      <c r="M48" s="4" t="s">
        <v>55</v>
      </c>
    </row>
    <row r="49" spans="1:13" x14ac:dyDescent="0.6">
      <c r="A49" s="3">
        <v>46111</v>
      </c>
      <c r="B49" s="4" t="s">
        <v>40</v>
      </c>
      <c r="C49" s="4">
        <v>3</v>
      </c>
      <c r="D49" s="4">
        <v>1</v>
      </c>
      <c r="E49" s="4">
        <v>480</v>
      </c>
      <c r="F49" s="4" t="s">
        <v>35</v>
      </c>
      <c r="G49" s="4" t="s">
        <v>16</v>
      </c>
      <c r="M49" s="4" t="s">
        <v>55</v>
      </c>
    </row>
    <row r="50" spans="1:13" x14ac:dyDescent="0.6">
      <c r="A50" s="3">
        <v>46111</v>
      </c>
      <c r="B50" s="4" t="s">
        <v>25</v>
      </c>
      <c r="C50" s="4">
        <v>3</v>
      </c>
      <c r="D50" s="4">
        <v>4</v>
      </c>
      <c r="E50" s="4">
        <v>480</v>
      </c>
      <c r="F50" s="4" t="s">
        <v>35</v>
      </c>
      <c r="G50" s="4" t="s">
        <v>16</v>
      </c>
      <c r="M50" s="4" t="s">
        <v>55</v>
      </c>
    </row>
    <row r="51" spans="1:13" x14ac:dyDescent="0.6">
      <c r="A51" s="3">
        <v>46111</v>
      </c>
      <c r="B51" s="4" t="s">
        <v>43</v>
      </c>
      <c r="C51" s="4">
        <v>3</v>
      </c>
      <c r="D51" s="4">
        <v>10</v>
      </c>
      <c r="E51" s="4">
        <v>480</v>
      </c>
      <c r="F51" s="4" t="s">
        <v>35</v>
      </c>
      <c r="G51" s="4" t="s">
        <v>16</v>
      </c>
      <c r="M51" s="4" t="s">
        <v>55</v>
      </c>
    </row>
    <row r="52" spans="1:13" x14ac:dyDescent="0.6">
      <c r="A52" s="3">
        <v>46111</v>
      </c>
      <c r="B52" s="4" t="s">
        <v>87</v>
      </c>
      <c r="C52" s="4">
        <v>3</v>
      </c>
      <c r="D52" s="4">
        <v>6</v>
      </c>
      <c r="E52" s="4">
        <v>480</v>
      </c>
      <c r="F52" s="4" t="s">
        <v>35</v>
      </c>
      <c r="G52" s="4" t="s">
        <v>16</v>
      </c>
      <c r="M52" s="4" t="s">
        <v>55</v>
      </c>
    </row>
    <row r="53" spans="1:13" x14ac:dyDescent="0.6">
      <c r="A53" s="3">
        <v>46111</v>
      </c>
      <c r="B53" s="4" t="s">
        <v>88</v>
      </c>
      <c r="C53" s="4">
        <v>2</v>
      </c>
      <c r="D53" s="4">
        <v>1</v>
      </c>
      <c r="E53" s="4">
        <v>480</v>
      </c>
      <c r="F53" s="4" t="s">
        <v>35</v>
      </c>
      <c r="G53" s="4" t="s">
        <v>16</v>
      </c>
      <c r="M53" s="4" t="s">
        <v>55</v>
      </c>
    </row>
    <row r="54" spans="1:13" x14ac:dyDescent="0.6">
      <c r="A54" s="3">
        <v>46111</v>
      </c>
      <c r="B54" s="4" t="s">
        <v>86</v>
      </c>
      <c r="C54" s="4">
        <v>1</v>
      </c>
      <c r="D54" s="4">
        <v>2</v>
      </c>
      <c r="E54" s="4">
        <v>480</v>
      </c>
      <c r="F54" s="4" t="s">
        <v>35</v>
      </c>
      <c r="G54" s="4" t="s">
        <v>16</v>
      </c>
      <c r="M54" s="4" t="s">
        <v>55</v>
      </c>
    </row>
    <row r="55" spans="1:13" x14ac:dyDescent="0.6">
      <c r="A55" s="3">
        <v>46111</v>
      </c>
      <c r="B55" s="4" t="s">
        <v>74</v>
      </c>
      <c r="C55" s="4">
        <v>1</v>
      </c>
      <c r="D55" s="4">
        <v>4</v>
      </c>
      <c r="E55" s="4">
        <v>480</v>
      </c>
      <c r="F55" s="4" t="s">
        <v>35</v>
      </c>
      <c r="G55" s="4" t="s">
        <v>16</v>
      </c>
      <c r="M55" s="4" t="s">
        <v>55</v>
      </c>
    </row>
    <row r="56" spans="1:13" x14ac:dyDescent="0.6">
      <c r="A56" s="3">
        <v>46111</v>
      </c>
      <c r="B56" s="4" t="s">
        <v>66</v>
      </c>
      <c r="C56" s="4">
        <v>4</v>
      </c>
      <c r="D56" s="4">
        <v>180</v>
      </c>
      <c r="E56" s="4">
        <v>480</v>
      </c>
      <c r="F56" s="4" t="s">
        <v>35</v>
      </c>
      <c r="G56" s="4" t="s">
        <v>16</v>
      </c>
      <c r="M56" s="4" t="s">
        <v>55</v>
      </c>
    </row>
    <row r="57" spans="1:13" x14ac:dyDescent="0.6">
      <c r="A57" s="3">
        <v>46111</v>
      </c>
      <c r="B57" s="4" t="s">
        <v>68</v>
      </c>
      <c r="C57" s="4">
        <v>2</v>
      </c>
      <c r="D57" s="4">
        <v>1</v>
      </c>
      <c r="E57" s="4">
        <v>480</v>
      </c>
      <c r="F57" s="4" t="s">
        <v>35</v>
      </c>
      <c r="G57" s="4" t="s">
        <v>16</v>
      </c>
      <c r="M57" s="4" t="s">
        <v>55</v>
      </c>
    </row>
  </sheetData>
  <autoFilter ref="A1:M1">
    <sortState ref="A2:M44">
      <sortCondition descending="1" ref="A1"/>
    </sortState>
  </autoFilter>
  <pageMargins left="0.7" right="0.7" top="0.75" bottom="0.75" header="0.3" footer="0.3"/>
  <pageSetup paperSize="9" orientation="portrait" horizontalDpi="360" verticalDpi="36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2"/>
  <dimension ref="A2:S60"/>
  <sheetViews>
    <sheetView topLeftCell="A39" workbookViewId="0">
      <selection activeCell="C59" sqref="C59"/>
    </sheetView>
  </sheetViews>
  <sheetFormatPr defaultRowHeight="14.4" x14ac:dyDescent="0.55000000000000004"/>
  <cols>
    <col min="1" max="1" width="9" customWidth="1"/>
    <col min="2" max="2" width="21" customWidth="1"/>
    <col min="3" max="4" width="21.578125" customWidth="1"/>
    <col min="5" max="5" width="15.68359375" bestFit="1" customWidth="1"/>
    <col min="6" max="9" width="9" customWidth="1"/>
    <col min="10" max="10" width="20.68359375" bestFit="1" customWidth="1"/>
    <col min="11" max="11" width="35" bestFit="1" customWidth="1"/>
    <col min="12" max="13" width="9" customWidth="1"/>
    <col min="14" max="14" width="17.578125" bestFit="1" customWidth="1"/>
    <col min="15" max="17" width="9" customWidth="1"/>
    <col min="18" max="18" width="8.83984375" customWidth="1"/>
    <col min="19" max="19" width="34" customWidth="1"/>
    <col min="20" max="20" width="58" customWidth="1"/>
  </cols>
  <sheetData>
    <row r="2" spans="1:19" ht="60.3" x14ac:dyDescent="2.0499999999999998">
      <c r="A2" s="22" t="s">
        <v>3</v>
      </c>
      <c r="B2" s="22"/>
      <c r="C2" s="22"/>
      <c r="D2" s="22"/>
      <c r="E2" s="22"/>
      <c r="F2" s="22"/>
      <c r="G2" s="22"/>
      <c r="H2" s="22"/>
      <c r="I2" s="22"/>
      <c r="J2" s="22"/>
      <c r="K2" s="22"/>
    </row>
    <row r="6" spans="1:19" x14ac:dyDescent="0.55000000000000004">
      <c r="N6" s="2"/>
      <c r="S6">
        <v>1</v>
      </c>
    </row>
    <row r="11" spans="1:19" x14ac:dyDescent="0.55000000000000004">
      <c r="J11" t="s">
        <v>10</v>
      </c>
    </row>
    <row r="12" spans="1:19" x14ac:dyDescent="0.55000000000000004">
      <c r="J12" t="s">
        <v>11</v>
      </c>
    </row>
    <row r="13" spans="1:19" x14ac:dyDescent="0.55000000000000004">
      <c r="C13" s="9" t="s">
        <v>8</v>
      </c>
      <c r="J13" t="s">
        <v>12</v>
      </c>
    </row>
    <row r="14" spans="1:19" x14ac:dyDescent="0.55000000000000004">
      <c r="C14" s="14" t="s">
        <v>17</v>
      </c>
      <c r="E14" t="s">
        <v>35</v>
      </c>
      <c r="J14" t="s">
        <v>13</v>
      </c>
    </row>
    <row r="15" spans="1:19" x14ac:dyDescent="0.55000000000000004">
      <c r="C15" s="14" t="s">
        <v>18</v>
      </c>
      <c r="E15" t="s">
        <v>36</v>
      </c>
      <c r="J15" t="s">
        <v>14</v>
      </c>
    </row>
    <row r="16" spans="1:19" x14ac:dyDescent="0.55000000000000004">
      <c r="C16" s="14" t="s">
        <v>19</v>
      </c>
      <c r="E16" t="s">
        <v>37</v>
      </c>
      <c r="J16" t="s">
        <v>15</v>
      </c>
    </row>
    <row r="17" spans="3:10" x14ac:dyDescent="0.55000000000000004">
      <c r="C17" s="14" t="s">
        <v>20</v>
      </c>
      <c r="J17" t="s">
        <v>16</v>
      </c>
    </row>
    <row r="18" spans="3:10" x14ac:dyDescent="0.55000000000000004">
      <c r="C18" s="14" t="s">
        <v>21</v>
      </c>
      <c r="J18" t="s">
        <v>32</v>
      </c>
    </row>
    <row r="19" spans="3:10" x14ac:dyDescent="0.55000000000000004">
      <c r="C19" s="14" t="s">
        <v>22</v>
      </c>
      <c r="J19" t="s">
        <v>33</v>
      </c>
    </row>
    <row r="20" spans="3:10" x14ac:dyDescent="0.55000000000000004">
      <c r="C20" s="14" t="s">
        <v>23</v>
      </c>
    </row>
    <row r="21" spans="3:10" x14ac:dyDescent="0.55000000000000004">
      <c r="C21" s="14" t="s">
        <v>24</v>
      </c>
    </row>
    <row r="22" spans="3:10" x14ac:dyDescent="0.55000000000000004">
      <c r="C22" s="14" t="s">
        <v>40</v>
      </c>
    </row>
    <row r="23" spans="3:10" x14ac:dyDescent="0.55000000000000004">
      <c r="C23" s="14" t="s">
        <v>25</v>
      </c>
    </row>
    <row r="24" spans="3:10" x14ac:dyDescent="0.55000000000000004">
      <c r="C24" s="14" t="s">
        <v>26</v>
      </c>
    </row>
    <row r="25" spans="3:10" x14ac:dyDescent="0.55000000000000004">
      <c r="C25" s="14" t="s">
        <v>27</v>
      </c>
    </row>
    <row r="26" spans="3:10" x14ac:dyDescent="0.55000000000000004">
      <c r="C26" s="14" t="s">
        <v>28</v>
      </c>
    </row>
    <row r="27" spans="3:10" x14ac:dyDescent="0.55000000000000004">
      <c r="C27" s="14" t="s">
        <v>29</v>
      </c>
    </row>
    <row r="28" spans="3:10" x14ac:dyDescent="0.55000000000000004">
      <c r="C28" s="14" t="s">
        <v>30</v>
      </c>
    </row>
    <row r="29" spans="3:10" x14ac:dyDescent="0.55000000000000004">
      <c r="C29" s="14" t="s">
        <v>31</v>
      </c>
    </row>
    <row r="30" spans="3:10" x14ac:dyDescent="0.55000000000000004">
      <c r="C30" s="14" t="s">
        <v>38</v>
      </c>
    </row>
    <row r="31" spans="3:10" x14ac:dyDescent="0.55000000000000004">
      <c r="C31" s="14" t="s">
        <v>39</v>
      </c>
    </row>
    <row r="32" spans="3:10" x14ac:dyDescent="0.55000000000000004">
      <c r="C32" s="14" t="s">
        <v>41</v>
      </c>
    </row>
    <row r="33" spans="3:3" x14ac:dyDescent="0.55000000000000004">
      <c r="C33" s="14" t="s">
        <v>42</v>
      </c>
    </row>
    <row r="34" spans="3:3" x14ac:dyDescent="0.55000000000000004">
      <c r="C34" s="14" t="s">
        <v>43</v>
      </c>
    </row>
    <row r="35" spans="3:3" x14ac:dyDescent="0.55000000000000004">
      <c r="C35" s="14" t="s">
        <v>63</v>
      </c>
    </row>
    <row r="36" spans="3:3" x14ac:dyDescent="0.55000000000000004">
      <c r="C36" s="14" t="s">
        <v>66</v>
      </c>
    </row>
    <row r="37" spans="3:3" x14ac:dyDescent="0.55000000000000004">
      <c r="C37" s="14" t="s">
        <v>67</v>
      </c>
    </row>
    <row r="38" spans="3:3" x14ac:dyDescent="0.55000000000000004">
      <c r="C38" s="14" t="s">
        <v>68</v>
      </c>
    </row>
    <row r="39" spans="3:3" x14ac:dyDescent="0.55000000000000004">
      <c r="C39" s="14" t="s">
        <v>69</v>
      </c>
    </row>
    <row r="40" spans="3:3" x14ac:dyDescent="0.55000000000000004">
      <c r="C40" s="20" t="s">
        <v>70</v>
      </c>
    </row>
    <row r="41" spans="3:3" x14ac:dyDescent="0.55000000000000004">
      <c r="C41" s="20" t="s">
        <v>71</v>
      </c>
    </row>
    <row r="42" spans="3:3" x14ac:dyDescent="0.55000000000000004">
      <c r="C42" s="20" t="s">
        <v>72</v>
      </c>
    </row>
    <row r="43" spans="3:3" x14ac:dyDescent="0.55000000000000004">
      <c r="C43" s="20" t="s">
        <v>73</v>
      </c>
    </row>
    <row r="44" spans="3:3" x14ac:dyDescent="0.55000000000000004">
      <c r="C44" s="20" t="s">
        <v>74</v>
      </c>
    </row>
    <row r="45" spans="3:3" x14ac:dyDescent="0.55000000000000004">
      <c r="C45" s="20" t="s">
        <v>75</v>
      </c>
    </row>
    <row r="46" spans="3:3" x14ac:dyDescent="0.55000000000000004">
      <c r="C46" s="20" t="s">
        <v>76</v>
      </c>
    </row>
    <row r="47" spans="3:3" x14ac:dyDescent="0.55000000000000004">
      <c r="C47" s="20" t="s">
        <v>77</v>
      </c>
    </row>
    <row r="48" spans="3:3" x14ac:dyDescent="0.55000000000000004">
      <c r="C48" s="20" t="s">
        <v>78</v>
      </c>
    </row>
    <row r="49" spans="3:3" x14ac:dyDescent="0.55000000000000004">
      <c r="C49" s="20" t="s">
        <v>79</v>
      </c>
    </row>
    <row r="50" spans="3:3" x14ac:dyDescent="0.55000000000000004">
      <c r="C50" s="20" t="s">
        <v>80</v>
      </c>
    </row>
    <row r="51" spans="3:3" x14ac:dyDescent="0.55000000000000004">
      <c r="C51" s="20" t="s">
        <v>81</v>
      </c>
    </row>
    <row r="52" spans="3:3" x14ac:dyDescent="0.55000000000000004">
      <c r="C52" s="20" t="s">
        <v>82</v>
      </c>
    </row>
    <row r="53" spans="3:3" x14ac:dyDescent="0.55000000000000004">
      <c r="C53" s="20" t="s">
        <v>83</v>
      </c>
    </row>
    <row r="54" spans="3:3" x14ac:dyDescent="0.55000000000000004">
      <c r="C54" s="20" t="s">
        <v>84</v>
      </c>
    </row>
    <row r="55" spans="3:3" x14ac:dyDescent="0.55000000000000004">
      <c r="C55" s="20" t="s">
        <v>85</v>
      </c>
    </row>
    <row r="56" spans="3:3" x14ac:dyDescent="0.55000000000000004">
      <c r="C56" s="20" t="s">
        <v>86</v>
      </c>
    </row>
    <row r="57" spans="3:3" x14ac:dyDescent="0.55000000000000004">
      <c r="C57" s="20" t="s">
        <v>87</v>
      </c>
    </row>
    <row r="58" spans="3:3" x14ac:dyDescent="0.55000000000000004">
      <c r="C58" s="20" t="s">
        <v>88</v>
      </c>
    </row>
    <row r="59" spans="3:3" x14ac:dyDescent="0.55000000000000004">
      <c r="C59" s="14"/>
    </row>
    <row r="60" spans="3:3" x14ac:dyDescent="0.55000000000000004">
      <c r="C60" s="9" t="s">
        <v>9</v>
      </c>
    </row>
  </sheetData>
  <mergeCells count="1">
    <mergeCell ref="A2:K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3</vt:i4>
      </vt:variant>
    </vt:vector>
  </HeadingPairs>
  <TitlesOfParts>
    <vt:vector size="3" baseType="lpstr">
      <vt:lpstr>VERİ GİRİŞ</vt:lpstr>
      <vt:lpstr>GİRDİ RAPORU</vt:lpstr>
      <vt:lpstr>AYARLAR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PCX</dc:creator>
  <cp:lastModifiedBy>ISTASYON SUMEN</cp:lastModifiedBy>
  <dcterms:created xsi:type="dcterms:W3CDTF">2015-06-05T18:19:34Z</dcterms:created>
  <dcterms:modified xsi:type="dcterms:W3CDTF">2026-03-30T15:11:22Z</dcterms:modified>
</cp:coreProperties>
</file>