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BuÇalışmaKitabı"/>
  <mc:AlternateContent xmlns:mc="http://schemas.openxmlformats.org/markup-compatibility/2006">
    <mc:Choice Requires="x15">
      <x15ac:absPath xmlns:x15ac="http://schemas.microsoft.com/office/spreadsheetml/2010/11/ac" url="\\MarwoodNas\Üretim\ÜRETİM VERİLERİ\BOYA VE METAL GÜNLÜK VERİLERİ\METAL VE BOYA HATALI PARÇA GİRİŞİ\"/>
    </mc:Choice>
  </mc:AlternateContent>
  <xr:revisionPtr revIDLastSave="0" documentId="13_ncr:1_{573F86AE-4796-4EE4-A06A-B56FAC6F3BBB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VERİ GİRİŞİ" sheetId="1" r:id="rId1"/>
    <sheet name="VERİ KAYIT" sheetId="3" r:id="rId2"/>
    <sheet name="GRAFİK" sheetId="8" state="hidden" r:id="rId3"/>
    <sheet name="Veri doğrulama" sheetId="4" state="hidden" r:id="rId4"/>
  </sheets>
  <externalReferences>
    <externalReference r:id="rId5"/>
  </externalReferences>
  <definedNames>
    <definedName name="_xlnm._FilterDatabase" localSheetId="1" hidden="1">'VERİ KAYIT'!$A$1:$H$291</definedName>
    <definedName name="Hata_Nedeni">Tablo3[Hata Nedeni]</definedName>
    <definedName name="Renk">Tablo3[Hata Nedeni]</definedName>
    <definedName name="Renkler">Tablo2[Renkler]</definedName>
    <definedName name="_xlnm.Print_Area" localSheetId="1">'VERİ KAYIT'!$A:$J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" l="1"/>
  <c r="B18" i="8" l="1"/>
</calcChain>
</file>

<file path=xl/sharedStrings.xml><?xml version="1.0" encoding="utf-8"?>
<sst xmlns="http://schemas.openxmlformats.org/spreadsheetml/2006/main" count="1239" uniqueCount="399">
  <si>
    <t>TARİH</t>
  </si>
  <si>
    <t>BÖLÜM ADI</t>
  </si>
  <si>
    <t>ÜRÜN ADI</t>
  </si>
  <si>
    <t xml:space="preserve">RENK </t>
  </si>
  <si>
    <t>ADET</t>
  </si>
  <si>
    <t>HATALI ÜRÜN NE OLACAK?</t>
  </si>
  <si>
    <t>HATA NEDENİ</t>
  </si>
  <si>
    <t>AÇIKLAMA</t>
  </si>
  <si>
    <t>RENK</t>
  </si>
  <si>
    <t>BOYA</t>
  </si>
  <si>
    <t>YENİDEN İŞLEME ALINACAK</t>
  </si>
  <si>
    <t>Spiral Hatası</t>
  </si>
  <si>
    <t>METAL</t>
  </si>
  <si>
    <t xml:space="preserve">timy raf </t>
  </si>
  <si>
    <t>Stell Blue (Mavi)</t>
  </si>
  <si>
    <t>Kaynak Hatası</t>
  </si>
  <si>
    <t>ters yere havşa açılmış</t>
  </si>
  <si>
    <t>denizbank orta ayak</t>
  </si>
  <si>
    <t>Mat Beyaz (9003)</t>
  </si>
  <si>
    <t>kaynak hatası tekrar işleme alındı</t>
  </si>
  <si>
    <t>116.5 ve 96.5</t>
  </si>
  <si>
    <t>Makine hatası</t>
  </si>
  <si>
    <t>actor destek 30x30 profili</t>
  </si>
  <si>
    <t>Delik Hatası</t>
  </si>
  <si>
    <t>TAMİRLE OLUR HALE GELECEK</t>
  </si>
  <si>
    <t>Boyada Açıklık</t>
  </si>
  <si>
    <t>sitil masa ayak</t>
  </si>
  <si>
    <t>Terra Brown (Kahverengi)</t>
  </si>
  <si>
    <t>Limenstone-bej (Krem)</t>
  </si>
  <si>
    <t>Fazla Boyama</t>
  </si>
  <si>
    <t>Siyah (9005)</t>
  </si>
  <si>
    <t>Hammadde hatası</t>
  </si>
  <si>
    <t>Salmon Orange (Turuncu)</t>
  </si>
  <si>
    <t xml:space="preserve">flay sehpa </t>
  </si>
  <si>
    <t>ssh</t>
  </si>
  <si>
    <t xml:space="preserve">eskı urun </t>
  </si>
  <si>
    <t>valens ayak</t>
  </si>
  <si>
    <t>PIRAYM SEHPA</t>
  </si>
  <si>
    <t>76,5 KANALLI ARA PİTOFİL</t>
  </si>
  <si>
    <t>Gri 702</t>
  </si>
  <si>
    <t>RENK FAK ETMEZ HATDA OLAN RENGE BOYAYIN DEDILER BOYADIK SONRADA KABUL ETMEDILER VE TEKRARDAN KİRLİ RENGE CEVİRDİK</t>
  </si>
  <si>
    <t>renk yok</t>
  </si>
  <si>
    <t>Yanlış Renk Boyama</t>
  </si>
  <si>
    <t>Personel Hatası</t>
  </si>
  <si>
    <t>Ssh</t>
  </si>
  <si>
    <t>set koltuk ara parça</t>
  </si>
  <si>
    <t>Kesim Hatası</t>
  </si>
  <si>
    <t>Çizik</t>
  </si>
  <si>
    <t xml:space="preserve">motto çerçeve </t>
  </si>
  <si>
    <t>kaynak hatası</t>
  </si>
  <si>
    <t>Quartz 2</t>
  </si>
  <si>
    <t>s</t>
  </si>
  <si>
    <t>evol ayak</t>
  </si>
  <si>
    <t>steel masa ayak</t>
  </si>
  <si>
    <t>yıldız ayak</t>
  </si>
  <si>
    <t>metal çizik kaynak hatası</t>
  </si>
  <si>
    <t xml:space="preserve">pipe sehpa </t>
  </si>
  <si>
    <t>metal çizikler  var</t>
  </si>
  <si>
    <t>tekli masa yan profili 116.5</t>
  </si>
  <si>
    <t>loft ayak sacı</t>
  </si>
  <si>
    <t>valens sehpa</t>
  </si>
  <si>
    <t>tablada çizik var</t>
  </si>
  <si>
    <t xml:space="preserve">valens masa </t>
  </si>
  <si>
    <t>Ölçü Hatası</t>
  </si>
  <si>
    <t>ölçüsü büyük</t>
  </si>
  <si>
    <t>DENİZ BANK KOLTUK ÇERÇEVESİ</t>
  </si>
  <si>
    <t>tın 120 lik diş sac</t>
  </si>
  <si>
    <t>LOFT TOPLANTI ÇERÇEVE YAN</t>
  </si>
  <si>
    <t>odiessa</t>
  </si>
  <si>
    <t>freden kesildiği için boy yetmedi</t>
  </si>
  <si>
    <t>26,5 ziraat tepe profili</t>
  </si>
  <si>
    <t>loft 220 toplantı çerçeve</t>
  </si>
  <si>
    <t>loft 220 toplantı yan profil</t>
  </si>
  <si>
    <t>desk 116,5 yan profili</t>
  </si>
  <si>
    <t>denis ve loft toplantı ayak sacı</t>
  </si>
  <si>
    <t>üsküdar özel koltuk katlamalı</t>
  </si>
  <si>
    <t>116.5 tepe</t>
  </si>
  <si>
    <t>stell 80 lik ayak</t>
  </si>
  <si>
    <t>profil darbe almış</t>
  </si>
  <si>
    <t>20x20 çiçeklik</t>
  </si>
  <si>
    <t>lazer merkez ayari kaçık</t>
  </si>
  <si>
    <t>slıde masa ayak</t>
  </si>
  <si>
    <t>sac ham maddesi sert acılıyor</t>
  </si>
  <si>
    <t>loft sehpa ayak</t>
  </si>
  <si>
    <t>lazer kesim hatası</t>
  </si>
  <si>
    <t>loft çerçeve</t>
  </si>
  <si>
    <t>kesilen parça makinada akıldığı için kesim bozuldu</t>
  </si>
  <si>
    <t>informatik</t>
  </si>
  <si>
    <t>son parça çene kaçırması</t>
  </si>
  <si>
    <t>slide 40 cm</t>
  </si>
  <si>
    <t>space 125 cm profilinin tepesinden çıkıyor</t>
  </si>
  <si>
    <t xml:space="preserve"> polo ayak dış sacı</t>
  </si>
  <si>
    <t>sac sert olduğu için kalıp eğimi yetersiz kalıyo</t>
  </si>
  <si>
    <t>single (76,5)</t>
  </si>
  <si>
    <t>profil eğri olduğu için delik merkezleri kaçık</t>
  </si>
  <si>
    <t>albaraka 4 kişili bekleme sırt</t>
  </si>
  <si>
    <t>kesim sırasında makine arızası</t>
  </si>
  <si>
    <t>116,5 yan</t>
  </si>
  <si>
    <t>son parçada delik merkezi kaçık</t>
  </si>
  <si>
    <t>26,5 tepe</t>
  </si>
  <si>
    <t>makine son parça hatası</t>
  </si>
  <si>
    <t>denizbank workspace ayak</t>
  </si>
  <si>
    <t>Yanlış Eğim</t>
  </si>
  <si>
    <t>daisy banko</t>
  </si>
  <si>
    <t>PRİZ SETİ</t>
  </si>
  <si>
    <t>denis üst bağlantı sacı</t>
  </si>
  <si>
    <t>numune kesim hatası</t>
  </si>
  <si>
    <t>95,5 yan profil</t>
  </si>
  <si>
    <t>makine son parça çene den kayma</t>
  </si>
  <si>
    <t xml:space="preserve">denizbank çalışma </t>
  </si>
  <si>
    <t>lazer son parça hatası</t>
  </si>
  <si>
    <t>fly konsol alt baza</t>
  </si>
  <si>
    <t>katlama yerinden kırıldı</t>
  </si>
  <si>
    <t>54 CM ESKİ PARCA 20X40</t>
  </si>
  <si>
    <t>ÜRÜN KALDIRIMIŞ FAKAT TAMAMLAYICI PROĞRAM OLARAK KAYRA ARA BORUDA CIKIYOR</t>
  </si>
  <si>
    <t>ENES ARA BORU 193,7</t>
  </si>
  <si>
    <t>LAZER ÇENESİ TAM TUTMUYOR</t>
  </si>
  <si>
    <t>Daisy Banko</t>
  </si>
  <si>
    <t>metal</t>
  </si>
  <si>
    <t>valens masa ayağı</t>
  </si>
  <si>
    <t>ürün kullanılmayacak</t>
  </si>
  <si>
    <t>ziraat perde profili 10x20</t>
  </si>
  <si>
    <t>set  lounge</t>
  </si>
  <si>
    <t>tin çerçeve</t>
  </si>
  <si>
    <t>Arge-Ürge Hatası</t>
  </si>
  <si>
    <t>SAC LAZER</t>
  </si>
  <si>
    <t>Tin 115 alt kuşak dış yan</t>
  </si>
  <si>
    <t>HATA SAYISI</t>
  </si>
  <si>
    <t>EĞİTİM VERİLECEK</t>
  </si>
  <si>
    <t>Kayıp</t>
  </si>
  <si>
    <t>MESAİLER</t>
  </si>
  <si>
    <t>ARIZA DURUŞLARI</t>
  </si>
  <si>
    <t>216,5 SAAT</t>
  </si>
  <si>
    <t>BOYA (POVAG)</t>
  </si>
  <si>
    <t>16 SAAT</t>
  </si>
  <si>
    <t>BOYAHANE</t>
  </si>
  <si>
    <t>45 DK</t>
  </si>
  <si>
    <t>Ürün Uyuşmazlığı</t>
  </si>
  <si>
    <t>SAC LAZER (POVAG)</t>
  </si>
  <si>
    <t>5 SAAT</t>
  </si>
  <si>
    <t>OCAK AYI METAL-BOYA MAKİNE DURUŞ SÜRELERİ</t>
  </si>
  <si>
    <t>PLANA UYUM</t>
  </si>
  <si>
    <t>PROFİL LAZER</t>
  </si>
  <si>
    <t>ALÜMİNYUM KESME</t>
  </si>
  <si>
    <t>BOYA HATTI</t>
  </si>
  <si>
    <t>KÜÇÜK FIRIN</t>
  </si>
  <si>
    <t>Enerji kesintisi</t>
  </si>
  <si>
    <t>TOPLAM</t>
  </si>
  <si>
    <t>Bölüm Adı</t>
  </si>
  <si>
    <t>Renkler</t>
  </si>
  <si>
    <t>Hata Nedeni</t>
  </si>
  <si>
    <t>İstiflerin devrilmesi</t>
  </si>
  <si>
    <t>küpeler yanlış kaynatılmış</t>
  </si>
  <si>
    <t>polo 184 cm ara boru</t>
  </si>
  <si>
    <t>eski ürün</t>
  </si>
  <si>
    <t>DENİS TOPLANTI AYAK</t>
  </si>
  <si>
    <t>DENİS TOPLANTI</t>
  </si>
  <si>
    <t>kaynaklar ispiral olcak</t>
  </si>
  <si>
    <t>fly konsol dolap çerçeve</t>
  </si>
  <si>
    <t>ezik profil</t>
  </si>
  <si>
    <t>steel bar masa ayak</t>
  </si>
  <si>
    <t>std profil</t>
  </si>
  <si>
    <t>lazer hatası</t>
  </si>
  <si>
    <t>cage mitti puf actor</t>
  </si>
  <si>
    <t>sac ürünlerde çizikler var</t>
  </si>
  <si>
    <t>steel bar masası</t>
  </si>
  <si>
    <t>kaynak kaba</t>
  </si>
  <si>
    <t>delux sehpa</t>
  </si>
  <si>
    <t>ispiral ile fazla alınmış</t>
  </si>
  <si>
    <t>ham</t>
  </si>
  <si>
    <t>ispiral yapılmamaış</t>
  </si>
  <si>
    <t>pipe deniz bank sepha</t>
  </si>
  <si>
    <t>örümcek ayak</t>
  </si>
  <si>
    <t>metal kısmında ezilme var</t>
  </si>
  <si>
    <t>orta ayak</t>
  </si>
  <si>
    <t>orta ayak kapak</t>
  </si>
  <si>
    <t>etiket hatası</t>
  </si>
  <si>
    <t>yemek masası zirat bankası</t>
  </si>
  <si>
    <t>MOTTO C SEHPA</t>
  </si>
  <si>
    <t>STEL MASA AYAGI</t>
  </si>
  <si>
    <t>STEL</t>
  </si>
  <si>
    <t>ALBARAKA</t>
  </si>
  <si>
    <t>8 MM ALT SAC BÜYÜK YERİNE OTURMUYOR</t>
  </si>
  <si>
    <t>DENİS TOPLANTI AYAKLAR SACLARDA ÇIKINTI VAR ARGEDEN DÜZELTİLMESİ LAZIM</t>
  </si>
  <si>
    <t>SAİL 240X120 ÇERÇEVE</t>
  </si>
  <si>
    <t>TABLA ÇİFT ÇERÇEVE TEK TABLAYA GÖRE YAPILDI</t>
  </si>
  <si>
    <t>CAGE RAF</t>
  </si>
  <si>
    <t>kaynaklarda açıklık var</t>
  </si>
  <si>
    <t>informatik çerçeve</t>
  </si>
  <si>
    <t>flexo seperatör</t>
  </si>
  <si>
    <t>denis 320 çerçeve</t>
  </si>
  <si>
    <t>timy dolap</t>
  </si>
  <si>
    <t>kopmaması gereken kesimler kopmuş</t>
  </si>
  <si>
    <t>stone sahpa</t>
  </si>
  <si>
    <t>çene tutmamış personel hatası</t>
  </si>
  <si>
    <t>loft toplantı çerçeve</t>
  </si>
  <si>
    <t xml:space="preserve">pipe masa </t>
  </si>
  <si>
    <t>profilller ezik</t>
  </si>
  <si>
    <t>Dublex c sehpa</t>
  </si>
  <si>
    <t>seperatör</t>
  </si>
  <si>
    <t xml:space="preserve">prime </t>
  </si>
  <si>
    <t>METAL HATALI PARÇA VERİ GİRİŞİ</t>
  </si>
  <si>
    <t>kkatlamadan kırıldığı için çarptı</t>
  </si>
  <si>
    <t>ziraat bankası ayak iç sacı</t>
  </si>
  <si>
    <t>lazerde delikler küçük açıldı</t>
  </si>
  <si>
    <t>TİN KESON</t>
  </si>
  <si>
    <t xml:space="preserve">SACDA KACIKLIK VAR </t>
  </si>
  <si>
    <t>pipe sahpa</t>
  </si>
  <si>
    <t>markalama olmadıgı icin ayrı işçilik harcanarak yapıldı</t>
  </si>
  <si>
    <t>deluxe</t>
  </si>
  <si>
    <t>motto c sehpa</t>
  </si>
  <si>
    <t xml:space="preserve">x ayak </t>
  </si>
  <si>
    <t>ispiral olacak dikişler</t>
  </si>
  <si>
    <t>ŞARTLI KABUL EDİLECEK</t>
  </si>
  <si>
    <t>yönyesiz kaynak</t>
  </si>
  <si>
    <t xml:space="preserve">özel proje </t>
  </si>
  <si>
    <t xml:space="preserve">sayım hatası nedeniyle ürün  fazladan kesilmiş </t>
  </si>
  <si>
    <t>kitchenette</t>
  </si>
  <si>
    <t>6 boy 20x20</t>
  </si>
  <si>
    <t>makinanın merkez ayarı kaçık olduğu için kesim merkezli değil</t>
  </si>
  <si>
    <t>std topal ayak</t>
  </si>
  <si>
    <t>yanlış proğram kesilmiş özel ölçüden kesilmiş</t>
  </si>
  <si>
    <t>set kanepe ayağı</t>
  </si>
  <si>
    <t>parametre hatası</t>
  </si>
  <si>
    <t>motto c sehpa sacı</t>
  </si>
  <si>
    <t>sacları eğri</t>
  </si>
  <si>
    <t>evol sehpa deneme profili</t>
  </si>
  <si>
    <t>deneme ürünü</t>
  </si>
  <si>
    <t>stell sehpa ayağı</t>
  </si>
  <si>
    <t xml:space="preserve">eski ürün </t>
  </si>
  <si>
    <t>actor tv ünitesi bağlantı sacı</t>
  </si>
  <si>
    <t xml:space="preserve">ezik </t>
  </si>
  <si>
    <t>bost bar x ayak</t>
  </si>
  <si>
    <t>yamuk profil</t>
  </si>
  <si>
    <t>cage çerçeve</t>
  </si>
  <si>
    <t>merkezi kaçık</t>
  </si>
  <si>
    <t>motto dolap ayağı 30x40 profili</t>
  </si>
  <si>
    <t>PİPE</t>
  </si>
  <si>
    <t>HURDA</t>
  </si>
  <si>
    <t>YANLIŞ PROFİL KESİLDİ</t>
  </si>
  <si>
    <t>DUBLEX C SEHPA</t>
  </si>
  <si>
    <t>FİRE</t>
  </si>
  <si>
    <t>PARAMETRE KAÇTI</t>
  </si>
  <si>
    <t>DENİZ BANK PORTFÖY SEHPA</t>
  </si>
  <si>
    <t>CAGE BAR MASASI 20X40</t>
  </si>
  <si>
    <t xml:space="preserve">YUKSELEN MASA </t>
  </si>
  <si>
    <t xml:space="preserve">YÜKSELEN MASA </t>
  </si>
  <si>
    <t xml:space="preserve">SAC PARCASINDA KANAL İSLEVİ YANLIŞ </t>
  </si>
  <si>
    <t>tın alt sacı</t>
  </si>
  <si>
    <t>ürün revize edildi</t>
  </si>
  <si>
    <t xml:space="preserve">yükseklik ayarlı tönetici masa </t>
  </si>
  <si>
    <t>pingo delikleri alt üst oldu</t>
  </si>
  <si>
    <t xml:space="preserve">ziraat ayak </t>
  </si>
  <si>
    <t>profil dışarda kaynatılmış</t>
  </si>
  <si>
    <t>tın keson</t>
  </si>
  <si>
    <t>delikleri yanlış</t>
  </si>
  <si>
    <t>sac darbe almış</t>
  </si>
  <si>
    <t>slide sehpa dış sacı</t>
  </si>
  <si>
    <t>makine ayarlama yapmak için kullanıldı</t>
  </si>
  <si>
    <t>eski sistem kullanımayan parça</t>
  </si>
  <si>
    <t>eski proğram tepesinden çıkan ürün</t>
  </si>
  <si>
    <t>40 lık tepe profili</t>
  </si>
  <si>
    <t>makine son parça olduğu için delik merkezi kaçık</t>
  </si>
  <si>
    <t>space kanepe kol</t>
  </si>
  <si>
    <t xml:space="preserve">çarpma </t>
  </si>
  <si>
    <t>preze masa</t>
  </si>
  <si>
    <t>PÖRTFOY SEHPA</t>
  </si>
  <si>
    <t>OTURTMADAN KAYNAK YAPILMIŞ</t>
  </si>
  <si>
    <t>DENİZ BANK ORTA AYAK</t>
  </si>
  <si>
    <t>YANLIŞ KAYNAK YAPILDI</t>
  </si>
  <si>
    <t>DENİZ BANK EKRAN YÜKSELTİCİ</t>
  </si>
  <si>
    <t>YANLIŞ ANLAŞILMA SONUCU HATA OLDU</t>
  </si>
  <si>
    <t>GAZ PİSYON ŞASE</t>
  </si>
  <si>
    <t>LAZER İÇ KISMINDA TIRNAK BIRAKMIŞ</t>
  </si>
  <si>
    <t>CAGE ORTA AYAK</t>
  </si>
  <si>
    <t>KANAL YERİ TERS KAYNATILDI</t>
  </si>
  <si>
    <t>CAGE KONFİGİRASYON AYAK</t>
  </si>
  <si>
    <t>PROFİL ÇİZİK</t>
  </si>
  <si>
    <t>TIMY 192 ÇERÇEVE</t>
  </si>
  <si>
    <t>ÇENEDEN DOLAYI PARÇA KAYMIŞ KESİMLER BOZUK</t>
  </si>
  <si>
    <t>prime 13 lük boru</t>
  </si>
  <si>
    <t>tesviye edilmemiş</t>
  </si>
  <si>
    <t>lazer kesim çapağı var</t>
  </si>
  <si>
    <t>boost torna parçası</t>
  </si>
  <si>
    <t>sac eğri</t>
  </si>
  <si>
    <t>yanlış kaynak yapıldı</t>
  </si>
  <si>
    <t>ters kaynak yapıldı</t>
  </si>
  <si>
    <t>prıme</t>
  </si>
  <si>
    <t xml:space="preserve">bost clon koltuk </t>
  </si>
  <si>
    <t>riva ara boru</t>
  </si>
  <si>
    <t>majör selen</t>
  </si>
  <si>
    <t>sail cerceve</t>
  </si>
  <si>
    <t>pipe sehgpa flanş</t>
  </si>
  <si>
    <t>çizik</t>
  </si>
  <si>
    <t>arge sehpa denemesi</t>
  </si>
  <si>
    <t>clone x ayak</t>
  </si>
  <si>
    <t>yanlış profil kaynatılmış</t>
  </si>
  <si>
    <t xml:space="preserve">denis ayak </t>
  </si>
  <si>
    <t>kaynak ve spiral uygun değil yeniden spiral edildi</t>
  </si>
  <si>
    <t>clon x sandelye</t>
  </si>
  <si>
    <t>clon sandelye x ayak</t>
  </si>
  <si>
    <t>üst sac deşimi eksra işcilik</t>
  </si>
  <si>
    <t>yönyesiz</t>
  </si>
  <si>
    <t>denis ayak</t>
  </si>
  <si>
    <t>tekrar ispiral yapıldı</t>
  </si>
  <si>
    <t>ziraat ön profil</t>
  </si>
  <si>
    <t>delik kaçık çeneden dolayı</t>
  </si>
  <si>
    <t>orta ayak bağlantı profili</t>
  </si>
  <si>
    <t>eski ürün proğramın tepesinden çıktı</t>
  </si>
  <si>
    <t xml:space="preserve">denizbank müdür sehpa </t>
  </si>
  <si>
    <t>torna parçası hatalı</t>
  </si>
  <si>
    <t>gönyesiz</t>
  </si>
  <si>
    <t xml:space="preserve">141x81 aliminyum </t>
  </si>
  <si>
    <t>stell masa</t>
  </si>
  <si>
    <t>boya bölümü personel hatası</t>
  </si>
  <si>
    <t>stell masa ayak</t>
  </si>
  <si>
    <t>personel hatası</t>
  </si>
  <si>
    <t>spiral hatası</t>
  </si>
  <si>
    <t>ispiral yapılmamış</t>
  </si>
  <si>
    <t>space konsol</t>
  </si>
  <si>
    <t>ispiral kontrol edilmemiş</t>
  </si>
  <si>
    <t>paladyum ayak</t>
  </si>
  <si>
    <t>pratik kulp</t>
  </si>
  <si>
    <t>şaft kesilmiş</t>
  </si>
  <si>
    <t>stell bağlantı profili</t>
  </si>
  <si>
    <t>delik merkezi kaçık</t>
  </si>
  <si>
    <t>masör cerceve 1 m ölcü hatası</t>
  </si>
  <si>
    <t>flexo seperetör lazer kesim capakları</t>
  </si>
  <si>
    <t xml:space="preserve">space ayak </t>
  </si>
  <si>
    <t>evol çerçeve profili 66.5</t>
  </si>
  <si>
    <t>delik merkezi çeneden dolayı kaçık</t>
  </si>
  <si>
    <t>denis 280 çerçeve</t>
  </si>
  <si>
    <t>kesimi düzgün kesilmemiş</t>
  </si>
  <si>
    <t>116,5 ön profil</t>
  </si>
  <si>
    <t>delik merkei kaçık makinanın çenesinden dolayı</t>
  </si>
  <si>
    <t>goval katlamalı profil</t>
  </si>
  <si>
    <t>kaynak yeri hatalı</t>
  </si>
  <si>
    <t>gowal raf</t>
  </si>
  <si>
    <t>tın dolap 200 üst sacı</t>
  </si>
  <si>
    <t>kurum hatası</t>
  </si>
  <si>
    <t>loft 420 toplantı çerçeve parçası</t>
  </si>
  <si>
    <t>proğramı hatalı</t>
  </si>
  <si>
    <t>SEPERETÖR ÖZEL</t>
  </si>
  <si>
    <t>BOYA BÖLÜMÜ PERSONEL HATASI</t>
  </si>
  <si>
    <t>fly masa ayak</t>
  </si>
  <si>
    <t>endeze ve personel</t>
  </si>
  <si>
    <t>evol masa ayak</t>
  </si>
  <si>
    <t>kaynaklarda kabarma mevcut</t>
  </si>
  <si>
    <t>polo masa ayak</t>
  </si>
  <si>
    <t>sac yüzeyinde köpürme mevcut</t>
  </si>
  <si>
    <t>deniz bank orta ayak</t>
  </si>
  <si>
    <t xml:space="preserve">iç sacda kamburlaşma olmuş </t>
  </si>
  <si>
    <t>breeze masa ayak</t>
  </si>
  <si>
    <t xml:space="preserve">breeze masa ayak </t>
  </si>
  <si>
    <t>eğri kaynatılmış</t>
  </si>
  <si>
    <t>lazerde delikler yanlış kesilmiş</t>
  </si>
  <si>
    <t>çizikler görünen yüze kaynamış</t>
  </si>
  <si>
    <t>dublex c sehpa</t>
  </si>
  <si>
    <t>motto c sehpa profili</t>
  </si>
  <si>
    <t>denizbank 4 çalışma ön profili</t>
  </si>
  <si>
    <t>son parçada çeneden dolayı delik merkezi kaçık</t>
  </si>
  <si>
    <t>CLONE KIZAK AYAK</t>
  </si>
  <si>
    <t>TEDARİKÇİ HATASI</t>
  </si>
  <si>
    <t>POLO MASA AYAK</t>
  </si>
  <si>
    <t>KAYNAK KÖPÜRME YAPMIŞ</t>
  </si>
  <si>
    <t>SLİDE MASA AYAK</t>
  </si>
  <si>
    <t>PUNTA EZME YAPMIŞ</t>
  </si>
  <si>
    <t>VALENS MASA KISA V AYAK</t>
  </si>
  <si>
    <t>EĞRİ KAYNATILMIŞ</t>
  </si>
  <si>
    <t>CAGE 120LİK ÖN PROFİL</t>
  </si>
  <si>
    <t>denis 40*60 ota ayak profili</t>
  </si>
  <si>
    <t>arge sac</t>
  </si>
  <si>
    <t>kayra ara boru</t>
  </si>
  <si>
    <t>koltuk üst flanş torna parcası hatalı</t>
  </si>
  <si>
    <t>tin konsol yan ic sacı</t>
  </si>
  <si>
    <t>210x110 toplantı çerçevesi</t>
  </si>
  <si>
    <t>boss launc ayak</t>
  </si>
  <si>
    <t>loft masa 240lık</t>
  </si>
  <si>
    <t>timy</t>
  </si>
  <si>
    <t>majör alamünyüm selen</t>
  </si>
  <si>
    <t>fly topal</t>
  </si>
  <si>
    <t>valens cerceve</t>
  </si>
  <si>
    <t xml:space="preserve">arge dolap </t>
  </si>
  <si>
    <t xml:space="preserve">degişim </t>
  </si>
  <si>
    <t>tin dolap yan sacı</t>
  </si>
  <si>
    <t>boya bölümü personel hatası ezilmiş</t>
  </si>
  <si>
    <t>valens dolap ayak</t>
  </si>
  <si>
    <t>geo sehpa ayak</t>
  </si>
  <si>
    <t>160 ön profil</t>
  </si>
  <si>
    <t>delik kaçık</t>
  </si>
  <si>
    <t xml:space="preserve">loft selen </t>
  </si>
  <si>
    <t>loft toplantı</t>
  </si>
  <si>
    <t>160 lık ön profil</t>
  </si>
  <si>
    <t>portvoy sehpa</t>
  </si>
  <si>
    <t>keson</t>
  </si>
  <si>
    <t>slide sehpa</t>
  </si>
  <si>
    <t>özgür ayak sacı</t>
  </si>
  <si>
    <t>valens ara profil</t>
  </si>
  <si>
    <t>loft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</si>
</sst>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57">
    <font>
      <sz val="11"/>
      <color theme="1"/>
      <name val="Calibri"/>
      <charset val="134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sz val="14"/>
      <color theme="1"/>
      <name val="Calibri"/>
      <family val="2"/>
      <charset val="162"/>
      <scheme val="minor"/>
    </font>
    <font>
      <sz val="11"/>
      <color rgb="FF3F3F76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rgb="FF000000"/>
      <name val="Calibri"/>
      <family val="2"/>
      <charset val="162"/>
    </font>
    <font>
      <sz val="11"/>
      <color rgb="FF3F3F76"/>
      <name val="Calibri"/>
      <family val="2"/>
      <charset val="162"/>
      <scheme val="minor"/>
    </font>
    <font>
      <b/>
      <sz val="11"/>
      <color rgb="FFFA7D00"/>
      <name val="Calibri"/>
      <family val="2"/>
      <charset val="16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5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2F2F2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52" fillId="6" borderId="5" applyNumberFormat="0" applyAlignment="0" applyProtection="0"/>
    <xf numFmtId="0" fontId="56" fillId="11" borderId="5" applyNumberFormat="0" applyAlignment="0" applyProtection="0"/>
  </cellStyleXfs>
  <cellXfs count="108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0" fillId="0" borderId="1" xfId="0" applyBorder="1"/>
    <xf numFmtId="2" fontId="0" fillId="0" borderId="1" xfId="0" applyNumberFormat="1" applyBorder="1"/>
    <xf numFmtId="164" fontId="0" fillId="0" borderId="1" xfId="0" applyNumberFormat="1" applyBorder="1" applyAlignment="1">
      <alignment horizontal="center" vertical="center"/>
    </xf>
    <xf numFmtId="0" fontId="52" fillId="6" borderId="5" xfId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53" fillId="7" borderId="5" xfId="1" applyFont="1" applyFill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49" fillId="0" borderId="1" xfId="0" applyFont="1" applyBorder="1" applyAlignment="1">
      <alignment horizontal="center" vertical="center"/>
    </xf>
    <xf numFmtId="0" fontId="49" fillId="0" borderId="1" xfId="0" applyFont="1" applyBorder="1" applyAlignment="1">
      <alignment horizontal="center" vertical="center" wrapText="1"/>
    </xf>
    <xf numFmtId="0" fontId="55" fillId="6" borderId="5" xfId="1" applyFont="1" applyAlignment="1">
      <alignment horizontal="center" vertical="center"/>
    </xf>
    <xf numFmtId="0" fontId="48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horizontal="center" vertical="center" wrapText="1"/>
    </xf>
    <xf numFmtId="0" fontId="47" fillId="0" borderId="1" xfId="0" applyFont="1" applyBorder="1" applyAlignment="1">
      <alignment horizontal="center" vertical="center"/>
    </xf>
    <xf numFmtId="0" fontId="47" fillId="0" borderId="1" xfId="0" applyFont="1" applyBorder="1" applyAlignment="1">
      <alignment horizontal="center" vertical="center" wrapText="1"/>
    </xf>
    <xf numFmtId="0" fontId="46" fillId="0" borderId="1" xfId="0" applyFont="1" applyBorder="1" applyAlignment="1">
      <alignment horizontal="center" vertical="center"/>
    </xf>
    <xf numFmtId="0" fontId="46" fillId="0" borderId="1" xfId="0" applyFont="1" applyBorder="1" applyAlignment="1">
      <alignment horizontal="center" vertical="center" wrapText="1"/>
    </xf>
    <xf numFmtId="0" fontId="45" fillId="0" borderId="1" xfId="0" applyFont="1" applyBorder="1" applyAlignment="1">
      <alignment horizontal="center" vertical="center"/>
    </xf>
    <xf numFmtId="0" fontId="44" fillId="0" borderId="1" xfId="0" applyFont="1" applyBorder="1" applyAlignment="1">
      <alignment horizontal="center" vertical="center"/>
    </xf>
    <xf numFmtId="0" fontId="44" fillId="0" borderId="1" xfId="0" applyFont="1" applyBorder="1" applyAlignment="1">
      <alignment horizontal="center" vertical="center" wrapText="1"/>
    </xf>
    <xf numFmtId="0" fontId="43" fillId="0" borderId="1" xfId="0" applyFont="1" applyBorder="1" applyAlignment="1">
      <alignment horizontal="center" vertical="center"/>
    </xf>
    <xf numFmtId="0" fontId="43" fillId="0" borderId="1" xfId="0" applyFont="1" applyBorder="1" applyAlignment="1">
      <alignment horizontal="center" vertical="center" wrapText="1"/>
    </xf>
    <xf numFmtId="0" fontId="42" fillId="0" borderId="1" xfId="0" applyFont="1" applyBorder="1" applyAlignment="1">
      <alignment horizontal="center" vertical="center"/>
    </xf>
    <xf numFmtId="164" fontId="41" fillId="0" borderId="1" xfId="0" applyNumberFormat="1" applyFont="1" applyBorder="1" applyAlignment="1">
      <alignment horizontal="center" vertical="center"/>
    </xf>
    <xf numFmtId="0" fontId="40" fillId="0" borderId="1" xfId="0" applyFont="1" applyBorder="1" applyAlignment="1">
      <alignment horizontal="center" vertical="center"/>
    </xf>
    <xf numFmtId="0" fontId="40" fillId="0" borderId="1" xfId="0" applyFont="1" applyBorder="1" applyAlignment="1">
      <alignment horizontal="center" vertical="center" wrapText="1"/>
    </xf>
    <xf numFmtId="0" fontId="40" fillId="0" borderId="0" xfId="0" applyFont="1" applyAlignment="1">
      <alignment horizontal="left"/>
    </xf>
    <xf numFmtId="0" fontId="40" fillId="0" borderId="0" xfId="0" applyFont="1"/>
    <xf numFmtId="0" fontId="39" fillId="0" borderId="1" xfId="0" applyFont="1" applyBorder="1" applyAlignment="1">
      <alignment horizontal="center" vertical="center" wrapText="1"/>
    </xf>
    <xf numFmtId="0" fontId="38" fillId="0" borderId="1" xfId="0" applyFont="1" applyBorder="1" applyAlignment="1">
      <alignment horizontal="center" vertical="center" wrapText="1"/>
    </xf>
    <xf numFmtId="0" fontId="37" fillId="0" borderId="1" xfId="0" applyFont="1" applyBorder="1" applyAlignment="1">
      <alignment horizontal="center" vertical="center" wrapText="1"/>
    </xf>
    <xf numFmtId="0" fontId="36" fillId="0" borderId="1" xfId="0" applyFont="1" applyBorder="1" applyAlignment="1">
      <alignment horizontal="center" vertical="center" wrapText="1"/>
    </xf>
    <xf numFmtId="0" fontId="35" fillId="0" borderId="1" xfId="0" applyFont="1" applyBorder="1" applyAlignment="1">
      <alignment horizontal="center" vertical="center" wrapText="1"/>
    </xf>
    <xf numFmtId="0" fontId="34" fillId="0" borderId="1" xfId="0" applyFont="1" applyBorder="1" applyAlignment="1">
      <alignment horizontal="center" vertical="center"/>
    </xf>
    <xf numFmtId="164" fontId="41" fillId="8" borderId="1" xfId="0" applyNumberFormat="1" applyFont="1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164" fontId="0" fillId="8" borderId="1" xfId="0" applyNumberFormat="1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 wrapText="1"/>
    </xf>
    <xf numFmtId="2" fontId="0" fillId="8" borderId="1" xfId="0" applyNumberFormat="1" applyFill="1" applyBorder="1" applyAlignment="1">
      <alignment horizontal="center" vertical="center"/>
    </xf>
    <xf numFmtId="0" fontId="0" fillId="8" borderId="1" xfId="0" applyFill="1" applyBorder="1"/>
    <xf numFmtId="2" fontId="0" fillId="8" borderId="1" xfId="0" applyNumberFormat="1" applyFill="1" applyBorder="1"/>
    <xf numFmtId="0" fontId="33" fillId="0" borderId="0" xfId="0" applyFont="1"/>
    <xf numFmtId="0" fontId="0" fillId="9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 wrapText="1"/>
    </xf>
    <xf numFmtId="2" fontId="0" fillId="9" borderId="1" xfId="0" applyNumberFormat="1" applyFill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/>
    </xf>
    <xf numFmtId="0" fontId="32" fillId="0" borderId="1" xfId="0" applyFont="1" applyBorder="1" applyAlignment="1">
      <alignment horizontal="center" vertical="center" wrapText="1"/>
    </xf>
    <xf numFmtId="0" fontId="31" fillId="0" borderId="1" xfId="0" applyFont="1" applyBorder="1" applyAlignment="1">
      <alignment horizontal="center" vertical="center" wrapText="1"/>
    </xf>
    <xf numFmtId="0" fontId="31" fillId="0" borderId="0" xfId="0" applyFont="1"/>
    <xf numFmtId="0" fontId="30" fillId="0" borderId="1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7" fillId="0" borderId="1" xfId="0" applyFont="1" applyBorder="1" applyAlignment="1">
      <alignment horizontal="center" vertical="center" wrapText="1"/>
    </xf>
    <xf numFmtId="0" fontId="26" fillId="0" borderId="1" xfId="0" applyFont="1" applyBorder="1" applyAlignment="1">
      <alignment horizontal="center" vertical="center" wrapText="1"/>
    </xf>
    <xf numFmtId="0" fontId="25" fillId="0" borderId="1" xfId="0" applyFont="1" applyBorder="1" applyAlignment="1">
      <alignment horizontal="center" vertical="center" wrapText="1"/>
    </xf>
    <xf numFmtId="0" fontId="25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 wrapText="1"/>
    </xf>
    <xf numFmtId="0" fontId="23" fillId="0" borderId="1" xfId="0" applyFont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 wrapText="1"/>
    </xf>
    <xf numFmtId="164" fontId="56" fillId="11" borderId="5" xfId="2" applyNumberFormat="1" applyAlignment="1">
      <alignment horizontal="center" vertical="center"/>
    </xf>
    <xf numFmtId="0" fontId="21" fillId="0" borderId="1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 wrapText="1"/>
    </xf>
    <xf numFmtId="164" fontId="56" fillId="11" borderId="0" xfId="2" applyNumberFormat="1" applyBorder="1" applyAlignment="1">
      <alignment horizontal="center" vertical="center"/>
    </xf>
    <xf numFmtId="0" fontId="12" fillId="0" borderId="1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164" fontId="7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164" fontId="41" fillId="8" borderId="5" xfId="0" applyNumberFormat="1" applyFont="1" applyFill="1" applyBorder="1" applyAlignment="1">
      <alignment horizontal="center" vertical="center"/>
    </xf>
    <xf numFmtId="164" fontId="56" fillId="11" borderId="1" xfId="2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53" fillId="8" borderId="1" xfId="1" applyFont="1" applyFill="1" applyBorder="1" applyAlignment="1">
      <alignment horizontal="center" vertical="center"/>
    </xf>
    <xf numFmtId="0" fontId="52" fillId="8" borderId="1" xfId="1" applyFill="1" applyBorder="1" applyAlignment="1">
      <alignment horizontal="center" vertical="center"/>
    </xf>
    <xf numFmtId="0" fontId="52" fillId="6" borderId="1" xfId="1" applyBorder="1" applyAlignment="1">
      <alignment horizontal="center" vertical="center"/>
    </xf>
    <xf numFmtId="0" fontId="52" fillId="6" borderId="0" xfId="1" applyBorder="1" applyAlignment="1">
      <alignment horizontal="center" vertical="center"/>
    </xf>
    <xf numFmtId="164" fontId="3" fillId="8" borderId="1" xfId="0" applyNumberFormat="1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50" fillId="9" borderId="1" xfId="0" applyFont="1" applyFill="1" applyBorder="1" applyAlignment="1">
      <alignment horizontal="center" vertical="center" wrapText="1"/>
    </xf>
    <xf numFmtId="0" fontId="50" fillId="9" borderId="1" xfId="0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0" fillId="10" borderId="6" xfId="0" applyFill="1" applyBorder="1" applyAlignment="1">
      <alignment horizontal="center" vertical="center"/>
    </xf>
    <xf numFmtId="0" fontId="40" fillId="10" borderId="3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51" fillId="2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</cellXfs>
  <cellStyles count="3">
    <cellStyle name="Giriş" xfId="1" builtinId="20"/>
    <cellStyle name="Hesaplama" xfId="2" builtinId="22"/>
    <cellStyle name="Normal" xfId="0" builtinId="0"/>
  </cellStyles>
  <dxfs count="4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/>
              <a:t>OCAK</a:t>
            </a:r>
            <a:r>
              <a:rPr lang="tr-TR" baseline="0"/>
              <a:t> MAKİNE DURUŞ SÜRELERİ</a:t>
            </a:r>
            <a:endParaRPr lang="tr-T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GRAFİK!$K$10:$O$11</c:f>
              <c:multiLvlStrCache>
                <c:ptCount val="5"/>
                <c:lvl>
                  <c:pt idx="0">
                    <c:v>SAC LAZER</c:v>
                  </c:pt>
                  <c:pt idx="1">
                    <c:v>PROFİL LAZER</c:v>
                  </c:pt>
                  <c:pt idx="2">
                    <c:v>ALÜMİNYUM KESME</c:v>
                  </c:pt>
                  <c:pt idx="3">
                    <c:v>BOYA HATTI</c:v>
                  </c:pt>
                  <c:pt idx="4">
                    <c:v>KÜÇÜK FIRIN</c:v>
                  </c:pt>
                </c:lvl>
                <c:lvl>
                  <c:pt idx="0">
                    <c:v>METAL</c:v>
                  </c:pt>
                  <c:pt idx="3">
                    <c:v>BOYAHANE</c:v>
                  </c:pt>
                </c:lvl>
              </c:multiLvlStrCache>
            </c:multiLvlStrRef>
          </c:cat>
          <c:val>
            <c:numRef>
              <c:f>GRAFİK!$K$12:$O$12</c:f>
              <c:numCache>
                <c:formatCode>General</c:formatCode>
                <c:ptCount val="5"/>
                <c:pt idx="0">
                  <c:v>0</c:v>
                </c:pt>
                <c:pt idx="1">
                  <c:v>440</c:v>
                </c:pt>
                <c:pt idx="2">
                  <c:v>115</c:v>
                </c:pt>
                <c:pt idx="3">
                  <c:v>140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DE-449A-B896-BE13C71B3B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07367120"/>
        <c:axId val="107376688"/>
      </c:barChart>
      <c:catAx>
        <c:axId val="10736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07376688"/>
        <c:crosses val="autoZero"/>
        <c:auto val="1"/>
        <c:lblAlgn val="ctr"/>
        <c:lblOffset val="100"/>
        <c:noMultiLvlLbl val="0"/>
      </c:catAx>
      <c:valAx>
        <c:axId val="107376688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0736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20eeac80-3869-4d23-8dd4-ca20dc97d6be}"/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 lang="en-US"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41672</xdr:colOff>
      <xdr:row>0</xdr:row>
      <xdr:rowOff>107156</xdr:rowOff>
    </xdr:from>
    <xdr:to>
      <xdr:col>0</xdr:col>
      <xdr:colOff>952500</xdr:colOff>
      <xdr:row>0</xdr:row>
      <xdr:rowOff>488389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275" y="106680"/>
          <a:ext cx="911225" cy="38163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990600</xdr:colOff>
          <xdr:row>9</xdr:row>
          <xdr:rowOff>114300</xdr:rowOff>
        </xdr:from>
        <xdr:to>
          <xdr:col>2</xdr:col>
          <xdr:colOff>2133600</xdr:colOff>
          <xdr:row>10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Kaydet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Grafik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0" y="0"/>
          <a:ext cx="0" cy="0"/>
        </a:xfrm>
      </xdr:spPr>
    </xdr:sp>
    <xdr:clientData/>
  </xdr:twoCellAnchor>
  <xdr:twoCellAnchor>
    <xdr:from>
      <xdr:col>3</xdr:col>
      <xdr:colOff>306458</xdr:colOff>
      <xdr:row>1</xdr:row>
      <xdr:rowOff>189670</xdr:rowOff>
    </xdr:from>
    <xdr:to>
      <xdr:col>6</xdr:col>
      <xdr:colOff>1085023</xdr:colOff>
      <xdr:row>11</xdr:row>
      <xdr:rowOff>140804</xdr:rowOff>
    </xdr:to>
    <xdr:sp macro="" textlink="">
      <xdr:nvSpPr>
        <xdr:cNvPr id="3" name="Rectangle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TextEdit="1"/>
        </xdr:cNvSpPr>
      </xdr:nvSpPr>
      <xdr:spPr>
        <a:xfrm>
          <a:off x="4832350" y="655955"/>
          <a:ext cx="5304790" cy="3570605"/>
        </a:xfrm>
        <a:prstGeom prst="rect">
          <a:avLst/>
        </a:prstGeom>
        <a:solidFill>
          <a:prstClr val="white"/>
        </a:solidFill>
        <a:ln w="1">
          <a:solidFill>
            <a:prstClr val="green"/>
          </a:solidFill>
        </a:ln>
      </xdr:spPr>
      <xdr:txBody>
        <a:bodyPr vertOverflow="clip" horzOverflow="clip"/>
        <a:lstStyle/>
        <a:p>
          <a:r>
            <a:rPr lang="tr-TR" sz="1100"/>
            <a:t>Bu grafik, Excel sürümünüzde kullanılamaz.
Bu şekli düzenlemek veya bu çalışma kitabını farklı bir dosya biçiminde kaydetmek grafiğin kalıcı olarak bozulmasına neden olur.</a:t>
          </a:r>
        </a:p>
      </xdr:txBody>
    </xdr:sp>
    <xdr:clientData/>
  </xdr:twoCellAnchor>
  <xdr:twoCellAnchor>
    <xdr:from>
      <xdr:col>10</xdr:col>
      <xdr:colOff>1008528</xdr:colOff>
      <xdr:row>13</xdr:row>
      <xdr:rowOff>292473</xdr:rowOff>
    </xdr:from>
    <xdr:to>
      <xdr:col>13</xdr:col>
      <xdr:colOff>582705</xdr:colOff>
      <xdr:row>21</xdr:row>
      <xdr:rowOff>166967</xdr:rowOff>
    </xdr:to>
    <xdr:graphicFrame macro="">
      <xdr:nvGraphicFramePr>
        <xdr:cNvPr id="4" name="Grafik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METAL-BOYA%20HATALI%20PAR&#199;A%20G&#304;R&#304;&#350;&#304;.xlsm" TargetMode="External"/><Relationship Id="rId1" Type="http://schemas.openxmlformats.org/officeDocument/2006/relationships/externalLinkPath" Target="/&#220;RET&#304;M%20VER&#304;LER&#304;/METAL-BOYA%20HATALI%20PAR&#199;A%20G&#304;R&#304;&#350;&#304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VERİ GİRİŞİ"/>
      <sheetName val="VERİ KAYIT"/>
      <sheetName val="GRAFİK"/>
      <sheetName val="BOYA HATALI PARCA CIKTI"/>
      <sheetName val="METAL HATALI PARCA CIKTI"/>
      <sheetName val="Veri doğrulama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o1" displayName="Tablo1" ref="D5:D8" totalsRowShown="0">
  <autoFilter ref="D5:D8" xr:uid="{00000000-0009-0000-0100-000001000000}"/>
  <tableColumns count="1">
    <tableColumn id="1" xr3:uid="{00000000-0010-0000-0000-000001000000}" name="Bölüm Adı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o2" displayName="Tablo2" ref="E5:E6" totalsRowShown="0">
  <autoFilter ref="E5:E6" xr:uid="{00000000-0009-0000-0100-000002000000}"/>
  <tableColumns count="1">
    <tableColumn id="1" xr3:uid="{00000000-0010-0000-0100-000001000000}" name="Renkle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o3" displayName="Tablo3" ref="F5:F22" totalsRowShown="0">
  <autoFilter ref="F5:F22" xr:uid="{00000000-0009-0000-0100-000003000000}"/>
  <tableColumns count="1">
    <tableColumn id="1" xr3:uid="{00000000-0010-0000-0200-000001000000}" name="Hata Nedeni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>
    <pageSetUpPr fitToPage="1"/>
  </sheetPr>
  <dimension ref="A1:C37"/>
  <sheetViews>
    <sheetView showGridLines="0" zoomScale="90" zoomScaleNormal="90" workbookViewId="0">
      <selection activeCell="C16" sqref="C16"/>
    </sheetView>
  </sheetViews>
  <sheetFormatPr defaultColWidth="8.5703125" defaultRowHeight="15"/>
  <cols>
    <col min="1" max="1" width="14.5703125" style="1" customWidth="1"/>
    <col min="2" max="2" width="18.140625" style="1" customWidth="1"/>
    <col min="3" max="3" width="45.5703125" style="1" customWidth="1"/>
    <col min="4" max="4" width="14.5703125" style="1" customWidth="1"/>
    <col min="5" max="5" width="11.5703125" style="1" customWidth="1"/>
    <col min="6" max="6" width="23.5703125" style="1" customWidth="1"/>
    <col min="7" max="16384" width="8.5703125" style="1"/>
  </cols>
  <sheetData>
    <row r="1" spans="1:3" ht="46.5" customHeight="1">
      <c r="A1" s="2"/>
      <c r="B1" s="97" t="s">
        <v>201</v>
      </c>
      <c r="C1" s="98"/>
    </row>
    <row r="2" spans="1:3" ht="31.5" customHeight="1">
      <c r="A2" s="99" t="s">
        <v>0</v>
      </c>
      <c r="B2" s="99"/>
      <c r="C2" s="63">
        <f ca="1">TODAY()</f>
        <v>46121</v>
      </c>
    </row>
    <row r="3" spans="1:3" ht="42" customHeight="1">
      <c r="A3" s="99" t="s">
        <v>1</v>
      </c>
      <c r="B3" s="99"/>
      <c r="C3" s="8"/>
    </row>
    <row r="4" spans="1:3" ht="45.75" customHeight="1">
      <c r="A4" s="100" t="s">
        <v>2</v>
      </c>
      <c r="B4" s="101"/>
      <c r="C4" s="96"/>
    </row>
    <row r="5" spans="1:3" ht="49.5" customHeight="1">
      <c r="A5" s="100" t="s">
        <v>3</v>
      </c>
      <c r="B5" s="101"/>
      <c r="C5" s="2"/>
    </row>
    <row r="6" spans="1:3" ht="49.5" customHeight="1">
      <c r="A6" s="100" t="s">
        <v>4</v>
      </c>
      <c r="B6" s="101"/>
      <c r="C6" s="59"/>
    </row>
    <row r="7" spans="1:3" ht="49.5" customHeight="1">
      <c r="A7" s="102" t="s">
        <v>5</v>
      </c>
      <c r="B7" s="101"/>
      <c r="C7" s="28"/>
    </row>
    <row r="8" spans="1:3" ht="50.25" customHeight="1">
      <c r="A8" s="99" t="s">
        <v>6</v>
      </c>
      <c r="B8" s="99"/>
      <c r="C8" s="83"/>
    </row>
    <row r="9" spans="1:3" ht="50.25" customHeight="1">
      <c r="A9" s="100" t="s">
        <v>7</v>
      </c>
      <c r="B9" s="101"/>
      <c r="C9" s="95"/>
    </row>
    <row r="10" spans="1:3" ht="24" customHeight="1">
      <c r="A10" s="99"/>
      <c r="B10" s="99"/>
      <c r="C10" s="103"/>
    </row>
    <row r="11" spans="1:3" ht="24" customHeight="1">
      <c r="A11" s="99"/>
      <c r="B11" s="99"/>
      <c r="C11" s="104"/>
    </row>
    <row r="37" spans="1:1">
      <c r="A37" s="1">
        <v>2580</v>
      </c>
    </row>
  </sheetData>
  <mergeCells count="11">
    <mergeCell ref="A6:B6"/>
    <mergeCell ref="A7:B7"/>
    <mergeCell ref="A8:B8"/>
    <mergeCell ref="A9:B9"/>
    <mergeCell ref="C10:C11"/>
    <mergeCell ref="A10:B11"/>
    <mergeCell ref="B1:C1"/>
    <mergeCell ref="A2:B2"/>
    <mergeCell ref="A3:B3"/>
    <mergeCell ref="A4:B4"/>
    <mergeCell ref="A5:B5"/>
  </mergeCells>
  <conditionalFormatting sqref="C2">
    <cfRule type="cellIs" dxfId="3" priority="1" operator="greaterThan">
      <formula>"1 Haziran 2025 Pazar"</formula>
    </cfRule>
    <cfRule type="cellIs" dxfId="2" priority="2" operator="equal">
      <formula>"1 Haziran 2025 Pazar"</formula>
    </cfRule>
  </conditionalFormatting>
  <dataValidations count="3">
    <dataValidation type="list" allowBlank="1" showInputMessage="1" showErrorMessage="1" sqref="C5" xr:uid="{00000000-0002-0000-0000-000000000000}">
      <formula1>Renkler</formula1>
    </dataValidation>
    <dataValidation type="list" allowBlank="1" showInputMessage="1" showErrorMessage="1" sqref="C7" xr:uid="{00000000-0002-0000-0000-000001000000}">
      <formula1>"YENİDEN İŞLEME ALINACAK,HURDA"</formula1>
    </dataValidation>
    <dataValidation type="list" allowBlank="1" showInputMessage="1" showErrorMessage="1" sqref="C8" xr:uid="{00000000-0002-0000-0000-000002000000}">
      <formula1>Hata_Nedeni</formula1>
    </dataValidation>
  </dataValidations>
  <pageMargins left="0.25" right="0.25" top="0.75" bottom="0.75" header="0.3" footer="0.3"/>
  <pageSetup paperSize="11" scale="86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Makro1">
                <anchor moveWithCells="1" sizeWithCells="1">
                  <from>
                    <xdr:col>2</xdr:col>
                    <xdr:colOff>990600</xdr:colOff>
                    <xdr:row>9</xdr:row>
                    <xdr:rowOff>114300</xdr:rowOff>
                  </from>
                  <to>
                    <xdr:col>2</xdr:col>
                    <xdr:colOff>2133600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3000000}">
          <x14:formula1>
            <xm:f>'Veri doğrulama'!$D$6:$D$8</xm:f>
          </x14:formula1>
          <xm:sqref>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ayfa3" filterMode="1">
    <pageSetUpPr fitToPage="1"/>
  </sheetPr>
  <dimension ref="A1:K307"/>
  <sheetViews>
    <sheetView showGridLines="0" tabSelected="1" zoomScale="85" zoomScaleNormal="85" zoomScaleSheetLayoutView="25" workbookViewId="0">
      <selection activeCell="D3" sqref="D2:D3"/>
    </sheetView>
  </sheetViews>
  <sheetFormatPr defaultColWidth="19.140625" defaultRowHeight="30" customHeight="1"/>
  <cols>
    <col min="1" max="1" width="30.5703125" style="5" customWidth="1"/>
    <col min="2" max="2" width="26.5703125" style="5" customWidth="1"/>
    <col min="3" max="3" width="43" style="5" customWidth="1"/>
    <col min="4" max="4" width="26.5703125" style="5" customWidth="1"/>
    <col min="5" max="5" width="26.5703125" style="6" customWidth="1"/>
    <col min="6" max="7" width="26.5703125" style="5" customWidth="1"/>
    <col min="8" max="8" width="81" style="5" customWidth="1"/>
  </cols>
  <sheetData>
    <row r="1" spans="1:8" ht="30" customHeight="1">
      <c r="A1" s="46" t="s">
        <v>0</v>
      </c>
      <c r="B1" s="46" t="s">
        <v>1</v>
      </c>
      <c r="C1" s="47" t="s">
        <v>2</v>
      </c>
      <c r="D1" s="47" t="s">
        <v>8</v>
      </c>
      <c r="E1" s="48" t="s">
        <v>4</v>
      </c>
      <c r="F1" s="47" t="s">
        <v>5</v>
      </c>
      <c r="G1" s="47" t="s">
        <v>6</v>
      </c>
      <c r="H1" s="47" t="s">
        <v>7</v>
      </c>
    </row>
    <row r="2" spans="1:8" ht="30" customHeight="1">
      <c r="A2" s="80">
        <v>46120</v>
      </c>
      <c r="B2" s="92" t="s">
        <v>12</v>
      </c>
      <c r="C2" s="81" t="s">
        <v>398</v>
      </c>
      <c r="D2" s="2" t="s">
        <v>169</v>
      </c>
      <c r="E2" s="82">
        <v>1</v>
      </c>
      <c r="F2" s="82" t="s">
        <v>10</v>
      </c>
      <c r="G2" s="82" t="s">
        <v>43</v>
      </c>
      <c r="H2" s="84"/>
    </row>
    <row r="3" spans="1:8" ht="30" customHeight="1">
      <c r="A3" s="80">
        <v>46120</v>
      </c>
      <c r="B3" s="92" t="s">
        <v>12</v>
      </c>
      <c r="C3" s="81" t="s">
        <v>397</v>
      </c>
      <c r="D3" s="2" t="s">
        <v>169</v>
      </c>
      <c r="E3" s="82">
        <v>15</v>
      </c>
      <c r="F3" s="82" t="s">
        <v>10</v>
      </c>
      <c r="G3" s="82" t="s">
        <v>43</v>
      </c>
      <c r="H3" s="84"/>
    </row>
    <row r="4" spans="1:8" ht="30" customHeight="1">
      <c r="A4" s="80">
        <v>46115</v>
      </c>
      <c r="B4" s="92" t="s">
        <v>12</v>
      </c>
      <c r="C4" s="81" t="s">
        <v>396</v>
      </c>
      <c r="D4" s="2" t="s">
        <v>169</v>
      </c>
      <c r="E4" s="82">
        <v>3</v>
      </c>
      <c r="F4" s="82" t="s">
        <v>238</v>
      </c>
      <c r="G4" s="82" t="s">
        <v>43</v>
      </c>
      <c r="H4" s="84"/>
    </row>
    <row r="5" spans="1:8" ht="30" customHeight="1">
      <c r="A5" s="80">
        <v>46107</v>
      </c>
      <c r="B5" s="92" t="s">
        <v>12</v>
      </c>
      <c r="C5" s="81" t="s">
        <v>365</v>
      </c>
      <c r="D5" s="2" t="s">
        <v>169</v>
      </c>
      <c r="E5" s="82">
        <v>250</v>
      </c>
      <c r="F5" s="82" t="s">
        <v>10</v>
      </c>
      <c r="G5" s="82" t="s">
        <v>21</v>
      </c>
      <c r="H5" s="84"/>
    </row>
    <row r="6" spans="1:8" ht="30" customHeight="1">
      <c r="A6" s="80">
        <v>46105</v>
      </c>
      <c r="B6" s="92" t="s">
        <v>12</v>
      </c>
      <c r="C6" s="81" t="s">
        <v>395</v>
      </c>
      <c r="D6" s="2" t="s">
        <v>169</v>
      </c>
      <c r="E6" s="82">
        <v>4</v>
      </c>
      <c r="F6" s="82" t="s">
        <v>238</v>
      </c>
      <c r="G6" s="82" t="s">
        <v>43</v>
      </c>
      <c r="H6" s="84"/>
    </row>
    <row r="7" spans="1:8" ht="30" customHeight="1">
      <c r="A7" s="80">
        <v>46105</v>
      </c>
      <c r="B7" s="92" t="s">
        <v>12</v>
      </c>
      <c r="C7" s="81" t="s">
        <v>394</v>
      </c>
      <c r="D7" s="2" t="s">
        <v>169</v>
      </c>
      <c r="E7" s="82">
        <v>3</v>
      </c>
      <c r="F7" s="82" t="s">
        <v>238</v>
      </c>
      <c r="G7" s="82" t="s">
        <v>43</v>
      </c>
      <c r="H7" s="84"/>
    </row>
    <row r="8" spans="1:8" ht="30" customHeight="1">
      <c r="A8" s="80">
        <v>46104</v>
      </c>
      <c r="B8" s="92" t="s">
        <v>12</v>
      </c>
      <c r="C8" s="81" t="s">
        <v>393</v>
      </c>
      <c r="D8" s="2" t="s">
        <v>169</v>
      </c>
      <c r="E8" s="82">
        <v>12</v>
      </c>
      <c r="F8" s="82" t="s">
        <v>10</v>
      </c>
      <c r="G8" s="82" t="s">
        <v>43</v>
      </c>
      <c r="H8" s="84"/>
    </row>
    <row r="9" spans="1:8" ht="30" customHeight="1">
      <c r="A9" s="80">
        <v>46097</v>
      </c>
      <c r="B9" s="92" t="s">
        <v>12</v>
      </c>
      <c r="C9" s="81" t="s">
        <v>392</v>
      </c>
      <c r="D9" s="2" t="s">
        <v>169</v>
      </c>
      <c r="E9" s="82">
        <v>8</v>
      </c>
      <c r="F9" s="82" t="s">
        <v>10</v>
      </c>
      <c r="G9" s="82" t="s">
        <v>21</v>
      </c>
      <c r="H9" s="84"/>
    </row>
    <row r="10" spans="1:8" ht="30" customHeight="1">
      <c r="A10" s="80">
        <v>46097</v>
      </c>
      <c r="B10" s="92" t="s">
        <v>12</v>
      </c>
      <c r="C10" s="81" t="s">
        <v>391</v>
      </c>
      <c r="D10" s="2" t="s">
        <v>169</v>
      </c>
      <c r="E10" s="82">
        <v>2</v>
      </c>
      <c r="F10" s="82" t="s">
        <v>10</v>
      </c>
      <c r="G10" s="82" t="s">
        <v>124</v>
      </c>
      <c r="H10" s="84"/>
    </row>
    <row r="11" spans="1:8" ht="30" customHeight="1">
      <c r="A11" s="80">
        <v>46094</v>
      </c>
      <c r="B11" s="92" t="s">
        <v>12</v>
      </c>
      <c r="C11" s="81" t="s">
        <v>390</v>
      </c>
      <c r="D11" s="2" t="s">
        <v>169</v>
      </c>
      <c r="E11" s="82">
        <v>2</v>
      </c>
      <c r="F11" s="82" t="s">
        <v>10</v>
      </c>
      <c r="G11" s="82" t="s">
        <v>43</v>
      </c>
      <c r="H11" s="84"/>
    </row>
    <row r="12" spans="1:8" ht="30" customHeight="1">
      <c r="A12" s="80">
        <v>46093</v>
      </c>
      <c r="B12" s="92" t="s">
        <v>12</v>
      </c>
      <c r="C12" s="81" t="s">
        <v>388</v>
      </c>
      <c r="D12" s="2" t="s">
        <v>169</v>
      </c>
      <c r="E12" s="82">
        <v>6</v>
      </c>
      <c r="F12" s="82" t="s">
        <v>238</v>
      </c>
      <c r="G12" s="82" t="s">
        <v>21</v>
      </c>
      <c r="H12" s="84" t="s">
        <v>389</v>
      </c>
    </row>
    <row r="13" spans="1:8" ht="30" customHeight="1">
      <c r="A13" s="80">
        <v>46092</v>
      </c>
      <c r="B13" s="92" t="s">
        <v>12</v>
      </c>
      <c r="C13" s="81" t="s">
        <v>387</v>
      </c>
      <c r="D13" s="2" t="s">
        <v>169</v>
      </c>
      <c r="E13" s="82">
        <v>1</v>
      </c>
      <c r="F13" s="82" t="s">
        <v>238</v>
      </c>
      <c r="G13" s="82" t="s">
        <v>43</v>
      </c>
      <c r="H13" s="84"/>
    </row>
    <row r="14" spans="1:8" ht="30" customHeight="1">
      <c r="A14" s="80">
        <v>46091</v>
      </c>
      <c r="B14" s="92" t="s">
        <v>12</v>
      </c>
      <c r="C14" s="81" t="s">
        <v>291</v>
      </c>
      <c r="D14" s="2" t="s">
        <v>169</v>
      </c>
      <c r="E14" s="82">
        <v>3</v>
      </c>
      <c r="F14" s="82" t="s">
        <v>10</v>
      </c>
      <c r="G14" s="82" t="s">
        <v>43</v>
      </c>
      <c r="H14" s="84"/>
    </row>
    <row r="15" spans="1:8" ht="30" customHeight="1">
      <c r="A15" s="80">
        <v>46091</v>
      </c>
      <c r="B15" s="92" t="s">
        <v>12</v>
      </c>
      <c r="C15" s="81" t="s">
        <v>386</v>
      </c>
      <c r="D15" s="2" t="s">
        <v>169</v>
      </c>
      <c r="E15" s="82">
        <v>5</v>
      </c>
      <c r="F15" s="82" t="s">
        <v>10</v>
      </c>
      <c r="G15" s="82" t="s">
        <v>43</v>
      </c>
      <c r="H15" s="84"/>
    </row>
    <row r="16" spans="1:8" ht="30" customHeight="1">
      <c r="A16" s="80">
        <v>46090</v>
      </c>
      <c r="B16" s="92" t="s">
        <v>12</v>
      </c>
      <c r="C16" s="81" t="s">
        <v>384</v>
      </c>
      <c r="D16" s="2" t="s">
        <v>169</v>
      </c>
      <c r="E16" s="82">
        <v>1</v>
      </c>
      <c r="F16" s="82" t="s">
        <v>238</v>
      </c>
      <c r="G16" s="82" t="s">
        <v>146</v>
      </c>
      <c r="H16" s="84" t="s">
        <v>385</v>
      </c>
    </row>
    <row r="17" spans="1:8" ht="30" hidden="1" customHeight="1">
      <c r="A17" s="80">
        <v>46083</v>
      </c>
      <c r="B17" s="92" t="s">
        <v>12</v>
      </c>
      <c r="C17" s="81" t="s">
        <v>382</v>
      </c>
      <c r="D17" s="2" t="s">
        <v>169</v>
      </c>
      <c r="E17" s="82">
        <v>3</v>
      </c>
      <c r="F17" s="82" t="s">
        <v>238</v>
      </c>
      <c r="G17" s="82" t="s">
        <v>124</v>
      </c>
      <c r="H17" s="84" t="s">
        <v>383</v>
      </c>
    </row>
    <row r="18" spans="1:8" ht="30" hidden="1" customHeight="1">
      <c r="A18" s="80">
        <v>46080</v>
      </c>
      <c r="B18" s="92" t="s">
        <v>12</v>
      </c>
      <c r="C18" s="81" t="s">
        <v>381</v>
      </c>
      <c r="D18" s="2" t="s">
        <v>169</v>
      </c>
      <c r="E18" s="82">
        <v>4</v>
      </c>
      <c r="F18" s="82" t="s">
        <v>10</v>
      </c>
      <c r="G18" s="82" t="s">
        <v>43</v>
      </c>
      <c r="H18" s="84"/>
    </row>
    <row r="19" spans="1:8" ht="30" hidden="1" customHeight="1">
      <c r="A19" s="80">
        <v>46078</v>
      </c>
      <c r="B19" s="92" t="s">
        <v>12</v>
      </c>
      <c r="C19" s="81" t="s">
        <v>380</v>
      </c>
      <c r="D19" s="2" t="s">
        <v>169</v>
      </c>
      <c r="E19" s="82">
        <v>3</v>
      </c>
      <c r="F19" s="82" t="s">
        <v>238</v>
      </c>
      <c r="G19" s="82" t="s">
        <v>43</v>
      </c>
      <c r="H19" s="84"/>
    </row>
    <row r="20" spans="1:8" ht="30" hidden="1" customHeight="1">
      <c r="A20" s="80">
        <v>46078</v>
      </c>
      <c r="B20" s="92" t="s">
        <v>12</v>
      </c>
      <c r="C20" s="81" t="s">
        <v>379</v>
      </c>
      <c r="D20" s="2" t="s">
        <v>169</v>
      </c>
      <c r="E20" s="82">
        <v>1</v>
      </c>
      <c r="F20" s="82" t="s">
        <v>10</v>
      </c>
      <c r="G20" s="82" t="s">
        <v>43</v>
      </c>
      <c r="H20" s="84"/>
    </row>
    <row r="21" spans="1:8" ht="30" hidden="1" customHeight="1">
      <c r="A21" s="80">
        <v>46077</v>
      </c>
      <c r="B21" s="92" t="s">
        <v>12</v>
      </c>
      <c r="C21" s="81" t="s">
        <v>378</v>
      </c>
      <c r="D21" s="2" t="s">
        <v>169</v>
      </c>
      <c r="E21" s="82">
        <v>2</v>
      </c>
      <c r="F21" s="82" t="s">
        <v>10</v>
      </c>
      <c r="G21" s="82" t="s">
        <v>43</v>
      </c>
      <c r="H21" s="84"/>
    </row>
    <row r="22" spans="1:8" ht="30" hidden="1" customHeight="1">
      <c r="A22" s="80">
        <v>46077</v>
      </c>
      <c r="B22" s="92" t="s">
        <v>12</v>
      </c>
      <c r="C22" s="81" t="s">
        <v>377</v>
      </c>
      <c r="D22" s="2" t="s">
        <v>169</v>
      </c>
      <c r="E22" s="82">
        <v>1</v>
      </c>
      <c r="F22" s="82" t="s">
        <v>238</v>
      </c>
      <c r="G22" s="82" t="s">
        <v>43</v>
      </c>
      <c r="H22" s="84"/>
    </row>
    <row r="23" spans="1:8" ht="30" hidden="1" customHeight="1">
      <c r="A23" s="80">
        <v>46076</v>
      </c>
      <c r="B23" s="92" t="s">
        <v>12</v>
      </c>
      <c r="C23" s="81" t="s">
        <v>376</v>
      </c>
      <c r="D23" s="2" t="s">
        <v>169</v>
      </c>
      <c r="E23" s="82">
        <v>44</v>
      </c>
      <c r="F23" s="82" t="s">
        <v>10</v>
      </c>
      <c r="G23" s="82" t="s">
        <v>43</v>
      </c>
      <c r="H23" s="84"/>
    </row>
    <row r="24" spans="1:8" ht="30" hidden="1" customHeight="1">
      <c r="A24" s="80">
        <v>46070</v>
      </c>
      <c r="B24" s="92" t="s">
        <v>12</v>
      </c>
      <c r="C24" s="81" t="s">
        <v>375</v>
      </c>
      <c r="D24" s="2" t="s">
        <v>169</v>
      </c>
      <c r="E24" s="82">
        <v>1</v>
      </c>
      <c r="F24" s="82" t="s">
        <v>10</v>
      </c>
      <c r="G24" s="82" t="s">
        <v>43</v>
      </c>
      <c r="H24" s="84"/>
    </row>
    <row r="25" spans="1:8" ht="30" hidden="1" customHeight="1">
      <c r="A25" s="80">
        <v>46070</v>
      </c>
      <c r="B25" s="92" t="s">
        <v>12</v>
      </c>
      <c r="C25" s="81" t="s">
        <v>374</v>
      </c>
      <c r="D25" s="2" t="s">
        <v>169</v>
      </c>
      <c r="E25" s="82">
        <v>1</v>
      </c>
      <c r="F25" s="82" t="s">
        <v>238</v>
      </c>
      <c r="G25" s="82" t="s">
        <v>31</v>
      </c>
      <c r="H25" s="84"/>
    </row>
    <row r="26" spans="1:8" ht="30" hidden="1" customHeight="1">
      <c r="A26" s="80">
        <v>46070</v>
      </c>
      <c r="B26" s="92" t="s">
        <v>12</v>
      </c>
      <c r="C26" s="81" t="s">
        <v>373</v>
      </c>
      <c r="D26" s="2" t="s">
        <v>169</v>
      </c>
      <c r="E26" s="82">
        <v>28</v>
      </c>
      <c r="F26" s="82" t="s">
        <v>238</v>
      </c>
      <c r="G26" s="82" t="s">
        <v>31</v>
      </c>
      <c r="H26" s="84"/>
    </row>
    <row r="27" spans="1:8" ht="30" hidden="1" customHeight="1">
      <c r="A27" s="80">
        <v>46064</v>
      </c>
      <c r="B27" s="92" t="s">
        <v>12</v>
      </c>
      <c r="C27" s="81" t="s">
        <v>372</v>
      </c>
      <c r="D27" s="2" t="s">
        <v>169</v>
      </c>
      <c r="E27" s="82">
        <v>2</v>
      </c>
      <c r="F27" s="82" t="s">
        <v>238</v>
      </c>
      <c r="G27" s="82" t="s">
        <v>63</v>
      </c>
      <c r="H27" s="84"/>
    </row>
    <row r="28" spans="1:8" ht="30" hidden="1" customHeight="1">
      <c r="A28" s="80">
        <v>46064</v>
      </c>
      <c r="B28" s="92" t="s">
        <v>12</v>
      </c>
      <c r="C28" s="81" t="s">
        <v>371</v>
      </c>
      <c r="D28" s="2" t="s">
        <v>169</v>
      </c>
      <c r="E28" s="82">
        <v>2</v>
      </c>
      <c r="F28" s="82" t="s">
        <v>238</v>
      </c>
      <c r="G28" s="82" t="s">
        <v>102</v>
      </c>
      <c r="H28" s="84"/>
    </row>
    <row r="29" spans="1:8" ht="30" hidden="1" customHeight="1">
      <c r="A29" s="80">
        <v>46064</v>
      </c>
      <c r="B29" s="92" t="s">
        <v>12</v>
      </c>
      <c r="C29" s="81" t="s">
        <v>370</v>
      </c>
      <c r="D29" s="2" t="s">
        <v>169</v>
      </c>
      <c r="E29" s="82">
        <v>2</v>
      </c>
      <c r="F29" s="82" t="s">
        <v>238</v>
      </c>
      <c r="G29" s="82" t="s">
        <v>21</v>
      </c>
      <c r="H29" s="84"/>
    </row>
    <row r="30" spans="1:8" ht="30" hidden="1" customHeight="1">
      <c r="A30" s="80">
        <v>46057</v>
      </c>
      <c r="B30" s="92" t="s">
        <v>12</v>
      </c>
      <c r="C30" s="81" t="s">
        <v>369</v>
      </c>
      <c r="D30" s="2" t="s">
        <v>169</v>
      </c>
      <c r="E30" s="82">
        <v>14</v>
      </c>
      <c r="F30" s="82" t="s">
        <v>238</v>
      </c>
      <c r="G30" s="82" t="s">
        <v>137</v>
      </c>
      <c r="H30" s="84"/>
    </row>
    <row r="31" spans="1:8" ht="30" hidden="1" customHeight="1">
      <c r="A31" s="80">
        <v>46052</v>
      </c>
      <c r="B31" s="8" t="s">
        <v>12</v>
      </c>
      <c r="C31" s="81" t="s">
        <v>359</v>
      </c>
      <c r="D31" s="2" t="s">
        <v>169</v>
      </c>
      <c r="E31" s="82">
        <v>10</v>
      </c>
      <c r="F31" s="82" t="s">
        <v>238</v>
      </c>
      <c r="G31" s="82" t="s">
        <v>21</v>
      </c>
      <c r="H31" s="84" t="s">
        <v>360</v>
      </c>
    </row>
    <row r="32" spans="1:8" ht="30" hidden="1" customHeight="1">
      <c r="A32" s="80">
        <v>46051</v>
      </c>
      <c r="B32" s="8" t="s">
        <v>12</v>
      </c>
      <c r="C32" s="81" t="s">
        <v>365</v>
      </c>
      <c r="D32" s="2" t="s">
        <v>169</v>
      </c>
      <c r="E32" s="82">
        <v>51</v>
      </c>
      <c r="F32" s="82" t="s">
        <v>10</v>
      </c>
      <c r="G32" s="82" t="s">
        <v>15</v>
      </c>
      <c r="H32" s="84" t="s">
        <v>366</v>
      </c>
    </row>
    <row r="33" spans="1:8" ht="30" hidden="1" customHeight="1">
      <c r="A33" s="80">
        <v>46051</v>
      </c>
      <c r="B33" s="8" t="s">
        <v>12</v>
      </c>
      <c r="C33" s="81" t="s">
        <v>363</v>
      </c>
      <c r="D33" s="2" t="s">
        <v>169</v>
      </c>
      <c r="E33" s="82">
        <v>120</v>
      </c>
      <c r="F33" s="82" t="s">
        <v>10</v>
      </c>
      <c r="G33" s="82" t="s">
        <v>43</v>
      </c>
      <c r="H33" s="84" t="s">
        <v>364</v>
      </c>
    </row>
    <row r="34" spans="1:8" ht="30" hidden="1" customHeight="1">
      <c r="A34" s="80">
        <v>46051</v>
      </c>
      <c r="B34" s="8" t="s">
        <v>12</v>
      </c>
      <c r="C34" s="81" t="s">
        <v>361</v>
      </c>
      <c r="D34" s="2" t="s">
        <v>169</v>
      </c>
      <c r="E34" s="82">
        <v>21</v>
      </c>
      <c r="F34" s="82" t="s">
        <v>10</v>
      </c>
      <c r="G34" s="82" t="s">
        <v>31</v>
      </c>
      <c r="H34" s="84" t="s">
        <v>362</v>
      </c>
    </row>
    <row r="35" spans="1:8" ht="30" hidden="1" customHeight="1">
      <c r="A35" s="80">
        <v>46051</v>
      </c>
      <c r="B35" s="8" t="s">
        <v>12</v>
      </c>
      <c r="C35" s="81" t="s">
        <v>358</v>
      </c>
      <c r="D35" s="2" t="s">
        <v>169</v>
      </c>
      <c r="E35" s="82">
        <v>1</v>
      </c>
      <c r="F35" s="82" t="s">
        <v>10</v>
      </c>
      <c r="G35" s="82" t="s">
        <v>21</v>
      </c>
      <c r="H35" s="84"/>
    </row>
    <row r="36" spans="1:8" ht="30" hidden="1" customHeight="1">
      <c r="A36" s="80">
        <v>46050</v>
      </c>
      <c r="B36" s="8" t="s">
        <v>12</v>
      </c>
      <c r="C36" s="81" t="s">
        <v>353</v>
      </c>
      <c r="D36" s="2" t="s">
        <v>169</v>
      </c>
      <c r="E36" s="82">
        <v>2</v>
      </c>
      <c r="F36" s="82" t="s">
        <v>238</v>
      </c>
      <c r="G36" s="82" t="s">
        <v>15</v>
      </c>
      <c r="H36" s="84" t="s">
        <v>354</v>
      </c>
    </row>
    <row r="37" spans="1:8" ht="30" hidden="1" customHeight="1">
      <c r="A37" s="80">
        <v>46050</v>
      </c>
      <c r="B37" s="8" t="s">
        <v>12</v>
      </c>
      <c r="C37" s="81" t="s">
        <v>350</v>
      </c>
      <c r="D37" s="2" t="s">
        <v>169</v>
      </c>
      <c r="E37" s="82">
        <v>1</v>
      </c>
      <c r="F37" s="82" t="s">
        <v>10</v>
      </c>
      <c r="G37" s="82" t="s">
        <v>15</v>
      </c>
      <c r="H37" s="84" t="s">
        <v>351</v>
      </c>
    </row>
    <row r="38" spans="1:8" ht="30" hidden="1" customHeight="1">
      <c r="A38" s="80">
        <v>46050</v>
      </c>
      <c r="B38" s="8" t="s">
        <v>12</v>
      </c>
      <c r="C38" s="81" t="s">
        <v>348</v>
      </c>
      <c r="D38" s="2" t="s">
        <v>169</v>
      </c>
      <c r="E38" s="82">
        <v>60</v>
      </c>
      <c r="F38" s="82" t="s">
        <v>10</v>
      </c>
      <c r="G38" s="82" t="s">
        <v>15</v>
      </c>
      <c r="H38" s="84" t="s">
        <v>349</v>
      </c>
    </row>
    <row r="39" spans="1:8" ht="30" hidden="1" customHeight="1">
      <c r="A39" s="80">
        <v>46050</v>
      </c>
      <c r="B39" s="8" t="s">
        <v>12</v>
      </c>
      <c r="C39" s="81" t="s">
        <v>346</v>
      </c>
      <c r="D39" s="2" t="s">
        <v>169</v>
      </c>
      <c r="E39" s="82">
        <v>91</v>
      </c>
      <c r="F39" s="82" t="s">
        <v>10</v>
      </c>
      <c r="G39" s="82" t="s">
        <v>15</v>
      </c>
      <c r="H39" s="84" t="s">
        <v>347</v>
      </c>
    </row>
    <row r="40" spans="1:8" ht="30" hidden="1" customHeight="1">
      <c r="A40" s="80">
        <v>46050</v>
      </c>
      <c r="B40" s="8" t="s">
        <v>12</v>
      </c>
      <c r="C40" s="85" t="s">
        <v>357</v>
      </c>
      <c r="D40" s="2" t="s">
        <v>169</v>
      </c>
      <c r="E40" s="82">
        <v>5</v>
      </c>
      <c r="F40" s="82" t="s">
        <v>238</v>
      </c>
      <c r="G40" s="82" t="s">
        <v>43</v>
      </c>
      <c r="H40" s="85" t="s">
        <v>356</v>
      </c>
    </row>
    <row r="41" spans="1:8" ht="30" hidden="1" customHeight="1">
      <c r="A41" s="80">
        <v>46050</v>
      </c>
      <c r="B41" s="8" t="s">
        <v>12</v>
      </c>
      <c r="C41" s="85" t="s">
        <v>352</v>
      </c>
      <c r="D41" s="2" t="s">
        <v>169</v>
      </c>
      <c r="E41" s="82">
        <v>1</v>
      </c>
      <c r="F41" s="82" t="s">
        <v>238</v>
      </c>
      <c r="G41" s="82" t="s">
        <v>31</v>
      </c>
      <c r="H41" s="85" t="s">
        <v>355</v>
      </c>
    </row>
    <row r="42" spans="1:8" ht="30" hidden="1" customHeight="1">
      <c r="A42" s="80">
        <v>46049</v>
      </c>
      <c r="B42" s="8" t="s">
        <v>12</v>
      </c>
      <c r="C42" s="81" t="s">
        <v>344</v>
      </c>
      <c r="D42" s="2" t="s">
        <v>169</v>
      </c>
      <c r="E42" s="82">
        <v>18</v>
      </c>
      <c r="F42" s="82" t="s">
        <v>10</v>
      </c>
      <c r="G42" s="82" t="s">
        <v>43</v>
      </c>
      <c r="H42" s="84" t="s">
        <v>345</v>
      </c>
    </row>
    <row r="43" spans="1:8" ht="30" hidden="1" customHeight="1">
      <c r="A43" s="80">
        <v>46043</v>
      </c>
      <c r="B43" s="8" t="s">
        <v>12</v>
      </c>
      <c r="C43" s="81" t="s">
        <v>367</v>
      </c>
      <c r="D43" s="2" t="s">
        <v>169</v>
      </c>
      <c r="E43" s="82">
        <v>5</v>
      </c>
      <c r="F43" s="82" t="s">
        <v>10</v>
      </c>
      <c r="G43" s="82" t="s">
        <v>15</v>
      </c>
      <c r="H43" s="84" t="s">
        <v>368</v>
      </c>
    </row>
    <row r="44" spans="1:8" ht="30" hidden="1" customHeight="1">
      <c r="A44" s="80">
        <v>46043</v>
      </c>
      <c r="B44" s="8" t="s">
        <v>12</v>
      </c>
      <c r="C44" s="81" t="s">
        <v>342</v>
      </c>
      <c r="D44" s="2" t="s">
        <v>169</v>
      </c>
      <c r="E44" s="82">
        <v>15</v>
      </c>
      <c r="F44" s="82" t="s">
        <v>10</v>
      </c>
      <c r="G44" s="82" t="s">
        <v>43</v>
      </c>
      <c r="H44" s="84" t="s">
        <v>343</v>
      </c>
    </row>
    <row r="45" spans="1:8" ht="30" hidden="1" customHeight="1">
      <c r="A45" s="80">
        <v>46042</v>
      </c>
      <c r="B45" s="8" t="s">
        <v>12</v>
      </c>
      <c r="C45" s="81" t="s">
        <v>340</v>
      </c>
      <c r="D45" s="2" t="s">
        <v>169</v>
      </c>
      <c r="E45" s="82">
        <v>1</v>
      </c>
      <c r="F45" s="82" t="s">
        <v>238</v>
      </c>
      <c r="G45" s="82" t="s">
        <v>124</v>
      </c>
      <c r="H45" s="84" t="s">
        <v>341</v>
      </c>
    </row>
    <row r="46" spans="1:8" ht="30" hidden="1" customHeight="1">
      <c r="A46" s="80">
        <v>46042</v>
      </c>
      <c r="B46" s="8" t="s">
        <v>12</v>
      </c>
      <c r="C46" s="81" t="s">
        <v>338</v>
      </c>
      <c r="D46" s="2" t="s">
        <v>169</v>
      </c>
      <c r="E46" s="82">
        <v>1</v>
      </c>
      <c r="F46" s="82" t="s">
        <v>238</v>
      </c>
      <c r="G46" s="82" t="s">
        <v>43</v>
      </c>
      <c r="H46" s="84" t="s">
        <v>339</v>
      </c>
    </row>
    <row r="47" spans="1:8" ht="30" hidden="1" customHeight="1">
      <c r="A47" s="80">
        <v>46041</v>
      </c>
      <c r="B47" s="8" t="s">
        <v>12</v>
      </c>
      <c r="C47" s="81" t="s">
        <v>337</v>
      </c>
      <c r="D47" s="2" t="s">
        <v>169</v>
      </c>
      <c r="E47" s="82">
        <v>1</v>
      </c>
      <c r="F47" s="82" t="s">
        <v>10</v>
      </c>
      <c r="G47" s="82" t="s">
        <v>102</v>
      </c>
      <c r="H47" s="84"/>
    </row>
    <row r="48" spans="1:8" ht="30" hidden="1" customHeight="1">
      <c r="A48" s="80">
        <v>46041</v>
      </c>
      <c r="B48" s="8" t="s">
        <v>12</v>
      </c>
      <c r="C48" s="81" t="s">
        <v>335</v>
      </c>
      <c r="D48" s="2" t="s">
        <v>169</v>
      </c>
      <c r="E48" s="82">
        <v>40</v>
      </c>
      <c r="F48" s="82" t="s">
        <v>10</v>
      </c>
      <c r="G48" s="82" t="s">
        <v>43</v>
      </c>
      <c r="H48" s="84" t="s">
        <v>336</v>
      </c>
    </row>
    <row r="49" spans="1:8" ht="30" hidden="1" customHeight="1">
      <c r="A49" s="80">
        <v>46038</v>
      </c>
      <c r="B49" s="8" t="s">
        <v>12</v>
      </c>
      <c r="C49" s="81" t="s">
        <v>333</v>
      </c>
      <c r="D49" s="2" t="s">
        <v>169</v>
      </c>
      <c r="E49" s="82">
        <v>9</v>
      </c>
      <c r="F49" s="82" t="s">
        <v>10</v>
      </c>
      <c r="G49" s="82" t="s">
        <v>46</v>
      </c>
      <c r="H49" s="84" t="s">
        <v>334</v>
      </c>
    </row>
    <row r="50" spans="1:8" ht="30" hidden="1" customHeight="1">
      <c r="A50" s="80">
        <v>46038</v>
      </c>
      <c r="B50" s="8" t="s">
        <v>12</v>
      </c>
      <c r="C50" s="81" t="s">
        <v>331</v>
      </c>
      <c r="D50" s="2" t="s">
        <v>169</v>
      </c>
      <c r="E50" s="82">
        <v>1</v>
      </c>
      <c r="F50" s="82" t="s">
        <v>238</v>
      </c>
      <c r="G50" s="82" t="s">
        <v>21</v>
      </c>
      <c r="H50" s="84" t="s">
        <v>332</v>
      </c>
    </row>
    <row r="51" spans="1:8" ht="30" hidden="1" customHeight="1">
      <c r="A51" s="80">
        <v>46036</v>
      </c>
      <c r="B51" s="8" t="s">
        <v>12</v>
      </c>
      <c r="C51" s="81" t="s">
        <v>329</v>
      </c>
      <c r="D51" s="2" t="s">
        <v>169</v>
      </c>
      <c r="E51" s="82">
        <v>5</v>
      </c>
      <c r="F51" s="82" t="s">
        <v>10</v>
      </c>
      <c r="G51" s="82" t="s">
        <v>46</v>
      </c>
      <c r="H51" s="84" t="s">
        <v>330</v>
      </c>
    </row>
    <row r="52" spans="1:8" ht="30" hidden="1" customHeight="1">
      <c r="A52" s="80">
        <v>46036</v>
      </c>
      <c r="B52" s="8" t="s">
        <v>12</v>
      </c>
      <c r="C52" s="81" t="s">
        <v>328</v>
      </c>
      <c r="D52" s="2" t="s">
        <v>169</v>
      </c>
      <c r="E52" s="82">
        <v>4</v>
      </c>
      <c r="F52" s="82" t="s">
        <v>10</v>
      </c>
      <c r="G52" s="82" t="s">
        <v>31</v>
      </c>
      <c r="H52" s="84"/>
    </row>
    <row r="53" spans="1:8" ht="30" hidden="1" customHeight="1">
      <c r="A53" s="80">
        <v>46036</v>
      </c>
      <c r="B53" s="8" t="s">
        <v>12</v>
      </c>
      <c r="C53" s="81" t="s">
        <v>327</v>
      </c>
      <c r="D53" s="2" t="s">
        <v>169</v>
      </c>
      <c r="E53" s="82">
        <v>2</v>
      </c>
      <c r="F53" s="82" t="s">
        <v>10</v>
      </c>
      <c r="G53" s="82" t="s">
        <v>31</v>
      </c>
      <c r="H53" s="84"/>
    </row>
    <row r="54" spans="1:8" ht="30" hidden="1" customHeight="1">
      <c r="A54" s="80">
        <v>46036</v>
      </c>
      <c r="B54" s="8" t="s">
        <v>12</v>
      </c>
      <c r="C54" s="81" t="s">
        <v>326</v>
      </c>
      <c r="D54" s="2" t="s">
        <v>169</v>
      </c>
      <c r="E54" s="82">
        <v>1</v>
      </c>
      <c r="F54" s="82" t="s">
        <v>10</v>
      </c>
      <c r="G54" s="82" t="s">
        <v>43</v>
      </c>
      <c r="H54" s="84"/>
    </row>
    <row r="55" spans="1:8" ht="30" hidden="1" customHeight="1">
      <c r="A55" s="80">
        <v>46035</v>
      </c>
      <c r="B55" s="8" t="s">
        <v>12</v>
      </c>
      <c r="C55" s="81" t="s">
        <v>324</v>
      </c>
      <c r="D55" s="2" t="s">
        <v>169</v>
      </c>
      <c r="E55" s="82">
        <v>192</v>
      </c>
      <c r="F55" s="82" t="s">
        <v>213</v>
      </c>
      <c r="G55" s="82" t="s">
        <v>43</v>
      </c>
      <c r="H55" s="84" t="s">
        <v>325</v>
      </c>
    </row>
    <row r="56" spans="1:8" ht="30" hidden="1" customHeight="1">
      <c r="A56" s="80">
        <v>46035</v>
      </c>
      <c r="B56" s="8" t="s">
        <v>12</v>
      </c>
      <c r="C56" s="81" t="s">
        <v>322</v>
      </c>
      <c r="D56" s="2" t="s">
        <v>169</v>
      </c>
      <c r="E56" s="82">
        <v>10</v>
      </c>
      <c r="F56" s="82" t="s">
        <v>10</v>
      </c>
      <c r="G56" s="82" t="s">
        <v>46</v>
      </c>
      <c r="H56" s="84" t="s">
        <v>323</v>
      </c>
    </row>
    <row r="57" spans="1:8" ht="30" hidden="1" customHeight="1">
      <c r="A57" s="80">
        <v>46035</v>
      </c>
      <c r="B57" s="8" t="s">
        <v>12</v>
      </c>
      <c r="C57" s="81" t="s">
        <v>321</v>
      </c>
      <c r="D57" s="2" t="s">
        <v>169</v>
      </c>
      <c r="E57" s="82">
        <v>2</v>
      </c>
      <c r="F57" s="82" t="s">
        <v>10</v>
      </c>
      <c r="G57" s="82" t="s">
        <v>11</v>
      </c>
      <c r="H57" s="84" t="s">
        <v>320</v>
      </c>
    </row>
    <row r="58" spans="1:8" ht="30" hidden="1" customHeight="1">
      <c r="A58" s="80">
        <v>46035</v>
      </c>
      <c r="B58" s="8" t="s">
        <v>12</v>
      </c>
      <c r="C58" s="81" t="s">
        <v>319</v>
      </c>
      <c r="D58" s="2" t="s">
        <v>169</v>
      </c>
      <c r="E58" s="82">
        <v>2</v>
      </c>
      <c r="F58" s="82" t="s">
        <v>10</v>
      </c>
      <c r="G58" s="82" t="s">
        <v>11</v>
      </c>
      <c r="H58" s="84" t="s">
        <v>320</v>
      </c>
    </row>
    <row r="59" spans="1:8" ht="30" hidden="1" customHeight="1">
      <c r="A59" s="80">
        <v>46035</v>
      </c>
      <c r="B59" s="8" t="s">
        <v>12</v>
      </c>
      <c r="C59" s="81" t="s">
        <v>210</v>
      </c>
      <c r="D59" s="2" t="s">
        <v>169</v>
      </c>
      <c r="E59" s="82">
        <v>20</v>
      </c>
      <c r="F59" s="82" t="s">
        <v>10</v>
      </c>
      <c r="G59" s="82" t="s">
        <v>11</v>
      </c>
      <c r="H59" s="84" t="s">
        <v>318</v>
      </c>
    </row>
    <row r="60" spans="1:8" ht="30" hidden="1" customHeight="1">
      <c r="A60" s="80">
        <v>46031</v>
      </c>
      <c r="B60" s="8" t="s">
        <v>12</v>
      </c>
      <c r="C60" s="81" t="s">
        <v>315</v>
      </c>
      <c r="D60" s="2" t="s">
        <v>169</v>
      </c>
      <c r="E60" s="82">
        <v>96</v>
      </c>
      <c r="F60" s="82" t="s">
        <v>10</v>
      </c>
      <c r="G60" s="82" t="s">
        <v>316</v>
      </c>
      <c r="H60" s="84" t="s">
        <v>317</v>
      </c>
    </row>
    <row r="61" spans="1:8" ht="30" hidden="1" customHeight="1">
      <c r="A61" s="80">
        <v>46031</v>
      </c>
      <c r="B61" s="8" t="s">
        <v>12</v>
      </c>
      <c r="C61" s="81" t="s">
        <v>313</v>
      </c>
      <c r="D61" s="2" t="s">
        <v>169</v>
      </c>
      <c r="E61" s="82">
        <v>2</v>
      </c>
      <c r="F61" s="82" t="s">
        <v>10</v>
      </c>
      <c r="G61" s="82" t="s">
        <v>43</v>
      </c>
      <c r="H61" s="81" t="s">
        <v>314</v>
      </c>
    </row>
    <row r="62" spans="1:8" ht="30" hidden="1" customHeight="1">
      <c r="A62" s="80">
        <v>46029</v>
      </c>
      <c r="B62" s="8" t="s">
        <v>12</v>
      </c>
      <c r="C62" s="81" t="s">
        <v>312</v>
      </c>
      <c r="D62" s="2" t="s">
        <v>169</v>
      </c>
      <c r="E62" s="82">
        <v>1</v>
      </c>
      <c r="F62" s="82" t="s">
        <v>10</v>
      </c>
      <c r="G62" s="82" t="s">
        <v>43</v>
      </c>
      <c r="H62" s="81" t="s">
        <v>311</v>
      </c>
    </row>
    <row r="63" spans="1:8" ht="30" hidden="1" customHeight="1">
      <c r="A63" s="80">
        <v>46029</v>
      </c>
      <c r="B63" s="8" t="s">
        <v>12</v>
      </c>
      <c r="C63" s="81" t="s">
        <v>309</v>
      </c>
      <c r="D63" s="2" t="s">
        <v>169</v>
      </c>
      <c r="E63" s="82">
        <v>24</v>
      </c>
      <c r="F63" s="82" t="s">
        <v>10</v>
      </c>
      <c r="G63" s="82" t="s">
        <v>137</v>
      </c>
      <c r="H63" s="81" t="s">
        <v>310</v>
      </c>
    </row>
    <row r="64" spans="1:8" ht="30" hidden="1" customHeight="1">
      <c r="A64" s="80">
        <v>46029</v>
      </c>
      <c r="B64" s="8" t="s">
        <v>12</v>
      </c>
      <c r="C64" s="81" t="s">
        <v>307</v>
      </c>
      <c r="D64" s="2" t="s">
        <v>169</v>
      </c>
      <c r="E64" s="82">
        <v>8</v>
      </c>
      <c r="F64" s="82" t="s">
        <v>10</v>
      </c>
      <c r="G64" s="82" t="s">
        <v>21</v>
      </c>
      <c r="H64" s="81" t="s">
        <v>308</v>
      </c>
    </row>
    <row r="65" spans="1:8" ht="30" hidden="1" customHeight="1">
      <c r="A65" s="80">
        <v>46029</v>
      </c>
      <c r="B65" s="8" t="s">
        <v>12</v>
      </c>
      <c r="C65" s="81" t="s">
        <v>305</v>
      </c>
      <c r="D65" s="2" t="s">
        <v>169</v>
      </c>
      <c r="E65" s="82">
        <v>2</v>
      </c>
      <c r="F65" s="82" t="s">
        <v>10</v>
      </c>
      <c r="G65" s="82" t="s">
        <v>21</v>
      </c>
      <c r="H65" s="81" t="s">
        <v>306</v>
      </c>
    </row>
    <row r="66" spans="1:8" ht="30" hidden="1" customHeight="1">
      <c r="A66" s="80">
        <v>46020</v>
      </c>
      <c r="B66" s="8" t="s">
        <v>12</v>
      </c>
      <c r="C66" s="81" t="s">
        <v>299</v>
      </c>
      <c r="D66" s="2"/>
      <c r="E66" s="82">
        <v>14</v>
      </c>
      <c r="F66" s="82" t="s">
        <v>10</v>
      </c>
      <c r="G66" s="82" t="s">
        <v>31</v>
      </c>
      <c r="H66" s="81"/>
    </row>
    <row r="67" spans="1:8" ht="30" hidden="1" customHeight="1">
      <c r="A67" s="80">
        <v>46017</v>
      </c>
      <c r="B67" s="8" t="s">
        <v>12</v>
      </c>
      <c r="C67" s="81" t="s">
        <v>300</v>
      </c>
      <c r="D67" s="2"/>
      <c r="E67" s="82">
        <v>12</v>
      </c>
      <c r="F67" s="82" t="s">
        <v>24</v>
      </c>
      <c r="G67" s="82"/>
      <c r="H67" s="81" t="s">
        <v>301</v>
      </c>
    </row>
    <row r="68" spans="1:8" ht="30" hidden="1" customHeight="1">
      <c r="A68" s="80">
        <v>46017</v>
      </c>
      <c r="B68" s="8" t="s">
        <v>12</v>
      </c>
      <c r="C68" s="81" t="s">
        <v>291</v>
      </c>
      <c r="D68" s="2"/>
      <c r="E68" s="82">
        <v>10</v>
      </c>
      <c r="F68" s="82" t="s">
        <v>10</v>
      </c>
      <c r="G68" s="82" t="s">
        <v>43</v>
      </c>
      <c r="H68" s="81" t="s">
        <v>302</v>
      </c>
    </row>
    <row r="69" spans="1:8" ht="30" hidden="1" customHeight="1">
      <c r="A69" s="80">
        <v>46017</v>
      </c>
      <c r="B69" s="8" t="s">
        <v>12</v>
      </c>
      <c r="C69" s="81" t="s">
        <v>303</v>
      </c>
      <c r="D69" s="2"/>
      <c r="E69" s="82">
        <v>14</v>
      </c>
      <c r="F69" s="82" t="s">
        <v>10</v>
      </c>
      <c r="G69" s="82" t="s">
        <v>43</v>
      </c>
      <c r="H69" s="81" t="s">
        <v>304</v>
      </c>
    </row>
    <row r="70" spans="1:8" ht="30" hidden="1" customHeight="1">
      <c r="A70" s="73">
        <v>46016</v>
      </c>
      <c r="B70" s="8" t="s">
        <v>12</v>
      </c>
      <c r="C70" s="77" t="s">
        <v>292</v>
      </c>
      <c r="D70" s="2" t="s">
        <v>169</v>
      </c>
      <c r="E70" s="59">
        <v>1</v>
      </c>
      <c r="F70" s="28" t="s">
        <v>10</v>
      </c>
      <c r="G70" s="78" t="s">
        <v>293</v>
      </c>
      <c r="H70" s="71"/>
    </row>
    <row r="71" spans="1:8" ht="30" hidden="1" customHeight="1">
      <c r="A71" s="73">
        <v>46016</v>
      </c>
      <c r="B71" s="8" t="s">
        <v>12</v>
      </c>
      <c r="C71" s="76" t="s">
        <v>291</v>
      </c>
      <c r="D71" s="2"/>
      <c r="E71" s="59">
        <v>10</v>
      </c>
      <c r="F71" s="28" t="s">
        <v>10</v>
      </c>
      <c r="G71" s="37" t="s">
        <v>43</v>
      </c>
      <c r="H71" s="71"/>
    </row>
    <row r="72" spans="1:8" ht="30" hidden="1" customHeight="1">
      <c r="A72" s="73">
        <v>46015</v>
      </c>
      <c r="B72" s="8" t="s">
        <v>12</v>
      </c>
      <c r="C72" s="79" t="s">
        <v>294</v>
      </c>
      <c r="D72" s="2" t="s">
        <v>169</v>
      </c>
      <c r="E72" s="59">
        <v>1</v>
      </c>
      <c r="F72" s="28" t="s">
        <v>10</v>
      </c>
      <c r="G72" s="78" t="s">
        <v>63</v>
      </c>
      <c r="H72" s="71"/>
    </row>
    <row r="73" spans="1:8" ht="30" hidden="1" customHeight="1">
      <c r="A73" s="73">
        <v>46015</v>
      </c>
      <c r="B73" s="8" t="s">
        <v>12</v>
      </c>
      <c r="C73" s="75" t="s">
        <v>290</v>
      </c>
      <c r="D73" s="2"/>
      <c r="E73" s="59">
        <v>4</v>
      </c>
      <c r="F73" s="28" t="s">
        <v>10</v>
      </c>
      <c r="G73" s="37" t="s">
        <v>43</v>
      </c>
      <c r="H73" s="71"/>
    </row>
    <row r="74" spans="1:8" ht="30" hidden="1" customHeight="1">
      <c r="A74" s="73">
        <v>46014</v>
      </c>
      <c r="B74" s="8" t="s">
        <v>12</v>
      </c>
      <c r="C74" s="79" t="s">
        <v>295</v>
      </c>
      <c r="D74" s="2" t="s">
        <v>169</v>
      </c>
      <c r="E74" s="59">
        <v>12</v>
      </c>
      <c r="F74" s="28" t="s">
        <v>213</v>
      </c>
      <c r="G74" s="78" t="s">
        <v>15</v>
      </c>
      <c r="H74" s="79" t="s">
        <v>296</v>
      </c>
    </row>
    <row r="75" spans="1:8" ht="30" hidden="1" customHeight="1">
      <c r="A75" s="73">
        <v>46014</v>
      </c>
      <c r="B75" s="8" t="s">
        <v>12</v>
      </c>
      <c r="C75" s="74" t="s">
        <v>289</v>
      </c>
      <c r="D75" s="2" t="s">
        <v>169</v>
      </c>
      <c r="E75" s="59">
        <v>30</v>
      </c>
      <c r="F75" s="28" t="s">
        <v>10</v>
      </c>
      <c r="G75" s="37" t="s">
        <v>43</v>
      </c>
      <c r="H75" s="71"/>
    </row>
    <row r="76" spans="1:8" ht="30" hidden="1" customHeight="1">
      <c r="A76" s="73">
        <v>46013</v>
      </c>
      <c r="B76" s="8" t="s">
        <v>12</v>
      </c>
      <c r="C76" s="79" t="s">
        <v>297</v>
      </c>
      <c r="D76" s="2" t="s">
        <v>169</v>
      </c>
      <c r="E76" s="59">
        <v>14</v>
      </c>
      <c r="F76" s="28" t="s">
        <v>213</v>
      </c>
      <c r="G76" s="78" t="s">
        <v>11</v>
      </c>
      <c r="H76" s="79" t="s">
        <v>298</v>
      </c>
    </row>
    <row r="77" spans="1:8" ht="30" hidden="1" customHeight="1">
      <c r="A77" s="73">
        <v>46010</v>
      </c>
      <c r="B77" s="8" t="s">
        <v>12</v>
      </c>
      <c r="C77" s="72" t="s">
        <v>287</v>
      </c>
      <c r="D77" s="2" t="s">
        <v>169</v>
      </c>
      <c r="E77" s="59">
        <v>300</v>
      </c>
      <c r="F77" s="28" t="s">
        <v>213</v>
      </c>
      <c r="G77" s="37" t="s">
        <v>15</v>
      </c>
      <c r="H77" s="71"/>
    </row>
    <row r="78" spans="1:8" ht="30" hidden="1" customHeight="1">
      <c r="A78" s="73">
        <v>46009</v>
      </c>
      <c r="B78" s="8" t="s">
        <v>12</v>
      </c>
      <c r="C78" s="71" t="s">
        <v>283</v>
      </c>
      <c r="D78" s="2" t="s">
        <v>169</v>
      </c>
      <c r="E78" s="59">
        <v>15</v>
      </c>
      <c r="F78" s="28" t="s">
        <v>10</v>
      </c>
      <c r="G78" s="37" t="s">
        <v>46</v>
      </c>
      <c r="H78" s="71" t="s">
        <v>282</v>
      </c>
    </row>
    <row r="79" spans="1:8" ht="30" hidden="1" customHeight="1">
      <c r="A79" s="63">
        <v>46009</v>
      </c>
      <c r="B79" s="8" t="s">
        <v>12</v>
      </c>
      <c r="C79" s="71" t="s">
        <v>280</v>
      </c>
      <c r="D79" s="2" t="s">
        <v>169</v>
      </c>
      <c r="E79" s="59">
        <v>300</v>
      </c>
      <c r="F79" s="28" t="s">
        <v>10</v>
      </c>
      <c r="G79" s="37" t="s">
        <v>43</v>
      </c>
      <c r="H79" s="71" t="s">
        <v>281</v>
      </c>
    </row>
    <row r="80" spans="1:8" ht="30" hidden="1" customHeight="1">
      <c r="A80" s="63">
        <v>46009</v>
      </c>
      <c r="B80" s="8" t="s">
        <v>12</v>
      </c>
      <c r="C80" s="70" t="s">
        <v>278</v>
      </c>
      <c r="D80" s="2" t="s">
        <v>169</v>
      </c>
      <c r="E80" s="59">
        <v>1</v>
      </c>
      <c r="F80" s="28" t="s">
        <v>10</v>
      </c>
      <c r="G80" s="37" t="s">
        <v>21</v>
      </c>
      <c r="H80" s="70" t="s">
        <v>279</v>
      </c>
    </row>
    <row r="81" spans="1:8" ht="30" hidden="1" customHeight="1">
      <c r="A81" s="63">
        <v>46009</v>
      </c>
      <c r="B81" s="8" t="s">
        <v>12</v>
      </c>
      <c r="C81" s="69" t="s">
        <v>276</v>
      </c>
      <c r="D81" s="2" t="s">
        <v>169</v>
      </c>
      <c r="E81" s="59">
        <v>1</v>
      </c>
      <c r="F81" s="28" t="s">
        <v>238</v>
      </c>
      <c r="G81" s="37" t="s">
        <v>46</v>
      </c>
      <c r="H81" s="69" t="s">
        <v>277</v>
      </c>
    </row>
    <row r="82" spans="1:8" ht="30" hidden="1" customHeight="1">
      <c r="A82" s="63">
        <v>46009</v>
      </c>
      <c r="B82" s="8" t="s">
        <v>12</v>
      </c>
      <c r="C82" s="68" t="s">
        <v>210</v>
      </c>
      <c r="D82" s="2" t="s">
        <v>169</v>
      </c>
      <c r="E82" s="59">
        <v>1</v>
      </c>
      <c r="F82" s="28" t="s">
        <v>238</v>
      </c>
      <c r="G82" s="37" t="s">
        <v>31</v>
      </c>
      <c r="H82" s="71" t="s">
        <v>284</v>
      </c>
    </row>
    <row r="83" spans="1:8" ht="30" hidden="1" customHeight="1">
      <c r="A83" s="63">
        <v>46009</v>
      </c>
      <c r="B83" s="8" t="s">
        <v>12</v>
      </c>
      <c r="C83" s="68" t="s">
        <v>265</v>
      </c>
      <c r="D83" s="2" t="s">
        <v>169</v>
      </c>
      <c r="E83" s="59">
        <v>13</v>
      </c>
      <c r="F83" s="28" t="s">
        <v>10</v>
      </c>
      <c r="G83" s="37" t="s">
        <v>43</v>
      </c>
      <c r="H83" s="71" t="s">
        <v>285</v>
      </c>
    </row>
    <row r="84" spans="1:8" ht="30" hidden="1" customHeight="1">
      <c r="A84" s="63">
        <v>46009</v>
      </c>
      <c r="B84" s="8" t="s">
        <v>12</v>
      </c>
      <c r="C84" s="68" t="s">
        <v>174</v>
      </c>
      <c r="D84" s="2" t="s">
        <v>169</v>
      </c>
      <c r="E84" s="59">
        <v>1</v>
      </c>
      <c r="F84" s="28" t="s">
        <v>238</v>
      </c>
      <c r="G84" s="37" t="s">
        <v>43</v>
      </c>
      <c r="H84" s="71" t="s">
        <v>286</v>
      </c>
    </row>
    <row r="85" spans="1:8" ht="30" hidden="1" customHeight="1">
      <c r="A85" s="63">
        <v>46008</v>
      </c>
      <c r="B85" s="8" t="s">
        <v>12</v>
      </c>
      <c r="C85" s="68" t="s">
        <v>274</v>
      </c>
      <c r="D85" s="2" t="s">
        <v>169</v>
      </c>
      <c r="E85" s="59">
        <v>2</v>
      </c>
      <c r="F85" s="28" t="s">
        <v>10</v>
      </c>
      <c r="G85" s="37" t="s">
        <v>15</v>
      </c>
      <c r="H85" s="68" t="s">
        <v>275</v>
      </c>
    </row>
    <row r="86" spans="1:8" ht="30" hidden="1" customHeight="1">
      <c r="A86" s="63">
        <v>46008</v>
      </c>
      <c r="B86" s="8" t="s">
        <v>12</v>
      </c>
      <c r="C86" s="68" t="s">
        <v>272</v>
      </c>
      <c r="D86" s="2" t="s">
        <v>169</v>
      </c>
      <c r="E86" s="59">
        <v>35</v>
      </c>
      <c r="F86" s="28" t="s">
        <v>10</v>
      </c>
      <c r="G86" s="37" t="s">
        <v>46</v>
      </c>
      <c r="H86" s="68" t="s">
        <v>273</v>
      </c>
    </row>
    <row r="87" spans="1:8" ht="30" hidden="1" customHeight="1">
      <c r="A87" s="63">
        <v>46007</v>
      </c>
      <c r="B87" s="8" t="s">
        <v>12</v>
      </c>
      <c r="C87" s="68" t="s">
        <v>270</v>
      </c>
      <c r="D87" s="2" t="s">
        <v>169</v>
      </c>
      <c r="E87" s="59">
        <v>70</v>
      </c>
      <c r="F87" s="28" t="s">
        <v>10</v>
      </c>
      <c r="G87" s="37" t="s">
        <v>15</v>
      </c>
      <c r="H87" s="68" t="s">
        <v>271</v>
      </c>
    </row>
    <row r="88" spans="1:8" ht="30" hidden="1" customHeight="1">
      <c r="A88" s="63">
        <v>46006</v>
      </c>
      <c r="B88" s="8" t="s">
        <v>12</v>
      </c>
      <c r="C88" s="68" t="s">
        <v>268</v>
      </c>
      <c r="D88" s="2" t="s">
        <v>169</v>
      </c>
      <c r="E88" s="59">
        <v>2</v>
      </c>
      <c r="F88" s="28" t="s">
        <v>10</v>
      </c>
      <c r="G88" s="37" t="s">
        <v>15</v>
      </c>
      <c r="H88" s="68" t="s">
        <v>269</v>
      </c>
    </row>
    <row r="89" spans="1:8" ht="30" hidden="1" customHeight="1">
      <c r="A89" s="63">
        <v>46006</v>
      </c>
      <c r="B89" s="8" t="s">
        <v>12</v>
      </c>
      <c r="C89" s="68" t="s">
        <v>266</v>
      </c>
      <c r="D89" s="2" t="s">
        <v>169</v>
      </c>
      <c r="E89" s="59">
        <v>6</v>
      </c>
      <c r="F89" s="28" t="s">
        <v>238</v>
      </c>
      <c r="G89" s="37" t="s">
        <v>15</v>
      </c>
      <c r="H89" s="68" t="s">
        <v>267</v>
      </c>
    </row>
    <row r="90" spans="1:8" ht="30" hidden="1" customHeight="1">
      <c r="A90" s="63">
        <v>46001</v>
      </c>
      <c r="B90" s="8" t="s">
        <v>12</v>
      </c>
      <c r="C90" s="67" t="s">
        <v>263</v>
      </c>
      <c r="D90" s="2" t="s">
        <v>169</v>
      </c>
      <c r="E90" s="59">
        <v>1</v>
      </c>
      <c r="F90" s="28" t="s">
        <v>10</v>
      </c>
      <c r="G90" s="37" t="s">
        <v>21</v>
      </c>
      <c r="H90" s="67" t="s">
        <v>264</v>
      </c>
    </row>
    <row r="91" spans="1:8" ht="30" hidden="1" customHeight="1">
      <c r="A91" s="63">
        <v>46001</v>
      </c>
      <c r="B91" s="8" t="s">
        <v>12</v>
      </c>
      <c r="C91" s="66" t="s">
        <v>261</v>
      </c>
      <c r="D91" s="2" t="s">
        <v>169</v>
      </c>
      <c r="E91" s="59">
        <v>1</v>
      </c>
      <c r="F91" s="28" t="s">
        <v>10</v>
      </c>
      <c r="G91" s="37" t="s">
        <v>46</v>
      </c>
      <c r="H91" s="66" t="s">
        <v>262</v>
      </c>
    </row>
    <row r="92" spans="1:8" ht="30" hidden="1" customHeight="1">
      <c r="A92" s="63">
        <v>46001</v>
      </c>
      <c r="B92" s="8" t="s">
        <v>12</v>
      </c>
      <c r="C92" s="66" t="s">
        <v>259</v>
      </c>
      <c r="D92" s="2" t="s">
        <v>169</v>
      </c>
      <c r="E92" s="59">
        <v>2</v>
      </c>
      <c r="F92" s="28" t="s">
        <v>241</v>
      </c>
      <c r="G92" s="37" t="s">
        <v>46</v>
      </c>
      <c r="H92" s="66" t="s">
        <v>260</v>
      </c>
    </row>
    <row r="93" spans="1:8" ht="30" hidden="1" customHeight="1">
      <c r="A93" s="63">
        <v>46001</v>
      </c>
      <c r="B93" s="8" t="s">
        <v>12</v>
      </c>
      <c r="C93" s="66" t="s">
        <v>257</v>
      </c>
      <c r="D93" s="2" t="s">
        <v>169</v>
      </c>
      <c r="E93" s="59">
        <v>3</v>
      </c>
      <c r="F93" s="28" t="s">
        <v>10</v>
      </c>
      <c r="G93" s="37" t="s">
        <v>102</v>
      </c>
      <c r="H93" s="66" t="s">
        <v>258</v>
      </c>
    </row>
    <row r="94" spans="1:8" ht="30" hidden="1" customHeight="1">
      <c r="A94" s="63">
        <v>46001</v>
      </c>
      <c r="B94" s="8" t="s">
        <v>12</v>
      </c>
      <c r="C94" s="65" t="s">
        <v>174</v>
      </c>
      <c r="D94" s="2" t="s">
        <v>169</v>
      </c>
      <c r="E94" s="59">
        <v>1</v>
      </c>
      <c r="F94" s="28" t="s">
        <v>10</v>
      </c>
      <c r="G94" s="37" t="s">
        <v>47</v>
      </c>
      <c r="H94" s="65" t="s">
        <v>256</v>
      </c>
    </row>
    <row r="95" spans="1:8" ht="30" hidden="1" customHeight="1">
      <c r="A95" s="63">
        <v>46001</v>
      </c>
      <c r="B95" s="8" t="s">
        <v>12</v>
      </c>
      <c r="C95" s="65" t="s">
        <v>254</v>
      </c>
      <c r="D95" s="2" t="s">
        <v>169</v>
      </c>
      <c r="E95" s="59">
        <v>5</v>
      </c>
      <c r="F95" s="28" t="s">
        <v>10</v>
      </c>
      <c r="G95" s="37" t="s">
        <v>23</v>
      </c>
      <c r="H95" s="65" t="s">
        <v>255</v>
      </c>
    </row>
    <row r="96" spans="1:8" ht="30" hidden="1" customHeight="1">
      <c r="A96" s="63">
        <v>46001</v>
      </c>
      <c r="B96" s="8" t="s">
        <v>12</v>
      </c>
      <c r="C96" s="64" t="s">
        <v>252</v>
      </c>
      <c r="D96" s="2" t="s">
        <v>169</v>
      </c>
      <c r="E96" s="59">
        <v>12</v>
      </c>
      <c r="F96" s="28" t="s">
        <v>10</v>
      </c>
      <c r="G96" s="37" t="s">
        <v>15</v>
      </c>
      <c r="H96" s="64" t="s">
        <v>253</v>
      </c>
    </row>
    <row r="97" spans="1:8" ht="30" hidden="1" customHeight="1">
      <c r="A97" s="63">
        <v>46001</v>
      </c>
      <c r="B97" s="8" t="s">
        <v>12</v>
      </c>
      <c r="C97" s="64" t="s">
        <v>250</v>
      </c>
      <c r="D97" s="2" t="s">
        <v>169</v>
      </c>
      <c r="E97" s="59">
        <v>2</v>
      </c>
      <c r="F97" s="28" t="s">
        <v>10</v>
      </c>
      <c r="G97" s="37" t="s">
        <v>15</v>
      </c>
      <c r="H97" s="64" t="s">
        <v>251</v>
      </c>
    </row>
    <row r="98" spans="1:8" ht="30" hidden="1" customHeight="1">
      <c r="A98" s="63">
        <v>46001</v>
      </c>
      <c r="B98" s="8" t="s">
        <v>12</v>
      </c>
      <c r="C98" s="64" t="s">
        <v>248</v>
      </c>
      <c r="D98" s="2" t="s">
        <v>169</v>
      </c>
      <c r="E98" s="59">
        <v>22</v>
      </c>
      <c r="F98" s="28" t="s">
        <v>10</v>
      </c>
      <c r="G98" s="37" t="s">
        <v>124</v>
      </c>
      <c r="H98" s="64" t="s">
        <v>249</v>
      </c>
    </row>
    <row r="99" spans="1:8" ht="30" hidden="1" customHeight="1">
      <c r="A99" s="63">
        <v>46000</v>
      </c>
      <c r="B99" s="8" t="s">
        <v>12</v>
      </c>
      <c r="C99" s="62" t="s">
        <v>246</v>
      </c>
      <c r="D99" s="2" t="s">
        <v>169</v>
      </c>
      <c r="E99" s="59">
        <v>2</v>
      </c>
      <c r="F99" s="28" t="s">
        <v>238</v>
      </c>
      <c r="G99" s="37" t="s">
        <v>46</v>
      </c>
      <c r="H99" s="62" t="s">
        <v>247</v>
      </c>
    </row>
    <row r="100" spans="1:8" ht="30" hidden="1" customHeight="1">
      <c r="A100" s="63">
        <v>46000</v>
      </c>
      <c r="B100" s="8" t="s">
        <v>12</v>
      </c>
      <c r="C100" s="62" t="s">
        <v>245</v>
      </c>
      <c r="D100" s="2" t="s">
        <v>169</v>
      </c>
      <c r="E100" s="59">
        <v>1</v>
      </c>
      <c r="F100" s="28" t="s">
        <v>238</v>
      </c>
      <c r="G100" s="37" t="s">
        <v>23</v>
      </c>
      <c r="H100" s="62"/>
    </row>
    <row r="101" spans="1:8" ht="30" hidden="1" customHeight="1">
      <c r="A101" s="63">
        <v>46000</v>
      </c>
      <c r="B101" s="8" t="s">
        <v>12</v>
      </c>
      <c r="C101" s="62" t="s">
        <v>244</v>
      </c>
      <c r="D101" s="2" t="s">
        <v>169</v>
      </c>
      <c r="E101" s="59">
        <v>1</v>
      </c>
      <c r="F101" s="28" t="s">
        <v>238</v>
      </c>
      <c r="G101" s="37" t="s">
        <v>46</v>
      </c>
      <c r="H101" s="62"/>
    </row>
    <row r="102" spans="1:8" ht="30" hidden="1" customHeight="1">
      <c r="A102" s="86">
        <v>46000</v>
      </c>
      <c r="B102" s="8" t="s">
        <v>12</v>
      </c>
      <c r="C102" s="62" t="s">
        <v>243</v>
      </c>
      <c r="D102" s="2" t="s">
        <v>169</v>
      </c>
      <c r="E102" s="59">
        <v>2</v>
      </c>
      <c r="F102" s="28" t="s">
        <v>241</v>
      </c>
      <c r="G102" s="37" t="s">
        <v>46</v>
      </c>
      <c r="H102" s="62"/>
    </row>
    <row r="103" spans="1:8" ht="30" hidden="1" customHeight="1">
      <c r="A103" s="38">
        <v>46000</v>
      </c>
      <c r="B103" s="8" t="s">
        <v>12</v>
      </c>
      <c r="C103" s="62" t="s">
        <v>240</v>
      </c>
      <c r="D103" s="2" t="s">
        <v>169</v>
      </c>
      <c r="E103" s="59">
        <v>1</v>
      </c>
      <c r="F103" s="28" t="s">
        <v>241</v>
      </c>
      <c r="G103" s="37" t="s">
        <v>46</v>
      </c>
      <c r="H103" s="62" t="s">
        <v>242</v>
      </c>
    </row>
    <row r="104" spans="1:8" ht="30" hidden="1" customHeight="1">
      <c r="A104" s="38">
        <v>46000</v>
      </c>
      <c r="B104" s="8" t="s">
        <v>12</v>
      </c>
      <c r="C104" s="62" t="s">
        <v>237</v>
      </c>
      <c r="D104" s="2" t="s">
        <v>169</v>
      </c>
      <c r="E104" s="59">
        <v>1</v>
      </c>
      <c r="F104" s="28" t="s">
        <v>238</v>
      </c>
      <c r="G104" s="37" t="s">
        <v>46</v>
      </c>
      <c r="H104" s="62" t="s">
        <v>239</v>
      </c>
    </row>
    <row r="105" spans="1:8" ht="30" hidden="1" customHeight="1">
      <c r="A105" s="38">
        <v>45996</v>
      </c>
      <c r="B105" s="8" t="s">
        <v>12</v>
      </c>
      <c r="C105" s="61" t="s">
        <v>236</v>
      </c>
      <c r="D105" s="2" t="s">
        <v>169</v>
      </c>
      <c r="E105" s="59">
        <v>2</v>
      </c>
      <c r="F105" s="28" t="s">
        <v>10</v>
      </c>
      <c r="G105" s="37" t="s">
        <v>21</v>
      </c>
      <c r="H105" s="61"/>
    </row>
    <row r="106" spans="1:8" ht="30" hidden="1" customHeight="1">
      <c r="A106" s="38">
        <v>45996</v>
      </c>
      <c r="B106" s="8" t="s">
        <v>12</v>
      </c>
      <c r="C106" s="61" t="s">
        <v>234</v>
      </c>
      <c r="D106" s="2" t="s">
        <v>169</v>
      </c>
      <c r="E106" s="59">
        <v>4</v>
      </c>
      <c r="F106" s="28" t="s">
        <v>10</v>
      </c>
      <c r="G106" s="37" t="s">
        <v>21</v>
      </c>
      <c r="H106" s="61" t="s">
        <v>235</v>
      </c>
    </row>
    <row r="107" spans="1:8" ht="30" hidden="1" customHeight="1">
      <c r="A107" s="38">
        <v>45996</v>
      </c>
      <c r="B107" s="8" t="s">
        <v>12</v>
      </c>
      <c r="C107" s="61" t="s">
        <v>232</v>
      </c>
      <c r="D107" s="2" t="s">
        <v>169</v>
      </c>
      <c r="E107" s="59">
        <v>4</v>
      </c>
      <c r="F107" s="28" t="s">
        <v>10</v>
      </c>
      <c r="G107" s="37" t="s">
        <v>31</v>
      </c>
      <c r="H107" s="61" t="s">
        <v>233</v>
      </c>
    </row>
    <row r="108" spans="1:8" ht="30" hidden="1" customHeight="1">
      <c r="A108" s="38">
        <v>45996</v>
      </c>
      <c r="B108" s="8" t="s">
        <v>12</v>
      </c>
      <c r="C108" s="61" t="s">
        <v>230</v>
      </c>
      <c r="D108" s="2" t="s">
        <v>169</v>
      </c>
      <c r="E108" s="59">
        <v>1</v>
      </c>
      <c r="F108" s="28" t="s">
        <v>10</v>
      </c>
      <c r="G108" s="37" t="s">
        <v>47</v>
      </c>
      <c r="H108" s="61" t="s">
        <v>231</v>
      </c>
    </row>
    <row r="109" spans="1:8" ht="30" hidden="1" customHeight="1">
      <c r="A109" s="38">
        <v>45996</v>
      </c>
      <c r="B109" s="8" t="s">
        <v>12</v>
      </c>
      <c r="C109" s="61" t="s">
        <v>228</v>
      </c>
      <c r="D109" s="2" t="s">
        <v>169</v>
      </c>
      <c r="E109" s="59">
        <v>1</v>
      </c>
      <c r="F109" s="28" t="s">
        <v>10</v>
      </c>
      <c r="G109" s="37" t="s">
        <v>137</v>
      </c>
      <c r="H109" s="61" t="s">
        <v>229</v>
      </c>
    </row>
    <row r="110" spans="1:8" ht="30" hidden="1" customHeight="1">
      <c r="A110" s="38">
        <v>45996</v>
      </c>
      <c r="B110" s="8" t="s">
        <v>12</v>
      </c>
      <c r="C110" s="61" t="s">
        <v>226</v>
      </c>
      <c r="D110" s="2" t="s">
        <v>169</v>
      </c>
      <c r="E110" s="59">
        <v>9</v>
      </c>
      <c r="F110" s="28" t="s">
        <v>10</v>
      </c>
      <c r="G110" s="37" t="s">
        <v>124</v>
      </c>
      <c r="H110" s="61" t="s">
        <v>227</v>
      </c>
    </row>
    <row r="111" spans="1:8" ht="30" hidden="1" customHeight="1">
      <c r="A111" s="38">
        <v>45996</v>
      </c>
      <c r="B111" s="8" t="s">
        <v>12</v>
      </c>
      <c r="C111" s="61" t="s">
        <v>224</v>
      </c>
      <c r="D111" s="2" t="s">
        <v>169</v>
      </c>
      <c r="E111" s="59">
        <v>2</v>
      </c>
      <c r="F111" s="28" t="s">
        <v>10</v>
      </c>
      <c r="G111" s="37" t="s">
        <v>31</v>
      </c>
      <c r="H111" s="61" t="s">
        <v>225</v>
      </c>
    </row>
    <row r="112" spans="1:8" ht="30" hidden="1" customHeight="1">
      <c r="A112" s="38">
        <v>45985</v>
      </c>
      <c r="B112" s="8" t="s">
        <v>12</v>
      </c>
      <c r="C112" s="60" t="s">
        <v>222</v>
      </c>
      <c r="D112" s="2"/>
      <c r="E112" s="59">
        <v>1</v>
      </c>
      <c r="F112" s="28" t="s">
        <v>10</v>
      </c>
      <c r="G112" s="37" t="s">
        <v>21</v>
      </c>
      <c r="H112" s="60" t="s">
        <v>223</v>
      </c>
    </row>
    <row r="113" spans="1:8" ht="30" hidden="1" customHeight="1">
      <c r="A113" s="38">
        <v>45985</v>
      </c>
      <c r="B113" s="8" t="s">
        <v>12</v>
      </c>
      <c r="C113" s="58" t="s">
        <v>220</v>
      </c>
      <c r="D113" s="2"/>
      <c r="E113" s="59">
        <v>35</v>
      </c>
      <c r="F113" s="28" t="s">
        <v>10</v>
      </c>
      <c r="G113" s="37" t="s">
        <v>46</v>
      </c>
      <c r="H113" s="58" t="s">
        <v>221</v>
      </c>
    </row>
    <row r="114" spans="1:8" ht="30" hidden="1" customHeight="1">
      <c r="A114" s="38">
        <v>45985</v>
      </c>
      <c r="B114" s="8" t="s">
        <v>12</v>
      </c>
      <c r="C114" s="58" t="s">
        <v>217</v>
      </c>
      <c r="D114" s="2"/>
      <c r="E114" s="59" t="s">
        <v>218</v>
      </c>
      <c r="F114" s="28" t="s">
        <v>10</v>
      </c>
      <c r="G114" s="37" t="s">
        <v>46</v>
      </c>
      <c r="H114" s="58" t="s">
        <v>219</v>
      </c>
    </row>
    <row r="115" spans="1:8" ht="30" hidden="1" customHeight="1">
      <c r="A115" s="38">
        <v>45985</v>
      </c>
      <c r="B115" s="8" t="s">
        <v>12</v>
      </c>
      <c r="C115" s="58" t="s">
        <v>215</v>
      </c>
      <c r="D115" s="2"/>
      <c r="E115" s="49">
        <v>25</v>
      </c>
      <c r="F115" s="28" t="s">
        <v>213</v>
      </c>
      <c r="G115" s="37" t="s">
        <v>46</v>
      </c>
      <c r="H115" s="58" t="s">
        <v>216</v>
      </c>
    </row>
    <row r="116" spans="1:8" ht="30" hidden="1" customHeight="1">
      <c r="A116" s="38">
        <v>45979</v>
      </c>
      <c r="B116" s="8" t="s">
        <v>12</v>
      </c>
      <c r="C116" s="57" t="s">
        <v>210</v>
      </c>
      <c r="D116" s="2"/>
      <c r="E116" s="49">
        <v>1</v>
      </c>
      <c r="F116" s="28" t="s">
        <v>213</v>
      </c>
      <c r="G116" s="37" t="s">
        <v>43</v>
      </c>
      <c r="H116" s="57" t="s">
        <v>214</v>
      </c>
    </row>
    <row r="117" spans="1:8" ht="30" hidden="1" customHeight="1">
      <c r="A117" s="38">
        <v>45979</v>
      </c>
      <c r="B117" s="8" t="s">
        <v>12</v>
      </c>
      <c r="C117" s="56" t="s">
        <v>211</v>
      </c>
      <c r="D117" s="2"/>
      <c r="E117" s="49">
        <v>25</v>
      </c>
      <c r="F117" s="28" t="s">
        <v>24</v>
      </c>
      <c r="G117" s="37" t="s">
        <v>31</v>
      </c>
      <c r="H117" s="56" t="s">
        <v>212</v>
      </c>
    </row>
    <row r="118" spans="1:8" ht="30" hidden="1" customHeight="1">
      <c r="A118" s="38">
        <v>45979</v>
      </c>
      <c r="B118" s="8" t="s">
        <v>12</v>
      </c>
      <c r="C118" s="55" t="s">
        <v>210</v>
      </c>
      <c r="D118" s="2"/>
      <c r="E118" s="49">
        <v>8</v>
      </c>
      <c r="F118" s="28" t="s">
        <v>24</v>
      </c>
      <c r="G118" s="37" t="s">
        <v>43</v>
      </c>
      <c r="H118" s="54"/>
    </row>
    <row r="119" spans="1:8" ht="30" hidden="1" customHeight="1">
      <c r="A119" s="38">
        <v>45979</v>
      </c>
      <c r="B119" s="8" t="s">
        <v>12</v>
      </c>
      <c r="C119" s="55" t="s">
        <v>209</v>
      </c>
      <c r="D119" s="2"/>
      <c r="E119" s="49">
        <v>1</v>
      </c>
      <c r="F119" s="28" t="s">
        <v>24</v>
      </c>
      <c r="G119" s="37" t="s">
        <v>43</v>
      </c>
      <c r="H119" s="54"/>
    </row>
    <row r="120" spans="1:8" ht="30" hidden="1" customHeight="1">
      <c r="A120" s="38">
        <v>45979</v>
      </c>
      <c r="B120" s="8" t="s">
        <v>12</v>
      </c>
      <c r="C120" s="54" t="s">
        <v>207</v>
      </c>
      <c r="D120" s="2"/>
      <c r="E120" s="49">
        <v>150</v>
      </c>
      <c r="F120" s="28" t="s">
        <v>24</v>
      </c>
      <c r="G120" s="37" t="s">
        <v>31</v>
      </c>
      <c r="H120" s="54" t="s">
        <v>208</v>
      </c>
    </row>
    <row r="121" spans="1:8" ht="30" hidden="1" customHeight="1">
      <c r="A121" s="38">
        <v>45979</v>
      </c>
      <c r="B121" s="8" t="s">
        <v>12</v>
      </c>
      <c r="C121" s="53" t="s">
        <v>205</v>
      </c>
      <c r="D121" s="2"/>
      <c r="E121" s="49">
        <v>15</v>
      </c>
      <c r="F121" s="28" t="s">
        <v>24</v>
      </c>
      <c r="G121" s="37" t="s">
        <v>43</v>
      </c>
      <c r="H121" s="53" t="s">
        <v>206</v>
      </c>
    </row>
    <row r="122" spans="1:8" ht="30" hidden="1" customHeight="1">
      <c r="A122" s="38">
        <v>45978</v>
      </c>
      <c r="B122" s="8" t="s">
        <v>12</v>
      </c>
      <c r="C122" s="51" t="s">
        <v>203</v>
      </c>
      <c r="D122" s="2" t="s">
        <v>169</v>
      </c>
      <c r="E122" s="49">
        <v>250</v>
      </c>
      <c r="F122" s="28" t="s">
        <v>24</v>
      </c>
      <c r="G122" s="37" t="s">
        <v>23</v>
      </c>
      <c r="H122" s="51" t="s">
        <v>204</v>
      </c>
    </row>
    <row r="123" spans="1:8" ht="30" hidden="1" customHeight="1">
      <c r="A123" s="38">
        <v>45978</v>
      </c>
      <c r="B123" s="8" t="s">
        <v>12</v>
      </c>
      <c r="C123" s="50" t="s">
        <v>195</v>
      </c>
      <c r="D123" s="2"/>
      <c r="E123" s="49">
        <v>1</v>
      </c>
      <c r="F123" s="28" t="s">
        <v>10</v>
      </c>
      <c r="G123" s="37" t="s">
        <v>21</v>
      </c>
      <c r="H123" s="50" t="s">
        <v>202</v>
      </c>
    </row>
    <row r="124" spans="1:8" ht="30" hidden="1" customHeight="1">
      <c r="A124" s="27">
        <v>45954</v>
      </c>
      <c r="B124" s="8" t="s">
        <v>12</v>
      </c>
      <c r="C124" s="36" t="s">
        <v>200</v>
      </c>
      <c r="D124" s="2"/>
      <c r="E124" s="2">
        <v>240</v>
      </c>
      <c r="F124" s="28"/>
      <c r="G124" s="21"/>
      <c r="H124" s="35"/>
    </row>
    <row r="125" spans="1:8" ht="30" hidden="1" customHeight="1">
      <c r="A125" s="27">
        <v>45954</v>
      </c>
      <c r="B125" s="8" t="s">
        <v>12</v>
      </c>
      <c r="C125" s="36" t="s">
        <v>199</v>
      </c>
      <c r="D125" s="2"/>
      <c r="E125" s="2">
        <v>250</v>
      </c>
      <c r="F125" s="28" t="s">
        <v>24</v>
      </c>
      <c r="G125" s="21" t="s">
        <v>46</v>
      </c>
      <c r="H125" s="36" t="s">
        <v>162</v>
      </c>
    </row>
    <row r="126" spans="1:8" ht="30" hidden="1" customHeight="1">
      <c r="A126" s="27">
        <v>45954</v>
      </c>
      <c r="B126" s="8"/>
      <c r="C126" s="36" t="s">
        <v>198</v>
      </c>
      <c r="D126" s="2"/>
      <c r="E126" s="2">
        <v>40</v>
      </c>
      <c r="F126" s="28" t="s">
        <v>24</v>
      </c>
      <c r="G126" s="21"/>
      <c r="H126" s="35"/>
    </row>
    <row r="127" spans="1:8" ht="30" hidden="1" customHeight="1">
      <c r="A127" s="27">
        <v>45939</v>
      </c>
      <c r="B127" s="8" t="s">
        <v>12</v>
      </c>
      <c r="C127" s="35" t="s">
        <v>196</v>
      </c>
      <c r="D127" s="2" t="s">
        <v>169</v>
      </c>
      <c r="E127" s="2">
        <v>4</v>
      </c>
      <c r="F127" s="28" t="s">
        <v>10</v>
      </c>
      <c r="G127" s="21" t="s">
        <v>31</v>
      </c>
      <c r="H127" s="35" t="s">
        <v>197</v>
      </c>
    </row>
    <row r="128" spans="1:8" ht="30" hidden="1" customHeight="1">
      <c r="A128" s="27">
        <v>45939</v>
      </c>
      <c r="B128" s="8" t="s">
        <v>12</v>
      </c>
      <c r="C128" s="35" t="s">
        <v>195</v>
      </c>
      <c r="D128" s="2" t="s">
        <v>169</v>
      </c>
      <c r="E128" s="2">
        <v>1</v>
      </c>
      <c r="F128" s="28" t="s">
        <v>10</v>
      </c>
      <c r="G128" s="21" t="s">
        <v>46</v>
      </c>
      <c r="H128" s="35"/>
    </row>
    <row r="129" spans="1:8" ht="30" hidden="1" customHeight="1">
      <c r="A129" s="27">
        <v>45939</v>
      </c>
      <c r="B129" s="8" t="s">
        <v>12</v>
      </c>
      <c r="C129" s="35" t="s">
        <v>193</v>
      </c>
      <c r="D129" s="2" t="s">
        <v>169</v>
      </c>
      <c r="E129" s="2">
        <v>8</v>
      </c>
      <c r="F129" s="28" t="s">
        <v>10</v>
      </c>
      <c r="G129" s="21" t="s">
        <v>43</v>
      </c>
      <c r="H129" s="35" t="s">
        <v>194</v>
      </c>
    </row>
    <row r="130" spans="1:8" ht="30" hidden="1" customHeight="1">
      <c r="A130" s="27">
        <v>45939</v>
      </c>
      <c r="B130" s="8" t="s">
        <v>12</v>
      </c>
      <c r="C130" s="35" t="s">
        <v>191</v>
      </c>
      <c r="D130" s="2" t="s">
        <v>169</v>
      </c>
      <c r="E130" s="2">
        <v>15</v>
      </c>
      <c r="F130" s="28" t="s">
        <v>10</v>
      </c>
      <c r="G130" s="21" t="s">
        <v>124</v>
      </c>
      <c r="H130" s="35" t="s">
        <v>192</v>
      </c>
    </row>
    <row r="131" spans="1:8" ht="30" hidden="1" customHeight="1">
      <c r="A131" s="27">
        <v>45939</v>
      </c>
      <c r="B131" s="8" t="s">
        <v>12</v>
      </c>
      <c r="C131" s="35" t="s">
        <v>190</v>
      </c>
      <c r="D131" s="2" t="s">
        <v>169</v>
      </c>
      <c r="E131" s="2">
        <v>5</v>
      </c>
      <c r="F131" s="28" t="s">
        <v>10</v>
      </c>
      <c r="G131" s="21" t="s">
        <v>137</v>
      </c>
      <c r="H131" s="35"/>
    </row>
    <row r="132" spans="1:8" ht="30" hidden="1" customHeight="1">
      <c r="A132" s="27">
        <v>45939</v>
      </c>
      <c r="B132" s="8" t="s">
        <v>12</v>
      </c>
      <c r="C132" s="35" t="s">
        <v>189</v>
      </c>
      <c r="D132" s="2" t="s">
        <v>169</v>
      </c>
      <c r="E132" s="2">
        <v>18</v>
      </c>
      <c r="F132" s="28" t="s">
        <v>24</v>
      </c>
      <c r="G132" s="21" t="s">
        <v>15</v>
      </c>
      <c r="H132" s="35"/>
    </row>
    <row r="133" spans="1:8" ht="30" hidden="1" customHeight="1">
      <c r="A133" s="27">
        <v>45939</v>
      </c>
      <c r="B133" s="8" t="s">
        <v>12</v>
      </c>
      <c r="C133" s="35" t="s">
        <v>188</v>
      </c>
      <c r="D133" s="2" t="s">
        <v>169</v>
      </c>
      <c r="E133" s="2">
        <v>2</v>
      </c>
      <c r="F133" s="28" t="s">
        <v>24</v>
      </c>
      <c r="G133" s="21" t="s">
        <v>15</v>
      </c>
      <c r="H133" s="35"/>
    </row>
    <row r="134" spans="1:8" ht="30" hidden="1" customHeight="1">
      <c r="A134" s="27">
        <v>45939</v>
      </c>
      <c r="B134" s="8" t="s">
        <v>12</v>
      </c>
      <c r="C134" s="35" t="s">
        <v>53</v>
      </c>
      <c r="D134" s="2" t="s">
        <v>169</v>
      </c>
      <c r="E134" s="2">
        <v>27</v>
      </c>
      <c r="F134" s="28" t="s">
        <v>24</v>
      </c>
      <c r="G134" s="21" t="s">
        <v>15</v>
      </c>
      <c r="H134" s="35" t="s">
        <v>187</v>
      </c>
    </row>
    <row r="135" spans="1:8" ht="30" hidden="1" customHeight="1">
      <c r="A135" s="27">
        <v>45938</v>
      </c>
      <c r="B135" s="8" t="s">
        <v>12</v>
      </c>
      <c r="C135" s="34" t="s">
        <v>186</v>
      </c>
      <c r="D135" s="2" t="s">
        <v>32</v>
      </c>
      <c r="E135" s="2">
        <v>7</v>
      </c>
      <c r="F135" s="28" t="s">
        <v>10</v>
      </c>
      <c r="G135" s="21" t="s">
        <v>44</v>
      </c>
      <c r="H135" s="34"/>
    </row>
    <row r="136" spans="1:8" ht="30" hidden="1" customHeight="1">
      <c r="A136" s="27">
        <v>45938</v>
      </c>
      <c r="B136" s="8" t="s">
        <v>12</v>
      </c>
      <c r="C136" s="34" t="s">
        <v>184</v>
      </c>
      <c r="D136" s="2" t="s">
        <v>30</v>
      </c>
      <c r="E136" s="2">
        <v>1</v>
      </c>
      <c r="F136" s="28" t="s">
        <v>10</v>
      </c>
      <c r="G136" s="21" t="s">
        <v>46</v>
      </c>
      <c r="H136" s="34" t="s">
        <v>185</v>
      </c>
    </row>
    <row r="137" spans="1:8" ht="30" hidden="1" customHeight="1">
      <c r="A137" s="27">
        <v>45938</v>
      </c>
      <c r="B137" s="8" t="s">
        <v>12</v>
      </c>
      <c r="C137" s="34" t="s">
        <v>155</v>
      </c>
      <c r="D137" s="2" t="s">
        <v>169</v>
      </c>
      <c r="E137" s="2">
        <v>30</v>
      </c>
      <c r="F137" s="28" t="s">
        <v>24</v>
      </c>
      <c r="G137" s="21" t="s">
        <v>46</v>
      </c>
      <c r="H137" s="34" t="s">
        <v>183</v>
      </c>
    </row>
    <row r="138" spans="1:8" ht="30" hidden="1" customHeight="1">
      <c r="A138" s="27">
        <v>45938</v>
      </c>
      <c r="B138" s="8" t="s">
        <v>12</v>
      </c>
      <c r="C138" s="34" t="s">
        <v>156</v>
      </c>
      <c r="D138" s="2" t="s">
        <v>169</v>
      </c>
      <c r="E138" s="2">
        <v>23</v>
      </c>
      <c r="F138" s="28" t="s">
        <v>24</v>
      </c>
      <c r="G138" s="21" t="s">
        <v>46</v>
      </c>
      <c r="H138" s="34" t="s">
        <v>182</v>
      </c>
    </row>
    <row r="139" spans="1:8" ht="30" hidden="1" customHeight="1">
      <c r="A139" s="27">
        <v>45936</v>
      </c>
      <c r="B139" s="8" t="s">
        <v>12</v>
      </c>
      <c r="C139" s="33" t="s">
        <v>181</v>
      </c>
      <c r="D139" s="2" t="s">
        <v>169</v>
      </c>
      <c r="E139" s="2">
        <v>3</v>
      </c>
      <c r="F139" s="28" t="s">
        <v>10</v>
      </c>
      <c r="G139" s="21" t="s">
        <v>46</v>
      </c>
      <c r="H139" s="32"/>
    </row>
    <row r="140" spans="1:8" ht="30" hidden="1" customHeight="1">
      <c r="A140" s="27">
        <v>45936</v>
      </c>
      <c r="B140" s="8" t="s">
        <v>12</v>
      </c>
      <c r="C140" s="33" t="s">
        <v>180</v>
      </c>
      <c r="D140" s="2" t="s">
        <v>169</v>
      </c>
      <c r="E140" s="2">
        <v>1</v>
      </c>
      <c r="F140" s="28" t="s">
        <v>10</v>
      </c>
      <c r="G140" s="21" t="s">
        <v>46</v>
      </c>
      <c r="H140" s="32"/>
    </row>
    <row r="141" spans="1:8" ht="30" hidden="1" customHeight="1">
      <c r="A141" s="27">
        <v>45936</v>
      </c>
      <c r="B141" s="8" t="s">
        <v>12</v>
      </c>
      <c r="C141" s="33" t="s">
        <v>179</v>
      </c>
      <c r="D141" s="2" t="s">
        <v>169</v>
      </c>
      <c r="E141" s="2">
        <v>1</v>
      </c>
      <c r="F141" s="28" t="s">
        <v>10</v>
      </c>
      <c r="G141" s="21" t="s">
        <v>46</v>
      </c>
      <c r="H141" s="32"/>
    </row>
    <row r="142" spans="1:8" ht="30" hidden="1" customHeight="1">
      <c r="A142" s="27">
        <v>45936</v>
      </c>
      <c r="B142" s="8" t="s">
        <v>12</v>
      </c>
      <c r="C142" s="33" t="s">
        <v>178</v>
      </c>
      <c r="D142" s="2" t="s">
        <v>169</v>
      </c>
      <c r="E142" s="2">
        <v>1</v>
      </c>
      <c r="F142" s="28" t="s">
        <v>10</v>
      </c>
      <c r="G142" s="21" t="s">
        <v>31</v>
      </c>
      <c r="H142" s="32"/>
    </row>
    <row r="143" spans="1:8" ht="30" hidden="1" customHeight="1">
      <c r="A143" s="27">
        <v>45926</v>
      </c>
      <c r="B143" s="8" t="s">
        <v>12</v>
      </c>
      <c r="C143" s="32" t="s">
        <v>177</v>
      </c>
      <c r="D143" s="2" t="s">
        <v>169</v>
      </c>
      <c r="E143" s="2">
        <v>16</v>
      </c>
      <c r="F143" s="28" t="s">
        <v>10</v>
      </c>
      <c r="G143" s="21" t="s">
        <v>11</v>
      </c>
      <c r="H143" s="29"/>
    </row>
    <row r="144" spans="1:8" ht="30" hidden="1" customHeight="1">
      <c r="A144" s="7">
        <v>45912</v>
      </c>
      <c r="B144" s="14" t="s">
        <v>12</v>
      </c>
      <c r="C144" s="26" t="s">
        <v>175</v>
      </c>
      <c r="D144" s="2" t="s">
        <v>169</v>
      </c>
      <c r="E144" s="2">
        <v>15</v>
      </c>
      <c r="F144" s="2" t="s">
        <v>10</v>
      </c>
      <c r="G144" s="21" t="s">
        <v>15</v>
      </c>
      <c r="H144" s="25"/>
    </row>
    <row r="145" spans="1:8" ht="30" hidden="1" customHeight="1">
      <c r="A145" s="7">
        <v>45912</v>
      </c>
      <c r="B145" s="14" t="s">
        <v>12</v>
      </c>
      <c r="C145" s="26" t="s">
        <v>174</v>
      </c>
      <c r="D145" s="2" t="s">
        <v>169</v>
      </c>
      <c r="E145" s="2">
        <v>15</v>
      </c>
      <c r="F145" s="2" t="s">
        <v>10</v>
      </c>
      <c r="G145" s="21" t="s">
        <v>11</v>
      </c>
      <c r="H145" s="25"/>
    </row>
    <row r="146" spans="1:8" ht="30" hidden="1" customHeight="1">
      <c r="A146" s="7">
        <v>45911</v>
      </c>
      <c r="B146" s="14" t="s">
        <v>12</v>
      </c>
      <c r="C146" s="24" t="s">
        <v>172</v>
      </c>
      <c r="D146" s="2" t="s">
        <v>41</v>
      </c>
      <c r="E146" s="2">
        <v>1</v>
      </c>
      <c r="F146" s="2" t="s">
        <v>10</v>
      </c>
      <c r="G146" s="21"/>
      <c r="H146" s="25" t="s">
        <v>173</v>
      </c>
    </row>
    <row r="147" spans="1:8" ht="30" hidden="1" customHeight="1">
      <c r="A147" s="7">
        <v>45911</v>
      </c>
      <c r="B147" s="14" t="s">
        <v>12</v>
      </c>
      <c r="C147" s="24" t="s">
        <v>171</v>
      </c>
      <c r="D147" s="2" t="s">
        <v>41</v>
      </c>
      <c r="E147" s="2">
        <v>1</v>
      </c>
      <c r="F147" s="2" t="s">
        <v>10</v>
      </c>
      <c r="G147" s="21" t="s">
        <v>15</v>
      </c>
      <c r="H147" s="25"/>
    </row>
    <row r="148" spans="1:8" ht="30" hidden="1" customHeight="1">
      <c r="A148" s="7">
        <v>45911</v>
      </c>
      <c r="B148" s="14" t="s">
        <v>12</v>
      </c>
      <c r="C148" s="24" t="s">
        <v>52</v>
      </c>
      <c r="D148" s="2" t="s">
        <v>41</v>
      </c>
      <c r="E148" s="2">
        <v>1</v>
      </c>
      <c r="F148" s="2" t="s">
        <v>10</v>
      </c>
      <c r="G148" s="21"/>
      <c r="H148" s="25" t="s">
        <v>170</v>
      </c>
    </row>
    <row r="149" spans="1:8" ht="30" hidden="1" customHeight="1">
      <c r="A149" s="7">
        <v>45911</v>
      </c>
      <c r="B149" s="14" t="s">
        <v>12</v>
      </c>
      <c r="C149" s="22" t="s">
        <v>167</v>
      </c>
      <c r="D149" s="2" t="s">
        <v>41</v>
      </c>
      <c r="E149" s="2">
        <v>3</v>
      </c>
      <c r="F149" s="2" t="s">
        <v>24</v>
      </c>
      <c r="G149" s="21" t="s">
        <v>11</v>
      </c>
      <c r="H149" s="23" t="s">
        <v>168</v>
      </c>
    </row>
    <row r="150" spans="1:8" ht="30" hidden="1" customHeight="1">
      <c r="A150" s="7">
        <v>45911</v>
      </c>
      <c r="B150" s="14" t="s">
        <v>12</v>
      </c>
      <c r="C150" s="22" t="s">
        <v>165</v>
      </c>
      <c r="D150" s="2" t="s">
        <v>41</v>
      </c>
      <c r="E150" s="2">
        <v>4</v>
      </c>
      <c r="F150" s="2" t="s">
        <v>24</v>
      </c>
      <c r="G150" s="21" t="s">
        <v>15</v>
      </c>
      <c r="H150" s="23" t="s">
        <v>166</v>
      </c>
    </row>
    <row r="151" spans="1:8" ht="30" hidden="1" customHeight="1">
      <c r="A151" s="7">
        <v>45911</v>
      </c>
      <c r="B151" s="14" t="s">
        <v>12</v>
      </c>
      <c r="C151" s="22" t="s">
        <v>163</v>
      </c>
      <c r="D151" s="2" t="s">
        <v>41</v>
      </c>
      <c r="E151" s="2">
        <v>10</v>
      </c>
      <c r="F151" s="2" t="s">
        <v>24</v>
      </c>
      <c r="G151" s="21" t="s">
        <v>47</v>
      </c>
      <c r="H151" s="23" t="s">
        <v>164</v>
      </c>
    </row>
    <row r="152" spans="1:8" ht="30" hidden="1" customHeight="1">
      <c r="A152" s="7">
        <v>45911</v>
      </c>
      <c r="B152" s="14" t="s">
        <v>12</v>
      </c>
      <c r="C152" s="22" t="s">
        <v>161</v>
      </c>
      <c r="D152" s="2" t="s">
        <v>41</v>
      </c>
      <c r="E152" s="2">
        <v>3</v>
      </c>
      <c r="F152" s="2" t="s">
        <v>10</v>
      </c>
      <c r="G152" s="21" t="s">
        <v>46</v>
      </c>
      <c r="H152" s="23" t="s">
        <v>162</v>
      </c>
    </row>
    <row r="153" spans="1:8" ht="30" hidden="1" customHeight="1">
      <c r="A153" s="7">
        <v>45910</v>
      </c>
      <c r="B153" s="14" t="s">
        <v>12</v>
      </c>
      <c r="C153" s="21" t="s">
        <v>160</v>
      </c>
      <c r="D153" s="2" t="s">
        <v>14</v>
      </c>
      <c r="E153" s="2">
        <v>6</v>
      </c>
      <c r="F153" s="2" t="s">
        <v>24</v>
      </c>
      <c r="G153" s="21" t="s">
        <v>49</v>
      </c>
      <c r="H153" s="20"/>
    </row>
    <row r="154" spans="1:8" ht="30" hidden="1" customHeight="1">
      <c r="A154" s="7">
        <v>45909</v>
      </c>
      <c r="B154" s="14" t="s">
        <v>12</v>
      </c>
      <c r="C154" s="19" t="s">
        <v>158</v>
      </c>
      <c r="D154" s="2"/>
      <c r="E154" s="2">
        <v>10</v>
      </c>
      <c r="F154" s="2" t="s">
        <v>10</v>
      </c>
      <c r="G154" s="2" t="s">
        <v>31</v>
      </c>
      <c r="H154" s="20" t="s">
        <v>159</v>
      </c>
    </row>
    <row r="155" spans="1:8" ht="30" hidden="1" customHeight="1">
      <c r="A155" s="7">
        <v>45909</v>
      </c>
      <c r="B155" s="14" t="s">
        <v>12</v>
      </c>
      <c r="C155" s="19" t="s">
        <v>52</v>
      </c>
      <c r="D155" s="2"/>
      <c r="E155" s="2">
        <v>200</v>
      </c>
      <c r="F155" s="2" t="s">
        <v>24</v>
      </c>
      <c r="G155" s="2" t="s">
        <v>15</v>
      </c>
      <c r="H155" s="20" t="s">
        <v>157</v>
      </c>
    </row>
    <row r="156" spans="1:8" ht="30" hidden="1" customHeight="1">
      <c r="A156" s="7">
        <v>45905</v>
      </c>
      <c r="B156" s="14" t="s">
        <v>12</v>
      </c>
      <c r="C156" s="17" t="s">
        <v>104</v>
      </c>
      <c r="D156" s="2" t="s">
        <v>18</v>
      </c>
      <c r="E156" s="2">
        <v>5</v>
      </c>
      <c r="F156" s="2" t="s">
        <v>10</v>
      </c>
      <c r="G156" s="2" t="s">
        <v>25</v>
      </c>
      <c r="H156" s="18"/>
    </row>
    <row r="157" spans="1:8" ht="30" hidden="1" customHeight="1">
      <c r="A157" s="7">
        <v>45905</v>
      </c>
      <c r="B157" s="14" t="s">
        <v>12</v>
      </c>
      <c r="C157" s="17" t="s">
        <v>156</v>
      </c>
      <c r="D157" s="2" t="s">
        <v>28</v>
      </c>
      <c r="E157" s="2">
        <v>1</v>
      </c>
      <c r="F157" s="2" t="s">
        <v>10</v>
      </c>
      <c r="G157" s="2" t="s">
        <v>15</v>
      </c>
      <c r="H157" s="18"/>
    </row>
    <row r="158" spans="1:8" ht="30" hidden="1" customHeight="1">
      <c r="A158" s="7">
        <v>45901</v>
      </c>
      <c r="B158" s="14" t="s">
        <v>12</v>
      </c>
      <c r="C158" s="15" t="s">
        <v>153</v>
      </c>
      <c r="D158" s="2"/>
      <c r="E158" s="2">
        <v>1</v>
      </c>
      <c r="F158" s="2" t="s">
        <v>10</v>
      </c>
      <c r="G158" s="2" t="s">
        <v>46</v>
      </c>
      <c r="H158" s="16" t="s">
        <v>154</v>
      </c>
    </row>
    <row r="159" spans="1:8" ht="30" hidden="1" customHeight="1">
      <c r="A159" s="7">
        <v>45897</v>
      </c>
      <c r="B159" s="8" t="s">
        <v>12</v>
      </c>
      <c r="C159" s="12" t="s">
        <v>17</v>
      </c>
      <c r="D159" s="2"/>
      <c r="E159" s="2">
        <v>32</v>
      </c>
      <c r="F159" s="2" t="s">
        <v>24</v>
      </c>
      <c r="G159" s="2" t="s">
        <v>15</v>
      </c>
      <c r="H159" s="13" t="s">
        <v>152</v>
      </c>
    </row>
    <row r="160" spans="1:8" ht="30" hidden="1" customHeight="1">
      <c r="A160" s="7">
        <v>45896</v>
      </c>
      <c r="B160" s="8" t="s">
        <v>12</v>
      </c>
      <c r="C160" s="2" t="s">
        <v>13</v>
      </c>
      <c r="D160" s="2" t="s">
        <v>14</v>
      </c>
      <c r="E160" s="2">
        <v>2</v>
      </c>
      <c r="F160" s="2" t="s">
        <v>10</v>
      </c>
      <c r="G160" s="2" t="s">
        <v>15</v>
      </c>
      <c r="H160" s="9" t="s">
        <v>16</v>
      </c>
    </row>
    <row r="161" spans="1:8" ht="30" hidden="1" customHeight="1">
      <c r="A161" s="7">
        <v>45896</v>
      </c>
      <c r="B161" s="8" t="s">
        <v>12</v>
      </c>
      <c r="C161" s="2" t="s">
        <v>17</v>
      </c>
      <c r="D161" s="2" t="s">
        <v>18</v>
      </c>
      <c r="E161" s="2">
        <v>32</v>
      </c>
      <c r="F161" s="2" t="s">
        <v>10</v>
      </c>
      <c r="G161" s="2" t="s">
        <v>15</v>
      </c>
      <c r="H161" s="9" t="s">
        <v>19</v>
      </c>
    </row>
    <row r="162" spans="1:8" ht="30" hidden="1" customHeight="1">
      <c r="A162" s="7">
        <v>45895</v>
      </c>
      <c r="B162" s="8" t="s">
        <v>12</v>
      </c>
      <c r="C162" s="2" t="s">
        <v>20</v>
      </c>
      <c r="D162" s="2"/>
      <c r="E162" s="2">
        <v>3</v>
      </c>
      <c r="F162" s="2" t="s">
        <v>10</v>
      </c>
      <c r="G162" s="2" t="s">
        <v>21</v>
      </c>
      <c r="H162" s="9"/>
    </row>
    <row r="163" spans="1:8" ht="30" hidden="1" customHeight="1">
      <c r="A163" s="7">
        <v>45895</v>
      </c>
      <c r="B163" s="8" t="s">
        <v>12</v>
      </c>
      <c r="C163" s="2" t="s">
        <v>22</v>
      </c>
      <c r="D163" s="2"/>
      <c r="E163" s="2">
        <v>6</v>
      </c>
      <c r="F163" s="2" t="s">
        <v>10</v>
      </c>
      <c r="G163" s="2" t="s">
        <v>23</v>
      </c>
      <c r="H163" s="9"/>
    </row>
    <row r="164" spans="1:8" ht="30" hidden="1" customHeight="1">
      <c r="A164" s="7">
        <v>45890</v>
      </c>
      <c r="B164" s="8" t="s">
        <v>12</v>
      </c>
      <c r="C164" s="2" t="s">
        <v>26</v>
      </c>
      <c r="D164" s="2" t="s">
        <v>27</v>
      </c>
      <c r="E164" s="2">
        <v>3</v>
      </c>
      <c r="F164" s="2" t="s">
        <v>24</v>
      </c>
      <c r="G164" s="2" t="s">
        <v>15</v>
      </c>
      <c r="H164" s="9"/>
    </row>
    <row r="165" spans="1:8" ht="30" hidden="1" customHeight="1">
      <c r="A165" s="7">
        <v>45881</v>
      </c>
      <c r="B165" s="8"/>
      <c r="C165" s="2" t="s">
        <v>33</v>
      </c>
      <c r="D165" s="2" t="s">
        <v>30</v>
      </c>
      <c r="E165" s="2">
        <v>1</v>
      </c>
      <c r="F165" s="2" t="s">
        <v>10</v>
      </c>
      <c r="G165" s="2" t="s">
        <v>34</v>
      </c>
      <c r="H165" s="9" t="s">
        <v>35</v>
      </c>
    </row>
    <row r="166" spans="1:8" ht="30" hidden="1" customHeight="1">
      <c r="A166" s="7">
        <v>45880</v>
      </c>
      <c r="B166" s="8" t="s">
        <v>12</v>
      </c>
      <c r="C166" s="2" t="s">
        <v>37</v>
      </c>
      <c r="D166" s="2" t="s">
        <v>27</v>
      </c>
      <c r="E166" s="2">
        <v>2</v>
      </c>
      <c r="F166" s="2" t="s">
        <v>10</v>
      </c>
      <c r="G166" s="2" t="s">
        <v>15</v>
      </c>
      <c r="H166" s="9"/>
    </row>
    <row r="167" spans="1:8" ht="30" hidden="1" customHeight="1">
      <c r="A167" s="7">
        <v>45880</v>
      </c>
      <c r="B167" s="8"/>
      <c r="C167" s="2" t="s">
        <v>38</v>
      </c>
      <c r="D167" s="2" t="s">
        <v>39</v>
      </c>
      <c r="E167" s="2">
        <v>60</v>
      </c>
      <c r="F167" s="2" t="s">
        <v>10</v>
      </c>
      <c r="G167" s="2" t="s">
        <v>29</v>
      </c>
      <c r="H167" s="9" t="s">
        <v>40</v>
      </c>
    </row>
    <row r="168" spans="1:8" ht="30" hidden="1" customHeight="1">
      <c r="A168" s="7">
        <v>45859</v>
      </c>
      <c r="B168" s="10" t="s">
        <v>12</v>
      </c>
      <c r="C168" s="2" t="s">
        <v>45</v>
      </c>
      <c r="D168" s="2" t="s">
        <v>41</v>
      </c>
      <c r="E168" s="2">
        <v>75</v>
      </c>
      <c r="F168" s="2" t="s">
        <v>10</v>
      </c>
      <c r="G168" s="2" t="s">
        <v>46</v>
      </c>
      <c r="H168" s="9"/>
    </row>
    <row r="169" spans="1:8" ht="30" hidden="1" customHeight="1">
      <c r="A169" s="7">
        <v>45859</v>
      </c>
      <c r="B169" s="10" t="s">
        <v>12</v>
      </c>
      <c r="C169" s="2" t="s">
        <v>48</v>
      </c>
      <c r="D169" s="2" t="s">
        <v>27</v>
      </c>
      <c r="E169" s="2">
        <v>2</v>
      </c>
      <c r="F169" s="2" t="s">
        <v>10</v>
      </c>
      <c r="G169" s="2" t="s">
        <v>15</v>
      </c>
      <c r="H169" s="9" t="s">
        <v>49</v>
      </c>
    </row>
    <row r="170" spans="1:8" ht="30" hidden="1" customHeight="1">
      <c r="A170" s="7">
        <v>45840</v>
      </c>
      <c r="B170" s="10" t="s">
        <v>12</v>
      </c>
      <c r="C170" s="2" t="s">
        <v>54</v>
      </c>
      <c r="D170" s="2" t="s">
        <v>50</v>
      </c>
      <c r="E170" s="2">
        <v>1</v>
      </c>
      <c r="F170" s="2" t="s">
        <v>10</v>
      </c>
      <c r="G170" s="2" t="s">
        <v>15</v>
      </c>
      <c r="H170" s="9" t="s">
        <v>55</v>
      </c>
    </row>
    <row r="171" spans="1:8" ht="30" hidden="1" customHeight="1">
      <c r="A171" s="7">
        <v>45840</v>
      </c>
      <c r="B171" s="10" t="s">
        <v>12</v>
      </c>
      <c r="C171" s="2" t="s">
        <v>56</v>
      </c>
      <c r="D171" s="2" t="s">
        <v>50</v>
      </c>
      <c r="E171" s="2">
        <v>2</v>
      </c>
      <c r="F171" s="2" t="s">
        <v>24</v>
      </c>
      <c r="G171" s="2" t="s">
        <v>47</v>
      </c>
      <c r="H171" s="9" t="s">
        <v>57</v>
      </c>
    </row>
    <row r="172" spans="1:8" ht="30" hidden="1" customHeight="1">
      <c r="A172" s="7">
        <v>45839</v>
      </c>
      <c r="B172" s="10" t="s">
        <v>12</v>
      </c>
      <c r="C172" s="2" t="s">
        <v>58</v>
      </c>
      <c r="D172" s="2" t="s">
        <v>41</v>
      </c>
      <c r="E172" s="2">
        <v>2</v>
      </c>
      <c r="F172" s="2" t="s">
        <v>10</v>
      </c>
      <c r="G172" s="2" t="s">
        <v>31</v>
      </c>
      <c r="H172" s="9"/>
    </row>
    <row r="173" spans="1:8" ht="30" hidden="1" customHeight="1">
      <c r="A173" s="7">
        <v>45839</v>
      </c>
      <c r="B173" s="10" t="s">
        <v>12</v>
      </c>
      <c r="C173" s="2" t="s">
        <v>59</v>
      </c>
      <c r="D173" s="2" t="s">
        <v>41</v>
      </c>
      <c r="E173" s="2">
        <v>1</v>
      </c>
      <c r="F173" s="2" t="s">
        <v>10</v>
      </c>
      <c r="G173" s="2" t="s">
        <v>47</v>
      </c>
      <c r="H173" s="9"/>
    </row>
    <row r="174" spans="1:8" ht="30" hidden="1" customHeight="1">
      <c r="A174" s="7">
        <v>45838</v>
      </c>
      <c r="B174" s="10" t="s">
        <v>12</v>
      </c>
      <c r="C174" s="2" t="s">
        <v>60</v>
      </c>
      <c r="D174" s="2" t="s">
        <v>50</v>
      </c>
      <c r="E174" s="2">
        <v>2</v>
      </c>
      <c r="F174" s="2" t="s">
        <v>24</v>
      </c>
      <c r="G174" s="2" t="s">
        <v>47</v>
      </c>
      <c r="H174" s="9" t="s">
        <v>61</v>
      </c>
    </row>
    <row r="175" spans="1:8" ht="30" hidden="1" customHeight="1">
      <c r="A175" s="7">
        <v>45838</v>
      </c>
      <c r="B175" s="10" t="s">
        <v>12</v>
      </c>
      <c r="C175" s="2" t="s">
        <v>62</v>
      </c>
      <c r="D175" s="2" t="s">
        <v>50</v>
      </c>
      <c r="E175" s="2">
        <v>1</v>
      </c>
      <c r="F175" s="2" t="s">
        <v>24</v>
      </c>
      <c r="G175" s="2" t="s">
        <v>63</v>
      </c>
      <c r="H175" s="9" t="s">
        <v>64</v>
      </c>
    </row>
    <row r="176" spans="1:8" ht="30" hidden="1" customHeight="1">
      <c r="A176" s="7">
        <v>45831</v>
      </c>
      <c r="B176" s="10" t="s">
        <v>12</v>
      </c>
      <c r="C176" s="2" t="s">
        <v>65</v>
      </c>
      <c r="D176" s="2" t="s">
        <v>41</v>
      </c>
      <c r="E176" s="2">
        <v>1</v>
      </c>
      <c r="F176" s="2" t="s">
        <v>10</v>
      </c>
      <c r="G176" s="2" t="s">
        <v>21</v>
      </c>
      <c r="H176" s="9"/>
    </row>
    <row r="177" spans="1:11" ht="30" hidden="1" customHeight="1">
      <c r="A177" s="7">
        <v>45831</v>
      </c>
      <c r="B177" s="88" t="s">
        <v>12</v>
      </c>
      <c r="C177" s="2" t="s">
        <v>66</v>
      </c>
      <c r="D177" s="2" t="s">
        <v>41</v>
      </c>
      <c r="E177" s="2">
        <v>1</v>
      </c>
      <c r="F177" s="2" t="s">
        <v>10</v>
      </c>
      <c r="G177" s="2" t="s">
        <v>63</v>
      </c>
      <c r="H177" s="9"/>
    </row>
    <row r="178" spans="1:11" ht="30" hidden="1" customHeight="1">
      <c r="A178" s="7">
        <v>45827</v>
      </c>
      <c r="B178" s="88" t="s">
        <v>12</v>
      </c>
      <c r="C178" s="2" t="s">
        <v>67</v>
      </c>
      <c r="D178" s="2" t="s">
        <v>41</v>
      </c>
      <c r="E178" s="2">
        <v>1</v>
      </c>
      <c r="F178" s="2" t="s">
        <v>10</v>
      </c>
      <c r="G178" s="2" t="s">
        <v>21</v>
      </c>
      <c r="H178" s="9"/>
    </row>
    <row r="179" spans="1:11" ht="30" hidden="1" customHeight="1">
      <c r="A179" s="7">
        <v>45827</v>
      </c>
      <c r="B179" s="88" t="s">
        <v>12</v>
      </c>
      <c r="C179" s="2" t="s">
        <v>68</v>
      </c>
      <c r="D179" s="2" t="s">
        <v>41</v>
      </c>
      <c r="E179" s="2">
        <v>1</v>
      </c>
      <c r="F179" s="2" t="s">
        <v>10</v>
      </c>
      <c r="G179" s="2" t="s">
        <v>46</v>
      </c>
      <c r="H179" s="9" t="s">
        <v>69</v>
      </c>
    </row>
    <row r="180" spans="1:11" ht="30" hidden="1" customHeight="1">
      <c r="A180" s="7">
        <v>45827</v>
      </c>
      <c r="B180" s="88" t="s">
        <v>12</v>
      </c>
      <c r="C180" s="2" t="s">
        <v>70</v>
      </c>
      <c r="D180" s="2" t="s">
        <v>41</v>
      </c>
      <c r="E180" s="2">
        <v>3</v>
      </c>
      <c r="F180" s="2" t="s">
        <v>10</v>
      </c>
      <c r="G180" s="2" t="s">
        <v>21</v>
      </c>
      <c r="H180" s="9"/>
    </row>
    <row r="181" spans="1:11" ht="30" hidden="1" customHeight="1">
      <c r="A181" s="7">
        <v>45827</v>
      </c>
      <c r="B181" s="88" t="s">
        <v>12</v>
      </c>
      <c r="C181" s="2" t="s">
        <v>71</v>
      </c>
      <c r="D181" s="2" t="s">
        <v>41</v>
      </c>
      <c r="E181" s="2">
        <v>1</v>
      </c>
      <c r="F181" s="2" t="s">
        <v>10</v>
      </c>
      <c r="G181" s="2" t="s">
        <v>15</v>
      </c>
      <c r="H181" s="9"/>
    </row>
    <row r="182" spans="1:11" ht="30" hidden="1" customHeight="1">
      <c r="A182" s="7">
        <v>45826</v>
      </c>
      <c r="B182" s="88" t="s">
        <v>12</v>
      </c>
      <c r="C182" s="2" t="s">
        <v>72</v>
      </c>
      <c r="D182" s="2" t="s">
        <v>41</v>
      </c>
      <c r="E182" s="2">
        <v>2</v>
      </c>
      <c r="F182" s="2" t="s">
        <v>10</v>
      </c>
      <c r="G182" s="2" t="s">
        <v>63</v>
      </c>
      <c r="H182" s="9"/>
    </row>
    <row r="183" spans="1:11" ht="30" hidden="1" customHeight="1">
      <c r="A183" s="7">
        <v>45826</v>
      </c>
      <c r="B183" s="88" t="s">
        <v>12</v>
      </c>
      <c r="C183" s="2" t="s">
        <v>73</v>
      </c>
      <c r="D183" s="2" t="s">
        <v>41</v>
      </c>
      <c r="E183" s="2">
        <v>1</v>
      </c>
      <c r="F183" s="2" t="s">
        <v>10</v>
      </c>
      <c r="G183" s="2" t="s">
        <v>21</v>
      </c>
      <c r="H183" s="9"/>
    </row>
    <row r="184" spans="1:11" ht="30" hidden="1" customHeight="1">
      <c r="A184" s="7">
        <v>45825</v>
      </c>
      <c r="B184" s="88" t="s">
        <v>12</v>
      </c>
      <c r="C184" s="2" t="s">
        <v>74</v>
      </c>
      <c r="D184" s="2" t="s">
        <v>41</v>
      </c>
      <c r="E184" s="2">
        <v>2</v>
      </c>
      <c r="F184" s="2" t="s">
        <v>10</v>
      </c>
      <c r="G184" s="2" t="s">
        <v>47</v>
      </c>
      <c r="H184" s="9"/>
    </row>
    <row r="185" spans="1:11" ht="30" hidden="1" customHeight="1">
      <c r="A185" s="7">
        <v>45825</v>
      </c>
      <c r="B185" s="88" t="s">
        <v>12</v>
      </c>
      <c r="C185" s="2" t="s">
        <v>75</v>
      </c>
      <c r="D185" s="2" t="s">
        <v>41</v>
      </c>
      <c r="E185" s="2">
        <v>1</v>
      </c>
      <c r="F185" s="2" t="s">
        <v>10</v>
      </c>
      <c r="G185" s="2" t="s">
        <v>46</v>
      </c>
      <c r="H185" s="9"/>
    </row>
    <row r="186" spans="1:11" ht="30" hidden="1" customHeight="1">
      <c r="A186" s="7">
        <v>45797</v>
      </c>
      <c r="B186" s="88" t="s">
        <v>12</v>
      </c>
      <c r="C186" s="2" t="s">
        <v>76</v>
      </c>
      <c r="D186" s="2" t="s">
        <v>41</v>
      </c>
      <c r="E186" s="2">
        <v>1</v>
      </c>
      <c r="F186" s="2" t="s">
        <v>10</v>
      </c>
      <c r="G186" s="2" t="s">
        <v>21</v>
      </c>
      <c r="H186" s="2"/>
    </row>
    <row r="187" spans="1:11" ht="30" hidden="1" customHeight="1">
      <c r="A187" s="7">
        <v>45797</v>
      </c>
      <c r="B187" s="88" t="s">
        <v>12</v>
      </c>
      <c r="C187" s="2" t="s">
        <v>77</v>
      </c>
      <c r="D187" s="2" t="s">
        <v>41</v>
      </c>
      <c r="E187" s="2">
        <v>1</v>
      </c>
      <c r="F187" s="2" t="s">
        <v>10</v>
      </c>
      <c r="G187" s="2" t="s">
        <v>47</v>
      </c>
      <c r="H187" s="2" t="s">
        <v>78</v>
      </c>
    </row>
    <row r="188" spans="1:11" ht="30" hidden="1" customHeight="1">
      <c r="A188" s="7">
        <v>45789</v>
      </c>
      <c r="B188" s="88" t="s">
        <v>12</v>
      </c>
      <c r="C188" s="2" t="s">
        <v>79</v>
      </c>
      <c r="D188" s="2" t="s">
        <v>41</v>
      </c>
      <c r="E188" s="2">
        <v>30</v>
      </c>
      <c r="F188" s="2" t="s">
        <v>10</v>
      </c>
      <c r="G188" s="2" t="s">
        <v>21</v>
      </c>
      <c r="H188" s="2" t="s">
        <v>80</v>
      </c>
      <c r="K188" t="s">
        <v>51</v>
      </c>
    </row>
    <row r="189" spans="1:11" ht="30" hidden="1" customHeight="1">
      <c r="A189" s="7">
        <v>45782</v>
      </c>
      <c r="B189" s="88" t="s">
        <v>12</v>
      </c>
      <c r="C189" s="2" t="s">
        <v>81</v>
      </c>
      <c r="D189" s="2" t="s">
        <v>41</v>
      </c>
      <c r="E189" s="2">
        <v>20</v>
      </c>
      <c r="F189" s="2" t="s">
        <v>24</v>
      </c>
      <c r="G189" s="2" t="s">
        <v>46</v>
      </c>
      <c r="H189" s="2" t="s">
        <v>82</v>
      </c>
    </row>
    <row r="190" spans="1:11" ht="30" hidden="1" customHeight="1">
      <c r="A190" s="7">
        <v>45782</v>
      </c>
      <c r="B190" s="88" t="s">
        <v>12</v>
      </c>
      <c r="C190" s="2" t="s">
        <v>83</v>
      </c>
      <c r="D190" s="2" t="s">
        <v>41</v>
      </c>
      <c r="E190" s="2">
        <v>10</v>
      </c>
      <c r="F190" s="2" t="s">
        <v>24</v>
      </c>
      <c r="G190" s="2" t="s">
        <v>46</v>
      </c>
      <c r="H190" s="2" t="s">
        <v>84</v>
      </c>
    </row>
    <row r="191" spans="1:11" ht="30" hidden="1" customHeight="1">
      <c r="A191" s="7">
        <v>45775</v>
      </c>
      <c r="B191" s="88" t="s">
        <v>12</v>
      </c>
      <c r="C191" s="2" t="s">
        <v>85</v>
      </c>
      <c r="D191" s="2" t="s">
        <v>41</v>
      </c>
      <c r="E191" s="2">
        <v>1</v>
      </c>
      <c r="F191" s="2" t="s">
        <v>10</v>
      </c>
      <c r="G191" s="2" t="s">
        <v>21</v>
      </c>
      <c r="H191" s="2" t="s">
        <v>86</v>
      </c>
    </row>
    <row r="192" spans="1:11" ht="30" hidden="1" customHeight="1">
      <c r="A192" s="7">
        <v>45762</v>
      </c>
      <c r="B192" s="88" t="s">
        <v>12</v>
      </c>
      <c r="C192" s="2" t="s">
        <v>87</v>
      </c>
      <c r="D192" s="2" t="s">
        <v>41</v>
      </c>
      <c r="E192" s="2">
        <v>2</v>
      </c>
      <c r="F192" s="2" t="s">
        <v>10</v>
      </c>
      <c r="G192" s="2" t="s">
        <v>21</v>
      </c>
      <c r="H192" s="2" t="s">
        <v>88</v>
      </c>
    </row>
    <row r="193" spans="1:8" ht="30" hidden="1" customHeight="1">
      <c r="A193" s="7">
        <v>45762</v>
      </c>
      <c r="B193" s="88" t="s">
        <v>12</v>
      </c>
      <c r="C193" s="2" t="s">
        <v>89</v>
      </c>
      <c r="D193" s="2" t="s">
        <v>41</v>
      </c>
      <c r="E193" s="2">
        <v>26</v>
      </c>
      <c r="F193" s="2" t="s">
        <v>10</v>
      </c>
      <c r="G193" s="2" t="s">
        <v>63</v>
      </c>
      <c r="H193" s="2" t="s">
        <v>90</v>
      </c>
    </row>
    <row r="194" spans="1:8" ht="30" hidden="1" customHeight="1">
      <c r="A194" s="7">
        <v>45761</v>
      </c>
      <c r="B194" s="88" t="s">
        <v>12</v>
      </c>
      <c r="C194" s="2" t="s">
        <v>91</v>
      </c>
      <c r="D194" s="2" t="s">
        <v>41</v>
      </c>
      <c r="E194" s="2">
        <v>202</v>
      </c>
      <c r="F194" s="2" t="s">
        <v>24</v>
      </c>
      <c r="G194" s="2" t="s">
        <v>31</v>
      </c>
      <c r="H194" s="2" t="s">
        <v>92</v>
      </c>
    </row>
    <row r="195" spans="1:8" ht="30" hidden="1" customHeight="1">
      <c r="A195" s="7">
        <v>45755</v>
      </c>
      <c r="B195" s="88" t="s">
        <v>12</v>
      </c>
      <c r="C195" s="2" t="s">
        <v>93</v>
      </c>
      <c r="D195" s="2" t="s">
        <v>41</v>
      </c>
      <c r="E195" s="2">
        <v>6</v>
      </c>
      <c r="F195" s="2" t="s">
        <v>10</v>
      </c>
      <c r="G195" s="2" t="s">
        <v>31</v>
      </c>
      <c r="H195" s="2" t="s">
        <v>94</v>
      </c>
    </row>
    <row r="196" spans="1:8" ht="30" hidden="1" customHeight="1">
      <c r="A196" s="7">
        <v>45754</v>
      </c>
      <c r="B196" s="88" t="s">
        <v>12</v>
      </c>
      <c r="C196" s="2" t="s">
        <v>95</v>
      </c>
      <c r="D196" s="2" t="s">
        <v>41</v>
      </c>
      <c r="E196" s="2">
        <v>1</v>
      </c>
      <c r="F196" s="2" t="s">
        <v>10</v>
      </c>
      <c r="G196" s="2" t="s">
        <v>21</v>
      </c>
      <c r="H196" s="2" t="s">
        <v>96</v>
      </c>
    </row>
    <row r="197" spans="1:8" ht="30" hidden="1" customHeight="1">
      <c r="A197" s="7">
        <v>45741</v>
      </c>
      <c r="B197" s="88" t="s">
        <v>12</v>
      </c>
      <c r="C197" s="2" t="s">
        <v>97</v>
      </c>
      <c r="D197" s="2" t="s">
        <v>41</v>
      </c>
      <c r="E197" s="2">
        <v>2</v>
      </c>
      <c r="F197" s="2" t="s">
        <v>10</v>
      </c>
      <c r="G197" s="2" t="s">
        <v>21</v>
      </c>
      <c r="H197" s="2" t="s">
        <v>98</v>
      </c>
    </row>
    <row r="198" spans="1:8" ht="30" hidden="1" customHeight="1">
      <c r="A198" s="7">
        <v>45740</v>
      </c>
      <c r="B198" s="88" t="s">
        <v>12</v>
      </c>
      <c r="C198" s="2" t="s">
        <v>99</v>
      </c>
      <c r="D198" s="2" t="s">
        <v>41</v>
      </c>
      <c r="E198" s="2">
        <v>12</v>
      </c>
      <c r="F198" s="2" t="s">
        <v>10</v>
      </c>
      <c r="G198" s="2" t="s">
        <v>21</v>
      </c>
      <c r="H198" s="2" t="s">
        <v>100</v>
      </c>
    </row>
    <row r="199" spans="1:8" ht="30" hidden="1" customHeight="1">
      <c r="A199" s="7">
        <v>45737</v>
      </c>
      <c r="B199" s="88" t="s">
        <v>12</v>
      </c>
      <c r="C199" s="2" t="s">
        <v>101</v>
      </c>
      <c r="D199" s="2" t="s">
        <v>41</v>
      </c>
      <c r="E199" s="11">
        <v>4</v>
      </c>
      <c r="F199" s="2" t="s">
        <v>10</v>
      </c>
      <c r="G199" s="2" t="s">
        <v>15</v>
      </c>
      <c r="H199" s="2"/>
    </row>
    <row r="200" spans="1:8" ht="30" hidden="1" customHeight="1">
      <c r="A200" s="7">
        <v>45737</v>
      </c>
      <c r="B200" s="2" t="s">
        <v>12</v>
      </c>
      <c r="C200" s="2" t="s">
        <v>36</v>
      </c>
      <c r="D200" s="2" t="s">
        <v>41</v>
      </c>
      <c r="E200" s="11">
        <v>1</v>
      </c>
      <c r="F200" s="2" t="s">
        <v>10</v>
      </c>
      <c r="G200" s="2" t="s">
        <v>102</v>
      </c>
      <c r="H200" s="2"/>
    </row>
    <row r="201" spans="1:8" ht="30" hidden="1" customHeight="1">
      <c r="A201" s="7">
        <v>45737</v>
      </c>
      <c r="B201" s="2" t="s">
        <v>12</v>
      </c>
      <c r="C201" s="2" t="s">
        <v>103</v>
      </c>
      <c r="D201" s="2" t="s">
        <v>41</v>
      </c>
      <c r="E201" s="11">
        <v>1</v>
      </c>
      <c r="F201" s="2" t="s">
        <v>10</v>
      </c>
      <c r="G201" s="2" t="s">
        <v>102</v>
      </c>
      <c r="H201" s="2"/>
    </row>
    <row r="202" spans="1:8" ht="30" hidden="1" customHeight="1">
      <c r="A202" s="7">
        <v>45733</v>
      </c>
      <c r="B202" s="2" t="s">
        <v>12</v>
      </c>
      <c r="C202" s="2" t="s">
        <v>105</v>
      </c>
      <c r="D202" s="2" t="s">
        <v>41</v>
      </c>
      <c r="E202" s="11">
        <v>2</v>
      </c>
      <c r="F202" s="2" t="s">
        <v>10</v>
      </c>
      <c r="G202" s="2" t="s">
        <v>46</v>
      </c>
      <c r="H202" s="2" t="s">
        <v>106</v>
      </c>
    </row>
    <row r="203" spans="1:8" ht="30" hidden="1" customHeight="1">
      <c r="A203" s="7">
        <v>45733</v>
      </c>
      <c r="B203" s="2" t="s">
        <v>12</v>
      </c>
      <c r="C203" s="2" t="s">
        <v>107</v>
      </c>
      <c r="D203" s="2" t="s">
        <v>41</v>
      </c>
      <c r="E203" s="11">
        <v>2</v>
      </c>
      <c r="F203" s="2" t="s">
        <v>10</v>
      </c>
      <c r="G203" s="2" t="s">
        <v>21</v>
      </c>
      <c r="H203" s="2" t="s">
        <v>108</v>
      </c>
    </row>
    <row r="204" spans="1:8" ht="30" hidden="1" customHeight="1">
      <c r="A204" s="7">
        <v>45733</v>
      </c>
      <c r="B204" s="2" t="s">
        <v>12</v>
      </c>
      <c r="C204" s="2" t="s">
        <v>109</v>
      </c>
      <c r="D204" s="2" t="s">
        <v>41</v>
      </c>
      <c r="E204" s="11">
        <v>3</v>
      </c>
      <c r="F204" s="2" t="s">
        <v>10</v>
      </c>
      <c r="G204" s="2" t="s">
        <v>21</v>
      </c>
      <c r="H204" s="2" t="s">
        <v>110</v>
      </c>
    </row>
    <row r="205" spans="1:8" ht="30" hidden="1" customHeight="1">
      <c r="A205" s="7">
        <v>45728</v>
      </c>
      <c r="B205" s="2" t="s">
        <v>12</v>
      </c>
      <c r="C205" s="2" t="s">
        <v>111</v>
      </c>
      <c r="D205" s="2" t="s">
        <v>41</v>
      </c>
      <c r="E205" s="11">
        <v>1</v>
      </c>
      <c r="F205" s="2" t="s">
        <v>10</v>
      </c>
      <c r="G205" s="2" t="s">
        <v>21</v>
      </c>
      <c r="H205" s="2" t="s">
        <v>112</v>
      </c>
    </row>
    <row r="206" spans="1:8" ht="30" hidden="1" customHeight="1">
      <c r="A206" s="7">
        <v>45726</v>
      </c>
      <c r="B206" s="2" t="s">
        <v>12</v>
      </c>
      <c r="C206" s="2" t="s">
        <v>113</v>
      </c>
      <c r="D206" s="2" t="s">
        <v>41</v>
      </c>
      <c r="E206" s="11">
        <v>10</v>
      </c>
      <c r="F206" s="2" t="s">
        <v>24</v>
      </c>
      <c r="G206" s="2" t="s">
        <v>46</v>
      </c>
      <c r="H206" s="2" t="s">
        <v>114</v>
      </c>
    </row>
    <row r="207" spans="1:8" ht="30" hidden="1" customHeight="1">
      <c r="A207" s="7">
        <v>45726</v>
      </c>
      <c r="B207" s="2" t="s">
        <v>12</v>
      </c>
      <c r="C207" s="2" t="s">
        <v>115</v>
      </c>
      <c r="D207" s="2" t="s">
        <v>41</v>
      </c>
      <c r="E207" s="11">
        <v>2</v>
      </c>
      <c r="F207" s="2" t="s">
        <v>10</v>
      </c>
      <c r="G207" s="2" t="s">
        <v>46</v>
      </c>
      <c r="H207" s="2" t="s">
        <v>116</v>
      </c>
    </row>
    <row r="208" spans="1:8" ht="30" hidden="1" customHeight="1">
      <c r="A208" s="7">
        <v>45722</v>
      </c>
      <c r="B208" s="2" t="s">
        <v>12</v>
      </c>
      <c r="C208" s="2" t="s">
        <v>117</v>
      </c>
      <c r="D208" s="2" t="s">
        <v>41</v>
      </c>
      <c r="E208" s="11">
        <v>1</v>
      </c>
      <c r="F208" s="2" t="s">
        <v>10</v>
      </c>
      <c r="G208" s="2" t="s">
        <v>15</v>
      </c>
      <c r="H208" s="2"/>
    </row>
    <row r="209" spans="1:8" ht="30" hidden="1" customHeight="1">
      <c r="A209" s="7">
        <v>45716</v>
      </c>
      <c r="B209" s="2" t="s">
        <v>118</v>
      </c>
      <c r="C209" s="2" t="s">
        <v>119</v>
      </c>
      <c r="D209" s="2" t="s">
        <v>41</v>
      </c>
      <c r="E209" s="11">
        <v>1</v>
      </c>
      <c r="F209" s="2" t="s">
        <v>10</v>
      </c>
      <c r="G209" s="2" t="s">
        <v>102</v>
      </c>
      <c r="H209" s="2" t="s">
        <v>120</v>
      </c>
    </row>
    <row r="210" spans="1:8" ht="30" hidden="1" customHeight="1">
      <c r="A210" s="7">
        <v>45708</v>
      </c>
      <c r="B210" s="2" t="s">
        <v>12</v>
      </c>
      <c r="C210" s="2" t="s">
        <v>121</v>
      </c>
      <c r="D210" s="2" t="s">
        <v>41</v>
      </c>
      <c r="E210" s="11">
        <v>10</v>
      </c>
      <c r="F210" s="2" t="s">
        <v>10</v>
      </c>
      <c r="G210" s="2" t="s">
        <v>31</v>
      </c>
      <c r="H210" s="2"/>
    </row>
    <row r="211" spans="1:8" ht="30" hidden="1" customHeight="1">
      <c r="A211" s="7">
        <v>45708</v>
      </c>
      <c r="B211" s="2" t="s">
        <v>12</v>
      </c>
      <c r="C211" s="2" t="s">
        <v>122</v>
      </c>
      <c r="D211" s="2" t="s">
        <v>41</v>
      </c>
      <c r="E211" s="11">
        <v>27</v>
      </c>
      <c r="F211" s="2" t="s">
        <v>10</v>
      </c>
      <c r="G211" s="2" t="s">
        <v>46</v>
      </c>
      <c r="H211" s="2"/>
    </row>
    <row r="212" spans="1:8" ht="30" hidden="1" customHeight="1">
      <c r="A212" s="7">
        <v>45708</v>
      </c>
      <c r="B212" s="2" t="s">
        <v>12</v>
      </c>
      <c r="C212" s="2" t="s">
        <v>122</v>
      </c>
      <c r="D212" s="2" t="s">
        <v>41</v>
      </c>
      <c r="E212" s="11">
        <v>13</v>
      </c>
      <c r="F212" s="2" t="s">
        <v>10</v>
      </c>
      <c r="G212" s="2" t="s">
        <v>46</v>
      </c>
      <c r="H212" s="2"/>
    </row>
    <row r="213" spans="1:8" ht="30" hidden="1" customHeight="1">
      <c r="A213" s="7">
        <v>45705</v>
      </c>
      <c r="B213" s="2" t="s">
        <v>12</v>
      </c>
      <c r="C213" s="2" t="s">
        <v>123</v>
      </c>
      <c r="D213" s="2" t="s">
        <v>41</v>
      </c>
      <c r="E213" s="11">
        <v>15</v>
      </c>
      <c r="F213" s="2" t="s">
        <v>10</v>
      </c>
      <c r="G213" s="2" t="s">
        <v>124</v>
      </c>
      <c r="H213" s="2"/>
    </row>
    <row r="214" spans="1:8" ht="30" hidden="1" customHeight="1">
      <c r="A214" s="7">
        <v>45695</v>
      </c>
      <c r="B214" s="2" t="s">
        <v>125</v>
      </c>
      <c r="C214" s="2" t="s">
        <v>126</v>
      </c>
      <c r="D214" s="2" t="s">
        <v>41</v>
      </c>
      <c r="E214" s="11">
        <v>33</v>
      </c>
      <c r="F214" s="2" t="s">
        <v>10</v>
      </c>
      <c r="G214" s="2" t="s">
        <v>102</v>
      </c>
      <c r="H214" s="2"/>
    </row>
    <row r="215" spans="1:8" ht="60" hidden="1" customHeight="1">
      <c r="A215" s="87">
        <v>19</v>
      </c>
      <c r="B215" s="91" t="s">
        <v>12</v>
      </c>
      <c r="C215" s="72" t="s">
        <v>288</v>
      </c>
      <c r="D215" s="2" t="s">
        <v>169</v>
      </c>
      <c r="E215" s="59">
        <v>9</v>
      </c>
      <c r="F215" s="28" t="s">
        <v>10</v>
      </c>
      <c r="G215" s="37" t="s">
        <v>15</v>
      </c>
      <c r="H215" s="71"/>
    </row>
    <row r="216" spans="1:8" ht="30" hidden="1" customHeight="1">
      <c r="A216" s="93"/>
      <c r="B216" s="90"/>
      <c r="C216" s="94"/>
      <c r="D216" s="39"/>
      <c r="E216" s="39"/>
      <c r="F216" s="39"/>
      <c r="G216" s="39"/>
      <c r="H216" s="41"/>
    </row>
    <row r="217" spans="1:8" ht="30" hidden="1" customHeight="1">
      <c r="A217" s="40"/>
      <c r="B217" s="90"/>
      <c r="C217" s="39"/>
      <c r="D217" s="39"/>
      <c r="E217" s="39"/>
      <c r="F217" s="39"/>
      <c r="G217" s="39"/>
      <c r="H217" s="41"/>
    </row>
    <row r="218" spans="1:8" ht="30" hidden="1" customHeight="1">
      <c r="A218" s="40"/>
      <c r="B218" s="90"/>
      <c r="C218" s="39"/>
      <c r="D218" s="39"/>
      <c r="E218" s="39"/>
      <c r="F218" s="39"/>
      <c r="G218" s="39"/>
      <c r="H218" s="41"/>
    </row>
    <row r="219" spans="1:8" ht="30" hidden="1" customHeight="1">
      <c r="A219" s="40"/>
      <c r="B219" s="90"/>
      <c r="C219" s="39"/>
      <c r="D219" s="39"/>
      <c r="E219" s="39"/>
      <c r="F219" s="39"/>
      <c r="G219" s="39"/>
      <c r="H219" s="41"/>
    </row>
    <row r="220" spans="1:8" ht="30" hidden="1" customHeight="1">
      <c r="A220" s="40"/>
      <c r="B220" s="90"/>
      <c r="C220" s="39"/>
      <c r="D220" s="39"/>
      <c r="E220" s="39"/>
      <c r="F220" s="39"/>
      <c r="G220" s="39"/>
      <c r="H220" s="41"/>
    </row>
    <row r="221" spans="1:8" ht="30" hidden="1" customHeight="1">
      <c r="A221" s="40"/>
      <c r="B221" s="90"/>
      <c r="C221" s="39"/>
      <c r="D221" s="39"/>
      <c r="E221" s="39"/>
      <c r="F221" s="39"/>
      <c r="G221" s="39"/>
      <c r="H221" s="41"/>
    </row>
    <row r="222" spans="1:8" ht="30" hidden="1" customHeight="1">
      <c r="A222" s="40"/>
      <c r="B222" s="89"/>
      <c r="C222" s="39"/>
      <c r="D222" s="39"/>
      <c r="E222" s="39"/>
      <c r="F222" s="39"/>
      <c r="G222" s="39"/>
      <c r="H222" s="41"/>
    </row>
    <row r="223" spans="1:8" ht="30" hidden="1" customHeight="1">
      <c r="A223" s="40"/>
      <c r="B223" s="89"/>
      <c r="C223" s="39"/>
      <c r="D223" s="39"/>
      <c r="E223" s="39"/>
      <c r="F223" s="39"/>
      <c r="G223" s="39"/>
      <c r="H223" s="41"/>
    </row>
    <row r="224" spans="1:8" ht="30" hidden="1" customHeight="1">
      <c r="A224" s="40"/>
      <c r="B224" s="89"/>
      <c r="C224" s="39"/>
      <c r="D224" s="39"/>
      <c r="E224" s="39"/>
      <c r="F224" s="39"/>
      <c r="G224" s="39"/>
      <c r="H224" s="41"/>
    </row>
    <row r="225" spans="1:8" ht="30" hidden="1" customHeight="1">
      <c r="A225" s="40"/>
      <c r="B225" s="89"/>
      <c r="C225" s="39"/>
      <c r="D225" s="39"/>
      <c r="E225" s="39"/>
      <c r="F225" s="39"/>
      <c r="G225" s="39"/>
      <c r="H225" s="41"/>
    </row>
    <row r="226" spans="1:8" ht="30" hidden="1" customHeight="1">
      <c r="A226" s="40"/>
      <c r="B226" s="89"/>
      <c r="C226" s="39"/>
      <c r="D226" s="39"/>
      <c r="E226" s="39"/>
      <c r="F226" s="39"/>
      <c r="G226" s="39"/>
      <c r="H226" s="41"/>
    </row>
    <row r="227" spans="1:8" ht="30" hidden="1" customHeight="1">
      <c r="A227" s="40"/>
      <c r="B227" s="89"/>
      <c r="C227" s="39"/>
      <c r="D227" s="39"/>
      <c r="E227" s="39"/>
      <c r="F227" s="39"/>
      <c r="G227" s="39"/>
      <c r="H227" s="41"/>
    </row>
    <row r="228" spans="1:8" ht="30" hidden="1" customHeight="1">
      <c r="A228" s="40"/>
      <c r="B228" s="89"/>
      <c r="C228" s="39"/>
      <c r="D228" s="39"/>
      <c r="E228" s="39"/>
      <c r="F228" s="39"/>
      <c r="G228" s="39"/>
      <c r="H228" s="41"/>
    </row>
    <row r="229" spans="1:8" ht="30" hidden="1" customHeight="1">
      <c r="A229" s="40"/>
      <c r="B229" s="89"/>
      <c r="C229" s="39"/>
      <c r="D229" s="39"/>
      <c r="E229" s="39"/>
      <c r="F229" s="39"/>
      <c r="G229" s="39"/>
      <c r="H229" s="41"/>
    </row>
    <row r="230" spans="1:8" ht="30" hidden="1" customHeight="1">
      <c r="A230" s="40"/>
      <c r="B230" s="89"/>
      <c r="C230" s="39"/>
      <c r="D230" s="39"/>
      <c r="E230" s="39"/>
      <c r="F230" s="39"/>
      <c r="G230" s="39"/>
      <c r="H230" s="41"/>
    </row>
    <row r="231" spans="1:8" ht="30" hidden="1" customHeight="1">
      <c r="A231" s="40"/>
      <c r="B231" s="89"/>
      <c r="C231" s="39"/>
      <c r="D231" s="39"/>
      <c r="E231" s="39"/>
      <c r="F231" s="39"/>
      <c r="G231" s="39"/>
      <c r="H231" s="41"/>
    </row>
    <row r="232" spans="1:8" ht="30" hidden="1" customHeight="1">
      <c r="A232" s="40"/>
      <c r="B232" s="89"/>
      <c r="C232" s="39"/>
      <c r="D232" s="39"/>
      <c r="E232" s="39"/>
      <c r="F232" s="39"/>
      <c r="G232" s="39"/>
      <c r="H232" s="41"/>
    </row>
    <row r="233" spans="1:8" ht="30" hidden="1" customHeight="1">
      <c r="A233" s="40"/>
      <c r="B233" s="89"/>
      <c r="C233" s="39"/>
      <c r="D233" s="39"/>
      <c r="E233" s="39"/>
      <c r="F233" s="39"/>
      <c r="G233" s="39"/>
      <c r="H233" s="41"/>
    </row>
    <row r="234" spans="1:8" ht="30" hidden="1" customHeight="1">
      <c r="A234" s="40"/>
      <c r="B234" s="89"/>
      <c r="C234" s="39"/>
      <c r="D234" s="39"/>
      <c r="E234" s="39"/>
      <c r="F234" s="39"/>
      <c r="G234" s="39"/>
      <c r="H234" s="41"/>
    </row>
    <row r="235" spans="1:8" ht="30" hidden="1" customHeight="1">
      <c r="A235" s="40"/>
      <c r="B235" s="89"/>
      <c r="C235" s="39"/>
      <c r="D235" s="39"/>
      <c r="E235" s="39"/>
      <c r="F235" s="39"/>
      <c r="G235" s="39"/>
      <c r="H235" s="41"/>
    </row>
    <row r="236" spans="1:8" ht="30" hidden="1" customHeight="1">
      <c r="A236" s="40"/>
      <c r="B236" s="89"/>
      <c r="C236" s="39"/>
      <c r="D236" s="39"/>
      <c r="E236" s="39"/>
      <c r="F236" s="39"/>
      <c r="G236" s="39"/>
      <c r="H236" s="41"/>
    </row>
    <row r="237" spans="1:8" ht="30" hidden="1" customHeight="1">
      <c r="A237" s="40"/>
      <c r="B237" s="89"/>
      <c r="C237" s="39"/>
      <c r="D237" s="39"/>
      <c r="E237" s="39"/>
      <c r="F237" s="39"/>
      <c r="G237" s="39"/>
      <c r="H237" s="41"/>
    </row>
    <row r="238" spans="1:8" ht="30" hidden="1" customHeight="1">
      <c r="A238" s="40"/>
      <c r="B238" s="39"/>
      <c r="C238" s="39"/>
      <c r="D238" s="39"/>
      <c r="E238" s="39"/>
      <c r="F238" s="39"/>
      <c r="G238" s="39"/>
      <c r="H238" s="41"/>
    </row>
    <row r="239" spans="1:8" ht="30" hidden="1" customHeight="1">
      <c r="A239" s="40"/>
      <c r="B239" s="39"/>
      <c r="C239" s="39"/>
      <c r="D239" s="39"/>
      <c r="E239" s="39"/>
      <c r="F239" s="39"/>
      <c r="G239" s="39"/>
      <c r="H239" s="41"/>
    </row>
    <row r="240" spans="1:8" ht="30" hidden="1" customHeight="1">
      <c r="A240" s="40"/>
      <c r="B240" s="39"/>
      <c r="C240" s="39"/>
      <c r="D240" s="39"/>
      <c r="E240" s="39"/>
      <c r="F240" s="39"/>
      <c r="G240" s="39"/>
      <c r="H240" s="41"/>
    </row>
    <row r="241" spans="1:8" ht="30" hidden="1" customHeight="1">
      <c r="A241" s="40"/>
      <c r="B241" s="39"/>
      <c r="C241" s="39"/>
      <c r="D241" s="39"/>
      <c r="E241" s="39"/>
      <c r="F241" s="39"/>
      <c r="G241" s="39"/>
      <c r="H241" s="41"/>
    </row>
    <row r="242" spans="1:8" ht="30" hidden="1" customHeight="1">
      <c r="A242" s="40"/>
      <c r="B242" s="39"/>
      <c r="C242" s="39"/>
      <c r="D242" s="39"/>
      <c r="E242" s="39"/>
      <c r="F242" s="39"/>
      <c r="G242" s="39"/>
      <c r="H242" s="39"/>
    </row>
    <row r="243" spans="1:8" ht="30" hidden="1" customHeight="1">
      <c r="A243" s="40"/>
      <c r="B243" s="39"/>
      <c r="C243" s="39"/>
      <c r="D243" s="39"/>
      <c r="E243" s="39"/>
      <c r="F243" s="39"/>
      <c r="G243" s="39"/>
      <c r="H243" s="39"/>
    </row>
    <row r="244" spans="1:8" ht="30" hidden="1" customHeight="1">
      <c r="A244" s="40"/>
      <c r="B244" s="39"/>
      <c r="C244" s="39"/>
      <c r="D244" s="39"/>
      <c r="E244" s="39"/>
      <c r="F244" s="39"/>
      <c r="G244" s="39"/>
      <c r="H244" s="39"/>
    </row>
    <row r="245" spans="1:8" ht="30" hidden="1" customHeight="1">
      <c r="A245" s="40"/>
      <c r="B245" s="39"/>
      <c r="C245" s="39"/>
      <c r="D245" s="39"/>
      <c r="E245" s="39"/>
      <c r="F245" s="39"/>
      <c r="G245" s="39"/>
      <c r="H245" s="39"/>
    </row>
    <row r="246" spans="1:8" ht="30" hidden="1" customHeight="1">
      <c r="A246" s="40"/>
      <c r="B246" s="39"/>
      <c r="C246" s="39"/>
      <c r="D246" s="39"/>
      <c r="E246" s="39"/>
      <c r="F246" s="39"/>
      <c r="G246" s="39"/>
      <c r="H246" s="41"/>
    </row>
    <row r="247" spans="1:8" ht="30" hidden="1" customHeight="1">
      <c r="A247" s="40"/>
      <c r="B247" s="39"/>
      <c r="C247" s="39"/>
      <c r="D247" s="39"/>
      <c r="E247" s="39"/>
      <c r="F247" s="39"/>
      <c r="G247" s="39"/>
      <c r="H247" s="41"/>
    </row>
    <row r="248" spans="1:8" ht="30" hidden="1" customHeight="1">
      <c r="A248" s="40"/>
      <c r="B248" s="39"/>
      <c r="C248" s="39"/>
      <c r="D248" s="39"/>
      <c r="E248" s="39"/>
      <c r="F248" s="39"/>
      <c r="G248" s="39"/>
      <c r="H248" s="39"/>
    </row>
    <row r="249" spans="1:8" ht="30" hidden="1" customHeight="1">
      <c r="A249" s="40"/>
      <c r="B249" s="39"/>
      <c r="C249" s="39"/>
      <c r="D249" s="39"/>
      <c r="E249" s="39"/>
      <c r="F249" s="39"/>
      <c r="G249" s="39"/>
      <c r="H249" s="39"/>
    </row>
    <row r="250" spans="1:8" ht="30" hidden="1" customHeight="1">
      <c r="A250" s="40"/>
      <c r="B250" s="39"/>
      <c r="C250" s="39"/>
      <c r="D250" s="39"/>
      <c r="E250" s="39"/>
      <c r="F250" s="39"/>
      <c r="G250" s="39"/>
      <c r="H250" s="39"/>
    </row>
    <row r="251" spans="1:8" ht="30" hidden="1" customHeight="1">
      <c r="A251" s="40"/>
      <c r="B251" s="39"/>
      <c r="C251" s="39"/>
      <c r="D251" s="39"/>
      <c r="E251" s="39"/>
      <c r="F251" s="39"/>
      <c r="G251" s="39"/>
      <c r="H251" s="39"/>
    </row>
    <row r="252" spans="1:8" ht="30" hidden="1" customHeight="1">
      <c r="A252" s="40"/>
      <c r="B252" s="39"/>
      <c r="C252" s="39"/>
      <c r="D252" s="39"/>
      <c r="E252" s="39"/>
      <c r="F252" s="39"/>
      <c r="G252" s="39"/>
      <c r="H252" s="41"/>
    </row>
    <row r="253" spans="1:8" ht="30" hidden="1" customHeight="1">
      <c r="A253" s="40"/>
      <c r="B253" s="39"/>
      <c r="C253" s="39"/>
      <c r="D253" s="39"/>
      <c r="E253" s="39"/>
      <c r="F253" s="39"/>
      <c r="G253" s="39"/>
      <c r="H253" s="39"/>
    </row>
    <row r="254" spans="1:8" ht="30" hidden="1" customHeight="1">
      <c r="A254" s="40"/>
      <c r="B254" s="39"/>
      <c r="C254" s="39"/>
      <c r="D254" s="39"/>
      <c r="E254" s="39"/>
      <c r="F254" s="39"/>
      <c r="G254" s="39"/>
      <c r="H254" s="39"/>
    </row>
    <row r="255" spans="1:8" ht="30" hidden="1" customHeight="1">
      <c r="A255" s="40"/>
      <c r="B255" s="39"/>
      <c r="C255" s="39"/>
      <c r="D255" s="39"/>
      <c r="E255" s="39"/>
      <c r="F255" s="39"/>
      <c r="G255" s="39"/>
      <c r="H255" s="39"/>
    </row>
    <row r="256" spans="1:8" ht="30" hidden="1" customHeight="1">
      <c r="A256" s="40"/>
      <c r="B256" s="39"/>
      <c r="C256" s="39"/>
      <c r="D256" s="39"/>
      <c r="E256" s="39"/>
      <c r="F256" s="39"/>
      <c r="G256" s="39"/>
      <c r="H256" s="39"/>
    </row>
    <row r="257" spans="1:8" ht="30" hidden="1" customHeight="1">
      <c r="A257" s="40"/>
      <c r="B257" s="39"/>
      <c r="C257" s="39"/>
      <c r="D257" s="39"/>
      <c r="E257" s="39"/>
      <c r="F257" s="39"/>
      <c r="G257" s="39"/>
      <c r="H257" s="39"/>
    </row>
    <row r="258" spans="1:8" ht="30" hidden="1" customHeight="1">
      <c r="A258" s="40"/>
      <c r="B258" s="39"/>
      <c r="C258" s="39"/>
      <c r="D258" s="39"/>
      <c r="E258" s="42"/>
      <c r="F258" s="39"/>
      <c r="G258" s="39"/>
      <c r="H258" s="39"/>
    </row>
    <row r="259" spans="1:8" ht="30" hidden="1" customHeight="1">
      <c r="A259" s="40"/>
      <c r="B259" s="39"/>
      <c r="C259" s="39"/>
      <c r="D259" s="39"/>
      <c r="E259" s="42"/>
      <c r="F259" s="39"/>
      <c r="G259" s="39"/>
      <c r="H259" s="39"/>
    </row>
    <row r="260" spans="1:8" ht="30" hidden="1" customHeight="1">
      <c r="A260" s="40"/>
      <c r="B260" s="39"/>
      <c r="C260" s="39"/>
      <c r="D260" s="39"/>
      <c r="E260" s="42"/>
      <c r="F260" s="39"/>
      <c r="G260" s="39"/>
      <c r="H260" s="39"/>
    </row>
    <row r="261" spans="1:8" ht="30" hidden="1" customHeight="1">
      <c r="A261" s="40"/>
      <c r="B261" s="39"/>
      <c r="C261" s="39"/>
      <c r="D261" s="39"/>
      <c r="E261" s="42"/>
      <c r="F261" s="39"/>
      <c r="G261" s="39"/>
      <c r="H261" s="39"/>
    </row>
    <row r="262" spans="1:8" ht="30" hidden="1" customHeight="1">
      <c r="A262" s="40"/>
      <c r="B262" s="39"/>
      <c r="C262" s="39"/>
      <c r="D262" s="39"/>
      <c r="E262" s="42"/>
      <c r="F262" s="39"/>
      <c r="G262" s="39"/>
      <c r="H262" s="39"/>
    </row>
    <row r="263" spans="1:8" ht="30" hidden="1" customHeight="1">
      <c r="A263" s="40"/>
      <c r="B263" s="39"/>
      <c r="C263" s="39"/>
      <c r="D263" s="39"/>
      <c r="E263" s="42"/>
      <c r="F263" s="39"/>
      <c r="G263" s="39"/>
      <c r="H263" s="39"/>
    </row>
    <row r="264" spans="1:8" ht="30" hidden="1" customHeight="1">
      <c r="A264" s="40"/>
      <c r="B264" s="39"/>
      <c r="C264" s="39"/>
      <c r="D264" s="39"/>
      <c r="E264" s="42"/>
      <c r="F264" s="39"/>
      <c r="G264" s="39"/>
      <c r="H264" s="39"/>
    </row>
    <row r="265" spans="1:8" ht="30" hidden="1" customHeight="1">
      <c r="A265" s="40"/>
      <c r="B265" s="39"/>
      <c r="C265" s="39"/>
      <c r="D265" s="39"/>
      <c r="E265" s="42"/>
      <c r="F265" s="39"/>
      <c r="G265" s="39"/>
      <c r="H265" s="39"/>
    </row>
    <row r="266" spans="1:8" ht="30" hidden="1" customHeight="1">
      <c r="A266" s="40"/>
      <c r="B266" s="39"/>
      <c r="C266" s="39"/>
      <c r="D266" s="39"/>
      <c r="E266" s="42"/>
      <c r="F266" s="39"/>
      <c r="G266" s="39"/>
      <c r="H266" s="39"/>
    </row>
    <row r="267" spans="1:8" ht="30" hidden="1" customHeight="1">
      <c r="A267" s="40"/>
      <c r="B267" s="39"/>
      <c r="C267" s="39"/>
      <c r="D267" s="39"/>
      <c r="E267" s="42"/>
      <c r="F267" s="39"/>
      <c r="G267" s="39"/>
      <c r="H267" s="39"/>
    </row>
    <row r="268" spans="1:8" ht="30" hidden="1" customHeight="1">
      <c r="A268" s="40"/>
      <c r="B268" s="39"/>
      <c r="C268" s="39"/>
      <c r="D268" s="39"/>
      <c r="E268" s="42"/>
      <c r="F268" s="39"/>
      <c r="G268" s="39"/>
      <c r="H268" s="39"/>
    </row>
    <row r="269" spans="1:8" ht="30" hidden="1" customHeight="1">
      <c r="A269" s="40"/>
      <c r="B269" s="39"/>
      <c r="C269" s="39"/>
      <c r="D269" s="39"/>
      <c r="E269" s="42"/>
      <c r="F269" s="39"/>
      <c r="G269" s="39"/>
      <c r="H269" s="39"/>
    </row>
    <row r="270" spans="1:8" ht="30" hidden="1" customHeight="1">
      <c r="A270" s="40"/>
      <c r="B270" s="39"/>
      <c r="C270" s="39"/>
      <c r="D270" s="39"/>
      <c r="E270" s="42"/>
      <c r="F270" s="39"/>
      <c r="G270" s="39"/>
      <c r="H270" s="39"/>
    </row>
    <row r="271" spans="1:8" ht="30" hidden="1" customHeight="1">
      <c r="A271" s="40"/>
      <c r="B271" s="39"/>
      <c r="C271" s="39"/>
      <c r="D271" s="39"/>
      <c r="E271" s="42"/>
      <c r="F271" s="39"/>
      <c r="G271" s="39"/>
      <c r="H271" s="39"/>
    </row>
    <row r="272" spans="1:8" ht="30" hidden="1" customHeight="1">
      <c r="A272" s="40"/>
      <c r="B272" s="39"/>
      <c r="C272" s="39"/>
      <c r="D272" s="39"/>
      <c r="E272" s="42"/>
      <c r="F272" s="39"/>
      <c r="G272" s="39"/>
      <c r="H272" s="39"/>
    </row>
    <row r="273" spans="1:8" ht="30" hidden="1" customHeight="1">
      <c r="A273" s="40"/>
      <c r="B273" s="39"/>
      <c r="C273" s="39"/>
      <c r="D273" s="39"/>
      <c r="E273" s="42"/>
      <c r="F273" s="39"/>
      <c r="G273" s="39"/>
      <c r="H273" s="39"/>
    </row>
    <row r="274" spans="1:8" ht="30" hidden="1" customHeight="1">
      <c r="A274" s="40"/>
      <c r="B274" s="39"/>
      <c r="C274" s="39"/>
      <c r="D274" s="39"/>
      <c r="E274" s="42"/>
      <c r="F274" s="39"/>
      <c r="G274" s="39"/>
      <c r="H274" s="39"/>
    </row>
    <row r="275" spans="1:8" ht="30" hidden="1" customHeight="1">
      <c r="A275" s="40"/>
      <c r="B275" s="39"/>
      <c r="C275" s="39"/>
      <c r="D275" s="39"/>
      <c r="E275" s="42"/>
      <c r="F275" s="39"/>
      <c r="G275" s="39"/>
      <c r="H275" s="39"/>
    </row>
    <row r="276" spans="1:8" ht="30" hidden="1" customHeight="1">
      <c r="A276" s="40"/>
      <c r="B276" s="39"/>
      <c r="C276" s="39"/>
      <c r="D276" s="39"/>
      <c r="E276" s="42"/>
      <c r="F276" s="39"/>
      <c r="G276" s="39"/>
      <c r="H276" s="39"/>
    </row>
    <row r="277" spans="1:8" ht="30" hidden="1" customHeight="1">
      <c r="A277" s="40"/>
      <c r="B277" s="39"/>
      <c r="C277" s="39"/>
      <c r="D277" s="39"/>
      <c r="E277" s="42"/>
      <c r="F277" s="39"/>
      <c r="G277" s="39"/>
      <c r="H277" s="39"/>
    </row>
    <row r="278" spans="1:8" ht="30" hidden="1" customHeight="1">
      <c r="A278" s="40"/>
      <c r="B278" s="39"/>
      <c r="C278" s="39"/>
      <c r="D278" s="39"/>
      <c r="E278" s="42"/>
      <c r="F278" s="39"/>
      <c r="G278" s="39"/>
      <c r="H278" s="39"/>
    </row>
    <row r="279" spans="1:8" ht="30" hidden="1" customHeight="1">
      <c r="A279" s="40"/>
      <c r="B279" s="39"/>
      <c r="C279" s="39"/>
      <c r="D279" s="39"/>
      <c r="E279" s="42"/>
      <c r="F279" s="39"/>
      <c r="G279" s="39"/>
      <c r="H279" s="39"/>
    </row>
    <row r="280" spans="1:8" ht="30" hidden="1" customHeight="1">
      <c r="A280" s="40"/>
      <c r="B280" s="39"/>
      <c r="C280" s="39"/>
      <c r="D280" s="39"/>
      <c r="E280" s="42"/>
      <c r="F280" s="39"/>
      <c r="G280" s="39"/>
      <c r="H280" s="39"/>
    </row>
    <row r="281" spans="1:8" ht="30" hidden="1" customHeight="1">
      <c r="A281" s="40"/>
      <c r="B281" s="39"/>
      <c r="C281" s="39"/>
      <c r="D281" s="39"/>
      <c r="E281" s="42"/>
      <c r="F281" s="39"/>
      <c r="G281" s="39"/>
      <c r="H281" s="39"/>
    </row>
    <row r="282" spans="1:8" ht="30" hidden="1" customHeight="1">
      <c r="A282" s="40"/>
      <c r="B282" s="39"/>
      <c r="C282" s="39"/>
      <c r="D282" s="39"/>
      <c r="E282" s="42"/>
      <c r="F282" s="39"/>
      <c r="G282" s="39"/>
      <c r="H282" s="39"/>
    </row>
    <row r="283" spans="1:8" ht="30" hidden="1" customHeight="1">
      <c r="A283" s="40"/>
      <c r="B283" s="39"/>
      <c r="C283" s="39"/>
      <c r="D283" s="39"/>
      <c r="E283" s="42"/>
      <c r="F283" s="39"/>
      <c r="G283" s="39"/>
      <c r="H283" s="39"/>
    </row>
    <row r="284" spans="1:8" ht="30" hidden="1" customHeight="1">
      <c r="A284" s="40"/>
      <c r="B284" s="39"/>
      <c r="C284" s="39"/>
      <c r="D284" s="39"/>
      <c r="E284" s="42"/>
      <c r="F284" s="39"/>
      <c r="G284" s="39"/>
      <c r="H284" s="39"/>
    </row>
    <row r="285" spans="1:8" ht="30" hidden="1" customHeight="1">
      <c r="A285" s="40"/>
      <c r="B285" s="39"/>
      <c r="C285" s="39"/>
      <c r="D285" s="39"/>
      <c r="E285" s="42"/>
      <c r="F285" s="39"/>
      <c r="G285" s="39"/>
      <c r="H285" s="39"/>
    </row>
    <row r="286" spans="1:8" ht="30" hidden="1" customHeight="1">
      <c r="A286" s="40"/>
      <c r="B286" s="39"/>
      <c r="C286" s="39"/>
      <c r="D286" s="39"/>
      <c r="E286" s="42"/>
      <c r="F286" s="39"/>
      <c r="G286" s="39"/>
      <c r="H286" s="39"/>
    </row>
    <row r="287" spans="1:8" ht="30" hidden="1" customHeight="1">
      <c r="A287" s="40"/>
      <c r="B287" s="39"/>
      <c r="C287" s="39"/>
      <c r="D287" s="39"/>
      <c r="E287" s="42"/>
      <c r="F287" s="39"/>
      <c r="G287" s="39"/>
      <c r="H287" s="39"/>
    </row>
    <row r="288" spans="1:8" ht="30" hidden="1" customHeight="1">
      <c r="A288" s="40"/>
      <c r="B288" s="39"/>
      <c r="C288" s="39"/>
      <c r="D288" s="39"/>
      <c r="E288" s="42"/>
      <c r="F288" s="39"/>
      <c r="G288" s="39"/>
      <c r="H288" s="39"/>
    </row>
    <row r="289" spans="1:8" ht="30" hidden="1" customHeight="1">
      <c r="A289" s="40"/>
      <c r="B289" s="39"/>
      <c r="C289" s="39"/>
      <c r="D289" s="39"/>
      <c r="E289" s="42"/>
      <c r="F289" s="39"/>
      <c r="G289" s="39"/>
      <c r="H289" s="39"/>
    </row>
    <row r="290" spans="1:8" ht="30" hidden="1" customHeight="1">
      <c r="A290" s="40"/>
      <c r="B290" s="39"/>
      <c r="C290" s="39"/>
      <c r="D290" s="39"/>
      <c r="E290" s="42"/>
      <c r="F290" s="39"/>
      <c r="G290" s="39"/>
      <c r="H290" s="39"/>
    </row>
    <row r="291" spans="1:8" ht="30" hidden="1" customHeight="1">
      <c r="A291" s="40"/>
      <c r="B291" s="39"/>
      <c r="C291" s="39"/>
      <c r="D291" s="39"/>
      <c r="E291" s="42"/>
      <c r="F291" s="39"/>
      <c r="G291" s="39"/>
      <c r="H291" s="39"/>
    </row>
    <row r="292" spans="1:8" ht="30" customHeight="1">
      <c r="A292" s="43"/>
      <c r="B292" s="43"/>
      <c r="C292" s="43"/>
      <c r="D292" s="43"/>
      <c r="E292" s="44"/>
      <c r="F292" s="43"/>
      <c r="G292" s="43"/>
      <c r="H292" s="43"/>
    </row>
    <row r="293" spans="1:8" ht="30" customHeight="1">
      <c r="A293" s="43"/>
      <c r="B293" s="43"/>
      <c r="C293" s="43"/>
      <c r="D293" s="43"/>
      <c r="E293" s="44"/>
      <c r="F293" s="43"/>
      <c r="G293" s="43"/>
      <c r="H293" s="43"/>
    </row>
    <row r="294" spans="1:8" ht="30" customHeight="1">
      <c r="A294" s="43"/>
      <c r="B294" s="43"/>
      <c r="C294" s="43"/>
      <c r="D294" s="43"/>
      <c r="E294" s="44"/>
      <c r="F294" s="43"/>
      <c r="G294" s="43"/>
      <c r="H294" s="43"/>
    </row>
    <row r="295" spans="1:8" ht="30" customHeight="1">
      <c r="A295" s="43"/>
      <c r="B295" s="43"/>
      <c r="C295" s="43"/>
      <c r="D295" s="43"/>
      <c r="E295" s="44"/>
      <c r="F295" s="43"/>
      <c r="G295" s="43"/>
      <c r="H295" s="43"/>
    </row>
    <row r="296" spans="1:8" ht="30" customHeight="1">
      <c r="A296" s="43"/>
      <c r="B296" s="43"/>
      <c r="C296" s="43"/>
      <c r="D296" s="43"/>
      <c r="E296" s="44"/>
      <c r="F296" s="43"/>
      <c r="G296" s="43"/>
      <c r="H296" s="43"/>
    </row>
    <row r="297" spans="1:8" ht="30" customHeight="1">
      <c r="A297" s="43"/>
      <c r="B297" s="43"/>
      <c r="C297" s="43"/>
      <c r="D297" s="43"/>
      <c r="E297" s="44"/>
      <c r="F297" s="43"/>
      <c r="G297" s="43"/>
      <c r="H297" s="43"/>
    </row>
    <row r="298" spans="1:8" ht="30" customHeight="1">
      <c r="A298" s="43"/>
      <c r="B298" s="43"/>
      <c r="C298" s="43"/>
      <c r="D298" s="43"/>
      <c r="E298" s="44"/>
      <c r="F298" s="43"/>
      <c r="G298" s="43"/>
      <c r="H298" s="43"/>
    </row>
    <row r="299" spans="1:8" ht="30" customHeight="1">
      <c r="A299" s="43"/>
      <c r="B299" s="43"/>
      <c r="C299" s="43"/>
      <c r="D299" s="43"/>
      <c r="E299" s="44"/>
      <c r="F299" s="43"/>
      <c r="G299" s="43"/>
      <c r="H299" s="43"/>
    </row>
    <row r="300" spans="1:8" ht="30" customHeight="1">
      <c r="A300" s="43"/>
      <c r="B300" s="43"/>
      <c r="C300" s="43"/>
      <c r="D300" s="43"/>
      <c r="E300" s="44"/>
      <c r="F300" s="43"/>
      <c r="G300" s="43"/>
      <c r="H300" s="43"/>
    </row>
    <row r="301" spans="1:8" ht="30" customHeight="1">
      <c r="A301" s="43"/>
      <c r="B301" s="43"/>
      <c r="C301" s="43"/>
      <c r="D301" s="43"/>
      <c r="E301" s="44"/>
      <c r="F301" s="43"/>
      <c r="G301" s="43"/>
      <c r="H301" s="43"/>
    </row>
    <row r="302" spans="1:8" ht="30" customHeight="1">
      <c r="A302" s="43"/>
      <c r="B302" s="43"/>
      <c r="C302" s="43"/>
      <c r="D302" s="43"/>
      <c r="E302" s="44"/>
      <c r="F302" s="43"/>
      <c r="G302" s="43"/>
      <c r="H302" s="43"/>
    </row>
    <row r="303" spans="1:8" ht="30" customHeight="1">
      <c r="A303" s="43"/>
      <c r="B303" s="43"/>
      <c r="C303" s="43"/>
      <c r="D303" s="43"/>
      <c r="E303" s="44"/>
      <c r="F303" s="43"/>
      <c r="G303" s="43"/>
      <c r="H303" s="43"/>
    </row>
    <row r="304" spans="1:8" ht="30" customHeight="1">
      <c r="A304" s="43"/>
      <c r="B304" s="43"/>
      <c r="C304" s="43"/>
      <c r="D304" s="43"/>
      <c r="E304" s="44"/>
      <c r="F304" s="43"/>
      <c r="G304" s="43"/>
      <c r="H304" s="43"/>
    </row>
    <row r="305" spans="1:8" ht="30" customHeight="1">
      <c r="A305" s="43"/>
      <c r="B305" s="43"/>
      <c r="C305" s="43"/>
      <c r="D305" s="43"/>
      <c r="E305" s="44"/>
      <c r="F305" s="43"/>
      <c r="G305" s="43"/>
      <c r="H305" s="43"/>
    </row>
    <row r="306" spans="1:8" ht="30" customHeight="1">
      <c r="A306" s="43"/>
      <c r="B306" s="43"/>
      <c r="C306" s="43"/>
      <c r="D306" s="43"/>
      <c r="E306" s="44"/>
      <c r="F306" s="43"/>
      <c r="G306" s="43"/>
      <c r="H306" s="43"/>
    </row>
    <row r="307" spans="1:8" ht="30" customHeight="1">
      <c r="A307" s="43"/>
      <c r="B307" s="43"/>
      <c r="C307" s="43"/>
      <c r="D307" s="43"/>
      <c r="E307" s="44"/>
      <c r="F307" s="43"/>
      <c r="G307" s="43"/>
      <c r="H307" s="43"/>
    </row>
  </sheetData>
  <sheetProtection formatCells="0" formatColumns="0" formatRows="0" deleteColumns="0" deleteRows="0" sort="0"/>
  <autoFilter ref="A1:H291" xr:uid="{00000000-0009-0000-0000-000001000000}">
    <filterColumn colId="0">
      <filters>
        <dateGroupItem year="2026" month="3" day="9" dateTimeGrouping="day"/>
        <dateGroupItem year="2026" month="3" day="10" dateTimeGrouping="day"/>
        <dateGroupItem year="2026" month="3" day="11" dateTimeGrouping="day"/>
        <dateGroupItem year="2026" month="3" day="12" dateTimeGrouping="day"/>
        <dateGroupItem year="2026" month="3" day="13" dateTimeGrouping="day"/>
      </filters>
    </filterColumn>
    <sortState xmlns:xlrd2="http://schemas.microsoft.com/office/spreadsheetml/2017/richdata2" ref="A2:H16">
      <sortCondition descending="1" ref="A1:A291"/>
    </sortState>
  </autoFilter>
  <sortState xmlns:xlrd2="http://schemas.microsoft.com/office/spreadsheetml/2017/richdata2" ref="A9:H19">
    <sortCondition descending="1" ref="A1"/>
  </sortState>
  <conditionalFormatting sqref="A2:A223">
    <cfRule type="cellIs" dxfId="1" priority="3" operator="greaterThan">
      <formula>"1 Haziran 2025 Pazar"</formula>
    </cfRule>
    <cfRule type="cellIs" dxfId="0" priority="4" operator="equal">
      <formula>"1 Haziran 2025 Pazar"</formula>
    </cfRule>
  </conditionalFormatting>
  <dataValidations count="4">
    <dataValidation type="list" allowBlank="1" showInputMessage="1" showErrorMessage="1" sqref="G270 G273:G291 G2:G266" xr:uid="{00000000-0002-0000-0100-000000000000}">
      <formula1>Hata_Nedeni</formula1>
    </dataValidation>
    <dataValidation type="list" allowBlank="1" showInputMessage="1" showErrorMessage="1" sqref="F113:F291 F2:F69" xr:uid="{00000000-0002-0000-0100-000001000000}">
      <formula1>"YENİDEN İŞLEME ALINACAK,TAMİRLE OLUR HALE GELECEK,ŞARTLI KABUL EDİLECEK"</formula1>
    </dataValidation>
    <dataValidation type="list" allowBlank="1" showInputMessage="1" showErrorMessage="1" sqref="F70:F112" xr:uid="{00000000-0002-0000-0100-000002000000}">
      <formula1>"YENİDEN İŞLEME ALINACAK,FİRE,ŞARTLI KABUL EDİLECEK,HURDA"</formula1>
    </dataValidation>
    <dataValidation type="list" allowBlank="1" showInputMessage="1" showErrorMessage="1" sqref="D2:D291" xr:uid="{00000000-0002-0000-0100-000003000000}">
      <formula1>Renkler</formula1>
    </dataValidation>
  </dataValidations>
  <pageMargins left="0" right="0" top="0" bottom="0" header="0" footer="0"/>
  <pageSetup paperSize="9" scale="44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100-000004000000}">
          <x14:formula1>
            <xm:f>'Veri doğrulama'!$D$6:$D$7</xm:f>
          </x14:formula1>
          <xm:sqref>B290</xm:sqref>
        </x14:dataValidation>
        <x14:dataValidation type="list" allowBlank="1" showInputMessage="1" showErrorMessage="1" xr:uid="{00000000-0002-0000-0100-000005000000}">
          <x14:formula1>
            <xm:f>'Veri doğrulama'!$D$6:$D$8</xm:f>
          </x14:formula1>
          <xm:sqref>B291 B70:B289</xm:sqref>
        </x14:dataValidation>
        <x14:dataValidation type="list" allowBlank="1" showInputMessage="1" showErrorMessage="1" xr:uid="{00000000-0002-0000-0100-000006000000}">
          <x14:formula1>
            <xm:f>'\\MarwoodNas\Üretim\ÜRETİM VERİLERİ\[METAL-BOYA HATALI PARÇA GİRİŞİ.xlsm]Veri doğrulama'!#REF!</xm:f>
          </x14:formula1>
          <xm:sqref>B2:B69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yfa4"/>
  <dimension ref="A1:O18"/>
  <sheetViews>
    <sheetView zoomScale="85" zoomScaleNormal="85" workbookViewId="0">
      <selection activeCell="B2" sqref="B2"/>
    </sheetView>
  </sheetViews>
  <sheetFormatPr defaultColWidth="22" defaultRowHeight="28.5" customHeight="1"/>
  <cols>
    <col min="1" max="11" width="22" style="1"/>
    <col min="12" max="12" width="31" style="1" customWidth="1"/>
    <col min="13" max="16384" width="22" style="1"/>
  </cols>
  <sheetData>
    <row r="1" spans="1:15" ht="36.75" customHeight="1">
      <c r="A1" s="1" t="s">
        <v>6</v>
      </c>
      <c r="B1" s="1" t="s">
        <v>127</v>
      </c>
    </row>
    <row r="2" spans="1:15" ht="28.5" customHeight="1">
      <c r="A2" s="1" t="s">
        <v>15</v>
      </c>
      <c r="B2" s="1">
        <v>673</v>
      </c>
      <c r="C2" s="1" t="s">
        <v>128</v>
      </c>
    </row>
    <row r="3" spans="1:15" ht="28.5" customHeight="1">
      <c r="A3" s="1" t="s">
        <v>46</v>
      </c>
      <c r="B3" s="1">
        <v>427</v>
      </c>
    </row>
    <row r="4" spans="1:15" ht="28.5" customHeight="1">
      <c r="B4" s="1">
        <v>122</v>
      </c>
    </row>
    <row r="5" spans="1:15" ht="28.5" customHeight="1">
      <c r="A5" s="1" t="s">
        <v>129</v>
      </c>
      <c r="B5" s="1">
        <v>122</v>
      </c>
      <c r="H5" s="105" t="s">
        <v>130</v>
      </c>
      <c r="I5" s="105"/>
      <c r="K5" s="105" t="s">
        <v>131</v>
      </c>
      <c r="L5" s="105"/>
    </row>
    <row r="6" spans="1:15" ht="28.5" customHeight="1">
      <c r="A6" s="1" t="s">
        <v>47</v>
      </c>
      <c r="B6" s="1">
        <v>52</v>
      </c>
      <c r="H6" s="3" t="s">
        <v>12</v>
      </c>
      <c r="I6" s="2" t="s">
        <v>132</v>
      </c>
      <c r="K6" s="3" t="s">
        <v>12</v>
      </c>
      <c r="L6" s="2"/>
    </row>
    <row r="7" spans="1:15" ht="28.5" customHeight="1">
      <c r="A7" s="1" t="s">
        <v>102</v>
      </c>
      <c r="B7" s="1">
        <v>34</v>
      </c>
      <c r="H7" s="3" t="s">
        <v>133</v>
      </c>
      <c r="I7" s="2" t="s">
        <v>134</v>
      </c>
      <c r="K7" s="3" t="s">
        <v>135</v>
      </c>
      <c r="L7" s="2" t="s">
        <v>136</v>
      </c>
    </row>
    <row r="8" spans="1:15" ht="28.5" customHeight="1">
      <c r="A8" s="1" t="s">
        <v>137</v>
      </c>
      <c r="B8" s="1">
        <v>20</v>
      </c>
      <c r="H8" s="3" t="s">
        <v>138</v>
      </c>
      <c r="I8" s="2" t="s">
        <v>139</v>
      </c>
    </row>
    <row r="9" spans="1:15" ht="28.5" customHeight="1">
      <c r="B9" s="1">
        <v>6</v>
      </c>
      <c r="K9" s="105" t="s">
        <v>140</v>
      </c>
      <c r="L9" s="105"/>
      <c r="M9" s="105"/>
      <c r="N9" s="105"/>
      <c r="O9" s="105"/>
    </row>
    <row r="10" spans="1:15" ht="28.5" customHeight="1">
      <c r="B10" s="1">
        <v>5</v>
      </c>
      <c r="H10" s="105" t="s">
        <v>141</v>
      </c>
      <c r="I10" s="105"/>
      <c r="K10" s="106" t="s">
        <v>12</v>
      </c>
      <c r="L10" s="106"/>
      <c r="M10" s="106"/>
      <c r="N10" s="107" t="s">
        <v>135</v>
      </c>
      <c r="O10" s="107"/>
    </row>
    <row r="11" spans="1:15" ht="28.5" customHeight="1">
      <c r="B11" s="1">
        <v>3</v>
      </c>
      <c r="H11" s="3" t="s">
        <v>12</v>
      </c>
      <c r="I11" s="4">
        <v>0.72</v>
      </c>
      <c r="K11" s="2" t="s">
        <v>125</v>
      </c>
      <c r="L11" s="2" t="s">
        <v>142</v>
      </c>
      <c r="M11" s="2" t="s">
        <v>143</v>
      </c>
      <c r="N11" s="2" t="s">
        <v>144</v>
      </c>
      <c r="O11" s="2" t="s">
        <v>145</v>
      </c>
    </row>
    <row r="12" spans="1:15" ht="28.5" customHeight="1">
      <c r="A12" s="1" t="s">
        <v>31</v>
      </c>
      <c r="B12" s="1">
        <v>3</v>
      </c>
      <c r="H12" s="3" t="s">
        <v>9</v>
      </c>
      <c r="I12" s="4">
        <v>0.56999999999999995</v>
      </c>
      <c r="K12" s="2">
        <v>0</v>
      </c>
      <c r="L12" s="2">
        <v>440</v>
      </c>
      <c r="M12" s="2">
        <v>115</v>
      </c>
      <c r="N12" s="2">
        <v>140</v>
      </c>
      <c r="O12" s="2">
        <v>0</v>
      </c>
    </row>
    <row r="13" spans="1:15" ht="28.5" customHeight="1">
      <c r="A13" s="1" t="s">
        <v>63</v>
      </c>
      <c r="B13" s="1">
        <v>1</v>
      </c>
    </row>
    <row r="14" spans="1:15" ht="28.5" customHeight="1">
      <c r="A14" s="1" t="s">
        <v>11</v>
      </c>
      <c r="B14" s="1">
        <v>0</v>
      </c>
    </row>
    <row r="15" spans="1:15" ht="28.5" customHeight="1">
      <c r="A15" s="1" t="s">
        <v>23</v>
      </c>
      <c r="B15" s="1">
        <v>0</v>
      </c>
    </row>
    <row r="16" spans="1:15" ht="28.5" customHeight="1">
      <c r="A16" s="1" t="s">
        <v>21</v>
      </c>
      <c r="B16" s="1">
        <v>0</v>
      </c>
    </row>
    <row r="17" spans="1:2" ht="28.5" customHeight="1">
      <c r="A17" s="1" t="s">
        <v>146</v>
      </c>
      <c r="B17" s="1">
        <v>0</v>
      </c>
    </row>
    <row r="18" spans="1:2" ht="28.5" customHeight="1">
      <c r="A18" s="1" t="s">
        <v>147</v>
      </c>
      <c r="B18" s="1">
        <f>SUM(B2:B17)</f>
        <v>1468</v>
      </c>
    </row>
  </sheetData>
  <sortState xmlns:xlrd2="http://schemas.microsoft.com/office/spreadsheetml/2017/richdata2" ref="A2:C17">
    <sortCondition descending="1" ref="B2:B17"/>
  </sortState>
  <mergeCells count="6">
    <mergeCell ref="H5:I5"/>
    <mergeCell ref="K5:L5"/>
    <mergeCell ref="K9:O9"/>
    <mergeCell ref="H10:I10"/>
    <mergeCell ref="K10:M10"/>
    <mergeCell ref="N10:O1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ayfa2"/>
  <dimension ref="D5:F22"/>
  <sheetViews>
    <sheetView zoomScale="175" zoomScaleNormal="175" workbookViewId="0">
      <selection activeCell="E10" sqref="E10"/>
    </sheetView>
  </sheetViews>
  <sheetFormatPr defaultColWidth="9" defaultRowHeight="15"/>
  <cols>
    <col min="3" max="3" width="12.140625" customWidth="1"/>
    <col min="4" max="4" width="18.5703125" customWidth="1"/>
    <col min="5" max="5" width="25" customWidth="1"/>
    <col min="6" max="6" width="19" customWidth="1"/>
    <col min="7" max="7" width="12.140625" customWidth="1"/>
  </cols>
  <sheetData>
    <row r="5" spans="4:6">
      <c r="D5" t="s">
        <v>148</v>
      </c>
      <c r="E5" t="s">
        <v>149</v>
      </c>
      <c r="F5" s="31" t="s">
        <v>150</v>
      </c>
    </row>
    <row r="6" spans="4:6">
      <c r="E6" s="52" t="s">
        <v>169</v>
      </c>
      <c r="F6" t="s">
        <v>15</v>
      </c>
    </row>
    <row r="7" spans="4:6">
      <c r="D7" s="45" t="s">
        <v>12</v>
      </c>
      <c r="F7" t="s">
        <v>46</v>
      </c>
    </row>
    <row r="8" spans="4:6">
      <c r="F8" t="s">
        <v>11</v>
      </c>
    </row>
    <row r="9" spans="4:6">
      <c r="F9" t="s">
        <v>42</v>
      </c>
    </row>
    <row r="10" spans="4:6">
      <c r="F10" t="s">
        <v>47</v>
      </c>
    </row>
    <row r="11" spans="4:6">
      <c r="F11" t="s">
        <v>63</v>
      </c>
    </row>
    <row r="12" spans="4:6">
      <c r="F12" t="s">
        <v>23</v>
      </c>
    </row>
    <row r="13" spans="4:6">
      <c r="F13" t="s">
        <v>124</v>
      </c>
    </row>
    <row r="14" spans="4:6">
      <c r="F14" t="s">
        <v>151</v>
      </c>
    </row>
    <row r="15" spans="4:6">
      <c r="F15" t="s">
        <v>44</v>
      </c>
    </row>
    <row r="16" spans="4:6">
      <c r="F16" t="s">
        <v>31</v>
      </c>
    </row>
    <row r="17" spans="6:6">
      <c r="F17" t="s">
        <v>102</v>
      </c>
    </row>
    <row r="18" spans="6:6">
      <c r="F18" t="s">
        <v>137</v>
      </c>
    </row>
    <row r="19" spans="6:6">
      <c r="F19" t="s">
        <v>21</v>
      </c>
    </row>
    <row r="20" spans="6:6">
      <c r="F20" t="s">
        <v>146</v>
      </c>
    </row>
    <row r="21" spans="6:6">
      <c r="F21" s="31" t="s">
        <v>43</v>
      </c>
    </row>
    <row r="22" spans="6:6">
      <c r="F22" s="30" t="s">
        <v>176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4</vt:i4>
      </vt:variant>
      <vt:variant>
        <vt:lpstr>Adlandırılmış Aralıklar</vt:lpstr>
      </vt:variant>
      <vt:variant>
        <vt:i4>4</vt:i4>
      </vt:variant>
    </vt:vector>
  </HeadingPairs>
  <TitlesOfParts>
    <vt:vector size="8" baseType="lpstr">
      <vt:lpstr>VERİ GİRİŞİ</vt:lpstr>
      <vt:lpstr>VERİ KAYIT</vt:lpstr>
      <vt:lpstr>GRAFİK</vt:lpstr>
      <vt:lpstr>Veri doğrulama</vt:lpstr>
      <vt:lpstr>Hata_Nedeni</vt:lpstr>
      <vt:lpstr>Renk</vt:lpstr>
      <vt:lpstr>Renkler</vt:lpstr>
      <vt:lpstr>'VERİ KAYIT'!Yazdırma_Alanı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Üretim</dc:creator>
  <cp:lastModifiedBy>Alican Şahan</cp:lastModifiedBy>
  <cp:lastPrinted>2025-12-22T06:23:26Z</cp:lastPrinted>
  <dcterms:created xsi:type="dcterms:W3CDTF">2015-06-05T18:19:00Z</dcterms:created>
  <dcterms:modified xsi:type="dcterms:W3CDTF">2026-04-09T05:46:22Z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DA45816E814F4A408BE50DF5001C577C_12</vt:lpwstr>
  </property>
  <property fmtid="{D5CDD505-2E9C-101B-9397-08002B2CF9AE}" pid="3" name="KSOProductBuildVer">
    <vt:lpwstr>1033-12.2.0.21931</vt:lpwstr>
  </property>
</Properties>
</file>