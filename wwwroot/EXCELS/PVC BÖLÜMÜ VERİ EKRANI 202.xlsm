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8" codeName="{E5D1E7B1-6628-F0F0-D09B-76B25B5F3CD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Dashboard Hk./"/>
    </mc:Choice>
  </mc:AlternateContent>
  <xr:revisionPtr revIDLastSave="0" documentId="13_ncr:1_{83D8E04E-D27A-504B-956F-8BCDE4AD84B3}" xr6:coauthVersionLast="47" xr6:coauthVersionMax="47" xr10:uidLastSave="{00000000-0000-0000-0000-000000000000}"/>
  <bookViews>
    <workbookView xWindow="1620" yWindow="780" windowWidth="32580" windowHeight="21460" activeTab="1" xr2:uid="{00000000-000D-0000-FFFF-FFFF00000000}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KAYIT!$A$1:$O$43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N2" i="2"/>
  <c r="M2" i="2"/>
  <c r="O3" i="2"/>
  <c r="N3" i="2"/>
  <c r="M3" i="2"/>
  <c r="O4" i="2"/>
  <c r="N4" i="2"/>
  <c r="M4" i="2"/>
  <c r="O5" i="2" l="1"/>
  <c r="N5" i="2"/>
  <c r="M5" i="2"/>
  <c r="O6" i="2"/>
  <c r="N6" i="2"/>
  <c r="M6" i="2"/>
  <c r="O7" i="2"/>
  <c r="N7" i="2"/>
  <c r="M7" i="2"/>
  <c r="O8" i="2" l="1"/>
  <c r="N8" i="2"/>
  <c r="M8" i="2"/>
  <c r="O9" i="2"/>
  <c r="N9" i="2"/>
  <c r="M9" i="2"/>
  <c r="O10" i="2"/>
  <c r="N10" i="2"/>
  <c r="M10" i="2"/>
  <c r="O11" i="2" l="1"/>
  <c r="N11" i="2"/>
  <c r="M11" i="2"/>
  <c r="O12" i="2" l="1"/>
  <c r="N12" i="2"/>
  <c r="M12" i="2"/>
  <c r="O13" i="2"/>
  <c r="N13" i="2"/>
  <c r="M13" i="2"/>
  <c r="O14" i="2" l="1"/>
  <c r="N14" i="2"/>
  <c r="M14" i="2"/>
  <c r="O15" i="2"/>
  <c r="N15" i="2"/>
  <c r="M15" i="2"/>
  <c r="O16" i="2"/>
  <c r="N16" i="2"/>
  <c r="M16" i="2"/>
  <c r="O17" i="2" l="1"/>
  <c r="N17" i="2"/>
  <c r="M17" i="2"/>
  <c r="O18" i="2"/>
  <c r="N18" i="2"/>
  <c r="M18" i="2"/>
  <c r="O19" i="2"/>
  <c r="N19" i="2"/>
  <c r="M19" i="2"/>
  <c r="O20" i="2" l="1"/>
  <c r="N20" i="2"/>
  <c r="M20" i="2"/>
  <c r="O21" i="2"/>
  <c r="N21" i="2"/>
  <c r="M21" i="2"/>
  <c r="O22" i="2"/>
  <c r="N22" i="2"/>
  <c r="M22" i="2"/>
  <c r="O23" i="2" l="1"/>
  <c r="N23" i="2"/>
  <c r="M23" i="2"/>
  <c r="O24" i="2"/>
  <c r="N24" i="2"/>
  <c r="M24" i="2"/>
  <c r="O25" i="2"/>
  <c r="N25" i="2"/>
  <c r="M25" i="2"/>
  <c r="O26" i="2" l="1"/>
  <c r="N26" i="2"/>
  <c r="M26" i="2"/>
  <c r="O27" i="2"/>
  <c r="N27" i="2"/>
  <c r="M27" i="2"/>
  <c r="O28" i="2"/>
  <c r="N28" i="2"/>
  <c r="M28" i="2"/>
  <c r="O29" i="2" l="1"/>
  <c r="N29" i="2"/>
  <c r="M29" i="2"/>
  <c r="O30" i="2"/>
  <c r="N30" i="2"/>
  <c r="M30" i="2"/>
  <c r="O31" i="2"/>
  <c r="N31" i="2"/>
  <c r="M31" i="2"/>
  <c r="O32" i="2" l="1"/>
  <c r="N32" i="2"/>
  <c r="M32" i="2"/>
  <c r="O33" i="2"/>
  <c r="N33" i="2"/>
  <c r="M33" i="2"/>
  <c r="O34" i="2"/>
  <c r="N34" i="2"/>
  <c r="M34" i="2"/>
  <c r="M35" i="2" l="1"/>
  <c r="O35" i="2"/>
  <c r="N35" i="2"/>
  <c r="O36" i="2"/>
  <c r="N36" i="2"/>
  <c r="M36" i="2"/>
  <c r="O37" i="2"/>
  <c r="N37" i="2"/>
  <c r="M37" i="2"/>
  <c r="O38" i="2" l="1"/>
  <c r="N38" i="2"/>
  <c r="M38" i="2"/>
  <c r="O39" i="2"/>
  <c r="N39" i="2"/>
  <c r="M39" i="2"/>
  <c r="O40" i="2"/>
  <c r="N40" i="2"/>
  <c r="M40" i="2"/>
  <c r="O41" i="2" l="1"/>
  <c r="N41" i="2"/>
  <c r="M41" i="2"/>
  <c r="O42" i="2"/>
  <c r="N42" i="2"/>
  <c r="M42" i="2"/>
  <c r="O43" i="2"/>
  <c r="N43" i="2"/>
  <c r="M43" i="2"/>
  <c r="C2" i="1" l="1"/>
</calcChain>
</file>

<file path=xl/sharedStrings.xml><?xml version="1.0" encoding="utf-8"?>
<sst xmlns="http://schemas.openxmlformats.org/spreadsheetml/2006/main" count="206" uniqueCount="43">
  <si>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</si>
  <si>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</si>
  <si>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</si>
  <si>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</si>
  <si>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</si>
  <si>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</si>
  <si>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</si>
  <si>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</si>
  <si>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</si>
  <si>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</si>
  <si>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</si>
  <si>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</si>
  <si>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</si>
  <si>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</si>
  <si>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</si>
  <si>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</si>
  <si>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</si>
  <si>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</si>
  <si>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</si>
  <si>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</si>
  <si>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</si>
  <si>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ÜRETİM ORANI</t>
  </si>
  <si>
    <t>KAYIP SÜRE</t>
  </si>
  <si>
    <t>FİİLİ ÇALIŞMA
ORANI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</si>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</sst>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0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10" fontId="0" fillId="4" borderId="1" xfId="0" applyNumberFormat="1" applyFill="1" applyBorder="1" applyAlignment="1">
      <alignment horizontal="center" vertical="center"/>
    </xf>
    <xf numFmtId="10" fontId="0" fillId="4" borderId="1" xfId="0" applyNumberFormat="1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0" fillId="0" borderId="1" xfId="0" applyNumberForma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13</xdr:row>
          <xdr:rowOff>114300</xdr:rowOff>
        </xdr:from>
        <xdr:to>
          <xdr:col>2</xdr:col>
          <xdr:colOff>1562100</xdr:colOff>
          <xdr:row>15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H13"/>
  <sheetViews>
    <sheetView showGridLines="0" zoomScale="160" zoomScaleNormal="160" workbookViewId="0">
      <selection activeCell="C13" sqref="C13"/>
    </sheetView>
  </sheetViews>
  <sheetFormatPr baseColWidth="10" defaultColWidth="8.83203125" defaultRowHeight="15" x14ac:dyDescent="0.2"/>
  <cols>
    <col min="1" max="1" width="14.5" style="1" customWidth="1"/>
    <col min="2" max="2" width="12.5" customWidth="1"/>
    <col min="3" max="3" width="26.5" customWidth="1"/>
    <col min="4" max="4" width="14.5" customWidth="1"/>
    <col min="5" max="5" width="11.5" customWidth="1"/>
    <col min="6" max="6" width="22.5" customWidth="1"/>
    <col min="8" max="8" width="22.5" customWidth="1"/>
  </cols>
  <sheetData>
    <row r="1" spans="1:8" ht="46.5" customHeight="1" x14ac:dyDescent="0.2">
      <c r="A1" s="2"/>
      <c r="B1" s="30" t="s">
        <v>14</v>
      </c>
      <c r="C1" s="31"/>
    </row>
    <row r="2" spans="1:8" ht="21" customHeight="1" x14ac:dyDescent="0.2">
      <c r="A2" s="27" t="s">
        <v>2</v>
      </c>
      <c r="B2" s="27"/>
      <c r="C2" s="6">
        <f ca="1">TODAY()</f>
        <v>46049</v>
      </c>
      <c r="H2" s="4"/>
    </row>
    <row r="3" spans="1:8" ht="21" customHeight="1" x14ac:dyDescent="0.2">
      <c r="A3" s="27" t="s">
        <v>8</v>
      </c>
      <c r="B3" s="27"/>
      <c r="C3" s="5"/>
    </row>
    <row r="4" spans="1:8" ht="21" customHeight="1" x14ac:dyDescent="0.2">
      <c r="A4" s="27" t="s">
        <v>28</v>
      </c>
      <c r="B4" s="27"/>
      <c r="C4" s="5"/>
    </row>
    <row r="5" spans="1:8" ht="21" customHeight="1" x14ac:dyDescent="0.2">
      <c r="A5" s="27" t="s">
        <v>10</v>
      </c>
      <c r="B5" s="27"/>
      <c r="C5" s="5"/>
    </row>
    <row r="6" spans="1:8" ht="21" customHeight="1" x14ac:dyDescent="0.2">
      <c r="A6" s="27" t="s">
        <v>11</v>
      </c>
      <c r="B6" s="27"/>
      <c r="C6" s="5"/>
    </row>
    <row r="7" spans="1:8" ht="21" customHeight="1" x14ac:dyDescent="0.2">
      <c r="A7" s="27" t="s">
        <v>7</v>
      </c>
      <c r="B7" s="27"/>
      <c r="C7" s="5"/>
    </row>
    <row r="8" spans="1:8" ht="21" customHeight="1" x14ac:dyDescent="0.2">
      <c r="A8" s="27" t="s">
        <v>6</v>
      </c>
      <c r="B8" s="27"/>
      <c r="C8" s="5"/>
    </row>
    <row r="9" spans="1:8" ht="21" customHeight="1" x14ac:dyDescent="0.2">
      <c r="A9" s="28" t="s">
        <v>3</v>
      </c>
      <c r="B9" s="29"/>
      <c r="C9" s="16"/>
    </row>
    <row r="10" spans="1:8" ht="21" customHeight="1" x14ac:dyDescent="0.2">
      <c r="A10" s="28" t="s">
        <v>5</v>
      </c>
      <c r="B10" s="29"/>
      <c r="C10" s="5"/>
    </row>
    <row r="11" spans="1:8" ht="21" customHeight="1" x14ac:dyDescent="0.2">
      <c r="A11" s="28" t="s">
        <v>12</v>
      </c>
      <c r="B11" s="29"/>
      <c r="C11" s="5"/>
    </row>
    <row r="12" spans="1:8" ht="21" customHeight="1" x14ac:dyDescent="0.2">
      <c r="A12" s="27" t="s">
        <v>13</v>
      </c>
      <c r="B12" s="27"/>
      <c r="C12" s="5"/>
    </row>
    <row r="13" spans="1:8" ht="36.75" customHeight="1" x14ac:dyDescent="0.2">
      <c r="A13" s="27" t="s">
        <v>4</v>
      </c>
      <c r="B13" s="27"/>
      <c r="C13" s="5"/>
    </row>
  </sheetData>
  <dataConsolidate/>
  <mergeCells count="13">
    <mergeCell ref="B1:C1"/>
    <mergeCell ref="A2:B2"/>
    <mergeCell ref="A3:B3"/>
    <mergeCell ref="A5:B5"/>
    <mergeCell ref="A4:B4"/>
    <mergeCell ref="A6:B6"/>
    <mergeCell ref="A7:B7"/>
    <mergeCell ref="A8:B8"/>
    <mergeCell ref="A13:B13"/>
    <mergeCell ref="A10:B10"/>
    <mergeCell ref="A11:B11"/>
    <mergeCell ref="A12:B12"/>
    <mergeCell ref="A9:B9"/>
  </mergeCells>
  <dataValidations count="5">
    <dataValidation type="list" allowBlank="1" showInputMessage="1" showErrorMessage="1" sqref="C3" xr:uid="{00000000-0002-0000-0000-000000000000}">
      <formula1>"STREAM-B,STREAM-C,TURANLAR"</formula1>
    </dataValidation>
    <dataValidation type="list" allowBlank="1" showInputMessage="1" showErrorMessage="1" sqref="C6" xr:uid="{00000000-0002-0000-0000-000001000000}">
      <formula1>"NORMAL MESAİ,FAZLA MESAİ,VARDİYA"</formula1>
    </dataValidation>
    <dataValidation type="list" allowBlank="1" showInputMessage="1" showErrorMessage="1" sqref="C10 C12" xr:uid="{00000000-0002-0000-0000-000002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 xr:uid="{00000000-0002-0000-0000-000003000000}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 xr:uid="{00000000-0002-0000-0000-000004000000}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13</xdr:row>
                    <xdr:rowOff>114300</xdr:rowOff>
                  </from>
                  <to>
                    <xdr:col>2</xdr:col>
                    <xdr:colOff>1562100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O69"/>
  <sheetViews>
    <sheetView showGridLines="0" tabSelected="1" zoomScale="90" zoomScaleNormal="90" workbookViewId="0">
      <selection activeCell="C8" sqref="C8"/>
    </sheetView>
  </sheetViews>
  <sheetFormatPr baseColWidth="10" defaultColWidth="8.83203125" defaultRowHeight="30" customHeight="1" x14ac:dyDescent="0.2"/>
  <cols>
    <col min="1" max="1" width="29.5" style="15" customWidth="1"/>
    <col min="2" max="2" width="16.5" style="3" customWidth="1"/>
    <col min="3" max="3" width="18" style="12" customWidth="1"/>
    <col min="4" max="4" width="16.5" style="12" customWidth="1"/>
    <col min="5" max="5" width="16.5" style="3" customWidth="1"/>
    <col min="6" max="6" width="24.1640625" style="12" customWidth="1"/>
    <col min="7" max="7" width="21.83203125" style="3" bestFit="1" customWidth="1"/>
    <col min="8" max="8" width="16.5" style="12" customWidth="1"/>
    <col min="9" max="9" width="16.5" style="3" customWidth="1"/>
    <col min="10" max="10" width="32" style="12" customWidth="1"/>
    <col min="11" max="11" width="20.1640625" style="3" customWidth="1"/>
    <col min="12" max="12" width="86.1640625" style="3" bestFit="1" customWidth="1"/>
    <col min="13" max="13" width="18.6640625" style="13" customWidth="1"/>
    <col min="14" max="15" width="16.5" style="13" customWidth="1"/>
    <col min="19" max="19" width="16.5" customWidth="1"/>
  </cols>
  <sheetData>
    <row r="1" spans="1:15" s="23" customFormat="1" ht="32" x14ac:dyDescent="0.2">
      <c r="A1" s="17" t="s">
        <v>0</v>
      </c>
      <c r="B1" s="18" t="s">
        <v>8</v>
      </c>
      <c r="C1" s="19" t="s">
        <v>9</v>
      </c>
      <c r="D1" s="19" t="s">
        <v>10</v>
      </c>
      <c r="E1" s="18" t="s">
        <v>11</v>
      </c>
      <c r="F1" s="19" t="s">
        <v>15</v>
      </c>
      <c r="G1" s="20" t="s">
        <v>16</v>
      </c>
      <c r="H1" s="19" t="s">
        <v>3</v>
      </c>
      <c r="I1" s="20" t="s">
        <v>17</v>
      </c>
      <c r="J1" s="19" t="s">
        <v>12</v>
      </c>
      <c r="K1" s="20" t="s">
        <v>18</v>
      </c>
      <c r="L1" s="18" t="s">
        <v>1</v>
      </c>
      <c r="M1" s="21" t="s">
        <v>21</v>
      </c>
      <c r="N1" s="21" t="s">
        <v>22</v>
      </c>
      <c r="O1" s="22" t="s">
        <v>23</v>
      </c>
    </row>
    <row r="2" spans="1:15" s="23" customFormat="1" ht="25" customHeight="1" x14ac:dyDescent="0.2">
      <c r="A2" s="14">
        <v>46044</v>
      </c>
      <c r="B2" s="5" t="s">
        <v>20</v>
      </c>
      <c r="C2" s="24"/>
      <c r="D2" s="24">
        <v>0</v>
      </c>
      <c r="E2" s="5"/>
      <c r="F2" s="24"/>
      <c r="G2" s="25" t="s">
        <v>29</v>
      </c>
      <c r="H2" s="24">
        <v>540</v>
      </c>
      <c r="I2" s="25"/>
      <c r="J2" s="24"/>
      <c r="K2" s="25"/>
      <c r="L2" s="5" t="s">
        <v>30</v>
      </c>
      <c r="M2" s="10">
        <f>C2 / VLOOKUP(B2,AYAR!C5:D7,2,0)</f>
        <v>0</v>
      </c>
      <c r="N2" s="10">
        <f>(F2 + H2 + J2) / 540</f>
        <v>1</v>
      </c>
      <c r="O2" s="26">
        <f>(540 - (F2 + H2 + J2)) / 540</f>
        <v>0</v>
      </c>
    </row>
    <row r="3" spans="1:15" s="23" customFormat="1" ht="25" customHeight="1" x14ac:dyDescent="0.2">
      <c r="A3" s="14">
        <v>46044</v>
      </c>
      <c r="B3" s="5" t="s">
        <v>19</v>
      </c>
      <c r="C3" s="24"/>
      <c r="D3" s="24">
        <v>0</v>
      </c>
      <c r="E3" s="5"/>
      <c r="F3" s="24"/>
      <c r="G3" s="25" t="s">
        <v>29</v>
      </c>
      <c r="H3" s="24">
        <v>540</v>
      </c>
      <c r="I3" s="25"/>
      <c r="J3" s="24"/>
      <c r="K3" s="25"/>
      <c r="L3" s="5" t="s">
        <v>30</v>
      </c>
      <c r="M3" s="10">
        <f>C3 / VLOOKUP(B3,AYAR!C5:D7,2,0)</f>
        <v>0</v>
      </c>
      <c r="N3" s="10">
        <f>(F3 + H3 + J3) / 540</f>
        <v>1</v>
      </c>
      <c r="O3" s="26">
        <f>(540 - (F3 + H3 + J3)) / 540</f>
        <v>0</v>
      </c>
    </row>
    <row r="4" spans="1:15" s="23" customFormat="1" ht="25" customHeight="1" x14ac:dyDescent="0.2">
      <c r="A4" s="14">
        <v>46044</v>
      </c>
      <c r="B4" s="5" t="s">
        <v>24</v>
      </c>
      <c r="C4" s="24">
        <v>987</v>
      </c>
      <c r="D4" s="24">
        <v>0</v>
      </c>
      <c r="E4" s="5" t="s">
        <v>26</v>
      </c>
      <c r="F4" s="24">
        <v>30</v>
      </c>
      <c r="G4" s="25" t="s">
        <v>34</v>
      </c>
      <c r="H4" s="24">
        <v>60</v>
      </c>
      <c r="I4" s="25" t="s">
        <v>29</v>
      </c>
      <c r="J4" s="24"/>
      <c r="K4" s="25"/>
      <c r="L4" s="5" t="s">
        <v>42</v>
      </c>
      <c r="M4" s="10">
        <f>C4 / VLOOKUP(B4,AYAR!C5:D7,2,0)</f>
        <v>0.82250000000000001</v>
      </c>
      <c r="N4" s="10">
        <f>(F4 + H4 + J4) / 540</f>
        <v>0.16666666666666666</v>
      </c>
      <c r="O4" s="26">
        <f>(540 - (F4 + H4 + J4)) / 540</f>
        <v>0.83333333333333337</v>
      </c>
    </row>
    <row r="5" spans="1:15" s="23" customFormat="1" ht="25" customHeight="1" x14ac:dyDescent="0.2">
      <c r="A5" s="14">
        <v>46043</v>
      </c>
      <c r="B5" s="5" t="s">
        <v>19</v>
      </c>
      <c r="C5" s="24">
        <v>360</v>
      </c>
      <c r="D5" s="24">
        <v>160.75</v>
      </c>
      <c r="E5" s="5" t="s">
        <v>26</v>
      </c>
      <c r="F5" s="24">
        <v>30</v>
      </c>
      <c r="G5" s="25" t="s">
        <v>34</v>
      </c>
      <c r="H5" s="24">
        <v>430</v>
      </c>
      <c r="I5" s="25" t="s">
        <v>29</v>
      </c>
      <c r="J5" s="24"/>
      <c r="K5" s="25"/>
      <c r="L5" s="5"/>
      <c r="M5" s="10">
        <f>C5 / VLOOKUP(B5,AYAR!C5:D7,2,0)</f>
        <v>0.18</v>
      </c>
      <c r="N5" s="10">
        <f t="shared" ref="N5:N10" si="0">(F5 + H5 + J5) / 540</f>
        <v>0.85185185185185186</v>
      </c>
      <c r="O5" s="26">
        <f t="shared" ref="O5:O10" si="1">(540 - (F5 + H5 + J5)) / 540</f>
        <v>0.14814814814814814</v>
      </c>
    </row>
    <row r="6" spans="1:15" s="23" customFormat="1" ht="25" customHeight="1" x14ac:dyDescent="0.2">
      <c r="A6" s="14">
        <v>46043</v>
      </c>
      <c r="B6" s="5" t="s">
        <v>20</v>
      </c>
      <c r="C6" s="24"/>
      <c r="D6" s="24">
        <v>0</v>
      </c>
      <c r="E6" s="5"/>
      <c r="F6" s="24"/>
      <c r="G6" s="25" t="s">
        <v>29</v>
      </c>
      <c r="H6" s="24">
        <v>540</v>
      </c>
      <c r="I6" s="25"/>
      <c r="J6" s="24"/>
      <c r="K6" s="25"/>
      <c r="L6" s="5" t="s">
        <v>30</v>
      </c>
      <c r="M6" s="10">
        <f>C6 / VLOOKUP(B6,AYAR!C5:D7,2,0)</f>
        <v>0</v>
      </c>
      <c r="N6" s="10">
        <f t="shared" si="0"/>
        <v>1</v>
      </c>
      <c r="O6" s="26">
        <f t="shared" si="1"/>
        <v>0</v>
      </c>
    </row>
    <row r="7" spans="1:15" s="23" customFormat="1" ht="25" customHeight="1" x14ac:dyDescent="0.2">
      <c r="A7" s="14">
        <v>46043</v>
      </c>
      <c r="B7" s="5" t="s">
        <v>24</v>
      </c>
      <c r="C7" s="24">
        <v>680</v>
      </c>
      <c r="D7" s="24">
        <v>0</v>
      </c>
      <c r="E7" s="5" t="s">
        <v>26</v>
      </c>
      <c r="F7" s="24">
        <v>30</v>
      </c>
      <c r="G7" s="25" t="s">
        <v>34</v>
      </c>
      <c r="H7" s="24">
        <v>270</v>
      </c>
      <c r="I7" s="25" t="s">
        <v>29</v>
      </c>
      <c r="J7" s="24"/>
      <c r="K7" s="25"/>
      <c r="L7" s="5"/>
      <c r="M7" s="10">
        <f>C7 / VLOOKUP(B7,AYAR!C5:D7,2,0)</f>
        <v>0.56666666666666665</v>
      </c>
      <c r="N7" s="10">
        <f t="shared" si="0"/>
        <v>0.55555555555555558</v>
      </c>
      <c r="O7" s="26">
        <f t="shared" si="1"/>
        <v>0.44444444444444442</v>
      </c>
    </row>
    <row r="8" spans="1:15" s="23" customFormat="1" ht="25" customHeight="1" x14ac:dyDescent="0.2">
      <c r="A8" s="14">
        <v>46042</v>
      </c>
      <c r="B8" s="5" t="s">
        <v>24</v>
      </c>
      <c r="C8" s="24">
        <v>665</v>
      </c>
      <c r="D8" s="24">
        <v>0</v>
      </c>
      <c r="E8" s="5" t="s">
        <v>26</v>
      </c>
      <c r="F8" s="24">
        <v>30</v>
      </c>
      <c r="G8" s="25" t="s">
        <v>34</v>
      </c>
      <c r="H8" s="24">
        <v>120</v>
      </c>
      <c r="I8" s="25" t="s">
        <v>29</v>
      </c>
      <c r="J8" s="24"/>
      <c r="K8" s="25"/>
      <c r="L8" s="5" t="s">
        <v>41</v>
      </c>
      <c r="M8" s="10">
        <f>C8 / VLOOKUP(B8,AYAR!C5:D7,2,0)</f>
        <v>0.5541666666666667</v>
      </c>
      <c r="N8" s="10">
        <f t="shared" si="0"/>
        <v>0.27777777777777779</v>
      </c>
      <c r="O8" s="26">
        <f t="shared" si="1"/>
        <v>0.72222222222222221</v>
      </c>
    </row>
    <row r="9" spans="1:15" s="23" customFormat="1" ht="25" customHeight="1" x14ac:dyDescent="0.2">
      <c r="A9" s="14">
        <v>46042</v>
      </c>
      <c r="B9" s="5" t="s">
        <v>20</v>
      </c>
      <c r="C9" s="24"/>
      <c r="D9" s="24">
        <v>0</v>
      </c>
      <c r="E9" s="5"/>
      <c r="F9" s="24"/>
      <c r="G9" s="25" t="s">
        <v>29</v>
      </c>
      <c r="H9" s="24">
        <v>540</v>
      </c>
      <c r="I9" s="25"/>
      <c r="J9" s="24"/>
      <c r="K9" s="25"/>
      <c r="L9" s="5" t="s">
        <v>30</v>
      </c>
      <c r="M9" s="10">
        <f>C9 / VLOOKUP(B9,AYAR!C5:D7,2,0)</f>
        <v>0</v>
      </c>
      <c r="N9" s="10">
        <f t="shared" si="0"/>
        <v>1</v>
      </c>
      <c r="O9" s="26">
        <f t="shared" si="1"/>
        <v>0</v>
      </c>
    </row>
    <row r="10" spans="1:15" s="23" customFormat="1" ht="25" customHeight="1" x14ac:dyDescent="0.2">
      <c r="A10" s="14">
        <v>46042</v>
      </c>
      <c r="B10" s="5" t="s">
        <v>19</v>
      </c>
      <c r="C10" s="24"/>
      <c r="D10" s="24">
        <v>0</v>
      </c>
      <c r="E10" s="5"/>
      <c r="F10" s="24"/>
      <c r="G10" s="25" t="s">
        <v>29</v>
      </c>
      <c r="H10" s="24">
        <v>540</v>
      </c>
      <c r="I10" s="25"/>
      <c r="J10" s="24"/>
      <c r="K10" s="25"/>
      <c r="L10" s="5" t="s">
        <v>30</v>
      </c>
      <c r="M10" s="10">
        <f>C10 / VLOOKUP(B10,AYAR!C5:D7,2,0)</f>
        <v>0</v>
      </c>
      <c r="N10" s="10">
        <f t="shared" si="0"/>
        <v>1</v>
      </c>
      <c r="O10" s="26">
        <f t="shared" si="1"/>
        <v>0</v>
      </c>
    </row>
    <row r="11" spans="1:15" s="23" customFormat="1" ht="25" customHeight="1" x14ac:dyDescent="0.2">
      <c r="A11" s="14">
        <v>46041</v>
      </c>
      <c r="B11" s="5" t="s">
        <v>20</v>
      </c>
      <c r="C11" s="24"/>
      <c r="D11" s="24">
        <v>0</v>
      </c>
      <c r="E11" s="5"/>
      <c r="F11" s="24"/>
      <c r="G11" s="25" t="s">
        <v>29</v>
      </c>
      <c r="H11" s="24">
        <v>540</v>
      </c>
      <c r="I11" s="25"/>
      <c r="J11" s="24"/>
      <c r="K11" s="25"/>
      <c r="L11" s="5"/>
      <c r="M11" s="10">
        <f>C11 / VLOOKUP(B11,AYAR!C5:D7,2,0)</f>
        <v>0</v>
      </c>
      <c r="N11" s="10">
        <f t="shared" ref="N11:N16" si="2">(F11 + H11 + J11) / 540</f>
        <v>1</v>
      </c>
      <c r="O11" s="26">
        <f t="shared" ref="O11:O16" si="3">(540 - (F11 + H11 + J11)) / 540</f>
        <v>0</v>
      </c>
    </row>
    <row r="12" spans="1:15" s="23" customFormat="1" ht="25" customHeight="1" x14ac:dyDescent="0.2">
      <c r="A12" s="14">
        <v>46041</v>
      </c>
      <c r="B12" s="5" t="s">
        <v>19</v>
      </c>
      <c r="C12" s="24">
        <v>562</v>
      </c>
      <c r="D12" s="24">
        <v>227.5</v>
      </c>
      <c r="E12" s="5" t="s">
        <v>26</v>
      </c>
      <c r="F12" s="24">
        <v>30</v>
      </c>
      <c r="G12" s="25" t="s">
        <v>34</v>
      </c>
      <c r="H12" s="24">
        <v>240</v>
      </c>
      <c r="I12" s="25" t="s">
        <v>29</v>
      </c>
      <c r="J12" s="24"/>
      <c r="K12" s="25"/>
      <c r="L12" s="5"/>
      <c r="M12" s="10">
        <f>C12 / VLOOKUP(B12,AYAR!C5:D7,2,0)</f>
        <v>0.28100000000000003</v>
      </c>
      <c r="N12" s="10">
        <f t="shared" si="2"/>
        <v>0.5</v>
      </c>
      <c r="O12" s="26">
        <f t="shared" si="3"/>
        <v>0.5</v>
      </c>
    </row>
    <row r="13" spans="1:15" s="23" customFormat="1" ht="25" customHeight="1" x14ac:dyDescent="0.2">
      <c r="A13" s="14">
        <v>46041</v>
      </c>
      <c r="B13" s="5" t="s">
        <v>24</v>
      </c>
      <c r="C13" s="24">
        <v>504</v>
      </c>
      <c r="D13" s="24">
        <v>0</v>
      </c>
      <c r="E13" s="5" t="s">
        <v>26</v>
      </c>
      <c r="F13" s="24">
        <v>30</v>
      </c>
      <c r="G13" s="25" t="s">
        <v>34</v>
      </c>
      <c r="H13" s="24">
        <v>400</v>
      </c>
      <c r="I13" s="25" t="s">
        <v>29</v>
      </c>
      <c r="J13" s="24"/>
      <c r="K13" s="25"/>
      <c r="L13" s="5" t="s">
        <v>40</v>
      </c>
      <c r="M13" s="10">
        <f>C13 / VLOOKUP(B13,AYAR!C5:D7,2,0)</f>
        <v>0.42</v>
      </c>
      <c r="N13" s="10">
        <f t="shared" si="2"/>
        <v>0.79629629629629628</v>
      </c>
      <c r="O13" s="26">
        <f t="shared" si="3"/>
        <v>0.20370370370370369</v>
      </c>
    </row>
    <row r="14" spans="1:15" s="23" customFormat="1" ht="25" customHeight="1" x14ac:dyDescent="0.2">
      <c r="A14" s="14">
        <v>46038</v>
      </c>
      <c r="B14" s="5" t="s">
        <v>24</v>
      </c>
      <c r="C14" s="24">
        <v>200</v>
      </c>
      <c r="D14" s="24">
        <v>0</v>
      </c>
      <c r="E14" s="5" t="s">
        <v>26</v>
      </c>
      <c r="F14" s="24">
        <v>70</v>
      </c>
      <c r="G14" s="25" t="s">
        <v>34</v>
      </c>
      <c r="H14" s="24">
        <v>410</v>
      </c>
      <c r="I14" s="25" t="s">
        <v>29</v>
      </c>
      <c r="J14" s="24"/>
      <c r="K14" s="25"/>
      <c r="L14" s="5" t="s">
        <v>39</v>
      </c>
      <c r="M14" s="10">
        <f>C14 / VLOOKUP(B14,AYAR!C5:D7,2,0)</f>
        <v>0.16666666666666666</v>
      </c>
      <c r="N14" s="10">
        <f t="shared" si="2"/>
        <v>0.88888888888888884</v>
      </c>
      <c r="O14" s="26">
        <f t="shared" si="3"/>
        <v>0.1111111111111111</v>
      </c>
    </row>
    <row r="15" spans="1:15" s="23" customFormat="1" ht="25" customHeight="1" x14ac:dyDescent="0.2">
      <c r="A15" s="14">
        <v>46038</v>
      </c>
      <c r="B15" s="5" t="s">
        <v>19</v>
      </c>
      <c r="C15" s="24">
        <v>1256</v>
      </c>
      <c r="D15" s="24">
        <v>496.75</v>
      </c>
      <c r="E15" s="5" t="s">
        <v>26</v>
      </c>
      <c r="F15" s="24">
        <v>70</v>
      </c>
      <c r="G15" s="25" t="s">
        <v>34</v>
      </c>
      <c r="H15" s="24">
        <v>60</v>
      </c>
      <c r="I15" s="25" t="s">
        <v>29</v>
      </c>
      <c r="J15" s="24"/>
      <c r="K15" s="25"/>
      <c r="L15" s="5"/>
      <c r="M15" s="10">
        <f>C15 / VLOOKUP(B15,AYAR!C5:D7,2,0)</f>
        <v>0.628</v>
      </c>
      <c r="N15" s="10">
        <f t="shared" si="2"/>
        <v>0.24074074074074073</v>
      </c>
      <c r="O15" s="26">
        <f t="shared" si="3"/>
        <v>0.7592592592592593</v>
      </c>
    </row>
    <row r="16" spans="1:15" s="23" customFormat="1" ht="25" customHeight="1" x14ac:dyDescent="0.2">
      <c r="A16" s="14">
        <v>46038</v>
      </c>
      <c r="B16" s="5" t="s">
        <v>20</v>
      </c>
      <c r="C16" s="24"/>
      <c r="D16" s="24">
        <v>0</v>
      </c>
      <c r="E16" s="5"/>
      <c r="F16" s="24"/>
      <c r="G16" s="25"/>
      <c r="H16" s="24">
        <v>540</v>
      </c>
      <c r="I16" s="25" t="s">
        <v>29</v>
      </c>
      <c r="J16" s="24"/>
      <c r="K16" s="25"/>
      <c r="L16" s="5" t="s">
        <v>30</v>
      </c>
      <c r="M16" s="10">
        <f>C16 / VLOOKUP(B16,AYAR!C5:D7,2,0)</f>
        <v>0</v>
      </c>
      <c r="N16" s="10">
        <f t="shared" si="2"/>
        <v>1</v>
      </c>
      <c r="O16" s="26">
        <f t="shared" si="3"/>
        <v>0</v>
      </c>
    </row>
    <row r="17" spans="1:15" s="23" customFormat="1" ht="25" customHeight="1" x14ac:dyDescent="0.2">
      <c r="A17" s="14">
        <v>46037</v>
      </c>
      <c r="B17" s="5" t="s">
        <v>24</v>
      </c>
      <c r="C17" s="24">
        <v>465</v>
      </c>
      <c r="D17" s="24">
        <v>0</v>
      </c>
      <c r="E17" s="5" t="s">
        <v>26</v>
      </c>
      <c r="F17" s="24">
        <v>30</v>
      </c>
      <c r="G17" s="25" t="s">
        <v>34</v>
      </c>
      <c r="H17" s="24">
        <v>330</v>
      </c>
      <c r="I17" s="25" t="s">
        <v>29</v>
      </c>
      <c r="J17" s="24"/>
      <c r="K17" s="25"/>
      <c r="L17" s="5" t="s">
        <v>39</v>
      </c>
      <c r="M17" s="10">
        <f>C17 / VLOOKUP(B17,AYAR!C5:D7,2,0)</f>
        <v>0.38750000000000001</v>
      </c>
      <c r="N17" s="10">
        <f t="shared" ref="N17:N22" si="4">(F17 + H17 + J17) / 540</f>
        <v>0.66666666666666663</v>
      </c>
      <c r="O17" s="26">
        <f t="shared" ref="O17:O22" si="5">(540 - (F17 + H17 + J17)) / 540</f>
        <v>0.33333333333333331</v>
      </c>
    </row>
    <row r="18" spans="1:15" s="23" customFormat="1" ht="25" customHeight="1" x14ac:dyDescent="0.2">
      <c r="A18" s="14">
        <v>46037</v>
      </c>
      <c r="B18" s="5" t="s">
        <v>20</v>
      </c>
      <c r="C18" s="24"/>
      <c r="D18" s="24">
        <v>0</v>
      </c>
      <c r="E18" s="5"/>
      <c r="F18" s="24"/>
      <c r="G18" s="25"/>
      <c r="H18" s="24">
        <v>540</v>
      </c>
      <c r="I18" s="25" t="s">
        <v>29</v>
      </c>
      <c r="J18" s="24"/>
      <c r="K18" s="25"/>
      <c r="L18" s="5" t="s">
        <v>30</v>
      </c>
      <c r="M18" s="10">
        <f>C18 / VLOOKUP(B18,AYAR!C5:D7,2,0)</f>
        <v>0</v>
      </c>
      <c r="N18" s="10">
        <f t="shared" si="4"/>
        <v>1</v>
      </c>
      <c r="O18" s="26">
        <f t="shared" si="5"/>
        <v>0</v>
      </c>
    </row>
    <row r="19" spans="1:15" s="23" customFormat="1" ht="25" customHeight="1" x14ac:dyDescent="0.2">
      <c r="A19" s="14">
        <v>46037</v>
      </c>
      <c r="B19" s="5" t="s">
        <v>19</v>
      </c>
      <c r="C19" s="24">
        <v>572</v>
      </c>
      <c r="D19" s="24">
        <v>218</v>
      </c>
      <c r="E19" s="5" t="s">
        <v>26</v>
      </c>
      <c r="F19" s="24">
        <v>30</v>
      </c>
      <c r="G19" s="25" t="s">
        <v>34</v>
      </c>
      <c r="H19" s="24">
        <v>240</v>
      </c>
      <c r="I19" s="25" t="s">
        <v>29</v>
      </c>
      <c r="J19" s="24"/>
      <c r="K19" s="25"/>
      <c r="L19" s="5"/>
      <c r="M19" s="10">
        <f>C19 / VLOOKUP(B19,AYAR!C5:D7,2,0)</f>
        <v>0.28599999999999998</v>
      </c>
      <c r="N19" s="10">
        <f t="shared" si="4"/>
        <v>0.5</v>
      </c>
      <c r="O19" s="26">
        <f t="shared" si="5"/>
        <v>0.5</v>
      </c>
    </row>
    <row r="20" spans="1:15" s="23" customFormat="1" ht="25" customHeight="1" x14ac:dyDescent="0.2">
      <c r="A20" s="14">
        <v>46036</v>
      </c>
      <c r="B20" s="5" t="s">
        <v>19</v>
      </c>
      <c r="C20" s="24">
        <v>661</v>
      </c>
      <c r="D20" s="24">
        <v>298</v>
      </c>
      <c r="E20" s="5" t="s">
        <v>26</v>
      </c>
      <c r="F20" s="24">
        <v>30</v>
      </c>
      <c r="G20" s="25" t="s">
        <v>34</v>
      </c>
      <c r="H20" s="24">
        <v>270</v>
      </c>
      <c r="I20" s="25" t="s">
        <v>29</v>
      </c>
      <c r="J20" s="24"/>
      <c r="K20" s="25"/>
      <c r="L20" s="5"/>
      <c r="M20" s="10">
        <f>C20 / VLOOKUP(B20,AYAR!C5:D7,2,0)</f>
        <v>0.33050000000000002</v>
      </c>
      <c r="N20" s="10">
        <f t="shared" si="4"/>
        <v>0.55555555555555558</v>
      </c>
      <c r="O20" s="26">
        <f t="shared" si="5"/>
        <v>0.44444444444444442</v>
      </c>
    </row>
    <row r="21" spans="1:15" s="23" customFormat="1" ht="25" customHeight="1" x14ac:dyDescent="0.2">
      <c r="A21" s="14">
        <v>46036</v>
      </c>
      <c r="B21" s="5" t="s">
        <v>20</v>
      </c>
      <c r="C21" s="24">
        <v>1482</v>
      </c>
      <c r="D21" s="24">
        <v>706.5</v>
      </c>
      <c r="E21" s="5" t="s">
        <v>26</v>
      </c>
      <c r="F21" s="24">
        <v>30</v>
      </c>
      <c r="G21" s="25" t="s">
        <v>34</v>
      </c>
      <c r="H21" s="24">
        <v>90</v>
      </c>
      <c r="I21" s="25" t="s">
        <v>37</v>
      </c>
      <c r="J21" s="24">
        <v>75</v>
      </c>
      <c r="K21" s="25" t="s">
        <v>29</v>
      </c>
      <c r="L21" s="5" t="s">
        <v>38</v>
      </c>
      <c r="M21" s="10">
        <f>C21 / VLOOKUP(B21,AYAR!C5:D7,2,0)</f>
        <v>0.3705</v>
      </c>
      <c r="N21" s="10">
        <f t="shared" si="4"/>
        <v>0.3611111111111111</v>
      </c>
      <c r="O21" s="26">
        <f t="shared" si="5"/>
        <v>0.63888888888888884</v>
      </c>
    </row>
    <row r="22" spans="1:15" s="23" customFormat="1" ht="25" customHeight="1" x14ac:dyDescent="0.2">
      <c r="A22" s="14">
        <v>46036</v>
      </c>
      <c r="B22" s="5" t="s">
        <v>24</v>
      </c>
      <c r="C22" s="24"/>
      <c r="D22" s="24">
        <v>0</v>
      </c>
      <c r="E22" s="5"/>
      <c r="F22" s="24"/>
      <c r="G22" s="25"/>
      <c r="H22" s="24">
        <v>540</v>
      </c>
      <c r="I22" s="25" t="s">
        <v>29</v>
      </c>
      <c r="J22" s="24"/>
      <c r="K22" s="25"/>
      <c r="L22" s="5" t="s">
        <v>30</v>
      </c>
      <c r="M22" s="10">
        <f>C22 / VLOOKUP(B22,AYAR!C5:D7,2,0)</f>
        <v>0</v>
      </c>
      <c r="N22" s="10">
        <f t="shared" si="4"/>
        <v>1</v>
      </c>
      <c r="O22" s="26">
        <f t="shared" si="5"/>
        <v>0</v>
      </c>
    </row>
    <row r="23" spans="1:15" s="23" customFormat="1" ht="25" customHeight="1" x14ac:dyDescent="0.2">
      <c r="A23" s="14">
        <v>46035</v>
      </c>
      <c r="B23" s="5" t="s">
        <v>20</v>
      </c>
      <c r="C23" s="24">
        <v>982</v>
      </c>
      <c r="D23" s="24">
        <v>469</v>
      </c>
      <c r="E23" s="5" t="s">
        <v>26</v>
      </c>
      <c r="F23" s="24">
        <v>30</v>
      </c>
      <c r="G23" s="25" t="s">
        <v>34</v>
      </c>
      <c r="H23" s="24">
        <v>270</v>
      </c>
      <c r="I23" s="25" t="s">
        <v>29</v>
      </c>
      <c r="J23" s="24"/>
      <c r="K23" s="25"/>
      <c r="L23" s="5"/>
      <c r="M23" s="10">
        <f>C23 / VLOOKUP(B23,AYAR!C5:D7,2,0)</f>
        <v>0.2455</v>
      </c>
      <c r="N23" s="10">
        <f t="shared" ref="N23:N28" si="6">(F23 + H23 + J23) / 540</f>
        <v>0.55555555555555558</v>
      </c>
      <c r="O23" s="26">
        <f t="shared" ref="O23:O28" si="7">(540 - (F23 + H23 + J23)) / 540</f>
        <v>0.44444444444444442</v>
      </c>
    </row>
    <row r="24" spans="1:15" s="23" customFormat="1" ht="25" customHeight="1" x14ac:dyDescent="0.2">
      <c r="A24" s="14">
        <v>46035</v>
      </c>
      <c r="B24" s="5" t="s">
        <v>19</v>
      </c>
      <c r="C24" s="24">
        <v>796</v>
      </c>
      <c r="D24" s="24">
        <v>343</v>
      </c>
      <c r="E24" s="5" t="s">
        <v>26</v>
      </c>
      <c r="F24" s="24">
        <v>30</v>
      </c>
      <c r="G24" s="25" t="s">
        <v>34</v>
      </c>
      <c r="H24" s="24">
        <v>120</v>
      </c>
      <c r="I24" s="25" t="s">
        <v>29</v>
      </c>
      <c r="J24" s="24"/>
      <c r="K24" s="25"/>
      <c r="L24" s="5"/>
      <c r="M24" s="10">
        <f>C24 / VLOOKUP(B24,AYAR!C5:D7,2,0)</f>
        <v>0.39800000000000002</v>
      </c>
      <c r="N24" s="10">
        <f t="shared" si="6"/>
        <v>0.27777777777777779</v>
      </c>
      <c r="O24" s="26">
        <f t="shared" si="7"/>
        <v>0.72222222222222221</v>
      </c>
    </row>
    <row r="25" spans="1:15" s="23" customFormat="1" ht="25" customHeight="1" x14ac:dyDescent="0.2">
      <c r="A25" s="14">
        <v>46035</v>
      </c>
      <c r="B25" s="5" t="s">
        <v>24</v>
      </c>
      <c r="C25" s="24">
        <v>180</v>
      </c>
      <c r="D25" s="24">
        <v>0</v>
      </c>
      <c r="E25" s="5" t="s">
        <v>26</v>
      </c>
      <c r="F25" s="24">
        <v>30</v>
      </c>
      <c r="G25" s="25" t="s">
        <v>34</v>
      </c>
      <c r="H25" s="24">
        <v>400</v>
      </c>
      <c r="I25" s="25" t="s">
        <v>29</v>
      </c>
      <c r="J25" s="24"/>
      <c r="K25" s="25"/>
      <c r="L25" s="5"/>
      <c r="M25" s="10">
        <f>C25 / VLOOKUP(B25,AYAR!C5:D7,2,0)</f>
        <v>0.15</v>
      </c>
      <c r="N25" s="10">
        <f t="shared" si="6"/>
        <v>0.79629629629629628</v>
      </c>
      <c r="O25" s="26">
        <f t="shared" si="7"/>
        <v>0.20370370370370369</v>
      </c>
    </row>
    <row r="26" spans="1:15" s="23" customFormat="1" ht="25" customHeight="1" x14ac:dyDescent="0.2">
      <c r="A26" s="14">
        <v>46034</v>
      </c>
      <c r="B26" s="5" t="s">
        <v>20</v>
      </c>
      <c r="C26" s="24">
        <v>320</v>
      </c>
      <c r="D26" s="24">
        <v>255</v>
      </c>
      <c r="E26" s="5" t="s">
        <v>26</v>
      </c>
      <c r="F26" s="24">
        <v>30</v>
      </c>
      <c r="G26" s="25" t="s">
        <v>34</v>
      </c>
      <c r="H26" s="24">
        <v>450</v>
      </c>
      <c r="I26" s="25" t="s">
        <v>29</v>
      </c>
      <c r="J26" s="24"/>
      <c r="K26" s="25"/>
      <c r="L26" s="5"/>
      <c r="M26" s="10">
        <f>C26 / VLOOKUP(B26,AYAR!C5:D7,2,0)</f>
        <v>0.08</v>
      </c>
      <c r="N26" s="10">
        <f t="shared" si="6"/>
        <v>0.88888888888888884</v>
      </c>
      <c r="O26" s="26">
        <f t="shared" si="7"/>
        <v>0.1111111111111111</v>
      </c>
    </row>
    <row r="27" spans="1:15" s="23" customFormat="1" ht="25" customHeight="1" x14ac:dyDescent="0.2">
      <c r="A27" s="14">
        <v>46034</v>
      </c>
      <c r="B27" s="5" t="s">
        <v>19</v>
      </c>
      <c r="C27" s="24">
        <v>608</v>
      </c>
      <c r="D27" s="24">
        <v>302.75</v>
      </c>
      <c r="E27" s="5" t="s">
        <v>26</v>
      </c>
      <c r="F27" s="24">
        <v>30</v>
      </c>
      <c r="G27" s="25" t="s">
        <v>34</v>
      </c>
      <c r="H27" s="24">
        <v>350</v>
      </c>
      <c r="I27" s="25" t="s">
        <v>29</v>
      </c>
      <c r="J27" s="24"/>
      <c r="K27" s="25"/>
      <c r="L27" s="5"/>
      <c r="M27" s="10">
        <f>C27 / VLOOKUP(B27,AYAR!C5:D7,2,0)</f>
        <v>0.30399999999999999</v>
      </c>
      <c r="N27" s="10">
        <f t="shared" si="6"/>
        <v>0.70370370370370372</v>
      </c>
      <c r="O27" s="26">
        <f t="shared" si="7"/>
        <v>0.29629629629629628</v>
      </c>
    </row>
    <row r="28" spans="1:15" s="23" customFormat="1" ht="25" customHeight="1" x14ac:dyDescent="0.2">
      <c r="A28" s="14">
        <v>46034</v>
      </c>
      <c r="B28" s="5" t="s">
        <v>24</v>
      </c>
      <c r="C28" s="24">
        <v>627</v>
      </c>
      <c r="D28" s="24">
        <v>0</v>
      </c>
      <c r="E28" s="5" t="s">
        <v>26</v>
      </c>
      <c r="F28" s="24">
        <v>30</v>
      </c>
      <c r="G28" s="25" t="s">
        <v>34</v>
      </c>
      <c r="H28" s="24">
        <v>400</v>
      </c>
      <c r="I28" s="25" t="s">
        <v>29</v>
      </c>
      <c r="J28" s="24"/>
      <c r="K28" s="25"/>
      <c r="L28" s="5" t="s">
        <v>36</v>
      </c>
      <c r="M28" s="10">
        <f>C28 / VLOOKUP(B28,AYAR!C5:D7,2,0)</f>
        <v>0.52249999999999996</v>
      </c>
      <c r="N28" s="10">
        <f t="shared" si="6"/>
        <v>0.79629629629629628</v>
      </c>
      <c r="O28" s="26">
        <f t="shared" si="7"/>
        <v>0.20370370370370369</v>
      </c>
    </row>
    <row r="29" spans="1:15" s="23" customFormat="1" ht="25" customHeight="1" x14ac:dyDescent="0.2">
      <c r="A29" s="14">
        <v>46031</v>
      </c>
      <c r="B29" s="5" t="s">
        <v>20</v>
      </c>
      <c r="C29" s="24">
        <v>1326</v>
      </c>
      <c r="D29" s="24">
        <v>553.5</v>
      </c>
      <c r="E29" s="5" t="s">
        <v>26</v>
      </c>
      <c r="F29" s="24">
        <v>30</v>
      </c>
      <c r="G29" s="25" t="s">
        <v>34</v>
      </c>
      <c r="H29" s="24">
        <v>90</v>
      </c>
      <c r="I29" s="25" t="s">
        <v>29</v>
      </c>
      <c r="J29" s="24">
        <v>60</v>
      </c>
      <c r="K29" s="25" t="s">
        <v>27</v>
      </c>
      <c r="L29" s="5" t="s">
        <v>35</v>
      </c>
      <c r="M29" s="10">
        <f>C29 / VLOOKUP(B29,AYAR!C5:D7,2,0)</f>
        <v>0.33150000000000002</v>
      </c>
      <c r="N29" s="10">
        <f t="shared" ref="N29:N34" si="8">(F29 + H29 + J29) / 540</f>
        <v>0.33333333333333331</v>
      </c>
      <c r="O29" s="26">
        <f t="shared" ref="O29:O34" si="9">(540 - (F29 + H29 + J29)) / 540</f>
        <v>0.66666666666666663</v>
      </c>
    </row>
    <row r="30" spans="1:15" s="23" customFormat="1" ht="25" customHeight="1" x14ac:dyDescent="0.2">
      <c r="A30" s="14">
        <v>46031</v>
      </c>
      <c r="B30" s="5" t="s">
        <v>19</v>
      </c>
      <c r="C30" s="24">
        <v>875</v>
      </c>
      <c r="D30" s="24">
        <v>355</v>
      </c>
      <c r="E30" s="5" t="s">
        <v>26</v>
      </c>
      <c r="F30" s="24">
        <v>30</v>
      </c>
      <c r="G30" s="25" t="s">
        <v>34</v>
      </c>
      <c r="H30" s="24">
        <v>60</v>
      </c>
      <c r="I30" s="25" t="s">
        <v>29</v>
      </c>
      <c r="J30" s="24">
        <v>60</v>
      </c>
      <c r="K30" s="25" t="s">
        <v>27</v>
      </c>
      <c r="L30" s="5"/>
      <c r="M30" s="10">
        <f>C30 / VLOOKUP(B30,AYAR!C5:D7,2,0)</f>
        <v>0.4375</v>
      </c>
      <c r="N30" s="10">
        <f t="shared" si="8"/>
        <v>0.27777777777777779</v>
      </c>
      <c r="O30" s="26">
        <f t="shared" si="9"/>
        <v>0.72222222222222221</v>
      </c>
    </row>
    <row r="31" spans="1:15" s="23" customFormat="1" ht="25" customHeight="1" x14ac:dyDescent="0.2">
      <c r="A31" s="14">
        <v>46031</v>
      </c>
      <c r="B31" s="5" t="s">
        <v>24</v>
      </c>
      <c r="C31" s="24"/>
      <c r="D31" s="24">
        <v>0</v>
      </c>
      <c r="E31" s="5"/>
      <c r="F31" s="24"/>
      <c r="G31" s="25"/>
      <c r="H31" s="24"/>
      <c r="I31" s="25" t="s">
        <v>29</v>
      </c>
      <c r="J31" s="24">
        <v>540</v>
      </c>
      <c r="K31" s="25"/>
      <c r="L31" s="5"/>
      <c r="M31" s="10">
        <f>C31 / VLOOKUP(B31,AYAR!C5:D7,2,0)</f>
        <v>0</v>
      </c>
      <c r="N31" s="10">
        <f t="shared" si="8"/>
        <v>1</v>
      </c>
      <c r="O31" s="26">
        <f t="shared" si="9"/>
        <v>0</v>
      </c>
    </row>
    <row r="32" spans="1:15" s="23" customFormat="1" ht="25" customHeight="1" x14ac:dyDescent="0.2">
      <c r="A32" s="14">
        <v>46030</v>
      </c>
      <c r="B32" s="5" t="s">
        <v>20</v>
      </c>
      <c r="C32" s="24">
        <v>172</v>
      </c>
      <c r="D32" s="24">
        <v>48</v>
      </c>
      <c r="E32" s="5" t="s">
        <v>26</v>
      </c>
      <c r="F32" s="24">
        <v>30</v>
      </c>
      <c r="G32" s="25" t="s">
        <v>34</v>
      </c>
      <c r="H32" s="24">
        <v>420</v>
      </c>
      <c r="I32" s="25" t="s">
        <v>29</v>
      </c>
      <c r="J32" s="24"/>
      <c r="K32" s="25"/>
      <c r="L32" s="5"/>
      <c r="M32" s="10">
        <f>C32 / VLOOKUP(B32,AYAR!C5:D7,2,0)</f>
        <v>4.2999999999999997E-2</v>
      </c>
      <c r="N32" s="10">
        <f t="shared" si="8"/>
        <v>0.83333333333333337</v>
      </c>
      <c r="O32" s="26">
        <f t="shared" si="9"/>
        <v>0.16666666666666666</v>
      </c>
    </row>
    <row r="33" spans="1:15" s="23" customFormat="1" ht="25" customHeight="1" x14ac:dyDescent="0.2">
      <c r="A33" s="14">
        <v>46030</v>
      </c>
      <c r="B33" s="5" t="s">
        <v>24</v>
      </c>
      <c r="C33" s="24">
        <v>377</v>
      </c>
      <c r="D33" s="24">
        <v>0</v>
      </c>
      <c r="E33" s="5" t="s">
        <v>26</v>
      </c>
      <c r="F33" s="24">
        <v>30</v>
      </c>
      <c r="G33" s="25" t="s">
        <v>34</v>
      </c>
      <c r="H33" s="24">
        <v>390</v>
      </c>
      <c r="I33" s="25" t="s">
        <v>29</v>
      </c>
      <c r="J33" s="24"/>
      <c r="K33" s="25"/>
      <c r="L33" s="5"/>
      <c r="M33" s="10">
        <f>C33 / VLOOKUP(B33,AYAR!C5:D7,2,0)</f>
        <v>0.31416666666666665</v>
      </c>
      <c r="N33" s="10">
        <f t="shared" si="8"/>
        <v>0.77777777777777779</v>
      </c>
      <c r="O33" s="26">
        <f t="shared" si="9"/>
        <v>0.22222222222222221</v>
      </c>
    </row>
    <row r="34" spans="1:15" s="23" customFormat="1" ht="25" customHeight="1" x14ac:dyDescent="0.2">
      <c r="A34" s="14">
        <v>46030</v>
      </c>
      <c r="B34" s="5" t="s">
        <v>19</v>
      </c>
      <c r="C34" s="24">
        <v>1214</v>
      </c>
      <c r="D34" s="24">
        <v>565.25</v>
      </c>
      <c r="E34" s="5" t="s">
        <v>26</v>
      </c>
      <c r="F34" s="24">
        <v>30</v>
      </c>
      <c r="G34" s="25" t="s">
        <v>34</v>
      </c>
      <c r="H34" s="24">
        <v>120</v>
      </c>
      <c r="I34" s="25" t="s">
        <v>29</v>
      </c>
      <c r="J34" s="24"/>
      <c r="K34" s="25"/>
      <c r="L34" s="5"/>
      <c r="M34" s="10">
        <f>C34 / VLOOKUP(B34,AYAR!C5:D7,2,0)</f>
        <v>0.60699999999999998</v>
      </c>
      <c r="N34" s="10">
        <f t="shared" si="8"/>
        <v>0.27777777777777779</v>
      </c>
      <c r="O34" s="26">
        <f t="shared" si="9"/>
        <v>0.72222222222222221</v>
      </c>
    </row>
    <row r="35" spans="1:15" ht="24.75" customHeight="1" x14ac:dyDescent="0.2">
      <c r="A35" s="14">
        <v>46029</v>
      </c>
      <c r="B35" s="5" t="s">
        <v>20</v>
      </c>
      <c r="C35" s="5">
        <v>1380</v>
      </c>
      <c r="D35" s="5">
        <v>990</v>
      </c>
      <c r="E35" s="5" t="s">
        <v>26</v>
      </c>
      <c r="F35" s="5">
        <v>15</v>
      </c>
      <c r="G35" s="5" t="s">
        <v>25</v>
      </c>
      <c r="H35" s="5">
        <v>15</v>
      </c>
      <c r="I35" s="5" t="s">
        <v>27</v>
      </c>
      <c r="J35" s="5">
        <v>330</v>
      </c>
      <c r="K35" s="5" t="s">
        <v>29</v>
      </c>
      <c r="L35" s="5"/>
      <c r="M35" s="10">
        <f>C35/VLOOKUP(B35,AYAR!C5:D7,2,0)</f>
        <v>0.34499999999999997</v>
      </c>
      <c r="N35" s="10">
        <f t="shared" ref="N35:N40" si="10">(F35+H35+J35)/540</f>
        <v>0.66666666666666663</v>
      </c>
      <c r="O35" s="10">
        <f t="shared" ref="O35:O40" si="11">(540-(F35+H35+J35))/540</f>
        <v>0.33333333333333331</v>
      </c>
    </row>
    <row r="36" spans="1:15" ht="24.75" customHeight="1" x14ac:dyDescent="0.2">
      <c r="A36" s="14">
        <v>46029</v>
      </c>
      <c r="B36" s="5" t="s">
        <v>19</v>
      </c>
      <c r="C36" s="5">
        <v>520</v>
      </c>
      <c r="D36" s="5">
        <v>893</v>
      </c>
      <c r="E36" s="5" t="s">
        <v>26</v>
      </c>
      <c r="F36" s="5">
        <v>15</v>
      </c>
      <c r="G36" s="5" t="s">
        <v>25</v>
      </c>
      <c r="H36" s="5">
        <v>15</v>
      </c>
      <c r="I36" s="5" t="s">
        <v>27</v>
      </c>
      <c r="J36" s="5">
        <v>180</v>
      </c>
      <c r="K36" s="5" t="s">
        <v>29</v>
      </c>
      <c r="L36" s="5"/>
      <c r="M36" s="10">
        <f>C36/VLOOKUP(B36,AYAR!C5:D7,2,0)</f>
        <v>0.26</v>
      </c>
      <c r="N36" s="10">
        <f t="shared" si="10"/>
        <v>0.3888888888888889</v>
      </c>
      <c r="O36" s="10">
        <f t="shared" si="11"/>
        <v>0.61111111111111116</v>
      </c>
    </row>
    <row r="37" spans="1:15" ht="24.75" customHeight="1" x14ac:dyDescent="0.2">
      <c r="A37" s="14">
        <v>46029</v>
      </c>
      <c r="B37" s="5" t="s">
        <v>24</v>
      </c>
      <c r="C37" s="5">
        <v>997</v>
      </c>
      <c r="D37" s="5"/>
      <c r="E37" s="5" t="s">
        <v>26</v>
      </c>
      <c r="F37" s="5">
        <v>15</v>
      </c>
      <c r="G37" s="5" t="s">
        <v>25</v>
      </c>
      <c r="H37" s="5">
        <v>15</v>
      </c>
      <c r="I37" s="5" t="s">
        <v>27</v>
      </c>
      <c r="J37" s="5">
        <v>60</v>
      </c>
      <c r="K37" s="5" t="s">
        <v>29</v>
      </c>
      <c r="L37" s="5"/>
      <c r="M37" s="10">
        <f>C37/VLOOKUP(B37,AYAR!C5:D7,2,0)</f>
        <v>0.83083333333333331</v>
      </c>
      <c r="N37" s="10">
        <f t="shared" si="10"/>
        <v>0.16666666666666666</v>
      </c>
      <c r="O37" s="10">
        <f t="shared" si="11"/>
        <v>0.83333333333333337</v>
      </c>
    </row>
    <row r="38" spans="1:15" ht="24.75" customHeight="1" x14ac:dyDescent="0.2">
      <c r="A38" s="14">
        <v>46028</v>
      </c>
      <c r="B38" s="5" t="s">
        <v>20</v>
      </c>
      <c r="C38" s="5">
        <v>1874</v>
      </c>
      <c r="D38" s="5">
        <v>1424</v>
      </c>
      <c r="E38" s="5" t="s">
        <v>26</v>
      </c>
      <c r="F38" s="5">
        <v>15</v>
      </c>
      <c r="G38" s="5" t="s">
        <v>25</v>
      </c>
      <c r="H38" s="5">
        <v>15</v>
      </c>
      <c r="I38" s="5" t="s">
        <v>27</v>
      </c>
      <c r="J38" s="5">
        <v>330</v>
      </c>
      <c r="K38" s="5" t="s">
        <v>29</v>
      </c>
      <c r="L38" s="5"/>
      <c r="M38" s="10">
        <f>C38/VLOOKUP(B38,AYAR!C5:D7,2,0)</f>
        <v>0.46850000000000003</v>
      </c>
      <c r="N38" s="10">
        <f t="shared" si="10"/>
        <v>0.66666666666666663</v>
      </c>
      <c r="O38" s="10">
        <f t="shared" si="11"/>
        <v>0.33333333333333331</v>
      </c>
    </row>
    <row r="39" spans="1:15" ht="24.75" customHeight="1" x14ac:dyDescent="0.2">
      <c r="A39" s="14">
        <v>46028</v>
      </c>
      <c r="B39" s="5" t="s">
        <v>19</v>
      </c>
      <c r="C39" s="5">
        <v>503</v>
      </c>
      <c r="D39" s="5">
        <v>900</v>
      </c>
      <c r="E39" s="5" t="s">
        <v>26</v>
      </c>
      <c r="F39" s="5">
        <v>15</v>
      </c>
      <c r="G39" s="5" t="s">
        <v>25</v>
      </c>
      <c r="H39" s="5">
        <v>15</v>
      </c>
      <c r="I39" s="5" t="s">
        <v>27</v>
      </c>
      <c r="J39" s="5">
        <v>230</v>
      </c>
      <c r="K39" s="5" t="s">
        <v>29</v>
      </c>
      <c r="L39" s="5"/>
      <c r="M39" s="10">
        <f>C39/VLOOKUP(B39,AYAR!C5:D7,2,0)</f>
        <v>0.2515</v>
      </c>
      <c r="N39" s="10">
        <f t="shared" si="10"/>
        <v>0.48148148148148145</v>
      </c>
      <c r="O39" s="10">
        <f t="shared" si="11"/>
        <v>0.51851851851851849</v>
      </c>
    </row>
    <row r="40" spans="1:15" ht="24.75" customHeight="1" x14ac:dyDescent="0.2">
      <c r="A40" s="14">
        <v>46028</v>
      </c>
      <c r="B40" s="5" t="s">
        <v>24</v>
      </c>
      <c r="C40" s="5">
        <v>1099</v>
      </c>
      <c r="D40" s="5"/>
      <c r="E40" s="5" t="s">
        <v>26</v>
      </c>
      <c r="F40" s="5">
        <v>15</v>
      </c>
      <c r="G40" s="5" t="s">
        <v>25</v>
      </c>
      <c r="H40" s="5">
        <v>15</v>
      </c>
      <c r="I40" s="5" t="s">
        <v>27</v>
      </c>
      <c r="J40" s="5">
        <v>45</v>
      </c>
      <c r="K40" s="5" t="s">
        <v>31</v>
      </c>
      <c r="L40" s="5" t="s">
        <v>33</v>
      </c>
      <c r="M40" s="10">
        <f>C40/VLOOKUP(B40,AYAR!C5:D7,2,0)</f>
        <v>0.91583333333333339</v>
      </c>
      <c r="N40" s="10">
        <f t="shared" si="10"/>
        <v>0.1388888888888889</v>
      </c>
      <c r="O40" s="10">
        <f t="shared" si="11"/>
        <v>0.86111111111111116</v>
      </c>
    </row>
    <row r="41" spans="1:15" ht="24.75" customHeight="1" x14ac:dyDescent="0.2">
      <c r="A41" s="14">
        <v>46027</v>
      </c>
      <c r="B41" s="5" t="s">
        <v>19</v>
      </c>
      <c r="C41" s="5">
        <v>143</v>
      </c>
      <c r="D41" s="5">
        <v>225</v>
      </c>
      <c r="E41" s="5" t="s">
        <v>26</v>
      </c>
      <c r="F41" s="5">
        <v>15</v>
      </c>
      <c r="G41" s="5" t="s">
        <v>25</v>
      </c>
      <c r="H41" s="5">
        <v>15</v>
      </c>
      <c r="I41" s="5" t="s">
        <v>27</v>
      </c>
      <c r="J41" s="5">
        <v>450</v>
      </c>
      <c r="K41" s="5" t="s">
        <v>29</v>
      </c>
      <c r="L41" s="5"/>
      <c r="M41" s="10">
        <f>C41/VLOOKUP(B41,AYAR!C5:D7,2,0)</f>
        <v>7.1499999999999994E-2</v>
      </c>
      <c r="N41" s="10">
        <f t="shared" ref="N41:N43" si="12">(F41+H41+J41)/540</f>
        <v>0.88888888888888884</v>
      </c>
      <c r="O41" s="10">
        <f t="shared" ref="O41:O43" si="13">(540-(F41+H41+J41))/540</f>
        <v>0.1111111111111111</v>
      </c>
    </row>
    <row r="42" spans="1:15" ht="24.75" customHeight="1" x14ac:dyDescent="0.2">
      <c r="A42" s="14">
        <v>46027</v>
      </c>
      <c r="B42" s="5" t="s">
        <v>24</v>
      </c>
      <c r="C42" s="5"/>
      <c r="D42" s="5"/>
      <c r="E42" s="5"/>
      <c r="F42" s="5"/>
      <c r="G42" s="5"/>
      <c r="H42" s="5"/>
      <c r="I42" s="5"/>
      <c r="J42" s="5">
        <v>540</v>
      </c>
      <c r="K42" s="5" t="s">
        <v>29</v>
      </c>
      <c r="L42" s="5" t="s">
        <v>30</v>
      </c>
      <c r="M42" s="10">
        <f>C42/VLOOKUP(B42,AYAR!C5:D7,2,0)</f>
        <v>0</v>
      </c>
      <c r="N42" s="10">
        <f t="shared" si="12"/>
        <v>1</v>
      </c>
      <c r="O42" s="10">
        <f t="shared" si="13"/>
        <v>0</v>
      </c>
    </row>
    <row r="43" spans="1:15" ht="24.75" customHeight="1" x14ac:dyDescent="0.2">
      <c r="A43" s="14">
        <v>46027</v>
      </c>
      <c r="B43" s="5" t="s">
        <v>20</v>
      </c>
      <c r="C43" s="5">
        <v>3192</v>
      </c>
      <c r="D43" s="5">
        <v>2511</v>
      </c>
      <c r="E43" s="5" t="s">
        <v>26</v>
      </c>
      <c r="F43" s="5">
        <v>15</v>
      </c>
      <c r="G43" s="5" t="s">
        <v>25</v>
      </c>
      <c r="H43" s="5">
        <v>15</v>
      </c>
      <c r="I43" s="5" t="s">
        <v>27</v>
      </c>
      <c r="J43" s="5">
        <v>60</v>
      </c>
      <c r="K43" s="5" t="s">
        <v>32</v>
      </c>
      <c r="L43" s="5"/>
      <c r="M43" s="10">
        <f>C43/VLOOKUP(B43,AYAR!C5:D7,2,0)</f>
        <v>0.79800000000000004</v>
      </c>
      <c r="N43" s="10">
        <f t="shared" si="12"/>
        <v>0.16666666666666666</v>
      </c>
      <c r="O43" s="10">
        <f t="shared" si="13"/>
        <v>0.83333333333333337</v>
      </c>
    </row>
    <row r="44" spans="1:15" ht="30" customHeight="1" x14ac:dyDescent="0.2">
      <c r="A44" s="14"/>
      <c r="B44" s="5"/>
      <c r="C44" s="11"/>
      <c r="D44" s="11"/>
      <c r="E44" s="8"/>
      <c r="F44" s="11"/>
      <c r="G44" s="5"/>
      <c r="H44" s="11"/>
      <c r="I44" s="5"/>
      <c r="J44" s="11"/>
      <c r="K44" s="5"/>
      <c r="L44" s="8"/>
      <c r="M44" s="10"/>
      <c r="N44" s="10"/>
      <c r="O44" s="10"/>
    </row>
    <row r="45" spans="1:15" ht="30" customHeight="1" x14ac:dyDescent="0.2">
      <c r="A45" s="14"/>
      <c r="B45" s="5"/>
      <c r="C45" s="11"/>
      <c r="D45" s="11"/>
      <c r="E45" s="8"/>
      <c r="F45" s="11"/>
      <c r="G45" s="5"/>
      <c r="H45" s="11"/>
      <c r="I45" s="5"/>
      <c r="J45" s="11"/>
      <c r="K45" s="5"/>
      <c r="L45" s="8"/>
      <c r="M45" s="10"/>
      <c r="N45" s="10"/>
      <c r="O45" s="10"/>
    </row>
    <row r="46" spans="1:15" ht="30" customHeight="1" x14ac:dyDescent="0.2">
      <c r="A46" s="14"/>
      <c r="B46" s="5"/>
      <c r="C46" s="11"/>
      <c r="D46" s="11"/>
      <c r="E46" s="8"/>
      <c r="F46" s="11"/>
      <c r="G46" s="5"/>
      <c r="H46" s="11"/>
      <c r="I46" s="5"/>
      <c r="J46" s="11"/>
      <c r="K46" s="5"/>
      <c r="L46" s="8"/>
      <c r="M46" s="10"/>
      <c r="N46" s="10"/>
      <c r="O46" s="10"/>
    </row>
    <row r="47" spans="1:15" ht="30" customHeight="1" x14ac:dyDescent="0.2">
      <c r="A47" s="14"/>
      <c r="B47" s="5"/>
      <c r="C47" s="11"/>
      <c r="D47" s="11"/>
      <c r="E47" s="8"/>
      <c r="F47" s="11"/>
      <c r="G47" s="5"/>
      <c r="H47" s="11"/>
      <c r="I47" s="5"/>
      <c r="J47" s="11"/>
      <c r="K47" s="5"/>
      <c r="L47" s="8"/>
      <c r="M47" s="10"/>
      <c r="N47" s="10"/>
      <c r="O47" s="10"/>
    </row>
    <row r="48" spans="1:15" ht="30" customHeight="1" x14ac:dyDescent="0.2">
      <c r="A48" s="14"/>
      <c r="B48" s="5"/>
      <c r="C48" s="11"/>
      <c r="D48" s="11"/>
      <c r="E48" s="8"/>
      <c r="F48" s="11"/>
      <c r="G48" s="5"/>
      <c r="H48" s="11"/>
      <c r="I48" s="5"/>
      <c r="J48" s="11"/>
      <c r="K48" s="5"/>
      <c r="L48" s="5"/>
      <c r="M48" s="10"/>
      <c r="N48" s="10"/>
      <c r="O48" s="10"/>
    </row>
    <row r="49" spans="1:15" ht="30" customHeight="1" x14ac:dyDescent="0.2">
      <c r="A49" s="14"/>
      <c r="B49" s="5"/>
      <c r="C49" s="11"/>
      <c r="D49" s="11"/>
      <c r="E49" s="8"/>
      <c r="F49" s="11"/>
      <c r="G49" s="5"/>
      <c r="H49" s="11"/>
      <c r="I49" s="5"/>
      <c r="J49" s="11"/>
      <c r="K49" s="5"/>
      <c r="L49" s="5"/>
      <c r="M49" s="10"/>
      <c r="N49" s="10"/>
      <c r="O49" s="10"/>
    </row>
    <row r="50" spans="1:15" ht="30" customHeight="1" x14ac:dyDescent="0.2">
      <c r="A50" s="14"/>
      <c r="B50" s="5"/>
      <c r="C50" s="11"/>
      <c r="D50" s="11"/>
      <c r="E50" s="8"/>
      <c r="F50" s="11"/>
      <c r="G50" s="5"/>
      <c r="H50" s="11"/>
      <c r="I50" s="5"/>
      <c r="J50" s="11"/>
      <c r="K50" s="5"/>
      <c r="L50" s="5"/>
      <c r="M50" s="10"/>
      <c r="N50" s="10"/>
      <c r="O50" s="10"/>
    </row>
    <row r="51" spans="1:15" ht="30" customHeight="1" x14ac:dyDescent="0.2">
      <c r="A51" s="14"/>
      <c r="B51" s="5"/>
      <c r="C51" s="11"/>
      <c r="D51" s="11"/>
      <c r="E51" s="8"/>
      <c r="F51" s="11"/>
      <c r="G51" s="5"/>
      <c r="H51" s="11"/>
      <c r="I51" s="5"/>
      <c r="J51" s="11"/>
      <c r="K51" s="5"/>
      <c r="L51" s="5"/>
      <c r="M51" s="10"/>
      <c r="N51" s="10"/>
      <c r="O51" s="10"/>
    </row>
    <row r="52" spans="1:15" ht="30" customHeight="1" x14ac:dyDescent="0.2">
      <c r="A52" s="14"/>
      <c r="B52" s="5"/>
      <c r="C52" s="11"/>
      <c r="D52" s="11"/>
      <c r="E52" s="7"/>
      <c r="F52" s="11"/>
      <c r="G52" s="5"/>
      <c r="H52" s="11"/>
      <c r="I52" s="5"/>
      <c r="J52" s="11"/>
      <c r="K52" s="5"/>
      <c r="L52" s="5"/>
      <c r="M52" s="10"/>
      <c r="N52" s="10"/>
      <c r="O52" s="10"/>
    </row>
    <row r="53" spans="1:15" ht="30" customHeight="1" x14ac:dyDescent="0.2">
      <c r="A53" s="14"/>
      <c r="B53" s="5"/>
      <c r="C53" s="11"/>
      <c r="D53" s="11"/>
      <c r="E53" s="7"/>
      <c r="F53" s="11"/>
      <c r="G53" s="5"/>
      <c r="H53" s="11"/>
      <c r="I53" s="5"/>
      <c r="J53" s="11"/>
      <c r="K53" s="5"/>
      <c r="L53" s="5"/>
      <c r="M53" s="10"/>
      <c r="N53" s="10"/>
      <c r="O53" s="10"/>
    </row>
    <row r="54" spans="1:15" ht="30" customHeight="1" x14ac:dyDescent="0.2">
      <c r="A54" s="14"/>
      <c r="B54" s="5"/>
      <c r="C54" s="11"/>
      <c r="D54" s="11"/>
      <c r="E54" s="7"/>
      <c r="F54" s="11"/>
      <c r="G54" s="5"/>
      <c r="H54" s="11"/>
      <c r="I54" s="5"/>
      <c r="J54" s="11"/>
      <c r="K54" s="5"/>
      <c r="L54" s="5"/>
      <c r="M54" s="10"/>
      <c r="N54" s="10"/>
      <c r="O54" s="10"/>
    </row>
    <row r="55" spans="1:15" ht="30" customHeight="1" x14ac:dyDescent="0.2">
      <c r="A55" s="14"/>
      <c r="B55" s="5"/>
      <c r="C55" s="11"/>
      <c r="D55" s="11"/>
      <c r="E55" s="7"/>
      <c r="F55" s="11"/>
      <c r="G55" s="5"/>
      <c r="H55" s="11"/>
      <c r="I55" s="5"/>
      <c r="J55" s="11"/>
      <c r="K55" s="5"/>
      <c r="L55" s="5"/>
      <c r="M55" s="10"/>
      <c r="N55" s="10"/>
      <c r="O55" s="10"/>
    </row>
    <row r="56" spans="1:15" ht="30" customHeight="1" x14ac:dyDescent="0.2">
      <c r="A56" s="14"/>
      <c r="B56" s="5"/>
      <c r="C56" s="11"/>
      <c r="D56" s="11"/>
      <c r="E56" s="7"/>
      <c r="F56" s="11"/>
      <c r="G56" s="5"/>
      <c r="H56" s="11"/>
      <c r="I56" s="5"/>
      <c r="J56" s="11"/>
      <c r="K56" s="5"/>
      <c r="L56" s="5"/>
      <c r="M56" s="10"/>
      <c r="N56" s="10"/>
      <c r="O56" s="10"/>
    </row>
    <row r="57" spans="1:15" ht="30" customHeight="1" x14ac:dyDescent="0.2">
      <c r="A57" s="14"/>
      <c r="B57" s="5"/>
      <c r="C57" s="11"/>
      <c r="D57" s="11"/>
      <c r="E57" s="7"/>
      <c r="F57" s="11"/>
      <c r="G57" s="5"/>
      <c r="H57" s="11"/>
      <c r="I57" s="5"/>
      <c r="J57" s="11"/>
      <c r="K57" s="5"/>
      <c r="L57" s="5"/>
      <c r="M57" s="10"/>
      <c r="N57" s="10"/>
      <c r="O57" s="10"/>
    </row>
    <row r="58" spans="1:15" ht="30" customHeight="1" x14ac:dyDescent="0.2">
      <c r="A58" s="14"/>
      <c r="B58" s="5"/>
      <c r="C58" s="11"/>
      <c r="D58" s="11"/>
      <c r="E58" s="7"/>
      <c r="F58" s="11"/>
      <c r="G58" s="5"/>
      <c r="H58" s="11"/>
      <c r="I58" s="5"/>
      <c r="J58" s="11"/>
      <c r="K58" s="5"/>
      <c r="L58" s="5"/>
      <c r="M58" s="10"/>
      <c r="N58" s="10"/>
      <c r="O58" s="10"/>
    </row>
    <row r="59" spans="1:15" ht="30" customHeight="1" x14ac:dyDescent="0.2">
      <c r="A59" s="14"/>
      <c r="B59" s="5"/>
      <c r="C59" s="11"/>
      <c r="D59" s="11"/>
      <c r="E59" s="7"/>
      <c r="F59" s="11"/>
      <c r="G59" s="5"/>
      <c r="H59" s="11"/>
      <c r="I59" s="5"/>
      <c r="J59" s="11"/>
      <c r="K59" s="5"/>
      <c r="L59" s="5"/>
      <c r="M59" s="10"/>
      <c r="N59" s="10"/>
      <c r="O59" s="10"/>
    </row>
    <row r="60" spans="1:15" ht="30" customHeight="1" x14ac:dyDescent="0.2">
      <c r="A60" s="14"/>
      <c r="B60" s="5"/>
      <c r="C60" s="11"/>
      <c r="D60" s="11"/>
      <c r="E60" s="7"/>
      <c r="F60" s="11"/>
      <c r="G60" s="5"/>
      <c r="H60" s="11"/>
      <c r="I60" s="5"/>
      <c r="J60" s="11"/>
      <c r="K60" s="5"/>
      <c r="L60" s="5"/>
      <c r="M60" s="10"/>
      <c r="N60" s="10"/>
      <c r="O60" s="10"/>
    </row>
    <row r="61" spans="1:15" ht="30" customHeight="1" x14ac:dyDescent="0.2">
      <c r="A61" s="14"/>
      <c r="B61" s="5"/>
      <c r="C61" s="11"/>
      <c r="D61" s="11"/>
      <c r="E61" s="7"/>
      <c r="F61" s="11"/>
      <c r="G61" s="5"/>
      <c r="H61" s="11"/>
      <c r="I61" s="5"/>
      <c r="J61" s="11"/>
      <c r="K61" s="5"/>
      <c r="L61" s="5"/>
      <c r="M61" s="10"/>
      <c r="N61" s="10"/>
      <c r="O61" s="10"/>
    </row>
    <row r="62" spans="1:15" ht="30" customHeight="1" x14ac:dyDescent="0.2">
      <c r="A62" s="14"/>
      <c r="B62" s="5"/>
      <c r="C62" s="11"/>
      <c r="D62" s="11"/>
      <c r="E62" s="6"/>
      <c r="F62" s="11"/>
      <c r="G62" s="5"/>
      <c r="H62" s="11"/>
      <c r="I62" s="5"/>
      <c r="J62" s="11"/>
      <c r="K62" s="6"/>
      <c r="L62" s="6"/>
      <c r="M62" s="10"/>
      <c r="N62" s="10"/>
      <c r="O62" s="10"/>
    </row>
    <row r="63" spans="1:15" ht="30" customHeight="1" x14ac:dyDescent="0.2">
      <c r="A63" s="14"/>
      <c r="B63" s="5"/>
      <c r="C63" s="11"/>
      <c r="D63" s="11"/>
      <c r="E63" s="6"/>
      <c r="F63" s="11"/>
      <c r="G63" s="5"/>
      <c r="H63" s="11"/>
      <c r="I63" s="5"/>
      <c r="J63" s="11"/>
      <c r="K63" s="6"/>
      <c r="L63" s="6"/>
      <c r="M63" s="10"/>
      <c r="N63" s="10"/>
      <c r="O63" s="10"/>
    </row>
    <row r="64" spans="1:15" ht="30" customHeight="1" x14ac:dyDescent="0.2">
      <c r="A64" s="14"/>
      <c r="B64" s="5"/>
      <c r="C64" s="11"/>
      <c r="D64" s="11"/>
      <c r="E64" s="6"/>
      <c r="F64" s="11"/>
      <c r="G64" s="5"/>
      <c r="H64" s="11"/>
      <c r="I64" s="5"/>
      <c r="J64" s="11"/>
      <c r="K64" s="6"/>
      <c r="L64" s="6"/>
      <c r="M64" s="10"/>
      <c r="N64" s="10"/>
      <c r="O64" s="10"/>
    </row>
    <row r="65" spans="1:15" ht="30" customHeight="1" x14ac:dyDescent="0.2">
      <c r="A65" s="14"/>
      <c r="B65" s="5"/>
      <c r="C65" s="11"/>
      <c r="D65" s="11"/>
      <c r="E65" s="6"/>
      <c r="F65" s="11"/>
      <c r="G65" s="5"/>
      <c r="H65" s="11"/>
      <c r="I65" s="5"/>
      <c r="J65" s="11"/>
      <c r="K65" s="6"/>
      <c r="L65" s="6"/>
      <c r="M65" s="10"/>
      <c r="N65" s="10"/>
      <c r="O65" s="10"/>
    </row>
    <row r="66" spans="1:15" ht="30" customHeight="1" x14ac:dyDescent="0.2">
      <c r="B66" s="5"/>
      <c r="F66" s="11"/>
    </row>
    <row r="67" spans="1:15" ht="30" customHeight="1" x14ac:dyDescent="0.2">
      <c r="B67" s="5"/>
      <c r="F67" s="11"/>
    </row>
    <row r="68" spans="1:15" ht="30" customHeight="1" x14ac:dyDescent="0.2">
      <c r="B68" s="5"/>
      <c r="F68" s="11"/>
    </row>
    <row r="69" spans="1:15" ht="30" customHeight="1" x14ac:dyDescent="0.2">
      <c r="B69" s="5"/>
      <c r="F69" s="11"/>
    </row>
  </sheetData>
  <autoFilter ref="A1:O43" xr:uid="{00000000-0009-0000-0000-000001000000}">
    <sortState xmlns:xlrd2="http://schemas.microsoft.com/office/spreadsheetml/2017/richdata2" ref="A9:O10">
      <sortCondition descending="1" ref="D1:D10"/>
    </sortState>
  </autoFilter>
  <sortState xmlns:xlrd2="http://schemas.microsoft.com/office/spreadsheetml/2017/richdata2" ref="A3:O10">
    <sortCondition descending="1" ref="A1:A10"/>
  </sortState>
  <dataValidations count="3">
    <dataValidation type="list" allowBlank="1" showInputMessage="1" showErrorMessage="1" sqref="I35:I43 G35:G43 K35:K43" xr:uid="{00000000-0002-0000-0100-000000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35:E43" xr:uid="{00000000-0002-0000-0100-000001000000}">
      <formula1>"NORMAL MESAİ,FAZLA MESAİ,VARDİYA"</formula1>
    </dataValidation>
    <dataValidation type="list" allowBlank="1" showInputMessage="1" showErrorMessage="1" sqref="B35:B43" xr:uid="{00000000-0002-0000-0100-000002000000}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C5:D7"/>
  <sheetViews>
    <sheetView workbookViewId="0">
      <selection activeCell="D7" sqref="D7"/>
    </sheetView>
  </sheetViews>
  <sheetFormatPr baseColWidth="10" defaultColWidth="8.83203125" defaultRowHeight="15" x14ac:dyDescent="0.2"/>
  <cols>
    <col min="3" max="3" width="10.5" bestFit="1" customWidth="1"/>
    <col min="4" max="4" width="5" bestFit="1" customWidth="1"/>
  </cols>
  <sheetData>
    <row r="5" spans="3:4" x14ac:dyDescent="0.2">
      <c r="C5" s="8" t="s">
        <v>19</v>
      </c>
      <c r="D5" s="9">
        <v>2000</v>
      </c>
    </row>
    <row r="6" spans="3:4" x14ac:dyDescent="0.2">
      <c r="C6" s="8" t="s">
        <v>20</v>
      </c>
      <c r="D6" s="9">
        <v>4000</v>
      </c>
    </row>
    <row r="7" spans="3:4" x14ac:dyDescent="0.2">
      <c r="C7" s="8" t="s">
        <v>24</v>
      </c>
      <c r="D7" s="9">
        <v>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dcterms:created xsi:type="dcterms:W3CDTF">2015-06-05T18:19:34Z</dcterms:created>
  <dcterms:modified xsi:type="dcterms:W3CDTF">2026-01-27T14:11:40Z</dcterms:modified>
</cp:coreProperties>
</file>