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08" codeName="{643B0D74-A683-FBA9-23B4-8A0AA6E0B6B9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/Users/tuncay/Desktop/GÜNCEL EXCEL/"/>
    </mc:Choice>
  </mc:AlternateContent>
  <xr:revisionPtr revIDLastSave="0" documentId="13_ncr:1_{E9619881-DECA-CE4E-8577-06DE20BF442D}" xr6:coauthVersionLast="47" xr6:coauthVersionMax="47" xr10:uidLastSave="{00000000-0000-0000-0000-000000000000}"/>
  <workbookProtection workbookAlgorithmName="SHA-512" workbookHashValue="Qg4oZjX1oqwLpJ/EMXIrS4awYDGRD6WdTzETB9zREYn3alX1ZrFs7e7GaAUtIh2EuuqdZPFX/EnsTi6zLYsH4Q==" workbookSaltValue="puNZbjoe11/nICdjC8F5kg==" workbookSpinCount="100000" lockStructure="1"/>
  <bookViews>
    <workbookView xWindow="1620" yWindow="780" windowWidth="32580" windowHeight="21460" activeTab="1" xr2:uid="{00000000-000D-0000-FFFF-FFFF00000000}"/>
  </bookViews>
  <sheets>
    <sheet name="VERİ GİRİŞİ" sheetId="1" r:id="rId1"/>
    <sheet name="KAYIT" sheetId="2" r:id="rId2"/>
    <sheet name="AYAR" sheetId="3" state="hidden" r:id="rId3"/>
  </sheets>
  <definedNames>
    <definedName name="_xlnm._FilterDatabase" localSheetId="1" hidden="1">KAYIT!$A$1:$P$148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" i="2" l="1"/>
  <c r="P10" i="2"/>
  <c r="O10" i="2"/>
  <c r="N10" i="2"/>
  <c r="R10" i="2" s="1"/>
  <c r="Q9" i="2"/>
  <c r="P9" i="2"/>
  <c r="O9" i="2"/>
  <c r="N9" i="2"/>
  <c r="R9" i="2" s="1"/>
  <c r="Q8" i="2"/>
  <c r="P8" i="2"/>
  <c r="O8" i="2"/>
  <c r="N8" i="2"/>
  <c r="R8" i="2" s="1"/>
  <c r="Q7" i="2"/>
  <c r="P7" i="2"/>
  <c r="O7" i="2"/>
  <c r="N7" i="2"/>
  <c r="R7" i="2" s="1"/>
  <c r="Q6" i="2"/>
  <c r="P6" i="2"/>
  <c r="O6" i="2"/>
  <c r="N6" i="2"/>
  <c r="R6" i="2" s="1"/>
  <c r="Q5" i="2"/>
  <c r="P5" i="2"/>
  <c r="O5" i="2"/>
  <c r="N5" i="2"/>
  <c r="R5" i="2" s="1"/>
  <c r="Q4" i="2"/>
  <c r="P4" i="2"/>
  <c r="O4" i="2"/>
  <c r="N4" i="2"/>
  <c r="R4" i="2" s="1"/>
  <c r="Q3" i="2"/>
  <c r="P3" i="2"/>
  <c r="O3" i="2"/>
  <c r="N3" i="2"/>
  <c r="R3" i="2" s="1"/>
  <c r="Q2" i="2"/>
  <c r="P2" i="2"/>
  <c r="O2" i="2"/>
  <c r="N2" i="2"/>
  <c r="R2" i="2" s="1"/>
  <c r="Q11" i="2"/>
  <c r="P11" i="2"/>
  <c r="O11" i="2"/>
  <c r="N11" i="2"/>
  <c r="R11" i="2" s="1"/>
  <c r="Q12" i="2" l="1"/>
  <c r="P12" i="2"/>
  <c r="O12" i="2"/>
  <c r="N12" i="2"/>
  <c r="R12" i="2" s="1"/>
  <c r="Q13" i="2" l="1"/>
  <c r="P13" i="2"/>
  <c r="O13" i="2"/>
  <c r="N13" i="2"/>
  <c r="R13" i="2" l="1"/>
  <c r="Q14" i="2"/>
  <c r="P14" i="2"/>
  <c r="O14" i="2"/>
  <c r="N14" i="2"/>
  <c r="R14" i="2" l="1"/>
  <c r="Q15" i="2"/>
  <c r="P15" i="2"/>
  <c r="O15" i="2"/>
  <c r="N15" i="2"/>
  <c r="Q16" i="2"/>
  <c r="P16" i="2"/>
  <c r="O16" i="2"/>
  <c r="N16" i="2"/>
  <c r="R16" i="2" s="1"/>
  <c r="R15" i="2" l="1"/>
  <c r="Q17" i="2"/>
  <c r="P17" i="2"/>
  <c r="O17" i="2"/>
  <c r="N17" i="2"/>
  <c r="Q18" i="2"/>
  <c r="P18" i="2"/>
  <c r="O18" i="2"/>
  <c r="N18" i="2"/>
  <c r="R18" i="2" s="1"/>
  <c r="Q19" i="2"/>
  <c r="P19" i="2"/>
  <c r="O19" i="2"/>
  <c r="N19" i="2"/>
  <c r="R17" i="2" l="1"/>
  <c r="R19" i="2"/>
  <c r="Q20" i="2"/>
  <c r="P20" i="2"/>
  <c r="O20" i="2"/>
  <c r="N20" i="2"/>
  <c r="R20" i="2" l="1"/>
  <c r="Q21" i="2"/>
  <c r="P21" i="2"/>
  <c r="O21" i="2"/>
  <c r="N21" i="2"/>
  <c r="Q22" i="2"/>
  <c r="P22" i="2"/>
  <c r="O22" i="2"/>
  <c r="N22" i="2"/>
  <c r="R22" i="2" s="1"/>
  <c r="R21" i="2" l="1"/>
  <c r="Q23" i="2"/>
  <c r="P23" i="2"/>
  <c r="O23" i="2"/>
  <c r="N23" i="2"/>
  <c r="R23" i="2" l="1"/>
  <c r="Q24" i="2"/>
  <c r="P24" i="2"/>
  <c r="O24" i="2"/>
  <c r="N24" i="2"/>
  <c r="R24" i="2" s="1"/>
  <c r="Q25" i="2"/>
  <c r="P25" i="2"/>
  <c r="O25" i="2"/>
  <c r="N25" i="2"/>
  <c r="R25" i="2" s="1"/>
  <c r="Q26" i="2" l="1"/>
  <c r="P26" i="2"/>
  <c r="O26" i="2"/>
  <c r="N26" i="2"/>
  <c r="Q27" i="2"/>
  <c r="P27" i="2"/>
  <c r="O27" i="2"/>
  <c r="N27" i="2"/>
  <c r="Q28" i="2"/>
  <c r="P28" i="2"/>
  <c r="O28" i="2"/>
  <c r="N28" i="2"/>
  <c r="R26" i="2" l="1"/>
  <c r="R27" i="2"/>
  <c r="R28" i="2"/>
  <c r="Q29" i="2"/>
  <c r="P29" i="2"/>
  <c r="O29" i="2"/>
  <c r="N29" i="2"/>
  <c r="R29" i="2" s="1"/>
  <c r="Q30" i="2" l="1"/>
  <c r="P30" i="2"/>
  <c r="O30" i="2"/>
  <c r="N30" i="2"/>
  <c r="R30" i="2" s="1"/>
  <c r="Q31" i="2"/>
  <c r="P31" i="2"/>
  <c r="O31" i="2"/>
  <c r="N31" i="2"/>
  <c r="R31" i="2" l="1"/>
  <c r="Q32" i="2"/>
  <c r="P32" i="2"/>
  <c r="O32" i="2"/>
  <c r="N32" i="2"/>
  <c r="Q33" i="2"/>
  <c r="P33" i="2"/>
  <c r="O33" i="2"/>
  <c r="N33" i="2"/>
  <c r="Q34" i="2"/>
  <c r="P34" i="2"/>
  <c r="O34" i="2"/>
  <c r="N34" i="2"/>
  <c r="R33" i="2" l="1"/>
  <c r="R32" i="2"/>
  <c r="R34" i="2"/>
  <c r="Q35" i="2"/>
  <c r="P35" i="2"/>
  <c r="O35" i="2"/>
  <c r="N35" i="2"/>
  <c r="Q36" i="2"/>
  <c r="P36" i="2"/>
  <c r="O36" i="2"/>
  <c r="N36" i="2"/>
  <c r="Q37" i="2"/>
  <c r="P37" i="2"/>
  <c r="O37" i="2"/>
  <c r="N37" i="2"/>
  <c r="R35" i="2" l="1"/>
  <c r="R36" i="2"/>
  <c r="R37" i="2"/>
  <c r="Q38" i="2"/>
  <c r="P38" i="2"/>
  <c r="O38" i="2"/>
  <c r="N38" i="2"/>
  <c r="Q39" i="2"/>
  <c r="P39" i="2"/>
  <c r="O39" i="2"/>
  <c r="N39" i="2"/>
  <c r="Q40" i="2"/>
  <c r="P40" i="2"/>
  <c r="O40" i="2"/>
  <c r="N40" i="2"/>
  <c r="R38" i="2" l="1"/>
  <c r="R39" i="2"/>
  <c r="R40" i="2"/>
  <c r="Q41" i="2"/>
  <c r="P41" i="2"/>
  <c r="O41" i="2"/>
  <c r="N41" i="2"/>
  <c r="R41" i="2" s="1"/>
  <c r="Q42" i="2"/>
  <c r="P42" i="2"/>
  <c r="O42" i="2"/>
  <c r="N42" i="2"/>
  <c r="Q43" i="2"/>
  <c r="P43" i="2"/>
  <c r="O43" i="2"/>
  <c r="N43" i="2"/>
  <c r="R42" i="2" l="1"/>
  <c r="R43" i="2"/>
  <c r="Q44" i="2"/>
  <c r="P44" i="2"/>
  <c r="O44" i="2"/>
  <c r="N44" i="2"/>
  <c r="R44" i="2" s="1"/>
  <c r="Q45" i="2"/>
  <c r="P45" i="2"/>
  <c r="O45" i="2"/>
  <c r="N45" i="2"/>
  <c r="Q46" i="2"/>
  <c r="P46" i="2"/>
  <c r="O46" i="2"/>
  <c r="N46" i="2"/>
  <c r="R45" i="2" l="1"/>
  <c r="R46" i="2"/>
  <c r="Q47" i="2"/>
  <c r="P47" i="2"/>
  <c r="O47" i="2"/>
  <c r="N47" i="2"/>
  <c r="Q48" i="2"/>
  <c r="P48" i="2"/>
  <c r="O48" i="2"/>
  <c r="N48" i="2"/>
  <c r="Q49" i="2"/>
  <c r="P49" i="2"/>
  <c r="O49" i="2"/>
  <c r="N49" i="2"/>
  <c r="R47" i="2" l="1"/>
  <c r="R49" i="2"/>
  <c r="R48" i="2"/>
  <c r="Q50" i="2"/>
  <c r="P50" i="2"/>
  <c r="O50" i="2"/>
  <c r="N50" i="2"/>
  <c r="Q51" i="2"/>
  <c r="P51" i="2"/>
  <c r="O51" i="2"/>
  <c r="N51" i="2"/>
  <c r="Q52" i="2"/>
  <c r="P52" i="2"/>
  <c r="O52" i="2"/>
  <c r="N52" i="2"/>
  <c r="R51" i="2" l="1"/>
  <c r="R52" i="2"/>
  <c r="R50" i="2"/>
  <c r="Q53" i="2"/>
  <c r="P53" i="2"/>
  <c r="O53" i="2"/>
  <c r="N53" i="2"/>
  <c r="Q54" i="2"/>
  <c r="P54" i="2"/>
  <c r="O54" i="2"/>
  <c r="N54" i="2"/>
  <c r="Q55" i="2"/>
  <c r="P55" i="2"/>
  <c r="O55" i="2"/>
  <c r="N55" i="2"/>
  <c r="R53" i="2" l="1"/>
  <c r="R54" i="2"/>
  <c r="R55" i="2"/>
  <c r="Q56" i="2"/>
  <c r="P56" i="2"/>
  <c r="O56" i="2"/>
  <c r="N56" i="2"/>
  <c r="Q57" i="2"/>
  <c r="P57" i="2"/>
  <c r="O57" i="2"/>
  <c r="N57" i="2"/>
  <c r="Q58" i="2"/>
  <c r="P58" i="2"/>
  <c r="O58" i="2"/>
  <c r="N58" i="2"/>
  <c r="R58" i="2" l="1"/>
  <c r="R57" i="2"/>
  <c r="R56" i="2"/>
  <c r="Q59" i="2"/>
  <c r="P59" i="2"/>
  <c r="O59" i="2"/>
  <c r="N59" i="2"/>
  <c r="Q60" i="2"/>
  <c r="P60" i="2"/>
  <c r="O60" i="2"/>
  <c r="N60" i="2"/>
  <c r="Q61" i="2"/>
  <c r="P61" i="2"/>
  <c r="O61" i="2"/>
  <c r="N61" i="2"/>
  <c r="R59" i="2" l="1"/>
  <c r="R60" i="2"/>
  <c r="R61" i="2"/>
  <c r="Q62" i="2"/>
  <c r="P62" i="2"/>
  <c r="O62" i="2"/>
  <c r="N62" i="2"/>
  <c r="Q63" i="2"/>
  <c r="P63" i="2"/>
  <c r="O63" i="2"/>
  <c r="N63" i="2"/>
  <c r="Q64" i="2"/>
  <c r="P64" i="2"/>
  <c r="O64" i="2"/>
  <c r="N64" i="2"/>
  <c r="R63" i="2" l="1"/>
  <c r="R62" i="2"/>
  <c r="R64" i="2"/>
  <c r="Q145" i="2"/>
  <c r="Q142" i="2"/>
  <c r="Q138" i="2"/>
  <c r="Q133" i="2"/>
  <c r="Q130" i="2"/>
  <c r="Q122" i="2"/>
  <c r="Q119" i="2"/>
  <c r="Q118" i="2"/>
  <c r="Q113" i="2"/>
  <c r="Q112" i="2"/>
  <c r="Q109" i="2"/>
  <c r="Q106" i="2"/>
  <c r="Q102" i="2"/>
  <c r="Q98" i="2"/>
  <c r="Q96" i="2"/>
  <c r="Q90" i="2"/>
  <c r="Q87" i="2"/>
  <c r="Q74" i="2"/>
  <c r="Q73" i="2"/>
  <c r="Q68" i="2"/>
  <c r="Q65" i="2"/>
  <c r="Q66" i="2"/>
  <c r="Q67" i="2"/>
  <c r="Q69" i="2"/>
  <c r="Q70" i="2"/>
  <c r="Q71" i="2"/>
  <c r="Q72" i="2"/>
  <c r="Q75" i="2"/>
  <c r="Q76" i="2"/>
  <c r="Q77" i="2"/>
  <c r="Q78" i="2"/>
  <c r="Q79" i="2"/>
  <c r="Q80" i="2"/>
  <c r="Q81" i="2"/>
  <c r="Q82" i="2"/>
  <c r="Q83" i="2"/>
  <c r="Q84" i="2"/>
  <c r="Q85" i="2"/>
  <c r="Q86" i="2"/>
  <c r="Q88" i="2"/>
  <c r="Q89" i="2"/>
  <c r="Q91" i="2"/>
  <c r="Q92" i="2"/>
  <c r="Q93" i="2"/>
  <c r="Q94" i="2"/>
  <c r="Q95" i="2"/>
  <c r="Q97" i="2"/>
  <c r="Q99" i="2"/>
  <c r="Q100" i="2"/>
  <c r="Q101" i="2"/>
  <c r="Q103" i="2"/>
  <c r="Q104" i="2"/>
  <c r="Q105" i="2"/>
  <c r="Q107" i="2"/>
  <c r="Q108" i="2"/>
  <c r="Q110" i="2"/>
  <c r="Q111" i="2"/>
  <c r="Q114" i="2"/>
  <c r="Q115" i="2"/>
  <c r="Q116" i="2"/>
  <c r="Q117" i="2"/>
  <c r="Q120" i="2"/>
  <c r="Q121" i="2"/>
  <c r="Q123" i="2"/>
  <c r="Q124" i="2"/>
  <c r="Q125" i="2"/>
  <c r="Q126" i="2"/>
  <c r="Q127" i="2"/>
  <c r="Q128" i="2"/>
  <c r="Q129" i="2"/>
  <c r="Q131" i="2"/>
  <c r="Q132" i="2"/>
  <c r="Q134" i="2"/>
  <c r="Q135" i="2"/>
  <c r="Q136" i="2"/>
  <c r="Q137" i="2"/>
  <c r="Q139" i="2"/>
  <c r="Q140" i="2"/>
  <c r="Q141" i="2"/>
  <c r="Q143" i="2"/>
  <c r="Q144" i="2"/>
  <c r="Q146" i="2"/>
  <c r="Q147" i="2"/>
  <c r="Q148" i="2"/>
  <c r="P65" i="2"/>
  <c r="O65" i="2"/>
  <c r="P66" i="2"/>
  <c r="O66" i="2"/>
  <c r="N65" i="2"/>
  <c r="R65" i="2" l="1"/>
  <c r="N66" i="2"/>
  <c r="R66" i="2" s="1"/>
  <c r="P67" i="2"/>
  <c r="O67" i="2"/>
  <c r="N67" i="2"/>
  <c r="R67" i="2" l="1"/>
  <c r="P68" i="2"/>
  <c r="O68" i="2"/>
  <c r="N68" i="2"/>
  <c r="P69" i="2"/>
  <c r="O69" i="2"/>
  <c r="N69" i="2"/>
  <c r="P70" i="2"/>
  <c r="O70" i="2"/>
  <c r="N70" i="2"/>
  <c r="R70" i="2" l="1"/>
  <c r="R68" i="2"/>
  <c r="R69" i="2"/>
  <c r="P71" i="2"/>
  <c r="O71" i="2"/>
  <c r="N71" i="2"/>
  <c r="P72" i="2"/>
  <c r="O72" i="2"/>
  <c r="N72" i="2"/>
  <c r="P73" i="2"/>
  <c r="O73" i="2"/>
  <c r="N73" i="2"/>
  <c r="R73" i="2" l="1"/>
  <c r="R71" i="2"/>
  <c r="R72" i="2"/>
  <c r="P74" i="2"/>
  <c r="O74" i="2"/>
  <c r="N74" i="2"/>
  <c r="P75" i="2"/>
  <c r="O75" i="2"/>
  <c r="N75" i="2"/>
  <c r="P76" i="2"/>
  <c r="O76" i="2"/>
  <c r="N76" i="2"/>
  <c r="R74" i="2" l="1"/>
  <c r="R75" i="2"/>
  <c r="R76" i="2"/>
  <c r="P77" i="2"/>
  <c r="O77" i="2"/>
  <c r="N77" i="2"/>
  <c r="P78" i="2"/>
  <c r="O78" i="2"/>
  <c r="N78" i="2"/>
  <c r="P79" i="2"/>
  <c r="O79" i="2"/>
  <c r="N79" i="2"/>
  <c r="R79" i="2" l="1"/>
  <c r="R78" i="2"/>
  <c r="R77" i="2"/>
  <c r="P80" i="2"/>
  <c r="O80" i="2"/>
  <c r="N80" i="2"/>
  <c r="P81" i="2"/>
  <c r="O81" i="2"/>
  <c r="N81" i="2"/>
  <c r="P82" i="2"/>
  <c r="O82" i="2"/>
  <c r="N82" i="2"/>
  <c r="R81" i="2" l="1"/>
  <c r="R80" i="2"/>
  <c r="R82" i="2"/>
  <c r="P83" i="2"/>
  <c r="O83" i="2"/>
  <c r="N83" i="2"/>
  <c r="P84" i="2"/>
  <c r="O84" i="2"/>
  <c r="N84" i="2"/>
  <c r="P85" i="2"/>
  <c r="O85" i="2"/>
  <c r="N85" i="2"/>
  <c r="R85" i="2" l="1"/>
  <c r="R84" i="2"/>
  <c r="R83" i="2"/>
  <c r="P86" i="2"/>
  <c r="O86" i="2"/>
  <c r="N86" i="2"/>
  <c r="P87" i="2"/>
  <c r="O87" i="2"/>
  <c r="N87" i="2"/>
  <c r="P88" i="2"/>
  <c r="O88" i="2"/>
  <c r="N88" i="2"/>
  <c r="R88" i="2" l="1"/>
  <c r="R86" i="2"/>
  <c r="R87" i="2"/>
  <c r="P89" i="2"/>
  <c r="O89" i="2"/>
  <c r="N89" i="2"/>
  <c r="P90" i="2"/>
  <c r="O90" i="2"/>
  <c r="N90" i="2"/>
  <c r="P91" i="2"/>
  <c r="O91" i="2"/>
  <c r="N91" i="2"/>
  <c r="R91" i="2" l="1"/>
  <c r="R89" i="2"/>
  <c r="R90" i="2"/>
  <c r="P92" i="2"/>
  <c r="O92" i="2"/>
  <c r="N92" i="2"/>
  <c r="P93" i="2"/>
  <c r="O93" i="2"/>
  <c r="N93" i="2"/>
  <c r="P94" i="2"/>
  <c r="O94" i="2"/>
  <c r="N94" i="2"/>
  <c r="R94" i="2" l="1"/>
  <c r="R93" i="2"/>
  <c r="R92" i="2"/>
  <c r="P95" i="2"/>
  <c r="O95" i="2"/>
  <c r="N95" i="2"/>
  <c r="P96" i="2"/>
  <c r="O96" i="2"/>
  <c r="N96" i="2"/>
  <c r="P97" i="2"/>
  <c r="O97" i="2"/>
  <c r="N97" i="2"/>
  <c r="R96" i="2" l="1"/>
  <c r="R97" i="2"/>
  <c r="R95" i="2"/>
  <c r="P98" i="2"/>
  <c r="O98" i="2"/>
  <c r="N98" i="2"/>
  <c r="R98" i="2" l="1"/>
  <c r="P99" i="2"/>
  <c r="O99" i="2"/>
  <c r="N99" i="2"/>
  <c r="P100" i="2"/>
  <c r="O100" i="2"/>
  <c r="N100" i="2"/>
  <c r="R100" i="2" l="1"/>
  <c r="R99" i="2"/>
  <c r="P101" i="2"/>
  <c r="O101" i="2"/>
  <c r="N101" i="2"/>
  <c r="P102" i="2"/>
  <c r="O102" i="2"/>
  <c r="N102" i="2"/>
  <c r="P103" i="2"/>
  <c r="O103" i="2"/>
  <c r="N103" i="2"/>
  <c r="R103" i="2" l="1"/>
  <c r="R101" i="2"/>
  <c r="R102" i="2"/>
  <c r="P104" i="2"/>
  <c r="O104" i="2"/>
  <c r="N104" i="2"/>
  <c r="P105" i="2"/>
  <c r="O105" i="2"/>
  <c r="N105" i="2"/>
  <c r="P106" i="2"/>
  <c r="O106" i="2"/>
  <c r="N106" i="2"/>
  <c r="R106" i="2" l="1"/>
  <c r="R104" i="2"/>
  <c r="R105" i="2"/>
  <c r="P107" i="2"/>
  <c r="O107" i="2"/>
  <c r="N107" i="2"/>
  <c r="P108" i="2"/>
  <c r="O108" i="2"/>
  <c r="N108" i="2"/>
  <c r="P109" i="2"/>
  <c r="O109" i="2"/>
  <c r="N109" i="2"/>
  <c r="R109" i="2" l="1"/>
  <c r="R108" i="2"/>
  <c r="R107" i="2"/>
  <c r="P110" i="2"/>
  <c r="O110" i="2"/>
  <c r="N110" i="2"/>
  <c r="P111" i="2"/>
  <c r="O111" i="2"/>
  <c r="N111" i="2"/>
  <c r="P112" i="2"/>
  <c r="O112" i="2"/>
  <c r="N112" i="2"/>
  <c r="R112" i="2" l="1"/>
  <c r="R111" i="2"/>
  <c r="R110" i="2"/>
  <c r="P113" i="2"/>
  <c r="O113" i="2"/>
  <c r="N113" i="2"/>
  <c r="P114" i="2"/>
  <c r="O114" i="2"/>
  <c r="N114" i="2"/>
  <c r="P115" i="2"/>
  <c r="O115" i="2"/>
  <c r="N115" i="2"/>
  <c r="R115" i="2" s="1"/>
  <c r="R114" i="2" l="1"/>
  <c r="R113" i="2"/>
  <c r="P116" i="2"/>
  <c r="O116" i="2"/>
  <c r="N116" i="2"/>
  <c r="R116" i="2" l="1"/>
  <c r="P117" i="2"/>
  <c r="O117" i="2"/>
  <c r="N117" i="2"/>
  <c r="P118" i="2"/>
  <c r="O118" i="2"/>
  <c r="N118" i="2"/>
  <c r="R118" i="2" l="1"/>
  <c r="R117" i="2"/>
  <c r="P119" i="2"/>
  <c r="O119" i="2"/>
  <c r="N119" i="2"/>
  <c r="P120" i="2"/>
  <c r="O120" i="2"/>
  <c r="N120" i="2"/>
  <c r="P121" i="2"/>
  <c r="O121" i="2"/>
  <c r="N121" i="2"/>
  <c r="R121" i="2" l="1"/>
  <c r="R120" i="2"/>
  <c r="R119" i="2"/>
  <c r="P122" i="2"/>
  <c r="O122" i="2"/>
  <c r="N122" i="2"/>
  <c r="P123" i="2"/>
  <c r="O123" i="2"/>
  <c r="N123" i="2"/>
  <c r="P124" i="2"/>
  <c r="O124" i="2"/>
  <c r="N124" i="2"/>
  <c r="R124" i="2" l="1"/>
  <c r="R122" i="2"/>
  <c r="R123" i="2"/>
  <c r="P125" i="2"/>
  <c r="O125" i="2"/>
  <c r="N125" i="2"/>
  <c r="P126" i="2"/>
  <c r="O126" i="2"/>
  <c r="N126" i="2"/>
  <c r="P127" i="2"/>
  <c r="O127" i="2"/>
  <c r="N127" i="2"/>
  <c r="R127" i="2" l="1"/>
  <c r="R125" i="2"/>
  <c r="R126" i="2"/>
  <c r="P128" i="2"/>
  <c r="O128" i="2"/>
  <c r="N128" i="2"/>
  <c r="P129" i="2"/>
  <c r="O129" i="2"/>
  <c r="N129" i="2"/>
  <c r="P130" i="2"/>
  <c r="O130" i="2"/>
  <c r="N130" i="2"/>
  <c r="R130" i="2" s="1"/>
  <c r="R128" i="2" l="1"/>
  <c r="R129" i="2"/>
  <c r="P131" i="2"/>
  <c r="O131" i="2"/>
  <c r="N131" i="2"/>
  <c r="P132" i="2"/>
  <c r="O132" i="2"/>
  <c r="N132" i="2"/>
  <c r="P133" i="2"/>
  <c r="O133" i="2"/>
  <c r="N133" i="2"/>
  <c r="R131" i="2" l="1"/>
  <c r="R133" i="2"/>
  <c r="R132" i="2"/>
  <c r="P134" i="2"/>
  <c r="O134" i="2"/>
  <c r="N134" i="2"/>
  <c r="P135" i="2"/>
  <c r="O135" i="2"/>
  <c r="N135" i="2"/>
  <c r="P136" i="2"/>
  <c r="O136" i="2"/>
  <c r="N136" i="2"/>
  <c r="R136" i="2" l="1"/>
  <c r="R134" i="2"/>
  <c r="R135" i="2"/>
  <c r="P137" i="2"/>
  <c r="O137" i="2"/>
  <c r="N137" i="2"/>
  <c r="P138" i="2"/>
  <c r="O138" i="2"/>
  <c r="N138" i="2"/>
  <c r="P139" i="2"/>
  <c r="O139" i="2"/>
  <c r="N139" i="2"/>
  <c r="R138" i="2" l="1"/>
  <c r="R137" i="2"/>
  <c r="R139" i="2"/>
  <c r="N140" i="2"/>
  <c r="P140" i="2"/>
  <c r="O140" i="2"/>
  <c r="P141" i="2"/>
  <c r="O141" i="2"/>
  <c r="N141" i="2"/>
  <c r="P142" i="2"/>
  <c r="O142" i="2"/>
  <c r="N142" i="2"/>
  <c r="R141" i="2" l="1"/>
  <c r="R142" i="2"/>
  <c r="R140" i="2"/>
  <c r="P143" i="2"/>
  <c r="O143" i="2"/>
  <c r="N143" i="2"/>
  <c r="R143" i="2" s="1"/>
  <c r="P144" i="2"/>
  <c r="O144" i="2"/>
  <c r="N144" i="2"/>
  <c r="P145" i="2"/>
  <c r="O145" i="2"/>
  <c r="N145" i="2"/>
  <c r="R145" i="2" s="1"/>
  <c r="R144" i="2" l="1"/>
  <c r="P146" i="2"/>
  <c r="O146" i="2"/>
  <c r="N146" i="2"/>
  <c r="P147" i="2"/>
  <c r="O147" i="2"/>
  <c r="N147" i="2"/>
  <c r="P148" i="2"/>
  <c r="O148" i="2"/>
  <c r="N148" i="2"/>
  <c r="R146" i="2" l="1"/>
  <c r="R148" i="2"/>
  <c r="R147" i="2"/>
  <c r="C2" i="1"/>
</calcChain>
</file>

<file path=xl/sharedStrings.xml><?xml version="1.0" encoding="utf-8"?>
<sst xmlns="http://schemas.openxmlformats.org/spreadsheetml/2006/main" count="606" uniqueCount="63">
  <si>
    <t>TARİH</t>
  </si>
  <si>
    <t>AÇIKLAMA</t>
  </si>
  <si>
    <t xml:space="preserve">TARİH </t>
  </si>
  <si>
    <t>DURAKLAMA ZAMANI (DK) 2</t>
  </si>
  <si>
    <t xml:space="preserve">AÇIKLAMA </t>
  </si>
  <si>
    <t>DURAKLAMA NEDENİ 2</t>
  </si>
  <si>
    <t>DURAKLAMA NEDENİ 1</t>
  </si>
  <si>
    <t>DURAKLAMA ZAMANI (DK) 1</t>
  </si>
  <si>
    <t>MAKİNE</t>
  </si>
  <si>
    <t>GERÇEKLEŞEN ÜRETİM METRAJI</t>
  </si>
  <si>
    <t>ÜRETİLEN PARÇA SAYISI</t>
  </si>
  <si>
    <t>ÇALIŞMA KOŞULU</t>
  </si>
  <si>
    <t>DURAKLAMA ZAMANI (DK) 3</t>
  </si>
  <si>
    <t>DURAKLAMA NEDENİ 3</t>
  </si>
  <si>
    <t>PVC BÖLÜMÜ VERİ EKRANI</t>
  </si>
  <si>
    <t>DURAKLAMA
ZAMANI (DK) 1</t>
  </si>
  <si>
    <t>DURAKLAMA
NEDENİ 1</t>
  </si>
  <si>
    <t>DURAKLAMA
NEDENİ 2</t>
  </si>
  <si>
    <t>DURAKLAMA
NEDENİ 3</t>
  </si>
  <si>
    <t>STREAM-B</t>
  </si>
  <si>
    <t>STREAM-C</t>
  </si>
  <si>
    <t>KAYIP SÜRE</t>
  </si>
  <si>
    <t>TURANLAR</t>
  </si>
  <si>
    <t>Hazırlık/İlk ısınma</t>
  </si>
  <si>
    <t>NORMAL MESAİ</t>
  </si>
  <si>
    <t>Temizlik</t>
  </si>
  <si>
    <t>URETILEN METRAJ</t>
  </si>
  <si>
    <t>İş bekleme</t>
  </si>
  <si>
    <t>çalışmadı</t>
  </si>
  <si>
    <t>Bakım/Onarım</t>
  </si>
  <si>
    <t>Emici Sistem Arızası</t>
  </si>
  <si>
    <t>tutkal merdanesi temizlendi</t>
  </si>
  <si>
    <t>Temizlik/Hazırlık/İlk ısınma</t>
  </si>
  <si>
    <t>metraj olma sebebi urunler karma bi şekilde geldi 2 parca 3 parca gb</t>
  </si>
  <si>
    <t>240 çaliştı</t>
  </si>
  <si>
    <t>Makine Arızası</t>
  </si>
  <si>
    <t>nortson tutkal hortumu patladı</t>
  </si>
  <si>
    <t>kasa verildi</t>
  </si>
  <si>
    <t>ÇEK KASA VERİLDİ</t>
  </si>
  <si>
    <t>oylen arası boya bölumun de çalışıldı</t>
  </si>
  <si>
    <t>60 eve erken gittik kar nedeniyle</t>
  </si>
  <si>
    <t>ÇALIŞMADI</t>
  </si>
  <si>
    <t>çalşmadı</t>
  </si>
  <si>
    <t>Elektrik kesilmesi</t>
  </si>
  <si>
    <t>SAYIM YAPILDI</t>
  </si>
  <si>
    <t>sayım yapıldı</t>
  </si>
  <si>
    <t>Kompresör arızası</t>
  </si>
  <si>
    <t>hava gitti 20 dk</t>
  </si>
  <si>
    <t>Hatalı Parça</t>
  </si>
  <si>
    <t>KALİTE</t>
  </si>
  <si>
    <t>OEE</t>
  </si>
  <si>
    <t>PERFORMANS</t>
  </si>
  <si>
    <t>KULLANILABİLİRLİK</t>
  </si>
  <si>
    <t>Hatalı Parça (Makine Bazlı)</t>
  </si>
  <si>
    <t>kasa veridi 340 mt</t>
  </si>
  <si>
    <t>temizlik</t>
  </si>
  <si>
    <t>tutkalı guvenlik biz gelmeden açıyordu aç madıgı içi 40 dk tutkalın ısınmasını bekledik</t>
  </si>
  <si>
    <t>700 mt çekmece kasası verildi</t>
  </si>
  <si>
    <t>2 kişi 1 saat cnc çalıştı.</t>
  </si>
  <si>
    <t>Ayar</t>
  </si>
  <si>
    <t>iş bekleme</t>
  </si>
  <si>
    <t>kanal testere bıçağı bilemeye gitti deyişimi yapıldı</t>
  </si>
  <si>
    <t>çaluışmadı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</si>
</sst>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2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14" fontId="0" fillId="0" borderId="0" xfId="0" applyNumberFormat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1" xfId="0" applyNumberFormat="1" applyBorder="1"/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Border="1"/>
    <xf numFmtId="0" fontId="0" fillId="0" borderId="4" xfId="0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0" xfId="0" applyFill="1"/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0" fontId="1" fillId="4" borderId="1" xfId="0" applyNumberFormat="1" applyFont="1" applyFill="1" applyBorder="1" applyAlignment="1">
      <alignment horizontal="center" vertical="center"/>
    </xf>
    <xf numFmtId="10" fontId="1" fillId="4" borderId="1" xfId="0" applyNumberFormat="1" applyFont="1" applyFill="1" applyBorder="1" applyAlignment="1">
      <alignment horizontal="center" vertical="center" wrapText="1"/>
    </xf>
    <xf numFmtId="10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 wrapText="1"/>
    </xf>
    <xf numFmtId="10" fontId="1" fillId="0" borderId="1" xfId="0" applyNumberFormat="1" applyFont="1" applyBorder="1"/>
    <xf numFmtId="10" fontId="1" fillId="5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14</xdr:row>
          <xdr:rowOff>114300</xdr:rowOff>
        </xdr:from>
        <xdr:to>
          <xdr:col>2</xdr:col>
          <xdr:colOff>1562100</xdr:colOff>
          <xdr:row>16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2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H14"/>
  <sheetViews>
    <sheetView showGridLines="0" zoomScale="160" zoomScaleNormal="160" workbookViewId="0">
      <selection activeCell="C11" sqref="C11"/>
    </sheetView>
  </sheetViews>
  <sheetFormatPr baseColWidth="10" defaultColWidth="8.83203125" defaultRowHeight="15" x14ac:dyDescent="0.2"/>
  <cols>
    <col min="1" max="1" width="14.5" style="1" customWidth="1"/>
    <col min="2" max="2" width="12.5" customWidth="1"/>
    <col min="3" max="3" width="26.5" customWidth="1"/>
    <col min="4" max="4" width="14.5" customWidth="1"/>
    <col min="5" max="5" width="11.5" customWidth="1"/>
    <col min="6" max="6" width="22.5" customWidth="1"/>
    <col min="8" max="8" width="22.5" customWidth="1"/>
  </cols>
  <sheetData>
    <row r="1" spans="1:8" ht="46.5" customHeight="1" x14ac:dyDescent="0.2">
      <c r="A1" s="2"/>
      <c r="B1" s="28" t="s">
        <v>14</v>
      </c>
      <c r="C1" s="29"/>
    </row>
    <row r="2" spans="1:8" ht="21" customHeight="1" x14ac:dyDescent="0.2">
      <c r="A2" s="30" t="s">
        <v>2</v>
      </c>
      <c r="B2" s="30"/>
      <c r="C2" s="6">
        <f ca="1">TODAY()</f>
        <v>46097</v>
      </c>
      <c r="H2" s="4"/>
    </row>
    <row r="3" spans="1:8" ht="21" customHeight="1" x14ac:dyDescent="0.2">
      <c r="A3" s="30" t="s">
        <v>8</v>
      </c>
      <c r="B3" s="30"/>
      <c r="C3" s="5"/>
    </row>
    <row r="4" spans="1:8" ht="21" customHeight="1" x14ac:dyDescent="0.2">
      <c r="A4" s="30" t="s">
        <v>26</v>
      </c>
      <c r="B4" s="30"/>
      <c r="C4" s="5"/>
    </row>
    <row r="5" spans="1:8" ht="21" customHeight="1" x14ac:dyDescent="0.2">
      <c r="A5" s="30" t="s">
        <v>10</v>
      </c>
      <c r="B5" s="30"/>
      <c r="C5" s="5"/>
    </row>
    <row r="6" spans="1:8" ht="21" customHeight="1" x14ac:dyDescent="0.2">
      <c r="A6" s="30" t="s">
        <v>11</v>
      </c>
      <c r="B6" s="30"/>
      <c r="C6" s="5"/>
    </row>
    <row r="7" spans="1:8" ht="21" customHeight="1" x14ac:dyDescent="0.2">
      <c r="A7" s="30" t="s">
        <v>7</v>
      </c>
      <c r="B7" s="30"/>
      <c r="C7" s="5"/>
    </row>
    <row r="8" spans="1:8" ht="21" customHeight="1" x14ac:dyDescent="0.2">
      <c r="A8" s="30" t="s">
        <v>6</v>
      </c>
      <c r="B8" s="30"/>
      <c r="C8" s="5"/>
    </row>
    <row r="9" spans="1:8" ht="21" customHeight="1" x14ac:dyDescent="0.2">
      <c r="A9" s="31" t="s">
        <v>3</v>
      </c>
      <c r="B9" s="32"/>
      <c r="C9" s="14"/>
    </row>
    <row r="10" spans="1:8" ht="21" customHeight="1" x14ac:dyDescent="0.2">
      <c r="A10" s="31" t="s">
        <v>5</v>
      </c>
      <c r="B10" s="32"/>
      <c r="C10" s="5"/>
    </row>
    <row r="11" spans="1:8" ht="21" customHeight="1" x14ac:dyDescent="0.2">
      <c r="A11" s="31" t="s">
        <v>12</v>
      </c>
      <c r="B11" s="32"/>
      <c r="C11" s="5"/>
    </row>
    <row r="12" spans="1:8" ht="21" customHeight="1" x14ac:dyDescent="0.2">
      <c r="A12" s="30" t="s">
        <v>13</v>
      </c>
      <c r="B12" s="30"/>
      <c r="C12" s="5"/>
    </row>
    <row r="13" spans="1:8" ht="21" customHeight="1" x14ac:dyDescent="0.2">
      <c r="A13" s="33" t="s">
        <v>53</v>
      </c>
      <c r="B13" s="34"/>
      <c r="C13" s="5"/>
    </row>
    <row r="14" spans="1:8" ht="36.75" customHeight="1" x14ac:dyDescent="0.2">
      <c r="A14" s="30" t="s">
        <v>4</v>
      </c>
      <c r="B14" s="30"/>
      <c r="C14" s="5"/>
    </row>
  </sheetData>
  <dataConsolidate/>
  <mergeCells count="14">
    <mergeCell ref="A6:B6"/>
    <mergeCell ref="A7:B7"/>
    <mergeCell ref="A8:B8"/>
    <mergeCell ref="A14:B14"/>
    <mergeCell ref="A10:B10"/>
    <mergeCell ref="A11:B11"/>
    <mergeCell ref="A12:B12"/>
    <mergeCell ref="A9:B9"/>
    <mergeCell ref="A13:B13"/>
    <mergeCell ref="B1:C1"/>
    <mergeCell ref="A2:B2"/>
    <mergeCell ref="A3:B3"/>
    <mergeCell ref="A5:B5"/>
    <mergeCell ref="A4:B4"/>
  </mergeCells>
  <dataValidations count="5">
    <dataValidation type="list" allowBlank="1" showInputMessage="1" showErrorMessage="1" sqref="C3" xr:uid="{00000000-0002-0000-0000-000000000000}">
      <formula1>"STREAM-B,STREAM-C,TURANLAR"</formula1>
    </dataValidation>
    <dataValidation type="list" allowBlank="1" showInputMessage="1" showErrorMessage="1" sqref="C6" xr:uid="{00000000-0002-0000-0000-000001000000}">
      <formula1>"NORMAL MESAİ,FAZLA MESAİ,VARDİYA"</formula1>
    </dataValidation>
    <dataValidation type="list" allowBlank="1" showInputMessage="1" showErrorMessage="1" sqref="C10 C12" xr:uid="{00000000-0002-0000-0000-000002000000}">
      <formula1>"Temizlik,Hazırlık/İlk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C8" xr:uid="{00000000-0002-0000-0000-000003000000}">
      <formula1>"Temizlik/Hazırlık/İlk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C7" xr:uid="{00000000-0002-0000-0000-000004000000}">
      <formula1>"10,20,30,40,50,60,70"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KayitAl">
                <anchor moveWithCells="1" sizeWithCells="1">
                  <from>
                    <xdr:col>2</xdr:col>
                    <xdr:colOff>190500</xdr:colOff>
                    <xdr:row>14</xdr:row>
                    <xdr:rowOff>114300</xdr:rowOff>
                  </from>
                  <to>
                    <xdr:col>2</xdr:col>
                    <xdr:colOff>1562100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 filterMode="1"/>
  <dimension ref="A1:R165"/>
  <sheetViews>
    <sheetView showGridLines="0" tabSelected="1" zoomScaleNormal="90" workbookViewId="0">
      <selection activeCell="B15" sqref="B15"/>
    </sheetView>
  </sheetViews>
  <sheetFormatPr baseColWidth="10" defaultColWidth="8.83203125" defaultRowHeight="30" customHeight="1" x14ac:dyDescent="0.2"/>
  <cols>
    <col min="1" max="1" width="29.5" style="13" customWidth="1"/>
    <col min="2" max="2" width="16.5" style="3" customWidth="1"/>
    <col min="3" max="3" width="18" style="11" customWidth="1"/>
    <col min="4" max="4" width="16.5" style="11" customWidth="1"/>
    <col min="5" max="5" width="16.5" style="3" customWidth="1"/>
    <col min="6" max="6" width="16.5" style="11" customWidth="1"/>
    <col min="7" max="7" width="21.1640625" style="3" customWidth="1"/>
    <col min="8" max="8" width="16.5" style="11" customWidth="1"/>
    <col min="9" max="9" width="16.5" style="3" customWidth="1"/>
    <col min="10" max="10" width="23.1640625" style="11" bestFit="1" customWidth="1"/>
    <col min="11" max="12" width="20.1640625" style="3" customWidth="1"/>
    <col min="13" max="13" width="86.1640625" style="3" bestFit="1" customWidth="1"/>
    <col min="14" max="14" width="18.5" style="26" customWidth="1"/>
    <col min="15" max="15" width="16.5" style="26" customWidth="1"/>
    <col min="16" max="16" width="22.1640625" style="26" bestFit="1" customWidth="1"/>
    <col min="17" max="17" width="11.5" style="26" customWidth="1"/>
    <col min="18" max="18" width="11.5" style="24" customWidth="1"/>
    <col min="20" max="20" width="16.5" customWidth="1"/>
  </cols>
  <sheetData>
    <row r="1" spans="1:18" s="19" customFormat="1" ht="32" x14ac:dyDescent="0.2">
      <c r="A1" s="15" t="s">
        <v>0</v>
      </c>
      <c r="B1" s="16" t="s">
        <v>8</v>
      </c>
      <c r="C1" s="17" t="s">
        <v>9</v>
      </c>
      <c r="D1" s="17" t="s">
        <v>10</v>
      </c>
      <c r="E1" s="16" t="s">
        <v>11</v>
      </c>
      <c r="F1" s="17" t="s">
        <v>15</v>
      </c>
      <c r="G1" s="18" t="s">
        <v>16</v>
      </c>
      <c r="H1" s="17" t="s">
        <v>3</v>
      </c>
      <c r="I1" s="18" t="s">
        <v>17</v>
      </c>
      <c r="J1" s="17" t="s">
        <v>12</v>
      </c>
      <c r="K1" s="18" t="s">
        <v>18</v>
      </c>
      <c r="L1" s="18" t="s">
        <v>48</v>
      </c>
      <c r="M1" s="16" t="s">
        <v>1</v>
      </c>
      <c r="N1" s="22" t="s">
        <v>51</v>
      </c>
      <c r="O1" s="22" t="s">
        <v>21</v>
      </c>
      <c r="P1" s="23" t="s">
        <v>52</v>
      </c>
      <c r="Q1" s="23" t="s">
        <v>49</v>
      </c>
      <c r="R1" s="23" t="s">
        <v>50</v>
      </c>
    </row>
    <row r="2" spans="1:18" s="19" customFormat="1" ht="25" customHeight="1" x14ac:dyDescent="0.2">
      <c r="A2" s="12">
        <v>46094</v>
      </c>
      <c r="B2" s="5" t="s">
        <v>19</v>
      </c>
      <c r="C2" s="20">
        <v>1002</v>
      </c>
      <c r="D2" s="20">
        <v>446</v>
      </c>
      <c r="E2" s="5" t="s">
        <v>24</v>
      </c>
      <c r="F2" s="20">
        <v>30</v>
      </c>
      <c r="G2" s="21" t="s">
        <v>32</v>
      </c>
      <c r="H2" s="20">
        <v>120</v>
      </c>
      <c r="I2" s="21" t="s">
        <v>27</v>
      </c>
      <c r="J2" s="20"/>
      <c r="K2" s="21"/>
      <c r="L2" s="21"/>
      <c r="M2" s="5"/>
      <c r="N2" s="24">
        <f>IFERROR(C2 / VLOOKUP(B2,AYAR!#REF!,2,0),0)</f>
        <v>0</v>
      </c>
      <c r="O2" s="24">
        <f>IFERROR((F2 + H2 + J2) / 510,0)</f>
        <v>0.29411764705882354</v>
      </c>
      <c r="P2" s="25">
        <f>IFERROR((510 - (F2 + H2 + J2)) / 510,0)</f>
        <v>0.70588235294117652</v>
      </c>
      <c r="Q2" s="25">
        <f t="shared" ref="Q2:Q10" si="0">IF(AND(B2="TURANLAR",C2=0),0,IF(AND(B2="TURANLAR",D2=0),1,IF(D2=0,0,IF(L2=0,1,1-(L2/D2)))))</f>
        <v>1</v>
      </c>
      <c r="R2" s="25">
        <f t="shared" ref="R2:R10" si="1">IFERROR(N2*P2*Q2,0)</f>
        <v>0</v>
      </c>
    </row>
    <row r="3" spans="1:18" s="19" customFormat="1" ht="25" customHeight="1" x14ac:dyDescent="0.2">
      <c r="A3" s="12">
        <v>46094</v>
      </c>
      <c r="B3" s="5" t="s">
        <v>20</v>
      </c>
      <c r="C3" s="20">
        <v>3034</v>
      </c>
      <c r="D3" s="20">
        <v>1431.5</v>
      </c>
      <c r="E3" s="5" t="s">
        <v>24</v>
      </c>
      <c r="F3" s="20">
        <v>30</v>
      </c>
      <c r="G3" s="21" t="s">
        <v>32</v>
      </c>
      <c r="H3" s="20">
        <v>60</v>
      </c>
      <c r="I3" s="21" t="s">
        <v>27</v>
      </c>
      <c r="J3" s="20"/>
      <c r="K3" s="21"/>
      <c r="L3" s="21"/>
      <c r="M3" s="5"/>
      <c r="N3" s="24">
        <f>IFERROR(C3 / VLOOKUP(B3,AYAR!#REF!,2,0),0)</f>
        <v>0</v>
      </c>
      <c r="O3" s="24">
        <f>IFERROR((F3 + H3 + J3) / 510,0)</f>
        <v>0.17647058823529413</v>
      </c>
      <c r="P3" s="25">
        <f>IFERROR((510 - (F3 + H3 + J3)) / 510,0)</f>
        <v>0.82352941176470584</v>
      </c>
      <c r="Q3" s="25">
        <f t="shared" si="0"/>
        <v>1</v>
      </c>
      <c r="R3" s="25">
        <f t="shared" si="1"/>
        <v>0</v>
      </c>
    </row>
    <row r="4" spans="1:18" s="19" customFormat="1" ht="25" customHeight="1" x14ac:dyDescent="0.2">
      <c r="A4" s="12">
        <v>46094</v>
      </c>
      <c r="B4" s="5" t="s">
        <v>22</v>
      </c>
      <c r="C4" s="20">
        <v>690</v>
      </c>
      <c r="D4" s="20">
        <v>0</v>
      </c>
      <c r="E4" s="5" t="s">
        <v>24</v>
      </c>
      <c r="F4" s="20">
        <v>30</v>
      </c>
      <c r="G4" s="21" t="s">
        <v>32</v>
      </c>
      <c r="H4" s="20">
        <v>360</v>
      </c>
      <c r="I4" s="21" t="s">
        <v>27</v>
      </c>
      <c r="J4" s="20"/>
      <c r="K4" s="21"/>
      <c r="L4" s="21"/>
      <c r="M4" s="5" t="s">
        <v>37</v>
      </c>
      <c r="N4" s="24">
        <f>IFERROR(C4 / VLOOKUP(B4,AYAR!#REF!,2,0),0)</f>
        <v>0</v>
      </c>
      <c r="O4" s="24">
        <f>IFERROR((F4 + H4 + J4) / 510,0)</f>
        <v>0.76470588235294112</v>
      </c>
      <c r="P4" s="25">
        <f>IFERROR((510 - (F4 + H4 + J4)) / 510,0)</f>
        <v>0.23529411764705882</v>
      </c>
      <c r="Q4" s="25">
        <f t="shared" si="0"/>
        <v>1</v>
      </c>
      <c r="R4" s="25">
        <f t="shared" si="1"/>
        <v>0</v>
      </c>
    </row>
    <row r="5" spans="1:18" s="19" customFormat="1" ht="25" customHeight="1" x14ac:dyDescent="0.2">
      <c r="A5" s="12">
        <v>46093</v>
      </c>
      <c r="B5" s="5" t="s">
        <v>19</v>
      </c>
      <c r="C5" s="20">
        <v>2234</v>
      </c>
      <c r="D5" s="20">
        <v>329.75</v>
      </c>
      <c r="E5" s="5" t="s">
        <v>24</v>
      </c>
      <c r="F5" s="20">
        <v>30</v>
      </c>
      <c r="G5" s="21" t="s">
        <v>32</v>
      </c>
      <c r="H5" s="20">
        <v>120</v>
      </c>
      <c r="I5" s="21" t="s">
        <v>27</v>
      </c>
      <c r="J5" s="20"/>
      <c r="K5" s="21"/>
      <c r="L5" s="21"/>
      <c r="M5" s="5"/>
      <c r="N5" s="24">
        <f>IFERROR(C5 / VLOOKUP(B5,AYAR!#REF!,2,0),0)</f>
        <v>0</v>
      </c>
      <c r="O5" s="24">
        <f t="shared" ref="O5:O10" si="2">IFERROR((F5 + H5 + J5) / 510,0)</f>
        <v>0.29411764705882354</v>
      </c>
      <c r="P5" s="25">
        <f t="shared" ref="P5:P10" si="3">IFERROR((510 - (F5 + H5 + J5)) / 510,0)</f>
        <v>0.70588235294117652</v>
      </c>
      <c r="Q5" s="25">
        <f t="shared" si="0"/>
        <v>1</v>
      </c>
      <c r="R5" s="25">
        <f t="shared" si="1"/>
        <v>0</v>
      </c>
    </row>
    <row r="6" spans="1:18" s="19" customFormat="1" ht="25" customHeight="1" x14ac:dyDescent="0.2">
      <c r="A6" s="12">
        <v>46093</v>
      </c>
      <c r="B6" s="5" t="s">
        <v>19</v>
      </c>
      <c r="C6" s="20"/>
      <c r="D6" s="20">
        <v>0</v>
      </c>
      <c r="E6" s="5"/>
      <c r="F6" s="20"/>
      <c r="G6" s="21"/>
      <c r="H6" s="20">
        <v>510</v>
      </c>
      <c r="I6" s="21" t="s">
        <v>27</v>
      </c>
      <c r="J6" s="20"/>
      <c r="K6" s="21"/>
      <c r="L6" s="21"/>
      <c r="M6" s="5" t="s">
        <v>28</v>
      </c>
      <c r="N6" s="24">
        <f>IFERROR(C6 / VLOOKUP(B6,AYAR!#REF!,2,0),0)</f>
        <v>0</v>
      </c>
      <c r="O6" s="24">
        <f t="shared" si="2"/>
        <v>1</v>
      </c>
      <c r="P6" s="25">
        <f t="shared" si="3"/>
        <v>0</v>
      </c>
      <c r="Q6" s="25">
        <f t="shared" si="0"/>
        <v>0</v>
      </c>
      <c r="R6" s="25">
        <f t="shared" si="1"/>
        <v>0</v>
      </c>
    </row>
    <row r="7" spans="1:18" s="19" customFormat="1" ht="25" customHeight="1" x14ac:dyDescent="0.2">
      <c r="A7" s="12">
        <v>46093</v>
      </c>
      <c r="B7" s="5" t="s">
        <v>22</v>
      </c>
      <c r="C7" s="20"/>
      <c r="D7" s="20">
        <v>0</v>
      </c>
      <c r="E7" s="5"/>
      <c r="F7" s="20"/>
      <c r="G7" s="21"/>
      <c r="H7" s="20">
        <v>510</v>
      </c>
      <c r="I7" s="21" t="s">
        <v>27</v>
      </c>
      <c r="J7" s="20"/>
      <c r="K7" s="21"/>
      <c r="L7" s="21"/>
      <c r="M7" s="5" t="s">
        <v>28</v>
      </c>
      <c r="N7" s="24">
        <f>IFERROR(C7 / VLOOKUP(B7,AYAR!#REF!,2,0),0)</f>
        <v>0</v>
      </c>
      <c r="O7" s="24">
        <f t="shared" si="2"/>
        <v>1</v>
      </c>
      <c r="P7" s="25">
        <f t="shared" si="3"/>
        <v>0</v>
      </c>
      <c r="Q7" s="25">
        <f t="shared" si="0"/>
        <v>0</v>
      </c>
      <c r="R7" s="25">
        <f t="shared" si="1"/>
        <v>0</v>
      </c>
    </row>
    <row r="8" spans="1:18" s="19" customFormat="1" ht="25" customHeight="1" x14ac:dyDescent="0.2">
      <c r="A8" s="12">
        <v>46092</v>
      </c>
      <c r="B8" s="5" t="s">
        <v>20</v>
      </c>
      <c r="C8" s="20">
        <v>332</v>
      </c>
      <c r="D8" s="20">
        <v>115</v>
      </c>
      <c r="E8" s="5" t="s">
        <v>24</v>
      </c>
      <c r="F8" s="20">
        <v>50</v>
      </c>
      <c r="G8" s="21" t="s">
        <v>32</v>
      </c>
      <c r="H8" s="20">
        <v>340</v>
      </c>
      <c r="I8" s="21" t="s">
        <v>27</v>
      </c>
      <c r="J8" s="20"/>
      <c r="K8" s="21"/>
      <c r="L8" s="21"/>
      <c r="M8" s="5"/>
      <c r="N8" s="24">
        <f>IFERROR(C8 / VLOOKUP(B8,AYAR!#REF!,2,0),0)</f>
        <v>0</v>
      </c>
      <c r="O8" s="24">
        <f t="shared" si="2"/>
        <v>0.76470588235294112</v>
      </c>
      <c r="P8" s="25">
        <f t="shared" si="3"/>
        <v>0.23529411764705882</v>
      </c>
      <c r="Q8" s="25">
        <f t="shared" si="0"/>
        <v>1</v>
      </c>
      <c r="R8" s="25">
        <f t="shared" si="1"/>
        <v>0</v>
      </c>
    </row>
    <row r="9" spans="1:18" s="19" customFormat="1" ht="25" customHeight="1" x14ac:dyDescent="0.2">
      <c r="A9" s="12">
        <v>46092</v>
      </c>
      <c r="B9" s="5" t="s">
        <v>19</v>
      </c>
      <c r="C9" s="20">
        <v>964</v>
      </c>
      <c r="D9" s="20">
        <v>369.75</v>
      </c>
      <c r="E9" s="5" t="s">
        <v>24</v>
      </c>
      <c r="F9" s="20">
        <v>60</v>
      </c>
      <c r="G9" s="21" t="s">
        <v>32</v>
      </c>
      <c r="H9" s="20">
        <v>120</v>
      </c>
      <c r="I9" s="21" t="s">
        <v>27</v>
      </c>
      <c r="J9" s="20"/>
      <c r="K9" s="21"/>
      <c r="L9" s="21"/>
      <c r="M9" s="5"/>
      <c r="N9" s="24">
        <f>IFERROR(C9 / VLOOKUP(B9,AYAR!#REF!,2,0),0)</f>
        <v>0</v>
      </c>
      <c r="O9" s="24">
        <f t="shared" si="2"/>
        <v>0.35294117647058826</v>
      </c>
      <c r="P9" s="25">
        <f t="shared" si="3"/>
        <v>0.6470588235294118</v>
      </c>
      <c r="Q9" s="25">
        <f t="shared" si="0"/>
        <v>1</v>
      </c>
      <c r="R9" s="25">
        <f t="shared" si="1"/>
        <v>0</v>
      </c>
    </row>
    <row r="10" spans="1:18" s="19" customFormat="1" ht="25" customHeight="1" x14ac:dyDescent="0.2">
      <c r="A10" s="12">
        <v>46092</v>
      </c>
      <c r="B10" s="5" t="s">
        <v>22</v>
      </c>
      <c r="C10" s="20"/>
      <c r="D10" s="20">
        <v>0</v>
      </c>
      <c r="E10" s="5"/>
      <c r="F10" s="20"/>
      <c r="G10" s="21" t="s">
        <v>27</v>
      </c>
      <c r="H10" s="20">
        <v>510</v>
      </c>
      <c r="I10" s="21"/>
      <c r="J10" s="20"/>
      <c r="K10" s="21"/>
      <c r="L10" s="21"/>
      <c r="M10" s="5" t="s">
        <v>62</v>
      </c>
      <c r="N10" s="24">
        <f>IFERROR(C10 / VLOOKUP(B10,AYAR!#REF!,2,0),0)</f>
        <v>0</v>
      </c>
      <c r="O10" s="24">
        <f t="shared" si="2"/>
        <v>1</v>
      </c>
      <c r="P10" s="25">
        <f t="shared" si="3"/>
        <v>0</v>
      </c>
      <c r="Q10" s="25">
        <f t="shared" si="0"/>
        <v>0</v>
      </c>
      <c r="R10" s="25">
        <f t="shared" si="1"/>
        <v>0</v>
      </c>
    </row>
    <row r="11" spans="1:18" s="19" customFormat="1" ht="25" customHeight="1" x14ac:dyDescent="0.2">
      <c r="A11" s="12">
        <v>46091</v>
      </c>
      <c r="B11" s="5" t="s">
        <v>19</v>
      </c>
      <c r="C11" s="20">
        <v>1002</v>
      </c>
      <c r="D11" s="20">
        <v>446</v>
      </c>
      <c r="E11" s="5" t="s">
        <v>24</v>
      </c>
      <c r="F11" s="20">
        <v>30</v>
      </c>
      <c r="G11" s="21" t="s">
        <v>32</v>
      </c>
      <c r="H11" s="20">
        <v>120</v>
      </c>
      <c r="I11" s="21" t="s">
        <v>27</v>
      </c>
      <c r="J11" s="20"/>
      <c r="K11" s="21"/>
      <c r="L11" s="21"/>
      <c r="M11" s="5"/>
      <c r="N11" s="24">
        <f>IFERROR(C11 / VLOOKUP(B11,AYAR!C5:D7,2,0),0)</f>
        <v>0.501</v>
      </c>
      <c r="O11" s="24">
        <f>IFERROR((F11 + H11 + J11) / 510,0)</f>
        <v>0.29411764705882354</v>
      </c>
      <c r="P11" s="25">
        <f>IFERROR((510 - (F11 + H11 + J11)) / 510,0)</f>
        <v>0.70588235294117652</v>
      </c>
      <c r="Q11" s="25">
        <f t="shared" ref="Q11:Q16" si="4">IF(AND(B11="TURANLAR",C11=0),0,IF(AND(B11="TURANLAR",D11=0),1,IF(D11=0,0,IF(L11=0,1,1-(L11/D11)))))</f>
        <v>1</v>
      </c>
      <c r="R11" s="25">
        <f t="shared" ref="R11:R16" si="5">IFERROR(N11*P11*Q11,0)</f>
        <v>0.35364705882352943</v>
      </c>
    </row>
    <row r="12" spans="1:18" s="19" customFormat="1" ht="25" customHeight="1" x14ac:dyDescent="0.2">
      <c r="A12" s="12">
        <v>46091</v>
      </c>
      <c r="B12" s="5" t="s">
        <v>20</v>
      </c>
      <c r="C12" s="20">
        <v>3034</v>
      </c>
      <c r="D12" s="20">
        <v>1431.5</v>
      </c>
      <c r="E12" s="5" t="s">
        <v>24</v>
      </c>
      <c r="F12" s="20">
        <v>30</v>
      </c>
      <c r="G12" s="21" t="s">
        <v>32</v>
      </c>
      <c r="H12" s="20">
        <v>60</v>
      </c>
      <c r="I12" s="21" t="s">
        <v>27</v>
      </c>
      <c r="J12" s="20"/>
      <c r="K12" s="21"/>
      <c r="L12" s="21"/>
      <c r="M12" s="5"/>
      <c r="N12" s="24">
        <f>IFERROR(C12 / VLOOKUP(B12,AYAR!C5:D7,2,0),0)</f>
        <v>0.75849999999999995</v>
      </c>
      <c r="O12" s="24">
        <f>IFERROR((F12 + H12 + J12) / 510,0)</f>
        <v>0.17647058823529413</v>
      </c>
      <c r="P12" s="25">
        <f>IFERROR((510 - (F12 + H12 + J12)) / 510,0)</f>
        <v>0.82352941176470584</v>
      </c>
      <c r="Q12" s="25">
        <f t="shared" si="4"/>
        <v>1</v>
      </c>
      <c r="R12" s="25">
        <f t="shared" si="5"/>
        <v>0.62464705882352933</v>
      </c>
    </row>
    <row r="13" spans="1:18" s="19" customFormat="1" ht="67" customHeight="1" x14ac:dyDescent="0.2">
      <c r="A13" s="12">
        <v>46091</v>
      </c>
      <c r="B13" s="5" t="s">
        <v>22</v>
      </c>
      <c r="C13" s="20">
        <v>690</v>
      </c>
      <c r="D13" s="20">
        <v>0</v>
      </c>
      <c r="E13" s="5" t="s">
        <v>24</v>
      </c>
      <c r="F13" s="20">
        <v>30</v>
      </c>
      <c r="G13" s="21" t="s">
        <v>32</v>
      </c>
      <c r="H13" s="20">
        <v>360</v>
      </c>
      <c r="I13" s="21" t="s">
        <v>27</v>
      </c>
      <c r="J13" s="20"/>
      <c r="K13" s="21"/>
      <c r="L13" s="21"/>
      <c r="M13" s="5" t="s">
        <v>37</v>
      </c>
      <c r="N13" s="24">
        <f>IFERROR(C13 / VLOOKUP(B13,AYAR!C5:D7,2,0),0)</f>
        <v>0.41818181818181815</v>
      </c>
      <c r="O13" s="24">
        <f>IFERROR((F13 + H13 + J13) / 510,0)</f>
        <v>0.76470588235294112</v>
      </c>
      <c r="P13" s="25">
        <f>IFERROR((510 - (F13 + H13 + J13)) / 510,0)</f>
        <v>0.23529411764705882</v>
      </c>
      <c r="Q13" s="25">
        <f t="shared" si="4"/>
        <v>1</v>
      </c>
      <c r="R13" s="25">
        <f t="shared" si="5"/>
        <v>9.8395721925133683E-2</v>
      </c>
    </row>
    <row r="14" spans="1:18" s="19" customFormat="1" ht="25" customHeight="1" x14ac:dyDescent="0.2">
      <c r="A14" s="12">
        <v>46090</v>
      </c>
      <c r="B14" s="5" t="s">
        <v>19</v>
      </c>
      <c r="C14" s="20">
        <v>2234</v>
      </c>
      <c r="D14" s="20">
        <v>329.75</v>
      </c>
      <c r="E14" s="5" t="s">
        <v>24</v>
      </c>
      <c r="F14" s="20">
        <v>30</v>
      </c>
      <c r="G14" s="21" t="s">
        <v>32</v>
      </c>
      <c r="H14" s="20">
        <v>120</v>
      </c>
      <c r="I14" s="21" t="s">
        <v>27</v>
      </c>
      <c r="J14" s="20"/>
      <c r="K14" s="21"/>
      <c r="L14" s="21"/>
      <c r="M14" s="5"/>
      <c r="N14" s="24">
        <f>IFERROR(C14 / VLOOKUP(B14,AYAR!C5:D7,2,0),0)</f>
        <v>1.117</v>
      </c>
      <c r="O14" s="24">
        <f t="shared" ref="O14:O19" si="6">IFERROR((F14 + H14 + J14) / 510,0)</f>
        <v>0.29411764705882354</v>
      </c>
      <c r="P14" s="25">
        <f t="shared" ref="P14:P19" si="7">IFERROR((510 - (F14 + H14 + J14)) / 510,0)</f>
        <v>0.70588235294117652</v>
      </c>
      <c r="Q14" s="25">
        <f t="shared" si="4"/>
        <v>1</v>
      </c>
      <c r="R14" s="25">
        <f t="shared" si="5"/>
        <v>0.78847058823529415</v>
      </c>
    </row>
    <row r="15" spans="1:18" s="19" customFormat="1" ht="25" customHeight="1" x14ac:dyDescent="0.2">
      <c r="A15" s="12">
        <v>46090</v>
      </c>
      <c r="B15" s="5" t="s">
        <v>20</v>
      </c>
      <c r="C15" s="20"/>
      <c r="D15" s="20">
        <v>0</v>
      </c>
      <c r="E15" s="5"/>
      <c r="F15" s="20"/>
      <c r="G15" s="21"/>
      <c r="H15" s="20">
        <v>510</v>
      </c>
      <c r="I15" s="21" t="s">
        <v>27</v>
      </c>
      <c r="J15" s="20"/>
      <c r="K15" s="21"/>
      <c r="L15" s="21"/>
      <c r="M15" s="5" t="s">
        <v>28</v>
      </c>
      <c r="N15" s="24">
        <f>IFERROR(C15 / VLOOKUP(B15,AYAR!C5:D7,2,0),0)</f>
        <v>0</v>
      </c>
      <c r="O15" s="24">
        <f t="shared" si="6"/>
        <v>1</v>
      </c>
      <c r="P15" s="25">
        <f t="shared" si="7"/>
        <v>0</v>
      </c>
      <c r="Q15" s="25">
        <f t="shared" si="4"/>
        <v>0</v>
      </c>
      <c r="R15" s="25">
        <f t="shared" si="5"/>
        <v>0</v>
      </c>
    </row>
    <row r="16" spans="1:18" s="19" customFormat="1" ht="25" customHeight="1" x14ac:dyDescent="0.2">
      <c r="A16" s="12">
        <v>46090</v>
      </c>
      <c r="B16" s="5" t="s">
        <v>22</v>
      </c>
      <c r="C16" s="20"/>
      <c r="D16" s="20">
        <v>0</v>
      </c>
      <c r="E16" s="5"/>
      <c r="F16" s="20"/>
      <c r="G16" s="21"/>
      <c r="H16" s="20">
        <v>510</v>
      </c>
      <c r="I16" s="21" t="s">
        <v>27</v>
      </c>
      <c r="J16" s="20"/>
      <c r="K16" s="21"/>
      <c r="L16" s="21"/>
      <c r="M16" s="5" t="s">
        <v>28</v>
      </c>
      <c r="N16" s="24">
        <f>IFERROR(C16 / VLOOKUP(B16,AYAR!C5:D7,2,0),0)</f>
        <v>0</v>
      </c>
      <c r="O16" s="24">
        <f t="shared" si="6"/>
        <v>1</v>
      </c>
      <c r="P16" s="25">
        <f t="shared" si="7"/>
        <v>0</v>
      </c>
      <c r="Q16" s="25">
        <f t="shared" si="4"/>
        <v>0</v>
      </c>
      <c r="R16" s="25">
        <f t="shared" si="5"/>
        <v>0</v>
      </c>
    </row>
    <row r="17" spans="1:18" s="19" customFormat="1" ht="25" customHeight="1" x14ac:dyDescent="0.2">
      <c r="A17" s="12">
        <v>46087</v>
      </c>
      <c r="B17" s="5" t="s">
        <v>20</v>
      </c>
      <c r="C17" s="20">
        <v>332</v>
      </c>
      <c r="D17" s="20">
        <v>115</v>
      </c>
      <c r="E17" s="5" t="s">
        <v>24</v>
      </c>
      <c r="F17" s="20">
        <v>50</v>
      </c>
      <c r="G17" s="21" t="s">
        <v>32</v>
      </c>
      <c r="H17" s="20">
        <v>340</v>
      </c>
      <c r="I17" s="21" t="s">
        <v>27</v>
      </c>
      <c r="J17" s="20"/>
      <c r="K17" s="21"/>
      <c r="L17" s="21"/>
      <c r="M17" s="5"/>
      <c r="N17" s="24">
        <f>IFERROR(C17 / VLOOKUP(B17,AYAR!C5:D7,2,0),0)</f>
        <v>8.3000000000000004E-2</v>
      </c>
      <c r="O17" s="24">
        <f t="shared" si="6"/>
        <v>0.76470588235294112</v>
      </c>
      <c r="P17" s="25">
        <f t="shared" si="7"/>
        <v>0.23529411764705882</v>
      </c>
      <c r="Q17" s="25">
        <f t="shared" ref="Q17:Q22" si="8">IF(AND(B17="TURANLAR",C17=0),0,IF(AND(B17="TURANLAR",D17=0),1,IF(D17=0,0,IF(L17=0,1,1-(L17/D17)))))</f>
        <v>1</v>
      </c>
      <c r="R17" s="25">
        <f t="shared" ref="R17:R22" si="9">IFERROR(N17*P17*Q17,0)</f>
        <v>1.9529411764705882E-2</v>
      </c>
    </row>
    <row r="18" spans="1:18" s="19" customFormat="1" ht="25" customHeight="1" x14ac:dyDescent="0.2">
      <c r="A18" s="12">
        <v>46087</v>
      </c>
      <c r="B18" s="5" t="s">
        <v>19</v>
      </c>
      <c r="C18" s="20">
        <v>964</v>
      </c>
      <c r="D18" s="20">
        <v>369.75</v>
      </c>
      <c r="E18" s="5" t="s">
        <v>24</v>
      </c>
      <c r="F18" s="20">
        <v>60</v>
      </c>
      <c r="G18" s="21" t="s">
        <v>32</v>
      </c>
      <c r="H18" s="20">
        <v>120</v>
      </c>
      <c r="I18" s="21" t="s">
        <v>27</v>
      </c>
      <c r="J18" s="20"/>
      <c r="K18" s="21"/>
      <c r="L18" s="21"/>
      <c r="M18" s="5"/>
      <c r="N18" s="24">
        <f>IFERROR(C18 / VLOOKUP(B18,AYAR!C5:D7,2,0),0)</f>
        <v>0.48199999999999998</v>
      </c>
      <c r="O18" s="24">
        <f t="shared" si="6"/>
        <v>0.35294117647058826</v>
      </c>
      <c r="P18" s="25">
        <f t="shared" si="7"/>
        <v>0.6470588235294118</v>
      </c>
      <c r="Q18" s="25">
        <f t="shared" si="8"/>
        <v>1</v>
      </c>
      <c r="R18" s="25">
        <f t="shared" si="9"/>
        <v>0.3118823529411765</v>
      </c>
    </row>
    <row r="19" spans="1:18" s="19" customFormat="1" ht="25" customHeight="1" x14ac:dyDescent="0.2">
      <c r="A19" s="12">
        <v>46087</v>
      </c>
      <c r="B19" s="5" t="s">
        <v>22</v>
      </c>
      <c r="C19" s="20"/>
      <c r="D19" s="20">
        <v>0</v>
      </c>
      <c r="E19" s="5"/>
      <c r="F19" s="20"/>
      <c r="G19" s="21" t="s">
        <v>27</v>
      </c>
      <c r="H19" s="20">
        <v>510</v>
      </c>
      <c r="I19" s="21"/>
      <c r="J19" s="20"/>
      <c r="K19" s="21"/>
      <c r="L19" s="21"/>
      <c r="M19" s="5" t="s">
        <v>62</v>
      </c>
      <c r="N19" s="24">
        <f>IFERROR(C19 / VLOOKUP(B19,AYAR!C5:D7,2,0),0)</f>
        <v>0</v>
      </c>
      <c r="O19" s="24">
        <f t="shared" si="6"/>
        <v>1</v>
      </c>
      <c r="P19" s="25">
        <f t="shared" si="7"/>
        <v>0</v>
      </c>
      <c r="Q19" s="25">
        <f t="shared" si="8"/>
        <v>0</v>
      </c>
      <c r="R19" s="25">
        <f t="shared" si="9"/>
        <v>0</v>
      </c>
    </row>
    <row r="20" spans="1:18" s="19" customFormat="1" ht="25" customHeight="1" x14ac:dyDescent="0.2">
      <c r="A20" s="12">
        <v>46086</v>
      </c>
      <c r="B20" s="5" t="s">
        <v>19</v>
      </c>
      <c r="C20" s="20">
        <v>964</v>
      </c>
      <c r="D20" s="20">
        <v>369.75</v>
      </c>
      <c r="E20" s="5" t="s">
        <v>24</v>
      </c>
      <c r="F20" s="20">
        <v>30</v>
      </c>
      <c r="G20" s="21" t="s">
        <v>32</v>
      </c>
      <c r="H20" s="20">
        <v>60</v>
      </c>
      <c r="I20" s="21" t="s">
        <v>27</v>
      </c>
      <c r="J20" s="20"/>
      <c r="K20" s="21"/>
      <c r="L20" s="21"/>
      <c r="M20" s="5" t="s">
        <v>41</v>
      </c>
      <c r="N20" s="24">
        <f>IFERROR(C20 / VLOOKUP(B20,AYAR!C5:D7,2,0),0)</f>
        <v>0.48199999999999998</v>
      </c>
      <c r="O20" s="24">
        <f t="shared" ref="O20:O25" si="10">IFERROR((F20 + H20 + J20) / 510,0)</f>
        <v>0.17647058823529413</v>
      </c>
      <c r="P20" s="25">
        <f t="shared" ref="P20:P25" si="11">IFERROR((510 - (F20 + H20 + J20)) / 510,0)</f>
        <v>0.82352941176470584</v>
      </c>
      <c r="Q20" s="25">
        <f t="shared" si="8"/>
        <v>1</v>
      </c>
      <c r="R20" s="25">
        <f t="shared" si="9"/>
        <v>0.39694117647058819</v>
      </c>
    </row>
    <row r="21" spans="1:18" s="19" customFormat="1" ht="25" customHeight="1" x14ac:dyDescent="0.2">
      <c r="A21" s="12">
        <v>46086</v>
      </c>
      <c r="B21" s="5" t="s">
        <v>20</v>
      </c>
      <c r="C21" s="20"/>
      <c r="D21" s="20">
        <v>0</v>
      </c>
      <c r="E21" s="5"/>
      <c r="F21" s="20"/>
      <c r="G21" s="21"/>
      <c r="H21" s="20">
        <v>510</v>
      </c>
      <c r="I21" s="21" t="s">
        <v>27</v>
      </c>
      <c r="J21" s="20"/>
      <c r="K21" s="21"/>
      <c r="L21" s="21"/>
      <c r="M21" s="5" t="s">
        <v>41</v>
      </c>
      <c r="N21" s="24">
        <f>IFERROR(C21 / VLOOKUP(B21,AYAR!C5:D7,2,0),0)</f>
        <v>0</v>
      </c>
      <c r="O21" s="24">
        <f t="shared" si="10"/>
        <v>1</v>
      </c>
      <c r="P21" s="25">
        <f t="shared" si="11"/>
        <v>0</v>
      </c>
      <c r="Q21" s="25">
        <f t="shared" si="8"/>
        <v>0</v>
      </c>
      <c r="R21" s="25">
        <f t="shared" si="9"/>
        <v>0</v>
      </c>
    </row>
    <row r="22" spans="1:18" s="19" customFormat="1" ht="25" customHeight="1" x14ac:dyDescent="0.2">
      <c r="A22" s="12">
        <v>46086</v>
      </c>
      <c r="B22" s="5" t="s">
        <v>22</v>
      </c>
      <c r="C22" s="20"/>
      <c r="D22" s="20">
        <v>0</v>
      </c>
      <c r="E22" s="5"/>
      <c r="F22" s="20"/>
      <c r="G22" s="21"/>
      <c r="H22" s="20">
        <v>510</v>
      </c>
      <c r="I22" s="21" t="s">
        <v>27</v>
      </c>
      <c r="J22" s="20"/>
      <c r="K22" s="21"/>
      <c r="L22" s="21"/>
      <c r="M22" s="5" t="s">
        <v>41</v>
      </c>
      <c r="N22" s="24">
        <f>IFERROR(C22 / VLOOKUP(B22,AYAR!C5:D7,2,0),0)</f>
        <v>0</v>
      </c>
      <c r="O22" s="24">
        <f t="shared" si="10"/>
        <v>1</v>
      </c>
      <c r="P22" s="25">
        <f t="shared" si="11"/>
        <v>0</v>
      </c>
      <c r="Q22" s="25">
        <f t="shared" si="8"/>
        <v>0</v>
      </c>
      <c r="R22" s="25">
        <f t="shared" si="9"/>
        <v>0</v>
      </c>
    </row>
    <row r="23" spans="1:18" s="19" customFormat="1" ht="25" hidden="1" customHeight="1" x14ac:dyDescent="0.2">
      <c r="A23" s="12">
        <v>46085</v>
      </c>
      <c r="B23" s="5" t="s">
        <v>19</v>
      </c>
      <c r="C23" s="20">
        <v>796</v>
      </c>
      <c r="D23" s="20">
        <v>320.75</v>
      </c>
      <c r="E23" s="5" t="s">
        <v>24</v>
      </c>
      <c r="F23" s="20">
        <v>30</v>
      </c>
      <c r="G23" s="21" t="s">
        <v>32</v>
      </c>
      <c r="H23" s="20">
        <v>60</v>
      </c>
      <c r="I23" s="21" t="s">
        <v>59</v>
      </c>
      <c r="J23" s="20"/>
      <c r="K23" s="21"/>
      <c r="L23" s="21"/>
      <c r="M23" s="5" t="s">
        <v>61</v>
      </c>
      <c r="N23" s="24">
        <f>IFERROR(C23 / VLOOKUP(B23,AYAR!C5:D7,2,0),0)</f>
        <v>0.39800000000000002</v>
      </c>
      <c r="O23" s="24">
        <f t="shared" si="10"/>
        <v>0.17647058823529413</v>
      </c>
      <c r="P23" s="25">
        <f t="shared" si="11"/>
        <v>0.82352941176470584</v>
      </c>
      <c r="Q23" s="25">
        <f t="shared" ref="Q23:Q28" si="12">IF(AND(B23="TURANLAR",C23=0),0,IF(AND(B23="TURANLAR",D23=0),1,IF(D23=0,0,IF(L23=0,1,1-(L23/D23)))))</f>
        <v>1</v>
      </c>
      <c r="R23" s="25">
        <f t="shared" ref="R23:R28" si="13">IFERROR(N23*P23*Q23,0)</f>
        <v>0.32776470588235296</v>
      </c>
    </row>
    <row r="24" spans="1:18" s="19" customFormat="1" ht="25" hidden="1" customHeight="1" x14ac:dyDescent="0.2">
      <c r="A24" s="12">
        <v>46085</v>
      </c>
      <c r="B24" s="5" t="s">
        <v>22</v>
      </c>
      <c r="C24" s="20"/>
      <c r="D24" s="20">
        <v>0</v>
      </c>
      <c r="E24" s="5"/>
      <c r="F24" s="20"/>
      <c r="G24" s="21" t="s">
        <v>27</v>
      </c>
      <c r="H24" s="20">
        <v>510</v>
      </c>
      <c r="I24" s="21"/>
      <c r="J24" s="20"/>
      <c r="K24" s="21"/>
      <c r="L24" s="21"/>
      <c r="M24" s="5" t="s">
        <v>28</v>
      </c>
      <c r="N24" s="24">
        <f>IFERROR(C24 / VLOOKUP(B24,AYAR!C5:D7,2,0),0)</f>
        <v>0</v>
      </c>
      <c r="O24" s="24">
        <f t="shared" si="10"/>
        <v>1</v>
      </c>
      <c r="P24" s="25">
        <f t="shared" si="11"/>
        <v>0</v>
      </c>
      <c r="Q24" s="25">
        <f t="shared" si="12"/>
        <v>0</v>
      </c>
      <c r="R24" s="25">
        <f t="shared" si="13"/>
        <v>0</v>
      </c>
    </row>
    <row r="25" spans="1:18" s="19" customFormat="1" ht="25" hidden="1" customHeight="1" x14ac:dyDescent="0.2">
      <c r="A25" s="12">
        <v>46085</v>
      </c>
      <c r="B25" s="5" t="s">
        <v>20</v>
      </c>
      <c r="C25" s="20"/>
      <c r="D25" s="20">
        <v>0</v>
      </c>
      <c r="E25" s="5"/>
      <c r="F25" s="20"/>
      <c r="G25" s="21" t="s">
        <v>27</v>
      </c>
      <c r="H25" s="20">
        <v>510</v>
      </c>
      <c r="I25" s="21"/>
      <c r="J25" s="20"/>
      <c r="K25" s="21"/>
      <c r="L25" s="21"/>
      <c r="M25" s="5" t="s">
        <v>28</v>
      </c>
      <c r="N25" s="24">
        <f>IFERROR(C25 / VLOOKUP(B25,AYAR!C5:D7,2,0),0)</f>
        <v>0</v>
      </c>
      <c r="O25" s="24">
        <f t="shared" si="10"/>
        <v>1</v>
      </c>
      <c r="P25" s="25">
        <f t="shared" si="11"/>
        <v>0</v>
      </c>
      <c r="Q25" s="25">
        <f t="shared" si="12"/>
        <v>0</v>
      </c>
      <c r="R25" s="25">
        <f t="shared" si="13"/>
        <v>0</v>
      </c>
    </row>
    <row r="26" spans="1:18" s="19" customFormat="1" ht="25" hidden="1" customHeight="1" x14ac:dyDescent="0.2">
      <c r="A26" s="12">
        <v>46084</v>
      </c>
      <c r="B26" s="5" t="s">
        <v>19</v>
      </c>
      <c r="C26" s="20">
        <v>695</v>
      </c>
      <c r="D26" s="20">
        <v>288</v>
      </c>
      <c r="E26" s="5" t="s">
        <v>24</v>
      </c>
      <c r="F26" s="20">
        <v>30</v>
      </c>
      <c r="G26" s="21" t="s">
        <v>32</v>
      </c>
      <c r="H26" s="20">
        <v>120</v>
      </c>
      <c r="I26" s="21" t="s">
        <v>27</v>
      </c>
      <c r="J26" s="20"/>
      <c r="K26" s="21"/>
      <c r="L26" s="21"/>
      <c r="M26" s="5"/>
      <c r="N26" s="24">
        <f>IFERROR(C26 / VLOOKUP(B26,AYAR!C5:D7,2,0),0)</f>
        <v>0.34749999999999998</v>
      </c>
      <c r="O26" s="24">
        <f t="shared" ref="O26:O31" si="14">IFERROR((F26 + H26 + J26) / 510,0)</f>
        <v>0.29411764705882354</v>
      </c>
      <c r="P26" s="25">
        <f t="shared" ref="P26:P31" si="15">IFERROR((510 - (F26 + H26 + J26)) / 510,0)</f>
        <v>0.70588235294117652</v>
      </c>
      <c r="Q26" s="25">
        <f t="shared" si="12"/>
        <v>1</v>
      </c>
      <c r="R26" s="25">
        <f t="shared" si="13"/>
        <v>0.24529411764705883</v>
      </c>
    </row>
    <row r="27" spans="1:18" s="19" customFormat="1" ht="25" hidden="1" customHeight="1" x14ac:dyDescent="0.2">
      <c r="A27" s="12">
        <v>46084</v>
      </c>
      <c r="B27" s="5" t="s">
        <v>20</v>
      </c>
      <c r="C27" s="20">
        <v>480</v>
      </c>
      <c r="D27" s="20">
        <v>275</v>
      </c>
      <c r="E27" s="5" t="s">
        <v>24</v>
      </c>
      <c r="F27" s="20">
        <v>10</v>
      </c>
      <c r="G27" s="21" t="s">
        <v>27</v>
      </c>
      <c r="H27" s="20">
        <v>450</v>
      </c>
      <c r="I27" s="21" t="s">
        <v>27</v>
      </c>
      <c r="J27" s="20"/>
      <c r="K27" s="21"/>
      <c r="L27" s="21"/>
      <c r="M27" s="5"/>
      <c r="N27" s="24">
        <f>IFERROR(C27 / VLOOKUP(B27,AYAR!C5:D7,2,0),0)</f>
        <v>0.12</v>
      </c>
      <c r="O27" s="24">
        <f t="shared" si="14"/>
        <v>0.90196078431372551</v>
      </c>
      <c r="P27" s="25">
        <f t="shared" si="15"/>
        <v>9.8039215686274508E-2</v>
      </c>
      <c r="Q27" s="25">
        <f t="shared" si="12"/>
        <v>1</v>
      </c>
      <c r="R27" s="25">
        <f t="shared" si="13"/>
        <v>1.1764705882352941E-2</v>
      </c>
    </row>
    <row r="28" spans="1:18" s="19" customFormat="1" ht="25" customHeight="1" x14ac:dyDescent="0.2">
      <c r="A28" s="12">
        <v>46084</v>
      </c>
      <c r="B28" s="5" t="s">
        <v>22</v>
      </c>
      <c r="C28" s="20">
        <v>368</v>
      </c>
      <c r="D28" s="20">
        <v>0</v>
      </c>
      <c r="E28" s="5" t="s">
        <v>24</v>
      </c>
      <c r="F28" s="20">
        <v>30</v>
      </c>
      <c r="G28" s="21" t="s">
        <v>32</v>
      </c>
      <c r="H28" s="20">
        <v>450</v>
      </c>
      <c r="I28" s="21" t="s">
        <v>27</v>
      </c>
      <c r="J28" s="20"/>
      <c r="K28" s="21"/>
      <c r="L28" s="21"/>
      <c r="M28" s="5"/>
      <c r="N28" s="24">
        <f>IFERROR(C28 / VLOOKUP(B28,AYAR!C5:D7,2,0),0)</f>
        <v>0.22303030303030302</v>
      </c>
      <c r="O28" s="24">
        <f t="shared" si="14"/>
        <v>0.94117647058823528</v>
      </c>
      <c r="P28" s="25">
        <f t="shared" si="15"/>
        <v>5.8823529411764705E-2</v>
      </c>
      <c r="Q28" s="25">
        <f t="shared" si="12"/>
        <v>1</v>
      </c>
      <c r="R28" s="25">
        <f t="shared" si="13"/>
        <v>1.3119429590017825E-2</v>
      </c>
    </row>
    <row r="29" spans="1:18" s="19" customFormat="1" ht="25" hidden="1" customHeight="1" x14ac:dyDescent="0.2">
      <c r="A29" s="12">
        <v>46083</v>
      </c>
      <c r="B29" s="5" t="s">
        <v>19</v>
      </c>
      <c r="C29" s="20">
        <v>582</v>
      </c>
      <c r="D29" s="20">
        <v>276.5</v>
      </c>
      <c r="E29" s="5" t="s">
        <v>24</v>
      </c>
      <c r="F29" s="20">
        <v>30</v>
      </c>
      <c r="G29" s="21" t="s">
        <v>32</v>
      </c>
      <c r="H29" s="20">
        <v>220</v>
      </c>
      <c r="I29" s="21" t="s">
        <v>27</v>
      </c>
      <c r="J29" s="20"/>
      <c r="K29" s="21"/>
      <c r="L29" s="21"/>
      <c r="M29" s="5"/>
      <c r="N29" s="24">
        <f>IFERROR(C29 / VLOOKUP(B29,AYAR!C5:D7,2,0),0)</f>
        <v>0.29099999999999998</v>
      </c>
      <c r="O29" s="24">
        <f t="shared" si="14"/>
        <v>0.49019607843137253</v>
      </c>
      <c r="P29" s="25">
        <f t="shared" si="15"/>
        <v>0.50980392156862742</v>
      </c>
      <c r="Q29" s="25">
        <f t="shared" ref="Q29:Q34" si="16">IF(AND(B29="TURANLAR",C29=0),0,IF(AND(B29="TURANLAR",D29=0),1,IF(D29=0,0,IF(L29=0,1,1-(L29/D29)))))</f>
        <v>1</v>
      </c>
      <c r="R29" s="25">
        <f t="shared" ref="R29:R34" si="17">IFERROR(N29*P29*Q29,0)</f>
        <v>0.14835294117647058</v>
      </c>
    </row>
    <row r="30" spans="1:18" s="19" customFormat="1" ht="25" hidden="1" customHeight="1" x14ac:dyDescent="0.2">
      <c r="A30" s="12">
        <v>46083</v>
      </c>
      <c r="B30" s="5" t="s">
        <v>20</v>
      </c>
      <c r="C30" s="20"/>
      <c r="D30" s="20">
        <v>0</v>
      </c>
      <c r="E30" s="5"/>
      <c r="F30" s="20"/>
      <c r="G30" s="21"/>
      <c r="H30" s="20">
        <v>510</v>
      </c>
      <c r="I30" s="21" t="s">
        <v>27</v>
      </c>
      <c r="J30" s="20"/>
      <c r="K30" s="21"/>
      <c r="L30" s="21"/>
      <c r="M30" s="5"/>
      <c r="N30" s="24">
        <f>IFERROR(C30 / VLOOKUP(B30,AYAR!C5:D7,2,0),0)</f>
        <v>0</v>
      </c>
      <c r="O30" s="24">
        <f t="shared" si="14"/>
        <v>1</v>
      </c>
      <c r="P30" s="25">
        <f t="shared" si="15"/>
        <v>0</v>
      </c>
      <c r="Q30" s="25">
        <f t="shared" si="16"/>
        <v>0</v>
      </c>
      <c r="R30" s="25">
        <f t="shared" si="17"/>
        <v>0</v>
      </c>
    </row>
    <row r="31" spans="1:18" s="19" customFormat="1" ht="25" hidden="1" customHeight="1" x14ac:dyDescent="0.2">
      <c r="A31" s="12">
        <v>46083</v>
      </c>
      <c r="B31" s="5" t="s">
        <v>22</v>
      </c>
      <c r="C31" s="20"/>
      <c r="D31" s="20">
        <v>0</v>
      </c>
      <c r="E31" s="5"/>
      <c r="F31" s="20"/>
      <c r="G31" s="21"/>
      <c r="H31" s="20">
        <v>510</v>
      </c>
      <c r="I31" s="21" t="s">
        <v>60</v>
      </c>
      <c r="J31" s="20"/>
      <c r="K31" s="21"/>
      <c r="L31" s="21"/>
      <c r="M31" s="5"/>
      <c r="N31" s="24">
        <f>IFERROR(C31 / VLOOKUP(B31,AYAR!C5:D7,2,0),0)</f>
        <v>0</v>
      </c>
      <c r="O31" s="24">
        <f t="shared" si="14"/>
        <v>1</v>
      </c>
      <c r="P31" s="25">
        <f t="shared" si="15"/>
        <v>0</v>
      </c>
      <c r="Q31" s="25">
        <f t="shared" si="16"/>
        <v>0</v>
      </c>
      <c r="R31" s="25">
        <f t="shared" si="17"/>
        <v>0</v>
      </c>
    </row>
    <row r="32" spans="1:18" s="19" customFormat="1" ht="25" customHeight="1" x14ac:dyDescent="0.2">
      <c r="A32" s="12">
        <v>46080</v>
      </c>
      <c r="B32" s="5" t="s">
        <v>20</v>
      </c>
      <c r="C32" s="20">
        <v>530</v>
      </c>
      <c r="D32" s="20">
        <v>197.5</v>
      </c>
      <c r="E32" s="5" t="s">
        <v>24</v>
      </c>
      <c r="F32" s="20">
        <v>30</v>
      </c>
      <c r="G32" s="21" t="s">
        <v>32</v>
      </c>
      <c r="H32" s="20">
        <v>330</v>
      </c>
      <c r="I32" s="21" t="s">
        <v>27</v>
      </c>
      <c r="J32" s="20"/>
      <c r="K32" s="21"/>
      <c r="L32" s="21"/>
      <c r="M32" s="5"/>
      <c r="N32" s="24">
        <f>IFERROR(C32 / VLOOKUP(B32,AYAR!C5:D7,2,0),0)</f>
        <v>0.13250000000000001</v>
      </c>
      <c r="O32" s="24">
        <f t="shared" ref="O32:O37" si="18">IFERROR((F32 + H32 + J32) / 510,0)</f>
        <v>0.70588235294117652</v>
      </c>
      <c r="P32" s="25">
        <f t="shared" ref="P32:P37" si="19">IFERROR((510 - (F32 + H32 + J32)) / 510,0)</f>
        <v>0.29411764705882354</v>
      </c>
      <c r="Q32" s="25">
        <f t="shared" si="16"/>
        <v>1</v>
      </c>
      <c r="R32" s="25">
        <f t="shared" si="17"/>
        <v>3.8970588235294118E-2</v>
      </c>
    </row>
    <row r="33" spans="1:18" s="19" customFormat="1" ht="25" hidden="1" customHeight="1" x14ac:dyDescent="0.2">
      <c r="A33" s="12">
        <v>46080</v>
      </c>
      <c r="B33" s="5" t="s">
        <v>22</v>
      </c>
      <c r="C33" s="20"/>
      <c r="D33" s="20">
        <v>0</v>
      </c>
      <c r="E33" s="5"/>
      <c r="F33" s="20"/>
      <c r="G33" s="21"/>
      <c r="H33" s="20">
        <v>510</v>
      </c>
      <c r="I33" s="21" t="s">
        <v>27</v>
      </c>
      <c r="J33" s="20"/>
      <c r="K33" s="21"/>
      <c r="L33" s="21"/>
      <c r="M33" s="5" t="s">
        <v>28</v>
      </c>
      <c r="N33" s="24">
        <f>IFERROR(C33 / VLOOKUP(B33,AYAR!C5:D7,2,0),0)</f>
        <v>0</v>
      </c>
      <c r="O33" s="24">
        <f t="shared" si="18"/>
        <v>1</v>
      </c>
      <c r="P33" s="25">
        <f t="shared" si="19"/>
        <v>0</v>
      </c>
      <c r="Q33" s="25">
        <f t="shared" si="16"/>
        <v>0</v>
      </c>
      <c r="R33" s="25">
        <f t="shared" si="17"/>
        <v>0</v>
      </c>
    </row>
    <row r="34" spans="1:18" s="19" customFormat="1" ht="25" hidden="1" customHeight="1" x14ac:dyDescent="0.2">
      <c r="A34" s="12">
        <v>46080</v>
      </c>
      <c r="B34" s="5" t="s">
        <v>19</v>
      </c>
      <c r="C34" s="20">
        <v>557</v>
      </c>
      <c r="D34" s="20">
        <v>195.75</v>
      </c>
      <c r="E34" s="5" t="s">
        <v>24</v>
      </c>
      <c r="F34" s="20">
        <v>30</v>
      </c>
      <c r="G34" s="21" t="s">
        <v>32</v>
      </c>
      <c r="H34" s="20">
        <v>240</v>
      </c>
      <c r="I34" s="21" t="s">
        <v>27</v>
      </c>
      <c r="J34" s="20"/>
      <c r="K34" s="21"/>
      <c r="L34" s="21"/>
      <c r="M34" s="5"/>
      <c r="N34" s="24">
        <f>IFERROR(C34 / VLOOKUP(B34,AYAR!C5:D7,2,0),0)</f>
        <v>0.27850000000000003</v>
      </c>
      <c r="O34" s="24">
        <f t="shared" si="18"/>
        <v>0.52941176470588236</v>
      </c>
      <c r="P34" s="25">
        <f t="shared" si="19"/>
        <v>0.47058823529411764</v>
      </c>
      <c r="Q34" s="25">
        <f t="shared" si="16"/>
        <v>1</v>
      </c>
      <c r="R34" s="25">
        <f t="shared" si="17"/>
        <v>0.13105882352941178</v>
      </c>
    </row>
    <row r="35" spans="1:18" s="19" customFormat="1" ht="25" customHeight="1" x14ac:dyDescent="0.2">
      <c r="A35" s="12">
        <v>46079</v>
      </c>
      <c r="B35" s="5" t="s">
        <v>22</v>
      </c>
      <c r="C35" s="20"/>
      <c r="D35" s="20">
        <v>0</v>
      </c>
      <c r="E35" s="5"/>
      <c r="F35" s="20"/>
      <c r="G35" s="21"/>
      <c r="H35" s="20">
        <v>510</v>
      </c>
      <c r="I35" s="21" t="s">
        <v>27</v>
      </c>
      <c r="J35" s="20"/>
      <c r="K35" s="21"/>
      <c r="L35" s="21"/>
      <c r="M35" s="5" t="s">
        <v>28</v>
      </c>
      <c r="N35" s="24">
        <f>IFERROR(C35 / VLOOKUP(B35,AYAR!C5:D7,2,0),0)</f>
        <v>0</v>
      </c>
      <c r="O35" s="24">
        <f t="shared" si="18"/>
        <v>1</v>
      </c>
      <c r="P35" s="25">
        <f t="shared" si="19"/>
        <v>0</v>
      </c>
      <c r="Q35" s="25">
        <f t="shared" ref="Q35:Q40" si="20">IF(AND(B35="TURANLAR",C35=0),0,IF(AND(B35="TURANLAR",D35=0),1,IF(D35=0,0,IF(L35=0,1,1-(L35/D35)))))</f>
        <v>0</v>
      </c>
      <c r="R35" s="25">
        <f t="shared" ref="R35:R40" si="21">IFERROR(N35*P35*Q35,0)</f>
        <v>0</v>
      </c>
    </row>
    <row r="36" spans="1:18" s="19" customFormat="1" ht="25" customHeight="1" x14ac:dyDescent="0.2">
      <c r="A36" s="12">
        <v>46079</v>
      </c>
      <c r="B36" s="5" t="s">
        <v>20</v>
      </c>
      <c r="C36" s="20"/>
      <c r="D36" s="20">
        <v>0</v>
      </c>
      <c r="E36" s="5"/>
      <c r="F36" s="20"/>
      <c r="G36" s="21"/>
      <c r="H36" s="20">
        <v>510</v>
      </c>
      <c r="I36" s="21" t="s">
        <v>27</v>
      </c>
      <c r="J36" s="20"/>
      <c r="K36" s="21"/>
      <c r="L36" s="21"/>
      <c r="M36" s="5" t="s">
        <v>28</v>
      </c>
      <c r="N36" s="24">
        <f>IFERROR(C36 / VLOOKUP(B36,AYAR!C5:D7,2,0),0)</f>
        <v>0</v>
      </c>
      <c r="O36" s="24">
        <f t="shared" si="18"/>
        <v>1</v>
      </c>
      <c r="P36" s="25">
        <f t="shared" si="19"/>
        <v>0</v>
      </c>
      <c r="Q36" s="25">
        <f t="shared" si="20"/>
        <v>0</v>
      </c>
      <c r="R36" s="25">
        <f t="shared" si="21"/>
        <v>0</v>
      </c>
    </row>
    <row r="37" spans="1:18" s="19" customFormat="1" ht="25" hidden="1" customHeight="1" x14ac:dyDescent="0.2">
      <c r="A37" s="12">
        <v>46079</v>
      </c>
      <c r="B37" s="5" t="s">
        <v>19</v>
      </c>
      <c r="C37" s="20">
        <v>1248</v>
      </c>
      <c r="D37" s="20">
        <v>510.5</v>
      </c>
      <c r="E37" s="5" t="s">
        <v>24</v>
      </c>
      <c r="F37" s="20">
        <v>30</v>
      </c>
      <c r="G37" s="21" t="s">
        <v>32</v>
      </c>
      <c r="H37" s="20"/>
      <c r="I37" s="21"/>
      <c r="J37" s="20"/>
      <c r="K37" s="21"/>
      <c r="L37" s="21"/>
      <c r="M37" s="5"/>
      <c r="N37" s="24">
        <f>IFERROR(C37 / VLOOKUP(B37,AYAR!C5:D7,2,0),0)</f>
        <v>0.624</v>
      </c>
      <c r="O37" s="24">
        <f t="shared" si="18"/>
        <v>5.8823529411764705E-2</v>
      </c>
      <c r="P37" s="25">
        <f t="shared" si="19"/>
        <v>0.94117647058823528</v>
      </c>
      <c r="Q37" s="25">
        <f t="shared" si="20"/>
        <v>1</v>
      </c>
      <c r="R37" s="25">
        <f t="shared" si="21"/>
        <v>0.58729411764705886</v>
      </c>
    </row>
    <row r="38" spans="1:18" s="19" customFormat="1" ht="25" hidden="1" customHeight="1" x14ac:dyDescent="0.2">
      <c r="A38" s="12">
        <v>46078</v>
      </c>
      <c r="B38" s="5" t="s">
        <v>19</v>
      </c>
      <c r="C38" s="20">
        <v>325</v>
      </c>
      <c r="D38" s="20">
        <v>154.25</v>
      </c>
      <c r="E38" s="5" t="s">
        <v>24</v>
      </c>
      <c r="F38" s="20">
        <v>30</v>
      </c>
      <c r="G38" s="21" t="s">
        <v>32</v>
      </c>
      <c r="H38" s="20">
        <v>360</v>
      </c>
      <c r="I38" s="21" t="s">
        <v>27</v>
      </c>
      <c r="J38" s="20"/>
      <c r="K38" s="21"/>
      <c r="L38" s="21"/>
      <c r="M38" s="5"/>
      <c r="N38" s="24">
        <f>IFERROR(C38 / VLOOKUP(B38,AYAR!C5:D7,2,0),0)</f>
        <v>0.16250000000000001</v>
      </c>
      <c r="O38" s="24">
        <f t="shared" ref="O38:O43" si="22">IFERROR((F38 + H38 + J38) / 510,0)</f>
        <v>0.76470588235294112</v>
      </c>
      <c r="P38" s="25">
        <f t="shared" ref="P38:P43" si="23">IFERROR((510 - (F38 + H38 + J38)) / 510,0)</f>
        <v>0.23529411764705882</v>
      </c>
      <c r="Q38" s="25">
        <f t="shared" si="20"/>
        <v>1</v>
      </c>
      <c r="R38" s="25">
        <f t="shared" si="21"/>
        <v>3.8235294117647062E-2</v>
      </c>
    </row>
    <row r="39" spans="1:18" s="19" customFormat="1" ht="25" customHeight="1" x14ac:dyDescent="0.2">
      <c r="A39" s="12">
        <v>46078</v>
      </c>
      <c r="B39" s="5" t="s">
        <v>22</v>
      </c>
      <c r="C39" s="20">
        <v>417</v>
      </c>
      <c r="D39" s="20">
        <v>0</v>
      </c>
      <c r="E39" s="5" t="s">
        <v>24</v>
      </c>
      <c r="F39" s="20">
        <v>30</v>
      </c>
      <c r="G39" s="21" t="s">
        <v>32</v>
      </c>
      <c r="H39" s="20">
        <v>320</v>
      </c>
      <c r="I39" s="21" t="s">
        <v>27</v>
      </c>
      <c r="J39" s="20"/>
      <c r="K39" s="21"/>
      <c r="L39" s="21"/>
      <c r="M39" s="5"/>
      <c r="N39" s="24">
        <f>IFERROR(C39 / VLOOKUP(B39,AYAR!C5:D7,2,0),0)</f>
        <v>0.25272727272727274</v>
      </c>
      <c r="O39" s="24">
        <f t="shared" si="22"/>
        <v>0.68627450980392157</v>
      </c>
      <c r="P39" s="25">
        <f t="shared" si="23"/>
        <v>0.31372549019607843</v>
      </c>
      <c r="Q39" s="25">
        <f t="shared" si="20"/>
        <v>1</v>
      </c>
      <c r="R39" s="25">
        <f t="shared" si="21"/>
        <v>7.9286987522281638E-2</v>
      </c>
    </row>
    <row r="40" spans="1:18" s="19" customFormat="1" ht="25" customHeight="1" x14ac:dyDescent="0.2">
      <c r="A40" s="12">
        <v>46078</v>
      </c>
      <c r="B40" s="5" t="s">
        <v>20</v>
      </c>
      <c r="C40" s="20">
        <v>1080</v>
      </c>
      <c r="D40" s="20">
        <v>381.5</v>
      </c>
      <c r="E40" s="5" t="s">
        <v>24</v>
      </c>
      <c r="F40" s="20">
        <v>30</v>
      </c>
      <c r="G40" s="21" t="s">
        <v>32</v>
      </c>
      <c r="H40" s="20">
        <v>300</v>
      </c>
      <c r="I40" s="21" t="s">
        <v>27</v>
      </c>
      <c r="J40" s="20"/>
      <c r="K40" s="21"/>
      <c r="L40" s="21"/>
      <c r="M40" s="5"/>
      <c r="N40" s="24">
        <f>IFERROR(C40 / VLOOKUP(B40,AYAR!C5:D7,2,0),0)</f>
        <v>0.27</v>
      </c>
      <c r="O40" s="24">
        <f t="shared" si="22"/>
        <v>0.6470588235294118</v>
      </c>
      <c r="P40" s="25">
        <f t="shared" si="23"/>
        <v>0.35294117647058826</v>
      </c>
      <c r="Q40" s="25">
        <f t="shared" si="20"/>
        <v>1</v>
      </c>
      <c r="R40" s="25">
        <f t="shared" si="21"/>
        <v>9.5294117647058835E-2</v>
      </c>
    </row>
    <row r="41" spans="1:18" s="19" customFormat="1" ht="25" customHeight="1" x14ac:dyDescent="0.2">
      <c r="A41" s="12">
        <v>46077</v>
      </c>
      <c r="B41" s="5" t="s">
        <v>19</v>
      </c>
      <c r="C41" s="20">
        <v>1365</v>
      </c>
      <c r="D41" s="20">
        <v>706</v>
      </c>
      <c r="E41" s="5" t="s">
        <v>24</v>
      </c>
      <c r="F41" s="20">
        <v>30</v>
      </c>
      <c r="G41" s="21" t="s">
        <v>32</v>
      </c>
      <c r="H41" s="20"/>
      <c r="I41" s="21"/>
      <c r="J41" s="20"/>
      <c r="K41" s="21"/>
      <c r="L41" s="21"/>
      <c r="M41" s="5"/>
      <c r="N41" s="24">
        <f>IFERROR(C41 / VLOOKUP(B41,AYAR!C5:D7,2,0),0)</f>
        <v>0.6825</v>
      </c>
      <c r="O41" s="24">
        <f t="shared" si="22"/>
        <v>5.8823529411764705E-2</v>
      </c>
      <c r="P41" s="25">
        <f t="shared" si="23"/>
        <v>0.94117647058823528</v>
      </c>
      <c r="Q41" s="25">
        <f t="shared" ref="Q41:Q46" si="24">IF(AND(B41="TURANLAR",C41=0),0,IF(AND(B41="TURANLAR",D41=0),1,IF(D41=0,0,IF(L41=0,1,1-(L41/D41)))))</f>
        <v>1</v>
      </c>
      <c r="R41" s="25">
        <f t="shared" ref="R41:R46" si="25">IFERROR(N41*P41*Q41,0)</f>
        <v>0.64235294117647057</v>
      </c>
    </row>
    <row r="42" spans="1:18" s="19" customFormat="1" ht="25" hidden="1" customHeight="1" x14ac:dyDescent="0.2">
      <c r="A42" s="12">
        <v>46077</v>
      </c>
      <c r="B42" s="5" t="s">
        <v>20</v>
      </c>
      <c r="C42" s="20">
        <v>1584</v>
      </c>
      <c r="D42" s="20">
        <v>663</v>
      </c>
      <c r="E42" s="5" t="s">
        <v>24</v>
      </c>
      <c r="F42" s="20">
        <v>30</v>
      </c>
      <c r="G42" s="21" t="s">
        <v>32</v>
      </c>
      <c r="H42" s="20">
        <v>180</v>
      </c>
      <c r="I42" s="21" t="s">
        <v>27</v>
      </c>
      <c r="J42" s="20"/>
      <c r="K42" s="21"/>
      <c r="L42" s="21"/>
      <c r="M42" s="5"/>
      <c r="N42" s="24">
        <f>IFERROR(C42 / VLOOKUP(B42,AYAR!C5:D7,2,0),0)</f>
        <v>0.39600000000000002</v>
      </c>
      <c r="O42" s="24">
        <f t="shared" si="22"/>
        <v>0.41176470588235292</v>
      </c>
      <c r="P42" s="25">
        <f t="shared" si="23"/>
        <v>0.58823529411764708</v>
      </c>
      <c r="Q42" s="25">
        <f t="shared" si="24"/>
        <v>1</v>
      </c>
      <c r="R42" s="25">
        <f t="shared" si="25"/>
        <v>0.23294117647058826</v>
      </c>
    </row>
    <row r="43" spans="1:18" s="19" customFormat="1" ht="25" hidden="1" customHeight="1" x14ac:dyDescent="0.2">
      <c r="A43" s="12">
        <v>46077</v>
      </c>
      <c r="B43" s="5" t="s">
        <v>22</v>
      </c>
      <c r="C43" s="20">
        <v>495</v>
      </c>
      <c r="D43" s="20">
        <v>0</v>
      </c>
      <c r="E43" s="5" t="s">
        <v>24</v>
      </c>
      <c r="F43" s="20">
        <v>30</v>
      </c>
      <c r="G43" s="21" t="s">
        <v>32</v>
      </c>
      <c r="H43" s="20">
        <v>300</v>
      </c>
      <c r="I43" s="21" t="s">
        <v>27</v>
      </c>
      <c r="J43" s="20"/>
      <c r="K43" s="21"/>
      <c r="L43" s="21"/>
      <c r="M43" s="5"/>
      <c r="N43" s="24">
        <f>IFERROR(C43 / VLOOKUP(B43,AYAR!C5:D7,2,0),0)</f>
        <v>0.3</v>
      </c>
      <c r="O43" s="24">
        <f t="shared" si="22"/>
        <v>0.6470588235294118</v>
      </c>
      <c r="P43" s="25">
        <f t="shared" si="23"/>
        <v>0.35294117647058826</v>
      </c>
      <c r="Q43" s="25">
        <f t="shared" si="24"/>
        <v>1</v>
      </c>
      <c r="R43" s="25">
        <f t="shared" si="25"/>
        <v>0.10588235294117647</v>
      </c>
    </row>
    <row r="44" spans="1:18" s="19" customFormat="1" ht="25" customHeight="1" x14ac:dyDescent="0.2">
      <c r="A44" s="12">
        <v>46076</v>
      </c>
      <c r="B44" s="5" t="s">
        <v>20</v>
      </c>
      <c r="C44" s="20">
        <v>2186</v>
      </c>
      <c r="D44" s="20">
        <v>828.5</v>
      </c>
      <c r="E44" s="5" t="s">
        <v>24</v>
      </c>
      <c r="F44" s="20">
        <v>30</v>
      </c>
      <c r="G44" s="21" t="s">
        <v>32</v>
      </c>
      <c r="H44" s="20">
        <v>30</v>
      </c>
      <c r="I44" s="21" t="s">
        <v>59</v>
      </c>
      <c r="J44" s="20"/>
      <c r="K44" s="21"/>
      <c r="L44" s="21"/>
      <c r="M44" s="5"/>
      <c r="N44" s="24">
        <f>IFERROR(C44 / VLOOKUP(B44,AYAR!C5:D7,2,0),0)</f>
        <v>0.54649999999999999</v>
      </c>
      <c r="O44" s="24">
        <f t="shared" ref="O44:O64" si="26">IFERROR((F44 + H44 + J44) / 510,0)</f>
        <v>0.11764705882352941</v>
      </c>
      <c r="P44" s="25">
        <f t="shared" ref="P44:P64" si="27">IFERROR((510 - (F44 + H44 + J44)) / 510,0)</f>
        <v>0.88235294117647056</v>
      </c>
      <c r="Q44" s="25">
        <f t="shared" si="24"/>
        <v>1</v>
      </c>
      <c r="R44" s="25">
        <f t="shared" si="25"/>
        <v>0.48220588235294115</v>
      </c>
    </row>
    <row r="45" spans="1:18" s="19" customFormat="1" ht="25" hidden="1" customHeight="1" x14ac:dyDescent="0.2">
      <c r="A45" s="12">
        <v>46076</v>
      </c>
      <c r="B45" s="5" t="s">
        <v>22</v>
      </c>
      <c r="C45" s="20">
        <v>712</v>
      </c>
      <c r="D45" s="20">
        <v>0</v>
      </c>
      <c r="E45" s="5" t="s">
        <v>24</v>
      </c>
      <c r="F45" s="20">
        <v>30</v>
      </c>
      <c r="G45" s="21" t="s">
        <v>32</v>
      </c>
      <c r="H45" s="20"/>
      <c r="I45" s="21"/>
      <c r="J45" s="20"/>
      <c r="K45" s="21"/>
      <c r="L45" s="21"/>
      <c r="M45" s="5"/>
      <c r="N45" s="24">
        <f>IFERROR(C45 / VLOOKUP(B45,AYAR!C5:D7,2,0),0)</f>
        <v>0.43151515151515152</v>
      </c>
      <c r="O45" s="24">
        <f t="shared" si="26"/>
        <v>5.8823529411764705E-2</v>
      </c>
      <c r="P45" s="25">
        <f t="shared" si="27"/>
        <v>0.94117647058823528</v>
      </c>
      <c r="Q45" s="25">
        <f t="shared" si="24"/>
        <v>1</v>
      </c>
      <c r="R45" s="25">
        <f t="shared" si="25"/>
        <v>0.40613190730837789</v>
      </c>
    </row>
    <row r="46" spans="1:18" s="19" customFormat="1" ht="25" hidden="1" customHeight="1" x14ac:dyDescent="0.2">
      <c r="A46" s="12">
        <v>46076</v>
      </c>
      <c r="B46" s="5" t="s">
        <v>19</v>
      </c>
      <c r="C46" s="20"/>
      <c r="D46" s="20">
        <v>0</v>
      </c>
      <c r="E46" s="5"/>
      <c r="F46" s="20"/>
      <c r="G46" s="21"/>
      <c r="H46" s="20">
        <v>510</v>
      </c>
      <c r="I46" s="21" t="s">
        <v>27</v>
      </c>
      <c r="J46" s="20"/>
      <c r="K46" s="21"/>
      <c r="L46" s="21"/>
      <c r="M46" s="5" t="s">
        <v>28</v>
      </c>
      <c r="N46" s="24">
        <f>IFERROR(C46 / VLOOKUP(B46,AYAR!C5:D7,2,0),0)</f>
        <v>0</v>
      </c>
      <c r="O46" s="24">
        <f t="shared" si="26"/>
        <v>1</v>
      </c>
      <c r="P46" s="25">
        <f t="shared" si="27"/>
        <v>0</v>
      </c>
      <c r="Q46" s="25">
        <f t="shared" si="24"/>
        <v>0</v>
      </c>
      <c r="R46" s="25">
        <f t="shared" si="25"/>
        <v>0</v>
      </c>
    </row>
    <row r="47" spans="1:18" s="19" customFormat="1" ht="25" hidden="1" customHeight="1" x14ac:dyDescent="0.2">
      <c r="A47" s="12">
        <v>46073</v>
      </c>
      <c r="B47" s="5" t="s">
        <v>22</v>
      </c>
      <c r="C47" s="20"/>
      <c r="D47" s="20">
        <v>0</v>
      </c>
      <c r="E47" s="5"/>
      <c r="F47" s="20"/>
      <c r="G47" s="21"/>
      <c r="H47" s="20">
        <v>510</v>
      </c>
      <c r="I47" s="21" t="s">
        <v>27</v>
      </c>
      <c r="J47" s="20"/>
      <c r="K47" s="21"/>
      <c r="L47" s="21"/>
      <c r="M47" s="5" t="s">
        <v>28</v>
      </c>
      <c r="N47" s="24">
        <f>IFERROR(C47 / VLOOKUP(B47,AYAR!C5:D7,2,0),0)</f>
        <v>0</v>
      </c>
      <c r="O47" s="24">
        <f t="shared" si="26"/>
        <v>1</v>
      </c>
      <c r="P47" s="25">
        <f t="shared" si="27"/>
        <v>0</v>
      </c>
      <c r="Q47" s="25">
        <f t="shared" ref="Q47:Q52" si="28">IF(AND(B47="TURANLAR",C47=0),0,IF(AND(B47="TURANLAR",D47=0),1,IF(D47=0,0,IF(L47=0,1,1-(L47/D47)))))</f>
        <v>0</v>
      </c>
      <c r="R47" s="25">
        <f t="shared" ref="R47:R52" si="29">IFERROR(N47*P47*Q47,0)</f>
        <v>0</v>
      </c>
    </row>
    <row r="48" spans="1:18" s="19" customFormat="1" ht="25" hidden="1" customHeight="1" x14ac:dyDescent="0.2">
      <c r="A48" s="12">
        <v>46073</v>
      </c>
      <c r="B48" s="5" t="s">
        <v>19</v>
      </c>
      <c r="C48" s="20">
        <v>895</v>
      </c>
      <c r="D48" s="20">
        <v>369</v>
      </c>
      <c r="E48" s="5" t="s">
        <v>24</v>
      </c>
      <c r="F48" s="20">
        <v>30</v>
      </c>
      <c r="G48" s="21" t="s">
        <v>32</v>
      </c>
      <c r="H48" s="20">
        <v>60</v>
      </c>
      <c r="I48" s="21" t="s">
        <v>25</v>
      </c>
      <c r="J48" s="20"/>
      <c r="K48" s="21"/>
      <c r="L48" s="21"/>
      <c r="M48" s="5"/>
      <c r="N48" s="24">
        <f>IFERROR(C48 / VLOOKUP(B48,AYAR!C5:D7,2,0),0)</f>
        <v>0.44750000000000001</v>
      </c>
      <c r="O48" s="24">
        <f t="shared" si="26"/>
        <v>0.17647058823529413</v>
      </c>
      <c r="P48" s="25">
        <f t="shared" si="27"/>
        <v>0.82352941176470584</v>
      </c>
      <c r="Q48" s="25">
        <f t="shared" si="28"/>
        <v>1</v>
      </c>
      <c r="R48" s="25">
        <f t="shared" si="29"/>
        <v>0.36852941176470588</v>
      </c>
    </row>
    <row r="49" spans="1:18" s="19" customFormat="1" ht="25" hidden="1" customHeight="1" x14ac:dyDescent="0.2">
      <c r="A49" s="12">
        <v>46073</v>
      </c>
      <c r="B49" s="5" t="s">
        <v>20</v>
      </c>
      <c r="C49" s="20">
        <v>2166</v>
      </c>
      <c r="D49" s="20">
        <v>824.5</v>
      </c>
      <c r="E49" s="5" t="s">
        <v>24</v>
      </c>
      <c r="F49" s="20">
        <v>30</v>
      </c>
      <c r="G49" s="21" t="s">
        <v>32</v>
      </c>
      <c r="H49" s="20">
        <v>60</v>
      </c>
      <c r="I49" s="21" t="s">
        <v>25</v>
      </c>
      <c r="J49" s="20"/>
      <c r="K49" s="21"/>
      <c r="L49" s="21"/>
      <c r="M49" s="5"/>
      <c r="N49" s="24">
        <f>IFERROR(C49 / VLOOKUP(B49,AYAR!C5:D7,2,0),0)</f>
        <v>0.54149999999999998</v>
      </c>
      <c r="O49" s="24">
        <f t="shared" si="26"/>
        <v>0.17647058823529413</v>
      </c>
      <c r="P49" s="25">
        <f t="shared" si="27"/>
        <v>0.82352941176470584</v>
      </c>
      <c r="Q49" s="25">
        <f t="shared" si="28"/>
        <v>1</v>
      </c>
      <c r="R49" s="25">
        <f t="shared" si="29"/>
        <v>0.44594117647058817</v>
      </c>
    </row>
    <row r="50" spans="1:18" s="19" customFormat="1" ht="25" customHeight="1" x14ac:dyDescent="0.2">
      <c r="A50" s="12">
        <v>46072</v>
      </c>
      <c r="B50" s="5" t="s">
        <v>20</v>
      </c>
      <c r="C50" s="20">
        <v>2284</v>
      </c>
      <c r="D50" s="20">
        <v>1253</v>
      </c>
      <c r="E50" s="5" t="s">
        <v>24</v>
      </c>
      <c r="F50" s="20">
        <v>30</v>
      </c>
      <c r="G50" s="21" t="s">
        <v>32</v>
      </c>
      <c r="H50" s="20"/>
      <c r="I50" s="21"/>
      <c r="J50" s="20"/>
      <c r="K50" s="21"/>
      <c r="L50" s="21"/>
      <c r="M50" s="5"/>
      <c r="N50" s="24">
        <f>IFERROR(C50 / VLOOKUP(B50,AYAR!C5:D7,2,0),0)</f>
        <v>0.57099999999999995</v>
      </c>
      <c r="O50" s="24">
        <f t="shared" si="26"/>
        <v>5.8823529411764705E-2</v>
      </c>
      <c r="P50" s="25">
        <f t="shared" si="27"/>
        <v>0.94117647058823528</v>
      </c>
      <c r="Q50" s="25">
        <f t="shared" si="28"/>
        <v>1</v>
      </c>
      <c r="R50" s="25">
        <f t="shared" si="29"/>
        <v>0.53741176470588226</v>
      </c>
    </row>
    <row r="51" spans="1:18" s="19" customFormat="1" ht="25" hidden="1" customHeight="1" x14ac:dyDescent="0.2">
      <c r="A51" s="12">
        <v>46072</v>
      </c>
      <c r="B51" s="5" t="s">
        <v>19</v>
      </c>
      <c r="C51" s="20"/>
      <c r="D51" s="20">
        <v>0</v>
      </c>
      <c r="E51" s="5"/>
      <c r="F51" s="20"/>
      <c r="G51" s="21"/>
      <c r="H51" s="20">
        <v>510</v>
      </c>
      <c r="I51" s="21" t="s">
        <v>27</v>
      </c>
      <c r="J51" s="20"/>
      <c r="K51" s="21"/>
      <c r="L51" s="21"/>
      <c r="M51" s="5"/>
      <c r="N51" s="24">
        <f>IFERROR(C51 / VLOOKUP(B51,AYAR!C5:D7,2,0),0)</f>
        <v>0</v>
      </c>
      <c r="O51" s="24">
        <f t="shared" si="26"/>
        <v>1</v>
      </c>
      <c r="P51" s="25">
        <f t="shared" si="27"/>
        <v>0</v>
      </c>
      <c r="Q51" s="25">
        <f t="shared" si="28"/>
        <v>0</v>
      </c>
      <c r="R51" s="25">
        <f t="shared" si="29"/>
        <v>0</v>
      </c>
    </row>
    <row r="52" spans="1:18" s="19" customFormat="1" ht="25" hidden="1" customHeight="1" x14ac:dyDescent="0.2">
      <c r="A52" s="12">
        <v>46072</v>
      </c>
      <c r="B52" s="5" t="s">
        <v>22</v>
      </c>
      <c r="C52" s="20">
        <v>670</v>
      </c>
      <c r="D52" s="20">
        <v>0</v>
      </c>
      <c r="E52" s="5" t="s">
        <v>24</v>
      </c>
      <c r="F52" s="20">
        <v>30</v>
      </c>
      <c r="G52" s="21" t="s">
        <v>32</v>
      </c>
      <c r="H52" s="20">
        <v>120</v>
      </c>
      <c r="I52" s="21" t="s">
        <v>27</v>
      </c>
      <c r="J52" s="20"/>
      <c r="K52" s="21"/>
      <c r="L52" s="21"/>
      <c r="M52" s="5"/>
      <c r="N52" s="24">
        <f>IFERROR(C52 / VLOOKUP(B52,AYAR!C5:D7,2,0),0)</f>
        <v>0.40606060606060607</v>
      </c>
      <c r="O52" s="24">
        <f t="shared" si="26"/>
        <v>0.29411764705882354</v>
      </c>
      <c r="P52" s="25">
        <f t="shared" si="27"/>
        <v>0.70588235294117652</v>
      </c>
      <c r="Q52" s="25">
        <f t="shared" si="28"/>
        <v>1</v>
      </c>
      <c r="R52" s="25">
        <f t="shared" si="29"/>
        <v>0.2866310160427808</v>
      </c>
    </row>
    <row r="53" spans="1:18" s="19" customFormat="1" ht="25" customHeight="1" x14ac:dyDescent="0.2">
      <c r="A53" s="12">
        <v>46071</v>
      </c>
      <c r="B53" s="5" t="s">
        <v>22</v>
      </c>
      <c r="C53" s="20">
        <v>1627</v>
      </c>
      <c r="D53" s="20">
        <v>0</v>
      </c>
      <c r="E53" s="5" t="s">
        <v>24</v>
      </c>
      <c r="F53" s="20">
        <v>30</v>
      </c>
      <c r="G53" s="21" t="s">
        <v>32</v>
      </c>
      <c r="H53" s="20"/>
      <c r="I53" s="21"/>
      <c r="J53" s="20"/>
      <c r="K53" s="21"/>
      <c r="L53" s="21"/>
      <c r="M53" s="5" t="s">
        <v>57</v>
      </c>
      <c r="N53" s="24">
        <f>IFERROR(C53 / VLOOKUP(B53,AYAR!C5:D7,2,0),0)</f>
        <v>0.98606060606060608</v>
      </c>
      <c r="O53" s="24">
        <f t="shared" si="26"/>
        <v>5.8823529411764705E-2</v>
      </c>
      <c r="P53" s="25">
        <f t="shared" si="27"/>
        <v>0.94117647058823528</v>
      </c>
      <c r="Q53" s="25">
        <f t="shared" ref="Q53:Q58" si="30">IF(AND(B53="TURANLAR",C53=0),0,IF(AND(B53="TURANLAR",D53=0),1,IF(D53=0,0,IF(L53=0,1,1-(L53/D53)))))</f>
        <v>1</v>
      </c>
      <c r="R53" s="25">
        <f t="shared" ref="R53:R58" si="31">IFERROR(N53*P53*Q53,0)</f>
        <v>0.92805704099821751</v>
      </c>
    </row>
    <row r="54" spans="1:18" s="19" customFormat="1" ht="25" customHeight="1" x14ac:dyDescent="0.2">
      <c r="A54" s="12">
        <v>46071</v>
      </c>
      <c r="B54" s="5" t="s">
        <v>19</v>
      </c>
      <c r="C54" s="20">
        <v>413</v>
      </c>
      <c r="D54" s="20">
        <v>212</v>
      </c>
      <c r="E54" s="5" t="s">
        <v>24</v>
      </c>
      <c r="F54" s="20">
        <v>30</v>
      </c>
      <c r="G54" s="21" t="s">
        <v>32</v>
      </c>
      <c r="H54" s="20">
        <v>300</v>
      </c>
      <c r="I54" s="21" t="s">
        <v>27</v>
      </c>
      <c r="J54" s="20"/>
      <c r="K54" s="21"/>
      <c r="L54" s="21"/>
      <c r="M54" s="5"/>
      <c r="N54" s="24">
        <f>IFERROR(C54 / VLOOKUP(B54,AYAR!C5:D7,2,0),0)</f>
        <v>0.20649999999999999</v>
      </c>
      <c r="O54" s="24">
        <f t="shared" si="26"/>
        <v>0.6470588235294118</v>
      </c>
      <c r="P54" s="25">
        <f t="shared" si="27"/>
        <v>0.35294117647058826</v>
      </c>
      <c r="Q54" s="25">
        <f t="shared" si="30"/>
        <v>1</v>
      </c>
      <c r="R54" s="25">
        <f t="shared" si="31"/>
        <v>7.2882352941176468E-2</v>
      </c>
    </row>
    <row r="55" spans="1:18" s="19" customFormat="1" ht="25" hidden="1" customHeight="1" x14ac:dyDescent="0.2">
      <c r="A55" s="12">
        <v>46071</v>
      </c>
      <c r="B55" s="5" t="s">
        <v>20</v>
      </c>
      <c r="C55" s="20">
        <v>2170</v>
      </c>
      <c r="D55" s="20">
        <v>738.5</v>
      </c>
      <c r="E55" s="5" t="s">
        <v>24</v>
      </c>
      <c r="F55" s="20">
        <v>30</v>
      </c>
      <c r="G55" s="21" t="s">
        <v>32</v>
      </c>
      <c r="H55" s="20">
        <v>180</v>
      </c>
      <c r="I55" s="21" t="s">
        <v>27</v>
      </c>
      <c r="J55" s="20">
        <v>60</v>
      </c>
      <c r="K55" s="21" t="s">
        <v>27</v>
      </c>
      <c r="L55" s="21">
        <v>5</v>
      </c>
      <c r="M55" s="5" t="s">
        <v>58</v>
      </c>
      <c r="N55" s="24">
        <f>IFERROR(C55 / VLOOKUP(B55,AYAR!C5:D7,2,0),0)</f>
        <v>0.54249999999999998</v>
      </c>
      <c r="O55" s="24">
        <f t="shared" si="26"/>
        <v>0.52941176470588236</v>
      </c>
      <c r="P55" s="25">
        <f t="shared" si="27"/>
        <v>0.47058823529411764</v>
      </c>
      <c r="Q55" s="25">
        <f t="shared" si="30"/>
        <v>0.99322951929587</v>
      </c>
      <c r="R55" s="25">
        <f t="shared" si="31"/>
        <v>0.25356565374965151</v>
      </c>
    </row>
    <row r="56" spans="1:18" s="19" customFormat="1" ht="25" hidden="1" customHeight="1" x14ac:dyDescent="0.2">
      <c r="A56" s="12">
        <v>46070</v>
      </c>
      <c r="B56" s="5" t="s">
        <v>19</v>
      </c>
      <c r="C56" s="20">
        <v>1437</v>
      </c>
      <c r="D56" s="20">
        <v>587.5</v>
      </c>
      <c r="E56" s="5" t="s">
        <v>24</v>
      </c>
      <c r="F56" s="20">
        <v>30</v>
      </c>
      <c r="G56" s="21" t="s">
        <v>32</v>
      </c>
      <c r="H56" s="20">
        <v>180</v>
      </c>
      <c r="I56" s="21" t="s">
        <v>27</v>
      </c>
      <c r="J56" s="20"/>
      <c r="K56" s="21"/>
      <c r="L56" s="21">
        <v>1</v>
      </c>
      <c r="M56" s="5"/>
      <c r="N56" s="24">
        <f>IFERROR(C56 / VLOOKUP(B56,AYAR!C5:D7,2,0),0)</f>
        <v>0.71850000000000003</v>
      </c>
      <c r="O56" s="24">
        <f t="shared" si="26"/>
        <v>0.41176470588235292</v>
      </c>
      <c r="P56" s="25">
        <f t="shared" si="27"/>
        <v>0.58823529411764708</v>
      </c>
      <c r="Q56" s="25">
        <f t="shared" si="30"/>
        <v>0.99829787234042555</v>
      </c>
      <c r="R56" s="25">
        <f t="shared" si="31"/>
        <v>0.42192765957446809</v>
      </c>
    </row>
    <row r="57" spans="1:18" s="19" customFormat="1" ht="25" hidden="1" customHeight="1" x14ac:dyDescent="0.2">
      <c r="A57" s="12">
        <v>46070</v>
      </c>
      <c r="B57" s="5" t="s">
        <v>22</v>
      </c>
      <c r="C57" s="20">
        <v>400</v>
      </c>
      <c r="D57" s="20">
        <v>0</v>
      </c>
      <c r="E57" s="5" t="s">
        <v>24</v>
      </c>
      <c r="F57" s="20">
        <v>30</v>
      </c>
      <c r="G57" s="21" t="s">
        <v>32</v>
      </c>
      <c r="H57" s="20">
        <v>300</v>
      </c>
      <c r="I57" s="21" t="s">
        <v>27</v>
      </c>
      <c r="J57" s="20"/>
      <c r="K57" s="21"/>
      <c r="L57" s="21"/>
      <c r="M57" s="5"/>
      <c r="N57" s="24">
        <f>IFERROR(C57 / VLOOKUP(B57,AYAR!C5:D7,2,0),0)</f>
        <v>0.24242424242424243</v>
      </c>
      <c r="O57" s="24">
        <f t="shared" si="26"/>
        <v>0.6470588235294118</v>
      </c>
      <c r="P57" s="25">
        <f t="shared" si="27"/>
        <v>0.35294117647058826</v>
      </c>
      <c r="Q57" s="25">
        <f t="shared" si="30"/>
        <v>1</v>
      </c>
      <c r="R57" s="25">
        <f t="shared" si="31"/>
        <v>8.5561497326203217E-2</v>
      </c>
    </row>
    <row r="58" spans="1:18" s="19" customFormat="1" ht="25" customHeight="1" x14ac:dyDescent="0.2">
      <c r="A58" s="12">
        <v>46070</v>
      </c>
      <c r="B58" s="5" t="s">
        <v>20</v>
      </c>
      <c r="C58" s="20"/>
      <c r="D58" s="20">
        <v>0</v>
      </c>
      <c r="E58" s="5"/>
      <c r="F58" s="20"/>
      <c r="G58" s="21"/>
      <c r="H58" s="20">
        <v>510</v>
      </c>
      <c r="I58" s="21" t="s">
        <v>27</v>
      </c>
      <c r="J58" s="20"/>
      <c r="K58" s="21"/>
      <c r="L58" s="21"/>
      <c r="M58" s="5" t="s">
        <v>28</v>
      </c>
      <c r="N58" s="24">
        <f>IFERROR(C58 / VLOOKUP(B58,AYAR!C5:D7,2,0),0)</f>
        <v>0</v>
      </c>
      <c r="O58" s="24">
        <f t="shared" si="26"/>
        <v>1</v>
      </c>
      <c r="P58" s="25">
        <f t="shared" si="27"/>
        <v>0</v>
      </c>
      <c r="Q58" s="25">
        <f t="shared" si="30"/>
        <v>0</v>
      </c>
      <c r="R58" s="25">
        <f t="shared" si="31"/>
        <v>0</v>
      </c>
    </row>
    <row r="59" spans="1:18" s="19" customFormat="1" ht="25" customHeight="1" x14ac:dyDescent="0.2">
      <c r="A59" s="12">
        <v>46069</v>
      </c>
      <c r="B59" s="5" t="s">
        <v>19</v>
      </c>
      <c r="C59" s="20">
        <v>1115</v>
      </c>
      <c r="D59" s="20">
        <v>450.25</v>
      </c>
      <c r="E59" s="5" t="s">
        <v>24</v>
      </c>
      <c r="F59" s="20">
        <v>30</v>
      </c>
      <c r="G59" s="21" t="s">
        <v>32</v>
      </c>
      <c r="H59" s="20">
        <v>40</v>
      </c>
      <c r="I59" s="21" t="s">
        <v>23</v>
      </c>
      <c r="J59" s="20"/>
      <c r="K59" s="21"/>
      <c r="L59" s="21"/>
      <c r="M59" s="5" t="s">
        <v>56</v>
      </c>
      <c r="N59" s="24">
        <f>IFERROR(C59 / VLOOKUP(B59,AYAR!C5:D7,2,0),0)</f>
        <v>0.5575</v>
      </c>
      <c r="O59" s="24">
        <f t="shared" si="26"/>
        <v>0.13725490196078433</v>
      </c>
      <c r="P59" s="25">
        <f t="shared" si="27"/>
        <v>0.86274509803921573</v>
      </c>
      <c r="Q59" s="25">
        <f t="shared" ref="Q59:Q64" si="32">IF(AND(B59="TURANLAR",C59=0),0,IF(AND(B59="TURANLAR",D59=0),1,IF(D59=0,0,IF(L59=0,1,1-(L59/D59)))))</f>
        <v>1</v>
      </c>
      <c r="R59" s="25">
        <f t="shared" ref="R59:R64" si="33">IFERROR(N59*P59*Q59,0)</f>
        <v>0.48098039215686278</v>
      </c>
    </row>
    <row r="60" spans="1:18" s="19" customFormat="1" ht="25" hidden="1" customHeight="1" x14ac:dyDescent="0.2">
      <c r="A60" s="12">
        <v>46069</v>
      </c>
      <c r="B60" s="5" t="s">
        <v>20</v>
      </c>
      <c r="C60" s="20">
        <v>340</v>
      </c>
      <c r="D60" s="20">
        <v>230</v>
      </c>
      <c r="E60" s="5" t="s">
        <v>24</v>
      </c>
      <c r="F60" s="20">
        <v>30</v>
      </c>
      <c r="G60" s="21" t="s">
        <v>32</v>
      </c>
      <c r="H60" s="20">
        <v>400</v>
      </c>
      <c r="I60" s="21" t="s">
        <v>27</v>
      </c>
      <c r="J60" s="20"/>
      <c r="K60" s="21"/>
      <c r="L60" s="21"/>
      <c r="M60" s="5"/>
      <c r="N60" s="24">
        <f>IFERROR(C60 / VLOOKUP(B60,AYAR!C5:D7,2,0),0)</f>
        <v>8.5000000000000006E-2</v>
      </c>
      <c r="O60" s="24">
        <f t="shared" si="26"/>
        <v>0.84313725490196079</v>
      </c>
      <c r="P60" s="25">
        <f t="shared" si="27"/>
        <v>0.15686274509803921</v>
      </c>
      <c r="Q60" s="25">
        <f t="shared" si="32"/>
        <v>1</v>
      </c>
      <c r="R60" s="25">
        <f t="shared" si="33"/>
        <v>1.3333333333333334E-2</v>
      </c>
    </row>
    <row r="61" spans="1:18" s="19" customFormat="1" ht="25" hidden="1" customHeight="1" x14ac:dyDescent="0.2">
      <c r="A61" s="12">
        <v>46069</v>
      </c>
      <c r="B61" s="5" t="s">
        <v>22</v>
      </c>
      <c r="C61" s="20"/>
      <c r="D61" s="20">
        <v>0</v>
      </c>
      <c r="E61" s="5"/>
      <c r="F61" s="20"/>
      <c r="G61" s="21"/>
      <c r="H61" s="20">
        <v>540</v>
      </c>
      <c r="I61" s="21" t="s">
        <v>27</v>
      </c>
      <c r="J61" s="20"/>
      <c r="K61" s="21"/>
      <c r="L61" s="21"/>
      <c r="M61" s="5" t="s">
        <v>28</v>
      </c>
      <c r="N61" s="24">
        <f>IFERROR(C61 / VLOOKUP(B61,AYAR!C5:D7,2,0),0)</f>
        <v>0</v>
      </c>
      <c r="O61" s="24">
        <f t="shared" si="26"/>
        <v>1.0588235294117647</v>
      </c>
      <c r="P61" s="25">
        <f t="shared" si="27"/>
        <v>-5.8823529411764705E-2</v>
      </c>
      <c r="Q61" s="25">
        <f t="shared" si="32"/>
        <v>0</v>
      </c>
      <c r="R61" s="25">
        <f t="shared" si="33"/>
        <v>0</v>
      </c>
    </row>
    <row r="62" spans="1:18" s="19" customFormat="1" ht="25" hidden="1" customHeight="1" x14ac:dyDescent="0.2">
      <c r="A62" s="12">
        <v>46066</v>
      </c>
      <c r="B62" s="5" t="s">
        <v>20</v>
      </c>
      <c r="C62" s="20">
        <v>526</v>
      </c>
      <c r="D62" s="20">
        <v>236</v>
      </c>
      <c r="E62" s="5" t="s">
        <v>24</v>
      </c>
      <c r="F62" s="20">
        <v>30</v>
      </c>
      <c r="G62" s="21" t="s">
        <v>32</v>
      </c>
      <c r="H62" s="20">
        <v>45</v>
      </c>
      <c r="I62" s="21" t="s">
        <v>25</v>
      </c>
      <c r="J62" s="20">
        <v>255</v>
      </c>
      <c r="K62" s="21" t="s">
        <v>27</v>
      </c>
      <c r="L62" s="21"/>
      <c r="M62" s="5"/>
      <c r="N62" s="24">
        <f>IFERROR(C62 / VLOOKUP(B62,AYAR!C5:D7,2,0),0)</f>
        <v>0.13150000000000001</v>
      </c>
      <c r="O62" s="24">
        <f t="shared" si="26"/>
        <v>0.6470588235294118</v>
      </c>
      <c r="P62" s="25">
        <f t="shared" si="27"/>
        <v>0.35294117647058826</v>
      </c>
      <c r="Q62" s="25">
        <f t="shared" si="32"/>
        <v>1</v>
      </c>
      <c r="R62" s="25">
        <f t="shared" si="33"/>
        <v>4.6411764705882361E-2</v>
      </c>
    </row>
    <row r="63" spans="1:18" s="19" customFormat="1" ht="25" hidden="1" customHeight="1" x14ac:dyDescent="0.2">
      <c r="A63" s="12">
        <v>46066</v>
      </c>
      <c r="B63" s="5" t="s">
        <v>19</v>
      </c>
      <c r="C63" s="20">
        <v>1208</v>
      </c>
      <c r="D63" s="20">
        <v>553.25</v>
      </c>
      <c r="E63" s="5" t="s">
        <v>24</v>
      </c>
      <c r="F63" s="20">
        <v>30</v>
      </c>
      <c r="G63" s="21" t="s">
        <v>32</v>
      </c>
      <c r="H63" s="20">
        <v>45</v>
      </c>
      <c r="I63" s="21" t="s">
        <v>25</v>
      </c>
      <c r="J63" s="20"/>
      <c r="K63" s="21"/>
      <c r="L63" s="21"/>
      <c r="M63" s="5"/>
      <c r="N63" s="24">
        <f>IFERROR(C63 / VLOOKUP(B63,AYAR!C5:D7,2,0),0)</f>
        <v>0.60399999999999998</v>
      </c>
      <c r="O63" s="24">
        <f t="shared" si="26"/>
        <v>0.14705882352941177</v>
      </c>
      <c r="P63" s="25">
        <f t="shared" si="27"/>
        <v>0.8529411764705882</v>
      </c>
      <c r="Q63" s="25">
        <f t="shared" si="32"/>
        <v>1</v>
      </c>
      <c r="R63" s="25">
        <f t="shared" si="33"/>
        <v>0.51517647058823524</v>
      </c>
    </row>
    <row r="64" spans="1:18" s="19" customFormat="1" ht="25" customHeight="1" x14ac:dyDescent="0.2">
      <c r="A64" s="12">
        <v>46066</v>
      </c>
      <c r="B64" s="5" t="s">
        <v>22</v>
      </c>
      <c r="C64" s="20">
        <v>641</v>
      </c>
      <c r="D64" s="20">
        <v>0</v>
      </c>
      <c r="E64" s="5" t="s">
        <v>24</v>
      </c>
      <c r="F64" s="20">
        <v>30</v>
      </c>
      <c r="G64" s="21" t="s">
        <v>32</v>
      </c>
      <c r="H64" s="20">
        <v>190</v>
      </c>
      <c r="I64" s="21" t="s">
        <v>27</v>
      </c>
      <c r="J64" s="20">
        <v>60</v>
      </c>
      <c r="K64" s="21" t="s">
        <v>55</v>
      </c>
      <c r="L64" s="21"/>
      <c r="M64" s="5" t="s">
        <v>54</v>
      </c>
      <c r="N64" s="24">
        <f>IFERROR(C64 / VLOOKUP(B64,AYAR!C5:D7,2,0),0)</f>
        <v>0.38848484848484849</v>
      </c>
      <c r="O64" s="24">
        <f t="shared" si="26"/>
        <v>0.5490196078431373</v>
      </c>
      <c r="P64" s="25">
        <f t="shared" si="27"/>
        <v>0.45098039215686275</v>
      </c>
      <c r="Q64" s="25">
        <f t="shared" si="32"/>
        <v>1</v>
      </c>
      <c r="R64" s="25">
        <f t="shared" si="33"/>
        <v>0.17519904931669639</v>
      </c>
    </row>
    <row r="65" spans="1:18" s="19" customFormat="1" ht="25" hidden="1" customHeight="1" x14ac:dyDescent="0.2">
      <c r="A65" s="12">
        <v>46065</v>
      </c>
      <c r="B65" s="5" t="s">
        <v>22</v>
      </c>
      <c r="C65" s="20">
        <v>320</v>
      </c>
      <c r="D65" s="20">
        <v>0</v>
      </c>
      <c r="E65" s="5" t="s">
        <v>24</v>
      </c>
      <c r="F65" s="20">
        <v>30</v>
      </c>
      <c r="G65" s="21" t="s">
        <v>32</v>
      </c>
      <c r="H65" s="20">
        <v>390</v>
      </c>
      <c r="I65" s="21" t="s">
        <v>27</v>
      </c>
      <c r="J65" s="20"/>
      <c r="K65" s="21"/>
      <c r="L65" s="21"/>
      <c r="M65" s="5" t="s">
        <v>37</v>
      </c>
      <c r="N65" s="24">
        <f>C65 / VLOOKUP(B65,AYAR!C5:D7,2,0)</f>
        <v>0.19393939393939394</v>
      </c>
      <c r="O65" s="24">
        <f>(F65 + H65 + J65) / 510</f>
        <v>0.82352941176470584</v>
      </c>
      <c r="P65" s="25">
        <f>(510 - (F65 + H65 + J65)) / 510</f>
        <v>0.17647058823529413</v>
      </c>
      <c r="Q65" s="25">
        <f>IF(AND(B65="TURANLAR",D65=0),1,IF(D65=0,0,IF(L65=0,1,1-(L65/D65))))</f>
        <v>1</v>
      </c>
      <c r="R65" s="27">
        <f>N65*P65*Q65</f>
        <v>3.4224598930481284E-2</v>
      </c>
    </row>
    <row r="66" spans="1:18" s="19" customFormat="1" ht="25" hidden="1" customHeight="1" x14ac:dyDescent="0.2">
      <c r="A66" s="12">
        <v>46065</v>
      </c>
      <c r="B66" s="5" t="s">
        <v>19</v>
      </c>
      <c r="C66" s="20">
        <v>1085</v>
      </c>
      <c r="D66" s="20">
        <v>493.5</v>
      </c>
      <c r="E66" s="5" t="s">
        <v>24</v>
      </c>
      <c r="F66" s="20">
        <v>30</v>
      </c>
      <c r="G66" s="21" t="s">
        <v>32</v>
      </c>
      <c r="H66" s="20">
        <v>180</v>
      </c>
      <c r="I66" s="21" t="s">
        <v>27</v>
      </c>
      <c r="J66" s="20"/>
      <c r="K66" s="21"/>
      <c r="L66" s="21"/>
      <c r="M66" s="5"/>
      <c r="N66" s="24">
        <f>C66 / VLOOKUP(B66,AYAR!C5:D7,2,0)</f>
        <v>0.54249999999999998</v>
      </c>
      <c r="O66" s="24">
        <f>(F66 + H66 + J66) / 510</f>
        <v>0.41176470588235292</v>
      </c>
      <c r="P66" s="25">
        <f>(510 - (F66 + H66 + J66)) / 510</f>
        <v>0.58823529411764708</v>
      </c>
      <c r="Q66" s="25">
        <f t="shared" ref="Q66:Q128" si="34">IF(D66=0,0,IF(L66=0,1,1-(L66/D66)))</f>
        <v>1</v>
      </c>
      <c r="R66" s="27">
        <f t="shared" ref="R66:R129" si="35">N66*P66*Q66</f>
        <v>0.31911764705882351</v>
      </c>
    </row>
    <row r="67" spans="1:18" s="19" customFormat="1" ht="25" hidden="1" customHeight="1" x14ac:dyDescent="0.2">
      <c r="A67" s="12">
        <v>46065</v>
      </c>
      <c r="B67" s="5" t="s">
        <v>20</v>
      </c>
      <c r="C67" s="20"/>
      <c r="D67" s="20">
        <v>1</v>
      </c>
      <c r="E67" s="5"/>
      <c r="F67" s="20"/>
      <c r="G67" s="21" t="s">
        <v>27</v>
      </c>
      <c r="H67" s="20">
        <v>510</v>
      </c>
      <c r="I67" s="21"/>
      <c r="J67" s="20"/>
      <c r="K67" s="21"/>
      <c r="L67" s="21"/>
      <c r="M67" s="5" t="s">
        <v>28</v>
      </c>
      <c r="N67" s="24">
        <f>C67 / VLOOKUP(B67,AYAR!C5:D7,2,0)</f>
        <v>0</v>
      </c>
      <c r="O67" s="24">
        <f t="shared" ref="O67:O98" si="36">(F67 + H67 + J67) / 540</f>
        <v>0.94444444444444442</v>
      </c>
      <c r="P67" s="25">
        <f t="shared" ref="P67:P98" si="37">(540 - (F67 + H67 + J67)) / 540</f>
        <v>5.5555555555555552E-2</v>
      </c>
      <c r="Q67" s="25">
        <f t="shared" si="34"/>
        <v>1</v>
      </c>
      <c r="R67" s="27">
        <f t="shared" si="35"/>
        <v>0</v>
      </c>
    </row>
    <row r="68" spans="1:18" s="19" customFormat="1" ht="25" hidden="1" customHeight="1" x14ac:dyDescent="0.2">
      <c r="A68" s="12">
        <v>46064</v>
      </c>
      <c r="B68" s="5" t="s">
        <v>22</v>
      </c>
      <c r="C68" s="20">
        <v>921</v>
      </c>
      <c r="D68" s="20">
        <v>0</v>
      </c>
      <c r="E68" s="5" t="s">
        <v>24</v>
      </c>
      <c r="F68" s="20">
        <v>30</v>
      </c>
      <c r="G68" s="21" t="s">
        <v>32</v>
      </c>
      <c r="H68" s="20">
        <v>20</v>
      </c>
      <c r="I68" s="21" t="s">
        <v>46</v>
      </c>
      <c r="J68" s="20"/>
      <c r="K68" s="21"/>
      <c r="L68" s="21"/>
      <c r="M68" s="5" t="s">
        <v>47</v>
      </c>
      <c r="N68" s="24">
        <f>C68 / VLOOKUP(B68,AYAR!C5:D7,2,0)</f>
        <v>0.55818181818181822</v>
      </c>
      <c r="O68" s="24">
        <f t="shared" si="36"/>
        <v>9.2592592592592587E-2</v>
      </c>
      <c r="P68" s="25">
        <f t="shared" si="37"/>
        <v>0.90740740740740744</v>
      </c>
      <c r="Q68" s="25">
        <f>IF(AND(B68="TURANLAR",D68=0),1,IF(D68=0,0,IF(L68=0,1,1-(L68/D68))))</f>
        <v>1</v>
      </c>
      <c r="R68" s="27">
        <f t="shared" si="35"/>
        <v>0.50649831649831656</v>
      </c>
    </row>
    <row r="69" spans="1:18" s="19" customFormat="1" ht="25" customHeight="1" x14ac:dyDescent="0.2">
      <c r="A69" s="12">
        <v>46064</v>
      </c>
      <c r="B69" s="5" t="s">
        <v>19</v>
      </c>
      <c r="C69" s="20">
        <v>450</v>
      </c>
      <c r="D69" s="20">
        <v>170.75</v>
      </c>
      <c r="E69" s="5" t="s">
        <v>24</v>
      </c>
      <c r="F69" s="20">
        <v>30</v>
      </c>
      <c r="G69" s="21" t="s">
        <v>32</v>
      </c>
      <c r="H69" s="20">
        <v>310</v>
      </c>
      <c r="I69" s="21" t="s">
        <v>27</v>
      </c>
      <c r="J69" s="20">
        <v>20</v>
      </c>
      <c r="K69" s="21" t="s">
        <v>46</v>
      </c>
      <c r="L69" s="21"/>
      <c r="M69" s="5"/>
      <c r="N69" s="24">
        <f>C69 / VLOOKUP(B69,AYAR!C5:D7,2,0)</f>
        <v>0.22500000000000001</v>
      </c>
      <c r="O69" s="24">
        <f t="shared" si="36"/>
        <v>0.66666666666666663</v>
      </c>
      <c r="P69" s="25">
        <f t="shared" si="37"/>
        <v>0.33333333333333331</v>
      </c>
      <c r="Q69" s="25">
        <f t="shared" si="34"/>
        <v>1</v>
      </c>
      <c r="R69" s="27">
        <f t="shared" si="35"/>
        <v>7.4999999999999997E-2</v>
      </c>
    </row>
    <row r="70" spans="1:18" s="19" customFormat="1" ht="25" customHeight="1" x14ac:dyDescent="0.2">
      <c r="A70" s="12">
        <v>46064</v>
      </c>
      <c r="B70" s="5" t="s">
        <v>20</v>
      </c>
      <c r="C70" s="20">
        <v>1092</v>
      </c>
      <c r="D70" s="20">
        <v>374.5</v>
      </c>
      <c r="E70" s="5" t="s">
        <v>24</v>
      </c>
      <c r="F70" s="20">
        <v>30</v>
      </c>
      <c r="G70" s="21" t="s">
        <v>32</v>
      </c>
      <c r="H70" s="20">
        <v>270</v>
      </c>
      <c r="I70" s="21" t="s">
        <v>27</v>
      </c>
      <c r="J70" s="20"/>
      <c r="K70" s="21"/>
      <c r="L70" s="21"/>
      <c r="M70" s="5"/>
      <c r="N70" s="24">
        <f>C70 / VLOOKUP(B70,AYAR!C5:D7,2,0)</f>
        <v>0.27300000000000002</v>
      </c>
      <c r="O70" s="24">
        <f t="shared" si="36"/>
        <v>0.55555555555555558</v>
      </c>
      <c r="P70" s="25">
        <f t="shared" si="37"/>
        <v>0.44444444444444442</v>
      </c>
      <c r="Q70" s="25">
        <f t="shared" si="34"/>
        <v>1</v>
      </c>
      <c r="R70" s="27">
        <f t="shared" si="35"/>
        <v>0.12133333333333333</v>
      </c>
    </row>
    <row r="71" spans="1:18" s="19" customFormat="1" ht="25" customHeight="1" x14ac:dyDescent="0.2">
      <c r="A71" s="12">
        <v>46063</v>
      </c>
      <c r="B71" s="5" t="s">
        <v>19</v>
      </c>
      <c r="C71" s="20">
        <v>447</v>
      </c>
      <c r="D71" s="20">
        <v>151.5</v>
      </c>
      <c r="E71" s="5" t="s">
        <v>24</v>
      </c>
      <c r="F71" s="20">
        <v>30</v>
      </c>
      <c r="G71" s="21" t="s">
        <v>32</v>
      </c>
      <c r="H71" s="20">
        <v>330</v>
      </c>
      <c r="I71" s="21" t="s">
        <v>27</v>
      </c>
      <c r="J71" s="20"/>
      <c r="K71" s="21"/>
      <c r="L71" s="21"/>
      <c r="M71" s="5"/>
      <c r="N71" s="24">
        <f>C71 / VLOOKUP(B71,AYAR!C5:D7,2,0)</f>
        <v>0.2235</v>
      </c>
      <c r="O71" s="24">
        <f t="shared" si="36"/>
        <v>0.66666666666666663</v>
      </c>
      <c r="P71" s="25">
        <f t="shared" si="37"/>
        <v>0.33333333333333331</v>
      </c>
      <c r="Q71" s="25">
        <f t="shared" si="34"/>
        <v>1</v>
      </c>
      <c r="R71" s="27">
        <f t="shared" si="35"/>
        <v>7.4499999999999997E-2</v>
      </c>
    </row>
    <row r="72" spans="1:18" s="19" customFormat="1" ht="25" customHeight="1" x14ac:dyDescent="0.2">
      <c r="A72" s="12">
        <v>46063</v>
      </c>
      <c r="B72" s="5" t="s">
        <v>20</v>
      </c>
      <c r="C72" s="20">
        <v>1556</v>
      </c>
      <c r="D72" s="20">
        <v>585.5</v>
      </c>
      <c r="E72" s="5" t="s">
        <v>24</v>
      </c>
      <c r="F72" s="20">
        <v>30</v>
      </c>
      <c r="G72" s="21" t="s">
        <v>32</v>
      </c>
      <c r="H72" s="20">
        <v>240</v>
      </c>
      <c r="I72" s="21" t="s">
        <v>27</v>
      </c>
      <c r="J72" s="20"/>
      <c r="K72" s="21"/>
      <c r="L72" s="21"/>
      <c r="M72" s="5"/>
      <c r="N72" s="24">
        <f>C72 / VLOOKUP(B72,AYAR!C5:D7,2,0)</f>
        <v>0.38900000000000001</v>
      </c>
      <c r="O72" s="24">
        <f t="shared" si="36"/>
        <v>0.5</v>
      </c>
      <c r="P72" s="25">
        <f t="shared" si="37"/>
        <v>0.5</v>
      </c>
      <c r="Q72" s="25">
        <f t="shared" si="34"/>
        <v>1</v>
      </c>
      <c r="R72" s="27">
        <f t="shared" si="35"/>
        <v>0.19450000000000001</v>
      </c>
    </row>
    <row r="73" spans="1:18" s="19" customFormat="1" ht="25" customHeight="1" x14ac:dyDescent="0.2">
      <c r="A73" s="12">
        <v>46063</v>
      </c>
      <c r="B73" s="5" t="s">
        <v>22</v>
      </c>
      <c r="C73" s="20">
        <v>1345</v>
      </c>
      <c r="D73" s="20">
        <v>0</v>
      </c>
      <c r="E73" s="5" t="s">
        <v>24</v>
      </c>
      <c r="F73" s="20">
        <v>30</v>
      </c>
      <c r="G73" s="21" t="s">
        <v>32</v>
      </c>
      <c r="H73" s="20"/>
      <c r="I73" s="21"/>
      <c r="J73" s="20"/>
      <c r="K73" s="21"/>
      <c r="L73" s="21"/>
      <c r="M73" s="5"/>
      <c r="N73" s="24">
        <f>C73 / VLOOKUP(B73,AYAR!C5:D7,2,0)</f>
        <v>0.81515151515151518</v>
      </c>
      <c r="O73" s="24">
        <f t="shared" si="36"/>
        <v>5.5555555555555552E-2</v>
      </c>
      <c r="P73" s="25">
        <f t="shared" si="37"/>
        <v>0.94444444444444442</v>
      </c>
      <c r="Q73" s="25">
        <f t="shared" ref="Q73:Q74" si="38">IF(AND(B73="TURANLAR",D73=0),1,IF(D73=0,0,IF(L73=0,1,1-(L73/D73))))</f>
        <v>1</v>
      </c>
      <c r="R73" s="27">
        <f t="shared" si="35"/>
        <v>0.76986531986531992</v>
      </c>
    </row>
    <row r="74" spans="1:18" s="19" customFormat="1" ht="25" hidden="1" customHeight="1" x14ac:dyDescent="0.2">
      <c r="A74" s="12">
        <v>46062</v>
      </c>
      <c r="B74" s="5" t="s">
        <v>22</v>
      </c>
      <c r="C74" s="20">
        <v>220</v>
      </c>
      <c r="D74" s="20">
        <v>0</v>
      </c>
      <c r="E74" s="5" t="s">
        <v>24</v>
      </c>
      <c r="F74" s="20">
        <v>30</v>
      </c>
      <c r="G74" s="21" t="s">
        <v>32</v>
      </c>
      <c r="H74" s="20">
        <v>420</v>
      </c>
      <c r="I74" s="21" t="s">
        <v>27</v>
      </c>
      <c r="J74" s="20"/>
      <c r="K74" s="21"/>
      <c r="L74" s="21"/>
      <c r="M74" s="5"/>
      <c r="N74" s="24">
        <f>C74 / VLOOKUP(B74,AYAR!C5:D7,2,0)</f>
        <v>0.13333333333333333</v>
      </c>
      <c r="O74" s="24">
        <f t="shared" si="36"/>
        <v>0.83333333333333337</v>
      </c>
      <c r="P74" s="25">
        <f t="shared" si="37"/>
        <v>0.16666666666666666</v>
      </c>
      <c r="Q74" s="25">
        <f t="shared" si="38"/>
        <v>1</v>
      </c>
      <c r="R74" s="27">
        <f t="shared" si="35"/>
        <v>2.222222222222222E-2</v>
      </c>
    </row>
    <row r="75" spans="1:18" s="19" customFormat="1" ht="25" hidden="1" customHeight="1" x14ac:dyDescent="0.2">
      <c r="A75" s="12">
        <v>46062</v>
      </c>
      <c r="B75" s="5" t="s">
        <v>19</v>
      </c>
      <c r="C75" s="20">
        <v>786</v>
      </c>
      <c r="D75" s="20">
        <v>303</v>
      </c>
      <c r="E75" s="5" t="s">
        <v>24</v>
      </c>
      <c r="F75" s="20">
        <v>30</v>
      </c>
      <c r="G75" s="21" t="s">
        <v>32</v>
      </c>
      <c r="H75" s="20">
        <v>180</v>
      </c>
      <c r="I75" s="21" t="s">
        <v>27</v>
      </c>
      <c r="J75" s="20"/>
      <c r="K75" s="21"/>
      <c r="L75" s="21"/>
      <c r="M75" s="5"/>
      <c r="N75" s="24">
        <f>C75 / VLOOKUP(B75,AYAR!C5:D7,2,0)</f>
        <v>0.39300000000000002</v>
      </c>
      <c r="O75" s="24">
        <f t="shared" si="36"/>
        <v>0.3888888888888889</v>
      </c>
      <c r="P75" s="25">
        <f t="shared" si="37"/>
        <v>0.61111111111111116</v>
      </c>
      <c r="Q75" s="25">
        <f t="shared" si="34"/>
        <v>1</v>
      </c>
      <c r="R75" s="27">
        <f t="shared" si="35"/>
        <v>0.24016666666666669</v>
      </c>
    </row>
    <row r="76" spans="1:18" s="19" customFormat="1" ht="25" customHeight="1" x14ac:dyDescent="0.2">
      <c r="A76" s="12">
        <v>46062</v>
      </c>
      <c r="B76" s="5" t="s">
        <v>20</v>
      </c>
      <c r="C76" s="20">
        <v>382</v>
      </c>
      <c r="D76" s="20">
        <v>129</v>
      </c>
      <c r="E76" s="5" t="s">
        <v>24</v>
      </c>
      <c r="F76" s="20">
        <v>30</v>
      </c>
      <c r="G76" s="21" t="s">
        <v>32</v>
      </c>
      <c r="H76" s="20">
        <v>330</v>
      </c>
      <c r="I76" s="21" t="s">
        <v>27</v>
      </c>
      <c r="J76" s="20"/>
      <c r="K76" s="21"/>
      <c r="L76" s="21"/>
      <c r="M76" s="5"/>
      <c r="N76" s="24">
        <f>C76 / VLOOKUP(B76,AYAR!C5:D7,2,0)</f>
        <v>9.5500000000000002E-2</v>
      </c>
      <c r="O76" s="24">
        <f t="shared" si="36"/>
        <v>0.66666666666666663</v>
      </c>
      <c r="P76" s="25">
        <f t="shared" si="37"/>
        <v>0.33333333333333331</v>
      </c>
      <c r="Q76" s="25">
        <f t="shared" si="34"/>
        <v>1</v>
      </c>
      <c r="R76" s="27">
        <f t="shared" si="35"/>
        <v>3.1833333333333332E-2</v>
      </c>
    </row>
    <row r="77" spans="1:18" s="19" customFormat="1" ht="25" hidden="1" customHeight="1" x14ac:dyDescent="0.2">
      <c r="A77" s="12">
        <v>46059</v>
      </c>
      <c r="B77" s="5" t="s">
        <v>19</v>
      </c>
      <c r="C77" s="20">
        <v>327</v>
      </c>
      <c r="D77" s="20">
        <v>163.25</v>
      </c>
      <c r="E77" s="5" t="s">
        <v>24</v>
      </c>
      <c r="F77" s="20">
        <v>30</v>
      </c>
      <c r="G77" s="21" t="s">
        <v>27</v>
      </c>
      <c r="H77" s="20">
        <v>440</v>
      </c>
      <c r="I77" s="21" t="s">
        <v>27</v>
      </c>
      <c r="J77" s="20"/>
      <c r="K77" s="21"/>
      <c r="L77" s="21"/>
      <c r="M77" s="5" t="s">
        <v>45</v>
      </c>
      <c r="N77" s="24">
        <f>C77 / VLOOKUP(B77,AYAR!C5:D7,2,0)</f>
        <v>0.16350000000000001</v>
      </c>
      <c r="O77" s="24">
        <f t="shared" si="36"/>
        <v>0.87037037037037035</v>
      </c>
      <c r="P77" s="25">
        <f t="shared" si="37"/>
        <v>0.12962962962962962</v>
      </c>
      <c r="Q77" s="25">
        <f t="shared" si="34"/>
        <v>1</v>
      </c>
      <c r="R77" s="27">
        <f t="shared" si="35"/>
        <v>2.1194444444444443E-2</v>
      </c>
    </row>
    <row r="78" spans="1:18" s="19" customFormat="1" ht="25" hidden="1" customHeight="1" x14ac:dyDescent="0.2">
      <c r="A78" s="12">
        <v>46059</v>
      </c>
      <c r="B78" s="5" t="s">
        <v>22</v>
      </c>
      <c r="C78" s="20"/>
      <c r="D78" s="20">
        <v>0</v>
      </c>
      <c r="E78" s="5"/>
      <c r="F78" s="20"/>
      <c r="G78" s="21" t="s">
        <v>27</v>
      </c>
      <c r="H78" s="20">
        <v>540</v>
      </c>
      <c r="I78" s="21"/>
      <c r="J78" s="20"/>
      <c r="K78" s="21"/>
      <c r="L78" s="21"/>
      <c r="M78" s="5" t="s">
        <v>45</v>
      </c>
      <c r="N78" s="24">
        <f>C78 / VLOOKUP(B78,AYAR!C5:D7,2,0)</f>
        <v>0</v>
      </c>
      <c r="O78" s="24">
        <f t="shared" si="36"/>
        <v>1</v>
      </c>
      <c r="P78" s="25">
        <f t="shared" si="37"/>
        <v>0</v>
      </c>
      <c r="Q78" s="25">
        <f t="shared" si="34"/>
        <v>0</v>
      </c>
      <c r="R78" s="27">
        <f t="shared" si="35"/>
        <v>0</v>
      </c>
    </row>
    <row r="79" spans="1:18" s="19" customFormat="1" ht="25" customHeight="1" x14ac:dyDescent="0.2">
      <c r="A79" s="12">
        <v>46059</v>
      </c>
      <c r="B79" s="5" t="s">
        <v>20</v>
      </c>
      <c r="C79" s="20"/>
      <c r="D79" s="20">
        <v>1</v>
      </c>
      <c r="E79" s="5"/>
      <c r="F79" s="20"/>
      <c r="G79" s="21" t="s">
        <v>27</v>
      </c>
      <c r="H79" s="20">
        <v>540</v>
      </c>
      <c r="I79" s="21"/>
      <c r="J79" s="20"/>
      <c r="K79" s="21"/>
      <c r="L79" s="21"/>
      <c r="M79" s="5" t="s">
        <v>45</v>
      </c>
      <c r="N79" s="24">
        <f>C79 / VLOOKUP(B79,AYAR!C5:D7,2,0)</f>
        <v>0</v>
      </c>
      <c r="O79" s="24">
        <f t="shared" si="36"/>
        <v>1</v>
      </c>
      <c r="P79" s="25">
        <f t="shared" si="37"/>
        <v>0</v>
      </c>
      <c r="Q79" s="25">
        <f t="shared" si="34"/>
        <v>1</v>
      </c>
      <c r="R79" s="27">
        <f t="shared" si="35"/>
        <v>0</v>
      </c>
    </row>
    <row r="80" spans="1:18" s="19" customFormat="1" ht="25" hidden="1" customHeight="1" x14ac:dyDescent="0.2">
      <c r="A80" s="12">
        <v>46058</v>
      </c>
      <c r="B80" s="5" t="s">
        <v>22</v>
      </c>
      <c r="C80" s="20"/>
      <c r="D80" s="20">
        <v>0</v>
      </c>
      <c r="E80" s="5" t="s">
        <v>24</v>
      </c>
      <c r="F80" s="20"/>
      <c r="G80" s="21" t="s">
        <v>27</v>
      </c>
      <c r="H80" s="20"/>
      <c r="I80" s="21"/>
      <c r="J80" s="20"/>
      <c r="K80" s="21"/>
      <c r="L80" s="21"/>
      <c r="M80" s="5" t="s">
        <v>44</v>
      </c>
      <c r="N80" s="24">
        <f>C80 / VLOOKUP(B80,AYAR!C5:D7,2,0)</f>
        <v>0</v>
      </c>
      <c r="O80" s="24">
        <f t="shared" si="36"/>
        <v>0</v>
      </c>
      <c r="P80" s="25">
        <f t="shared" si="37"/>
        <v>1</v>
      </c>
      <c r="Q80" s="25">
        <f t="shared" si="34"/>
        <v>0</v>
      </c>
      <c r="R80" s="27">
        <f t="shared" si="35"/>
        <v>0</v>
      </c>
    </row>
    <row r="81" spans="1:18" s="19" customFormat="1" ht="25" hidden="1" customHeight="1" x14ac:dyDescent="0.2">
      <c r="A81" s="12">
        <v>46058</v>
      </c>
      <c r="B81" s="5" t="s">
        <v>20</v>
      </c>
      <c r="C81" s="20"/>
      <c r="D81" s="20">
        <v>1</v>
      </c>
      <c r="E81" s="5" t="s">
        <v>24</v>
      </c>
      <c r="F81" s="20"/>
      <c r="G81" s="21" t="s">
        <v>27</v>
      </c>
      <c r="H81" s="20"/>
      <c r="I81" s="21"/>
      <c r="J81" s="20"/>
      <c r="K81" s="21"/>
      <c r="L81" s="21"/>
      <c r="M81" s="5" t="s">
        <v>44</v>
      </c>
      <c r="N81" s="24">
        <f>C81 / VLOOKUP(B81,AYAR!C5:D7,2,0)</f>
        <v>0</v>
      </c>
      <c r="O81" s="24">
        <f t="shared" si="36"/>
        <v>0</v>
      </c>
      <c r="P81" s="25">
        <f t="shared" si="37"/>
        <v>1</v>
      </c>
      <c r="Q81" s="25">
        <f t="shared" si="34"/>
        <v>1</v>
      </c>
      <c r="R81" s="27">
        <f t="shared" si="35"/>
        <v>0</v>
      </c>
    </row>
    <row r="82" spans="1:18" s="19" customFormat="1" ht="25" customHeight="1" x14ac:dyDescent="0.2">
      <c r="A82" s="12">
        <v>46058</v>
      </c>
      <c r="B82" s="5" t="s">
        <v>19</v>
      </c>
      <c r="C82" s="20"/>
      <c r="D82" s="20">
        <v>1</v>
      </c>
      <c r="E82" s="5" t="s">
        <v>24</v>
      </c>
      <c r="F82" s="20"/>
      <c r="G82" s="21" t="s">
        <v>27</v>
      </c>
      <c r="H82" s="20">
        <v>540</v>
      </c>
      <c r="I82" s="21"/>
      <c r="J82" s="20"/>
      <c r="K82" s="21"/>
      <c r="L82" s="21"/>
      <c r="M82" s="5" t="s">
        <v>44</v>
      </c>
      <c r="N82" s="24">
        <f>C82 / VLOOKUP(B82,AYAR!C5:D7,2,0)</f>
        <v>0</v>
      </c>
      <c r="O82" s="24">
        <f t="shared" si="36"/>
        <v>1</v>
      </c>
      <c r="P82" s="25">
        <f t="shared" si="37"/>
        <v>0</v>
      </c>
      <c r="Q82" s="25">
        <f t="shared" si="34"/>
        <v>1</v>
      </c>
      <c r="R82" s="27">
        <f t="shared" si="35"/>
        <v>0</v>
      </c>
    </row>
    <row r="83" spans="1:18" s="19" customFormat="1" ht="25" customHeight="1" x14ac:dyDescent="0.2">
      <c r="A83" s="12">
        <v>46057</v>
      </c>
      <c r="B83" s="5" t="s">
        <v>20</v>
      </c>
      <c r="C83" s="20">
        <v>1870</v>
      </c>
      <c r="D83" s="20">
        <v>304</v>
      </c>
      <c r="E83" s="5" t="s">
        <v>24</v>
      </c>
      <c r="F83" s="20">
        <v>30</v>
      </c>
      <c r="G83" s="21" t="s">
        <v>32</v>
      </c>
      <c r="H83" s="20">
        <v>240</v>
      </c>
      <c r="I83" s="21" t="s">
        <v>27</v>
      </c>
      <c r="J83" s="20">
        <v>20</v>
      </c>
      <c r="K83" s="21" t="s">
        <v>43</v>
      </c>
      <c r="L83" s="21"/>
      <c r="M83" s="5"/>
      <c r="N83" s="24">
        <f>C83 / VLOOKUP(B83,AYAR!C5:D7,2,0)</f>
        <v>0.46750000000000003</v>
      </c>
      <c r="O83" s="24">
        <f t="shared" si="36"/>
        <v>0.53703703703703709</v>
      </c>
      <c r="P83" s="25">
        <f t="shared" si="37"/>
        <v>0.46296296296296297</v>
      </c>
      <c r="Q83" s="25">
        <f t="shared" si="34"/>
        <v>1</v>
      </c>
      <c r="R83" s="27">
        <f t="shared" si="35"/>
        <v>0.2164351851851852</v>
      </c>
    </row>
    <row r="84" spans="1:18" s="19" customFormat="1" ht="25" customHeight="1" x14ac:dyDescent="0.2">
      <c r="A84" s="12">
        <v>46057</v>
      </c>
      <c r="B84" s="5" t="s">
        <v>19</v>
      </c>
      <c r="C84" s="20">
        <v>727</v>
      </c>
      <c r="D84" s="20">
        <v>325.5</v>
      </c>
      <c r="E84" s="5" t="s">
        <v>24</v>
      </c>
      <c r="F84" s="20">
        <v>30</v>
      </c>
      <c r="G84" s="21" t="s">
        <v>32</v>
      </c>
      <c r="H84" s="20">
        <v>200</v>
      </c>
      <c r="I84" s="21" t="s">
        <v>27</v>
      </c>
      <c r="J84" s="20">
        <v>20</v>
      </c>
      <c r="K84" s="21" t="s">
        <v>43</v>
      </c>
      <c r="L84" s="21"/>
      <c r="M84" s="5"/>
      <c r="N84" s="24">
        <f>C84 / VLOOKUP(B84,AYAR!C5:D7,2,0)</f>
        <v>0.36349999999999999</v>
      </c>
      <c r="O84" s="24">
        <f t="shared" si="36"/>
        <v>0.46296296296296297</v>
      </c>
      <c r="P84" s="25">
        <f t="shared" si="37"/>
        <v>0.53703703703703709</v>
      </c>
      <c r="Q84" s="25">
        <f t="shared" si="34"/>
        <v>1</v>
      </c>
      <c r="R84" s="27">
        <f t="shared" si="35"/>
        <v>0.19521296296296298</v>
      </c>
    </row>
    <row r="85" spans="1:18" s="19" customFormat="1" ht="25" customHeight="1" x14ac:dyDescent="0.2">
      <c r="A85" s="12">
        <v>46057</v>
      </c>
      <c r="B85" s="5" t="s">
        <v>22</v>
      </c>
      <c r="C85" s="20"/>
      <c r="D85" s="20">
        <v>0</v>
      </c>
      <c r="E85" s="5"/>
      <c r="F85" s="20"/>
      <c r="G85" s="21" t="s">
        <v>27</v>
      </c>
      <c r="H85" s="20">
        <v>540</v>
      </c>
      <c r="I85" s="21"/>
      <c r="J85" s="20"/>
      <c r="K85" s="21"/>
      <c r="L85" s="21"/>
      <c r="M85" s="5"/>
      <c r="N85" s="24">
        <f>C85 / VLOOKUP(B85,AYAR!C5:D7,2,0)</f>
        <v>0</v>
      </c>
      <c r="O85" s="24">
        <f t="shared" si="36"/>
        <v>1</v>
      </c>
      <c r="P85" s="25">
        <f t="shared" si="37"/>
        <v>0</v>
      </c>
      <c r="Q85" s="25">
        <f t="shared" si="34"/>
        <v>0</v>
      </c>
      <c r="R85" s="27">
        <f t="shared" si="35"/>
        <v>0</v>
      </c>
    </row>
    <row r="86" spans="1:18" s="19" customFormat="1" ht="25" hidden="1" customHeight="1" x14ac:dyDescent="0.2">
      <c r="A86" s="12">
        <v>46056</v>
      </c>
      <c r="B86" s="5" t="s">
        <v>19</v>
      </c>
      <c r="C86" s="20">
        <v>412</v>
      </c>
      <c r="D86" s="20">
        <v>814</v>
      </c>
      <c r="E86" s="5" t="s">
        <v>24</v>
      </c>
      <c r="F86" s="20">
        <v>30</v>
      </c>
      <c r="G86" s="21" t="s">
        <v>32</v>
      </c>
      <c r="H86" s="20">
        <v>400</v>
      </c>
      <c r="I86" s="21" t="s">
        <v>27</v>
      </c>
      <c r="J86" s="20"/>
      <c r="K86" s="21"/>
      <c r="L86" s="21"/>
      <c r="M86" s="5"/>
      <c r="N86" s="24">
        <f>C86 / VLOOKUP(B86,AYAR!C5:D7,2,0)</f>
        <v>0.20599999999999999</v>
      </c>
      <c r="O86" s="24">
        <f t="shared" si="36"/>
        <v>0.79629629629629628</v>
      </c>
      <c r="P86" s="25">
        <f t="shared" si="37"/>
        <v>0.20370370370370369</v>
      </c>
      <c r="Q86" s="25">
        <f t="shared" si="34"/>
        <v>1</v>
      </c>
      <c r="R86" s="27">
        <f t="shared" si="35"/>
        <v>4.1962962962962959E-2</v>
      </c>
    </row>
    <row r="87" spans="1:18" s="19" customFormat="1" ht="25" hidden="1" customHeight="1" x14ac:dyDescent="0.2">
      <c r="A87" s="12">
        <v>46056</v>
      </c>
      <c r="B87" s="5" t="s">
        <v>22</v>
      </c>
      <c r="C87" s="20">
        <v>278</v>
      </c>
      <c r="D87" s="20">
        <v>0</v>
      </c>
      <c r="E87" s="5" t="s">
        <v>24</v>
      </c>
      <c r="F87" s="20">
        <v>30</v>
      </c>
      <c r="G87" s="21" t="s">
        <v>32</v>
      </c>
      <c r="H87" s="20">
        <v>420</v>
      </c>
      <c r="I87" s="21" t="s">
        <v>27</v>
      </c>
      <c r="J87" s="20"/>
      <c r="K87" s="21"/>
      <c r="L87" s="21"/>
      <c r="M87" s="5" t="s">
        <v>37</v>
      </c>
      <c r="N87" s="24">
        <f>C87 / VLOOKUP(B87,AYAR!C5:D7,2,0)</f>
        <v>0.16848484848484849</v>
      </c>
      <c r="O87" s="24">
        <f t="shared" si="36"/>
        <v>0.83333333333333337</v>
      </c>
      <c r="P87" s="25">
        <f t="shared" si="37"/>
        <v>0.16666666666666666</v>
      </c>
      <c r="Q87" s="25">
        <f>IF(AND(B87="TURANLAR",D87=0),1,IF(D87=0,0,IF(L87=0,1,1-(L87/D87))))</f>
        <v>1</v>
      </c>
      <c r="R87" s="27">
        <f t="shared" si="35"/>
        <v>2.8080808080808081E-2</v>
      </c>
    </row>
    <row r="88" spans="1:18" s="19" customFormat="1" ht="25" customHeight="1" x14ac:dyDescent="0.2">
      <c r="A88" s="12">
        <v>46056</v>
      </c>
      <c r="B88" s="5" t="s">
        <v>20</v>
      </c>
      <c r="C88" s="20"/>
      <c r="D88" s="20">
        <v>1</v>
      </c>
      <c r="E88" s="5"/>
      <c r="F88" s="20"/>
      <c r="G88" s="21" t="s">
        <v>27</v>
      </c>
      <c r="H88" s="20">
        <v>540</v>
      </c>
      <c r="I88" s="21"/>
      <c r="J88" s="20"/>
      <c r="K88" s="21"/>
      <c r="L88" s="21"/>
      <c r="M88" s="5"/>
      <c r="N88" s="24">
        <f>C88 / VLOOKUP(B88,AYAR!C5:D7,2,0)</f>
        <v>0</v>
      </c>
      <c r="O88" s="24">
        <f t="shared" si="36"/>
        <v>1</v>
      </c>
      <c r="P88" s="25">
        <f t="shared" si="37"/>
        <v>0</v>
      </c>
      <c r="Q88" s="25">
        <f t="shared" si="34"/>
        <v>1</v>
      </c>
      <c r="R88" s="27">
        <f t="shared" si="35"/>
        <v>0</v>
      </c>
    </row>
    <row r="89" spans="1:18" s="19" customFormat="1" ht="25" hidden="1" customHeight="1" x14ac:dyDescent="0.2">
      <c r="A89" s="12">
        <v>46055</v>
      </c>
      <c r="B89" s="5" t="s">
        <v>19</v>
      </c>
      <c r="C89" s="20">
        <v>446</v>
      </c>
      <c r="D89" s="20">
        <v>197.25</v>
      </c>
      <c r="E89" s="5" t="s">
        <v>24</v>
      </c>
      <c r="F89" s="20">
        <v>30</v>
      </c>
      <c r="G89" s="21" t="s">
        <v>32</v>
      </c>
      <c r="H89" s="20">
        <v>400</v>
      </c>
      <c r="I89" s="21" t="s">
        <v>27</v>
      </c>
      <c r="J89" s="20"/>
      <c r="K89" s="21"/>
      <c r="L89" s="21"/>
      <c r="M89" s="5"/>
      <c r="N89" s="24">
        <f>C89 / VLOOKUP(B89,AYAR!C5:D7,2,0)</f>
        <v>0.223</v>
      </c>
      <c r="O89" s="24">
        <f t="shared" si="36"/>
        <v>0.79629629629629628</v>
      </c>
      <c r="P89" s="25">
        <f t="shared" si="37"/>
        <v>0.20370370370370369</v>
      </c>
      <c r="Q89" s="25">
        <f t="shared" si="34"/>
        <v>1</v>
      </c>
      <c r="R89" s="27">
        <f t="shared" si="35"/>
        <v>4.5425925925925925E-2</v>
      </c>
    </row>
    <row r="90" spans="1:18" s="19" customFormat="1" ht="25" hidden="1" customHeight="1" x14ac:dyDescent="0.2">
      <c r="A90" s="12">
        <v>46055</v>
      </c>
      <c r="B90" s="5" t="s">
        <v>22</v>
      </c>
      <c r="C90" s="20">
        <v>961</v>
      </c>
      <c r="D90" s="20">
        <v>0</v>
      </c>
      <c r="E90" s="5" t="s">
        <v>24</v>
      </c>
      <c r="F90" s="20">
        <v>30</v>
      </c>
      <c r="G90" s="21" t="s">
        <v>32</v>
      </c>
      <c r="H90" s="20">
        <v>120</v>
      </c>
      <c r="I90" s="21" t="s">
        <v>27</v>
      </c>
      <c r="J90" s="20"/>
      <c r="K90" s="21"/>
      <c r="L90" s="21"/>
      <c r="M90" s="5" t="s">
        <v>37</v>
      </c>
      <c r="N90" s="24">
        <f>C90 / VLOOKUP(B90,AYAR!C5:D7,2,0)</f>
        <v>0.5824242424242424</v>
      </c>
      <c r="O90" s="24">
        <f t="shared" si="36"/>
        <v>0.27777777777777779</v>
      </c>
      <c r="P90" s="25">
        <f t="shared" si="37"/>
        <v>0.72222222222222221</v>
      </c>
      <c r="Q90" s="25">
        <f>IF(AND(B90="TURANLAR",D90=0),1,IF(D90=0,0,IF(L90=0,1,1-(L90/D90))))</f>
        <v>1</v>
      </c>
      <c r="R90" s="27">
        <f t="shared" si="35"/>
        <v>0.42063973063973059</v>
      </c>
    </row>
    <row r="91" spans="1:18" s="19" customFormat="1" ht="25" hidden="1" customHeight="1" x14ac:dyDescent="0.2">
      <c r="A91" s="12">
        <v>46055</v>
      </c>
      <c r="B91" s="5" t="s">
        <v>20</v>
      </c>
      <c r="C91" s="20"/>
      <c r="D91" s="20">
        <v>1</v>
      </c>
      <c r="E91" s="5"/>
      <c r="F91" s="20"/>
      <c r="G91" s="21" t="s">
        <v>27</v>
      </c>
      <c r="H91" s="20">
        <v>540</v>
      </c>
      <c r="I91" s="21"/>
      <c r="J91" s="20"/>
      <c r="K91" s="21"/>
      <c r="L91" s="21"/>
      <c r="M91" s="5" t="s">
        <v>28</v>
      </c>
      <c r="N91" s="24">
        <f>C91 / VLOOKUP(B91,AYAR!C5:D7,2,0)</f>
        <v>0</v>
      </c>
      <c r="O91" s="24">
        <f t="shared" si="36"/>
        <v>1</v>
      </c>
      <c r="P91" s="25">
        <f t="shared" si="37"/>
        <v>0</v>
      </c>
      <c r="Q91" s="25">
        <f t="shared" si="34"/>
        <v>1</v>
      </c>
      <c r="R91" s="27">
        <f t="shared" si="35"/>
        <v>0</v>
      </c>
    </row>
    <row r="92" spans="1:18" s="19" customFormat="1" ht="25" customHeight="1" x14ac:dyDescent="0.2">
      <c r="A92" s="12">
        <v>46052</v>
      </c>
      <c r="B92" s="5" t="s">
        <v>19</v>
      </c>
      <c r="C92" s="20">
        <v>1830</v>
      </c>
      <c r="D92" s="20">
        <v>740</v>
      </c>
      <c r="E92" s="5" t="s">
        <v>24</v>
      </c>
      <c r="F92" s="20">
        <v>30</v>
      </c>
      <c r="G92" s="21" t="s">
        <v>32</v>
      </c>
      <c r="H92" s="20">
        <v>60</v>
      </c>
      <c r="I92" s="21" t="s">
        <v>25</v>
      </c>
      <c r="J92" s="20">
        <v>30</v>
      </c>
      <c r="K92" s="21" t="s">
        <v>43</v>
      </c>
      <c r="L92" s="21"/>
      <c r="M92" s="5"/>
      <c r="N92" s="24">
        <f>C92 / VLOOKUP(B92,AYAR!C5:D7,2,0)</f>
        <v>0.91500000000000004</v>
      </c>
      <c r="O92" s="24">
        <f t="shared" si="36"/>
        <v>0.22222222222222221</v>
      </c>
      <c r="P92" s="25">
        <f t="shared" si="37"/>
        <v>0.77777777777777779</v>
      </c>
      <c r="Q92" s="25">
        <f t="shared" si="34"/>
        <v>1</v>
      </c>
      <c r="R92" s="27">
        <f t="shared" si="35"/>
        <v>0.71166666666666667</v>
      </c>
    </row>
    <row r="93" spans="1:18" s="19" customFormat="1" ht="25" customHeight="1" x14ac:dyDescent="0.2">
      <c r="A93" s="12">
        <v>46052</v>
      </c>
      <c r="B93" s="5" t="s">
        <v>20</v>
      </c>
      <c r="C93" s="20"/>
      <c r="D93" s="20">
        <v>1</v>
      </c>
      <c r="E93" s="5"/>
      <c r="F93" s="20"/>
      <c r="G93" s="21" t="s">
        <v>27</v>
      </c>
      <c r="H93" s="20">
        <v>540</v>
      </c>
      <c r="I93" s="21"/>
      <c r="J93" s="20"/>
      <c r="K93" s="21"/>
      <c r="L93" s="21"/>
      <c r="M93" s="5" t="s">
        <v>42</v>
      </c>
      <c r="N93" s="24">
        <f>C93 / VLOOKUP(B93,AYAR!C5:D7,2,0)</f>
        <v>0</v>
      </c>
      <c r="O93" s="24">
        <f t="shared" si="36"/>
        <v>1</v>
      </c>
      <c r="P93" s="25">
        <f t="shared" si="37"/>
        <v>0</v>
      </c>
      <c r="Q93" s="25">
        <f t="shared" si="34"/>
        <v>1</v>
      </c>
      <c r="R93" s="27">
        <f t="shared" si="35"/>
        <v>0</v>
      </c>
    </row>
    <row r="94" spans="1:18" s="19" customFormat="1" ht="25" hidden="1" customHeight="1" x14ac:dyDescent="0.2">
      <c r="A94" s="12">
        <v>46052</v>
      </c>
      <c r="B94" s="5" t="s">
        <v>22</v>
      </c>
      <c r="C94" s="20"/>
      <c r="D94" s="20">
        <v>0</v>
      </c>
      <c r="E94" s="5"/>
      <c r="F94" s="20"/>
      <c r="G94" s="21" t="s">
        <v>27</v>
      </c>
      <c r="H94" s="20">
        <v>540</v>
      </c>
      <c r="I94" s="21"/>
      <c r="J94" s="20"/>
      <c r="K94" s="21"/>
      <c r="L94" s="21"/>
      <c r="M94" s="5" t="s">
        <v>28</v>
      </c>
      <c r="N94" s="24">
        <f>C94 / VLOOKUP(B94,AYAR!C5:D7,2,0)</f>
        <v>0</v>
      </c>
      <c r="O94" s="24">
        <f t="shared" si="36"/>
        <v>1</v>
      </c>
      <c r="P94" s="25">
        <f t="shared" si="37"/>
        <v>0</v>
      </c>
      <c r="Q94" s="25">
        <f t="shared" si="34"/>
        <v>0</v>
      </c>
      <c r="R94" s="27">
        <f t="shared" si="35"/>
        <v>0</v>
      </c>
    </row>
    <row r="95" spans="1:18" s="19" customFormat="1" ht="25" hidden="1" customHeight="1" x14ac:dyDescent="0.2">
      <c r="A95" s="12">
        <v>46051</v>
      </c>
      <c r="B95" s="5" t="s">
        <v>19</v>
      </c>
      <c r="C95" s="20">
        <v>1504</v>
      </c>
      <c r="D95" s="20">
        <v>633</v>
      </c>
      <c r="E95" s="5" t="s">
        <v>24</v>
      </c>
      <c r="F95" s="20">
        <v>30</v>
      </c>
      <c r="G95" s="21" t="s">
        <v>32</v>
      </c>
      <c r="H95" s="20">
        <v>60</v>
      </c>
      <c r="I95" s="21" t="s">
        <v>27</v>
      </c>
      <c r="J95" s="20"/>
      <c r="K95" s="21"/>
      <c r="L95" s="21"/>
      <c r="M95" s="5"/>
      <c r="N95" s="24">
        <f>C95 / VLOOKUP(B95,AYAR!C5:D7,2,0)</f>
        <v>0.752</v>
      </c>
      <c r="O95" s="24">
        <f t="shared" si="36"/>
        <v>0.16666666666666666</v>
      </c>
      <c r="P95" s="25">
        <f t="shared" si="37"/>
        <v>0.83333333333333337</v>
      </c>
      <c r="Q95" s="25">
        <f t="shared" si="34"/>
        <v>1</v>
      </c>
      <c r="R95" s="27">
        <f t="shared" si="35"/>
        <v>0.62666666666666671</v>
      </c>
    </row>
    <row r="96" spans="1:18" s="19" customFormat="1" ht="25" customHeight="1" x14ac:dyDescent="0.2">
      <c r="A96" s="12">
        <v>46051</v>
      </c>
      <c r="B96" s="5" t="s">
        <v>22</v>
      </c>
      <c r="C96" s="20">
        <v>135</v>
      </c>
      <c r="D96" s="20">
        <v>0</v>
      </c>
      <c r="E96" s="5" t="s">
        <v>24</v>
      </c>
      <c r="F96" s="20">
        <v>30</v>
      </c>
      <c r="G96" s="21" t="s">
        <v>32</v>
      </c>
      <c r="H96" s="20">
        <v>450</v>
      </c>
      <c r="I96" s="21" t="s">
        <v>27</v>
      </c>
      <c r="J96" s="20"/>
      <c r="K96" s="21"/>
      <c r="L96" s="21"/>
      <c r="M96" s="5" t="s">
        <v>37</v>
      </c>
      <c r="N96" s="24">
        <f>C96 / VLOOKUP(B96,AYAR!C5:D7,2,0)</f>
        <v>8.1818181818181818E-2</v>
      </c>
      <c r="O96" s="24">
        <f t="shared" si="36"/>
        <v>0.88888888888888884</v>
      </c>
      <c r="P96" s="25">
        <f t="shared" si="37"/>
        <v>0.1111111111111111</v>
      </c>
      <c r="Q96" s="25">
        <f>IF(AND(B96="TURANLAR",D96=0),1,IF(D96=0,0,IF(L96=0,1,1-(L96/D96))))</f>
        <v>1</v>
      </c>
      <c r="R96" s="27">
        <f t="shared" si="35"/>
        <v>9.0909090909090905E-3</v>
      </c>
    </row>
    <row r="97" spans="1:18" s="19" customFormat="1" ht="25" hidden="1" customHeight="1" x14ac:dyDescent="0.2">
      <c r="A97" s="12">
        <v>46051</v>
      </c>
      <c r="B97" s="5" t="s">
        <v>20</v>
      </c>
      <c r="C97" s="20"/>
      <c r="D97" s="20">
        <v>1</v>
      </c>
      <c r="E97" s="5"/>
      <c r="F97" s="20"/>
      <c r="G97" s="21" t="s">
        <v>27</v>
      </c>
      <c r="H97" s="20">
        <v>540</v>
      </c>
      <c r="I97" s="21"/>
      <c r="J97" s="20"/>
      <c r="K97" s="21"/>
      <c r="L97" s="21"/>
      <c r="M97" s="5" t="s">
        <v>28</v>
      </c>
      <c r="N97" s="24">
        <f>C97 / VLOOKUP(B97,AYAR!C5:D7,2,0)</f>
        <v>0</v>
      </c>
      <c r="O97" s="24">
        <f t="shared" si="36"/>
        <v>1</v>
      </c>
      <c r="P97" s="25">
        <f t="shared" si="37"/>
        <v>0</v>
      </c>
      <c r="Q97" s="25">
        <f t="shared" si="34"/>
        <v>1</v>
      </c>
      <c r="R97" s="27">
        <f t="shared" si="35"/>
        <v>0</v>
      </c>
    </row>
    <row r="98" spans="1:18" s="19" customFormat="1" ht="25" customHeight="1" x14ac:dyDescent="0.2">
      <c r="A98" s="12">
        <v>46050</v>
      </c>
      <c r="B98" s="5" t="s">
        <v>22</v>
      </c>
      <c r="C98" s="20">
        <v>924</v>
      </c>
      <c r="D98" s="20">
        <v>0</v>
      </c>
      <c r="E98" s="5" t="s">
        <v>24</v>
      </c>
      <c r="F98" s="20">
        <v>30</v>
      </c>
      <c r="G98" s="21" t="s">
        <v>32</v>
      </c>
      <c r="H98" s="20">
        <v>90</v>
      </c>
      <c r="I98" s="21" t="s">
        <v>27</v>
      </c>
      <c r="J98" s="20"/>
      <c r="K98" s="21"/>
      <c r="L98" s="21"/>
      <c r="M98" s="5"/>
      <c r="N98" s="24">
        <f>C98 / VLOOKUP(B98,AYAR!C5:D7,2,0)</f>
        <v>0.56000000000000005</v>
      </c>
      <c r="O98" s="24">
        <f t="shared" si="36"/>
        <v>0.22222222222222221</v>
      </c>
      <c r="P98" s="25">
        <f t="shared" si="37"/>
        <v>0.77777777777777779</v>
      </c>
      <c r="Q98" s="25">
        <f>IF(AND(B98="TURANLAR",D98=0),1,IF(D98=0,0,IF(L98=0,1,1-(L98/D98))))</f>
        <v>1</v>
      </c>
      <c r="R98" s="27">
        <f t="shared" si="35"/>
        <v>0.43555555555555558</v>
      </c>
    </row>
    <row r="99" spans="1:18" s="19" customFormat="1" ht="25" customHeight="1" x14ac:dyDescent="0.2">
      <c r="A99" s="12">
        <v>46050</v>
      </c>
      <c r="B99" s="5" t="s">
        <v>19</v>
      </c>
      <c r="C99" s="20">
        <v>408</v>
      </c>
      <c r="D99" s="20">
        <v>249.75</v>
      </c>
      <c r="E99" s="5" t="s">
        <v>24</v>
      </c>
      <c r="F99" s="20">
        <v>30</v>
      </c>
      <c r="G99" s="21" t="s">
        <v>32</v>
      </c>
      <c r="H99" s="20">
        <v>390</v>
      </c>
      <c r="I99" s="21" t="s">
        <v>27</v>
      </c>
      <c r="J99" s="20"/>
      <c r="K99" s="21"/>
      <c r="L99" s="21"/>
      <c r="M99" s="5"/>
      <c r="N99" s="24">
        <f>C99 / VLOOKUP(B99,AYAR!C5:D7,2,0)</f>
        <v>0.20399999999999999</v>
      </c>
      <c r="O99" s="24">
        <f t="shared" ref="O99:O130" si="39">(F99 + H99 + J99) / 540</f>
        <v>0.77777777777777779</v>
      </c>
      <c r="P99" s="25">
        <f t="shared" ref="P99:P130" si="40">(540 - (F99 + H99 + J99)) / 540</f>
        <v>0.22222222222222221</v>
      </c>
      <c r="Q99" s="25">
        <f t="shared" si="34"/>
        <v>1</v>
      </c>
      <c r="R99" s="27">
        <f t="shared" si="35"/>
        <v>4.533333333333333E-2</v>
      </c>
    </row>
    <row r="100" spans="1:18" s="19" customFormat="1" ht="25" hidden="1" customHeight="1" x14ac:dyDescent="0.2">
      <c r="A100" s="12">
        <v>46050</v>
      </c>
      <c r="B100" s="5" t="s">
        <v>20</v>
      </c>
      <c r="C100" s="20"/>
      <c r="D100" s="20">
        <v>1</v>
      </c>
      <c r="E100" s="5"/>
      <c r="F100" s="20"/>
      <c r="G100" s="21"/>
      <c r="H100" s="20">
        <v>540</v>
      </c>
      <c r="I100" s="21" t="s">
        <v>27</v>
      </c>
      <c r="J100" s="20"/>
      <c r="K100" s="21"/>
      <c r="L100" s="21"/>
      <c r="M100" s="5" t="s">
        <v>28</v>
      </c>
      <c r="N100" s="24">
        <f>C100 / VLOOKUP(B100,AYAR!C5:D7,2,0)</f>
        <v>0</v>
      </c>
      <c r="O100" s="24">
        <f t="shared" si="39"/>
        <v>1</v>
      </c>
      <c r="P100" s="25">
        <f t="shared" si="40"/>
        <v>0</v>
      </c>
      <c r="Q100" s="25">
        <f t="shared" si="34"/>
        <v>1</v>
      </c>
      <c r="R100" s="27">
        <f t="shared" si="35"/>
        <v>0</v>
      </c>
    </row>
    <row r="101" spans="1:18" s="19" customFormat="1" ht="25" hidden="1" customHeight="1" x14ac:dyDescent="0.2">
      <c r="A101" s="12">
        <v>46049</v>
      </c>
      <c r="B101" s="5" t="s">
        <v>19</v>
      </c>
      <c r="C101" s="20">
        <v>1870</v>
      </c>
      <c r="D101" s="20">
        <v>887.75</v>
      </c>
      <c r="E101" s="5" t="s">
        <v>24</v>
      </c>
      <c r="F101" s="20">
        <v>30</v>
      </c>
      <c r="G101" s="21" t="s">
        <v>32</v>
      </c>
      <c r="H101" s="20"/>
      <c r="I101" s="21"/>
      <c r="J101" s="20"/>
      <c r="K101" s="21"/>
      <c r="L101" s="21"/>
      <c r="M101" s="5"/>
      <c r="N101" s="24">
        <f>C101 / VLOOKUP(B101,AYAR!C5:D7,2,0)</f>
        <v>0.93500000000000005</v>
      </c>
      <c r="O101" s="24">
        <f t="shared" si="39"/>
        <v>5.5555555555555552E-2</v>
      </c>
      <c r="P101" s="25">
        <f t="shared" si="40"/>
        <v>0.94444444444444442</v>
      </c>
      <c r="Q101" s="25">
        <f t="shared" si="34"/>
        <v>1</v>
      </c>
      <c r="R101" s="27">
        <f t="shared" si="35"/>
        <v>0.88305555555555559</v>
      </c>
    </row>
    <row r="102" spans="1:18" s="19" customFormat="1" ht="25" customHeight="1" x14ac:dyDescent="0.2">
      <c r="A102" s="12">
        <v>46049</v>
      </c>
      <c r="B102" s="5" t="s">
        <v>22</v>
      </c>
      <c r="C102" s="20">
        <v>1610</v>
      </c>
      <c r="D102" s="20">
        <v>0</v>
      </c>
      <c r="E102" s="5" t="s">
        <v>24</v>
      </c>
      <c r="F102" s="20">
        <v>30</v>
      </c>
      <c r="G102" s="21" t="s">
        <v>32</v>
      </c>
      <c r="H102" s="20"/>
      <c r="I102" s="21"/>
      <c r="J102" s="20"/>
      <c r="K102" s="21"/>
      <c r="L102" s="21"/>
      <c r="M102" s="5"/>
      <c r="N102" s="24">
        <f>C102 / VLOOKUP(B102,AYAR!C5:D7,2,0)</f>
        <v>0.97575757575757571</v>
      </c>
      <c r="O102" s="24">
        <f t="shared" si="39"/>
        <v>5.5555555555555552E-2</v>
      </c>
      <c r="P102" s="25">
        <f t="shared" si="40"/>
        <v>0.94444444444444442</v>
      </c>
      <c r="Q102" s="25">
        <f>IF(AND(B102="TURANLAR",D102=0),1,IF(D102=0,0,IF(L102=0,1,1-(L102/D102))))</f>
        <v>1</v>
      </c>
      <c r="R102" s="27">
        <f t="shared" si="35"/>
        <v>0.92154882154882145</v>
      </c>
    </row>
    <row r="103" spans="1:18" s="19" customFormat="1" ht="25" hidden="1" customHeight="1" x14ac:dyDescent="0.2">
      <c r="A103" s="12">
        <v>46049</v>
      </c>
      <c r="B103" s="5" t="s">
        <v>20</v>
      </c>
      <c r="C103" s="20"/>
      <c r="D103" s="20">
        <v>1</v>
      </c>
      <c r="E103" s="5"/>
      <c r="F103" s="20"/>
      <c r="G103" s="21" t="s">
        <v>27</v>
      </c>
      <c r="H103" s="20">
        <v>540</v>
      </c>
      <c r="I103" s="21" t="s">
        <v>27</v>
      </c>
      <c r="J103" s="20"/>
      <c r="K103" s="21"/>
      <c r="L103" s="21"/>
      <c r="M103" s="5" t="s">
        <v>41</v>
      </c>
      <c r="N103" s="24">
        <f>C103 / VLOOKUP(B103,AYAR!C5:D7,2,0)</f>
        <v>0</v>
      </c>
      <c r="O103" s="24">
        <f t="shared" si="39"/>
        <v>1</v>
      </c>
      <c r="P103" s="25">
        <f t="shared" si="40"/>
        <v>0</v>
      </c>
      <c r="Q103" s="25">
        <f t="shared" si="34"/>
        <v>1</v>
      </c>
      <c r="R103" s="27">
        <f t="shared" si="35"/>
        <v>0</v>
      </c>
    </row>
    <row r="104" spans="1:18" s="19" customFormat="1" ht="25" hidden="1" customHeight="1" x14ac:dyDescent="0.2">
      <c r="A104" s="12">
        <v>46048</v>
      </c>
      <c r="B104" s="5" t="s">
        <v>20</v>
      </c>
      <c r="C104" s="20"/>
      <c r="D104" s="20">
        <v>1</v>
      </c>
      <c r="E104" s="5"/>
      <c r="F104" s="20"/>
      <c r="G104" s="21"/>
      <c r="H104" s="20">
        <v>540</v>
      </c>
      <c r="I104" s="21" t="s">
        <v>27</v>
      </c>
      <c r="J104" s="20"/>
      <c r="K104" s="21"/>
      <c r="L104" s="21"/>
      <c r="M104" s="5" t="s">
        <v>28</v>
      </c>
      <c r="N104" s="24">
        <f>C104 / VLOOKUP(B104,AYAR!C5:D7,2,0)</f>
        <v>0</v>
      </c>
      <c r="O104" s="24">
        <f t="shared" si="39"/>
        <v>1</v>
      </c>
      <c r="P104" s="25">
        <f t="shared" si="40"/>
        <v>0</v>
      </c>
      <c r="Q104" s="25">
        <f t="shared" si="34"/>
        <v>1</v>
      </c>
      <c r="R104" s="27">
        <f t="shared" si="35"/>
        <v>0</v>
      </c>
    </row>
    <row r="105" spans="1:18" s="19" customFormat="1" ht="25" customHeight="1" x14ac:dyDescent="0.2">
      <c r="A105" s="12">
        <v>46048</v>
      </c>
      <c r="B105" s="5" t="s">
        <v>19</v>
      </c>
      <c r="C105" s="20">
        <v>1747</v>
      </c>
      <c r="D105" s="20">
        <v>739</v>
      </c>
      <c r="E105" s="5" t="s">
        <v>24</v>
      </c>
      <c r="F105" s="20">
        <v>30</v>
      </c>
      <c r="G105" s="21" t="s">
        <v>32</v>
      </c>
      <c r="H105" s="20"/>
      <c r="I105" s="21"/>
      <c r="J105" s="20"/>
      <c r="K105" s="21"/>
      <c r="L105" s="21"/>
      <c r="M105" s="5"/>
      <c r="N105" s="24">
        <f>C105 / VLOOKUP(B105,AYAR!C5:D7,2,0)</f>
        <v>0.87350000000000005</v>
      </c>
      <c r="O105" s="24">
        <f t="shared" si="39"/>
        <v>5.5555555555555552E-2</v>
      </c>
      <c r="P105" s="25">
        <f t="shared" si="40"/>
        <v>0.94444444444444442</v>
      </c>
      <c r="Q105" s="25">
        <f t="shared" si="34"/>
        <v>1</v>
      </c>
      <c r="R105" s="27">
        <f t="shared" si="35"/>
        <v>0.82497222222222222</v>
      </c>
    </row>
    <row r="106" spans="1:18" s="19" customFormat="1" ht="25" customHeight="1" x14ac:dyDescent="0.2">
      <c r="A106" s="12">
        <v>46048</v>
      </c>
      <c r="B106" s="5" t="s">
        <v>22</v>
      </c>
      <c r="C106" s="20">
        <v>350</v>
      </c>
      <c r="D106" s="20">
        <v>0</v>
      </c>
      <c r="E106" s="5" t="s">
        <v>24</v>
      </c>
      <c r="F106" s="20">
        <v>30</v>
      </c>
      <c r="G106" s="21" t="s">
        <v>32</v>
      </c>
      <c r="H106" s="20">
        <v>330</v>
      </c>
      <c r="I106" s="21" t="s">
        <v>27</v>
      </c>
      <c r="J106" s="20"/>
      <c r="K106" s="21"/>
      <c r="L106" s="21"/>
      <c r="M106" s="5"/>
      <c r="N106" s="24">
        <f>C106 / VLOOKUP(B106,AYAR!C5:D7,2,0)</f>
        <v>0.21212121212121213</v>
      </c>
      <c r="O106" s="24">
        <f t="shared" si="39"/>
        <v>0.66666666666666663</v>
      </c>
      <c r="P106" s="25">
        <f t="shared" si="40"/>
        <v>0.33333333333333331</v>
      </c>
      <c r="Q106" s="25">
        <f>IF(AND(B106="TURANLAR",D106=0),1,IF(D106=0,0,IF(L106=0,1,1-(L106/D106))))</f>
        <v>1</v>
      </c>
      <c r="R106" s="27">
        <f t="shared" si="35"/>
        <v>7.0707070707070704E-2</v>
      </c>
    </row>
    <row r="107" spans="1:18" s="19" customFormat="1" ht="25" customHeight="1" x14ac:dyDescent="0.2">
      <c r="A107" s="12">
        <v>46044</v>
      </c>
      <c r="B107" s="5" t="s">
        <v>20</v>
      </c>
      <c r="C107" s="20"/>
      <c r="D107" s="20">
        <v>1</v>
      </c>
      <c r="E107" s="5"/>
      <c r="F107" s="20"/>
      <c r="G107" s="21" t="s">
        <v>27</v>
      </c>
      <c r="H107" s="20">
        <v>540</v>
      </c>
      <c r="I107" s="21"/>
      <c r="J107" s="20"/>
      <c r="K107" s="21"/>
      <c r="L107" s="21"/>
      <c r="M107" s="5" t="s">
        <v>28</v>
      </c>
      <c r="N107" s="24">
        <f>C107 / VLOOKUP(B107,AYAR!C5:D7,2,0)</f>
        <v>0</v>
      </c>
      <c r="O107" s="24">
        <f t="shared" si="39"/>
        <v>1</v>
      </c>
      <c r="P107" s="25">
        <f t="shared" si="40"/>
        <v>0</v>
      </c>
      <c r="Q107" s="25">
        <f t="shared" si="34"/>
        <v>1</v>
      </c>
      <c r="R107" s="27">
        <f t="shared" si="35"/>
        <v>0</v>
      </c>
    </row>
    <row r="108" spans="1:18" s="19" customFormat="1" ht="25" hidden="1" customHeight="1" x14ac:dyDescent="0.2">
      <c r="A108" s="12">
        <v>46044</v>
      </c>
      <c r="B108" s="5" t="s">
        <v>19</v>
      </c>
      <c r="C108" s="20"/>
      <c r="D108" s="20">
        <v>1</v>
      </c>
      <c r="E108" s="5"/>
      <c r="F108" s="20"/>
      <c r="G108" s="21" t="s">
        <v>27</v>
      </c>
      <c r="H108" s="20">
        <v>540</v>
      </c>
      <c r="I108" s="21"/>
      <c r="J108" s="20"/>
      <c r="K108" s="21"/>
      <c r="L108" s="21"/>
      <c r="M108" s="5" t="s">
        <v>28</v>
      </c>
      <c r="N108" s="24">
        <f>C108 / VLOOKUP(B108,AYAR!C5:D7,2,0)</f>
        <v>0</v>
      </c>
      <c r="O108" s="24">
        <f t="shared" si="39"/>
        <v>1</v>
      </c>
      <c r="P108" s="25">
        <f t="shared" si="40"/>
        <v>0</v>
      </c>
      <c r="Q108" s="25">
        <f t="shared" si="34"/>
        <v>1</v>
      </c>
      <c r="R108" s="27">
        <f t="shared" si="35"/>
        <v>0</v>
      </c>
    </row>
    <row r="109" spans="1:18" s="19" customFormat="1" ht="25" hidden="1" customHeight="1" x14ac:dyDescent="0.2">
      <c r="A109" s="12">
        <v>46044</v>
      </c>
      <c r="B109" s="5" t="s">
        <v>22</v>
      </c>
      <c r="C109" s="20">
        <v>987</v>
      </c>
      <c r="D109" s="20">
        <v>0</v>
      </c>
      <c r="E109" s="5" t="s">
        <v>24</v>
      </c>
      <c r="F109" s="20">
        <v>30</v>
      </c>
      <c r="G109" s="21" t="s">
        <v>32</v>
      </c>
      <c r="H109" s="20">
        <v>60</v>
      </c>
      <c r="I109" s="21" t="s">
        <v>27</v>
      </c>
      <c r="J109" s="20"/>
      <c r="K109" s="21"/>
      <c r="L109" s="21"/>
      <c r="M109" s="5" t="s">
        <v>40</v>
      </c>
      <c r="N109" s="24">
        <f>C109 / VLOOKUP(B109,AYAR!C5:D7,2,0)</f>
        <v>0.59818181818181815</v>
      </c>
      <c r="O109" s="24">
        <f t="shared" si="39"/>
        <v>0.16666666666666666</v>
      </c>
      <c r="P109" s="25">
        <f t="shared" si="40"/>
        <v>0.83333333333333337</v>
      </c>
      <c r="Q109" s="25">
        <f>IF(AND(B109="TURANLAR",D109=0),1,IF(D109=0,0,IF(L109=0,1,1-(L109/D109))))</f>
        <v>1</v>
      </c>
      <c r="R109" s="27">
        <f t="shared" si="35"/>
        <v>0.49848484848484848</v>
      </c>
    </row>
    <row r="110" spans="1:18" s="19" customFormat="1" ht="25" hidden="1" customHeight="1" x14ac:dyDescent="0.2">
      <c r="A110" s="12">
        <v>46043</v>
      </c>
      <c r="B110" s="5" t="s">
        <v>19</v>
      </c>
      <c r="C110" s="20">
        <v>360</v>
      </c>
      <c r="D110" s="20">
        <v>160.75</v>
      </c>
      <c r="E110" s="5" t="s">
        <v>24</v>
      </c>
      <c r="F110" s="20">
        <v>30</v>
      </c>
      <c r="G110" s="21" t="s">
        <v>32</v>
      </c>
      <c r="H110" s="20">
        <v>430</v>
      </c>
      <c r="I110" s="21" t="s">
        <v>27</v>
      </c>
      <c r="J110" s="20"/>
      <c r="K110" s="21"/>
      <c r="L110" s="21"/>
      <c r="M110" s="5"/>
      <c r="N110" s="24">
        <f>C110 / VLOOKUP(B110,AYAR!C5:D7,2,0)</f>
        <v>0.18</v>
      </c>
      <c r="O110" s="24">
        <f t="shared" si="39"/>
        <v>0.85185185185185186</v>
      </c>
      <c r="P110" s="25">
        <f t="shared" si="40"/>
        <v>0.14814814814814814</v>
      </c>
      <c r="Q110" s="25">
        <f t="shared" si="34"/>
        <v>1</v>
      </c>
      <c r="R110" s="27">
        <f t="shared" si="35"/>
        <v>2.6666666666666665E-2</v>
      </c>
    </row>
    <row r="111" spans="1:18" s="19" customFormat="1" ht="25" hidden="1" customHeight="1" x14ac:dyDescent="0.2">
      <c r="A111" s="12">
        <v>46043</v>
      </c>
      <c r="B111" s="5" t="s">
        <v>20</v>
      </c>
      <c r="C111" s="20"/>
      <c r="D111" s="20">
        <v>1</v>
      </c>
      <c r="E111" s="5"/>
      <c r="F111" s="20"/>
      <c r="G111" s="21" t="s">
        <v>27</v>
      </c>
      <c r="H111" s="20">
        <v>540</v>
      </c>
      <c r="I111" s="21"/>
      <c r="J111" s="20"/>
      <c r="K111" s="21"/>
      <c r="L111" s="21"/>
      <c r="M111" s="5" t="s">
        <v>28</v>
      </c>
      <c r="N111" s="24">
        <f>C111 / VLOOKUP(B111,AYAR!C5:D7,2,0)</f>
        <v>0</v>
      </c>
      <c r="O111" s="24">
        <f t="shared" si="39"/>
        <v>1</v>
      </c>
      <c r="P111" s="25">
        <f t="shared" si="40"/>
        <v>0</v>
      </c>
      <c r="Q111" s="25">
        <f t="shared" si="34"/>
        <v>1</v>
      </c>
      <c r="R111" s="27">
        <f t="shared" si="35"/>
        <v>0</v>
      </c>
    </row>
    <row r="112" spans="1:18" s="19" customFormat="1" ht="25" hidden="1" customHeight="1" x14ac:dyDescent="0.2">
      <c r="A112" s="12">
        <v>46043</v>
      </c>
      <c r="B112" s="5" t="s">
        <v>22</v>
      </c>
      <c r="C112" s="20">
        <v>680</v>
      </c>
      <c r="D112" s="20">
        <v>0</v>
      </c>
      <c r="E112" s="5" t="s">
        <v>24</v>
      </c>
      <c r="F112" s="20">
        <v>30</v>
      </c>
      <c r="G112" s="21" t="s">
        <v>32</v>
      </c>
      <c r="H112" s="20">
        <v>270</v>
      </c>
      <c r="I112" s="21" t="s">
        <v>27</v>
      </c>
      <c r="J112" s="20"/>
      <c r="K112" s="21"/>
      <c r="L112" s="21"/>
      <c r="M112" s="5"/>
      <c r="N112" s="24">
        <f>C112 / VLOOKUP(B112,AYAR!C5:D7,2,0)</f>
        <v>0.41212121212121211</v>
      </c>
      <c r="O112" s="24">
        <f t="shared" si="39"/>
        <v>0.55555555555555558</v>
      </c>
      <c r="P112" s="25">
        <f t="shared" si="40"/>
        <v>0.44444444444444442</v>
      </c>
      <c r="Q112" s="25">
        <f t="shared" ref="Q112:Q113" si="41">IF(AND(B112="TURANLAR",D112=0),1,IF(D112=0,0,IF(L112=0,1,1-(L112/D112))))</f>
        <v>1</v>
      </c>
      <c r="R112" s="27">
        <f t="shared" si="35"/>
        <v>0.18316498316498314</v>
      </c>
    </row>
    <row r="113" spans="1:18" s="19" customFormat="1" ht="25" hidden="1" customHeight="1" x14ac:dyDescent="0.2">
      <c r="A113" s="12">
        <v>46042</v>
      </c>
      <c r="B113" s="5" t="s">
        <v>22</v>
      </c>
      <c r="C113" s="20">
        <v>665</v>
      </c>
      <c r="D113" s="20">
        <v>0</v>
      </c>
      <c r="E113" s="5" t="s">
        <v>24</v>
      </c>
      <c r="F113" s="20">
        <v>30</v>
      </c>
      <c r="G113" s="21" t="s">
        <v>32</v>
      </c>
      <c r="H113" s="20">
        <v>120</v>
      </c>
      <c r="I113" s="21" t="s">
        <v>27</v>
      </c>
      <c r="J113" s="20"/>
      <c r="K113" s="21"/>
      <c r="L113" s="21"/>
      <c r="M113" s="5" t="s">
        <v>39</v>
      </c>
      <c r="N113" s="24">
        <f>C113 / VLOOKUP(B113,AYAR!C5:D7,2,0)</f>
        <v>0.40303030303030302</v>
      </c>
      <c r="O113" s="24">
        <f t="shared" si="39"/>
        <v>0.27777777777777779</v>
      </c>
      <c r="P113" s="25">
        <f t="shared" si="40"/>
        <v>0.72222222222222221</v>
      </c>
      <c r="Q113" s="25">
        <f t="shared" si="41"/>
        <v>1</v>
      </c>
      <c r="R113" s="27">
        <f t="shared" si="35"/>
        <v>0.29107744107744105</v>
      </c>
    </row>
    <row r="114" spans="1:18" s="19" customFormat="1" ht="25" hidden="1" customHeight="1" x14ac:dyDescent="0.2">
      <c r="A114" s="12">
        <v>46042</v>
      </c>
      <c r="B114" s="5" t="s">
        <v>20</v>
      </c>
      <c r="C114" s="20"/>
      <c r="D114" s="20">
        <v>1</v>
      </c>
      <c r="E114" s="5"/>
      <c r="F114" s="20"/>
      <c r="G114" s="21" t="s">
        <v>27</v>
      </c>
      <c r="H114" s="20">
        <v>540</v>
      </c>
      <c r="I114" s="21"/>
      <c r="J114" s="20"/>
      <c r="K114" s="21"/>
      <c r="L114" s="21"/>
      <c r="M114" s="5" t="s">
        <v>28</v>
      </c>
      <c r="N114" s="24">
        <f>C114 / VLOOKUP(B114,AYAR!C5:D7,2,0)</f>
        <v>0</v>
      </c>
      <c r="O114" s="24">
        <f t="shared" si="39"/>
        <v>1</v>
      </c>
      <c r="P114" s="25">
        <f t="shared" si="40"/>
        <v>0</v>
      </c>
      <c r="Q114" s="25">
        <f t="shared" si="34"/>
        <v>1</v>
      </c>
      <c r="R114" s="27">
        <f t="shared" si="35"/>
        <v>0</v>
      </c>
    </row>
    <row r="115" spans="1:18" s="19" customFormat="1" ht="25" hidden="1" customHeight="1" x14ac:dyDescent="0.2">
      <c r="A115" s="12">
        <v>46042</v>
      </c>
      <c r="B115" s="5" t="s">
        <v>19</v>
      </c>
      <c r="C115" s="20"/>
      <c r="D115" s="20">
        <v>1</v>
      </c>
      <c r="E115" s="5"/>
      <c r="F115" s="20"/>
      <c r="G115" s="21" t="s">
        <v>27</v>
      </c>
      <c r="H115" s="20">
        <v>540</v>
      </c>
      <c r="I115" s="21"/>
      <c r="J115" s="20"/>
      <c r="K115" s="21"/>
      <c r="L115" s="21"/>
      <c r="M115" s="5" t="s">
        <v>28</v>
      </c>
      <c r="N115" s="24">
        <f>C115 / VLOOKUP(B115,AYAR!C5:D7,2,0)</f>
        <v>0</v>
      </c>
      <c r="O115" s="24">
        <f t="shared" si="39"/>
        <v>1</v>
      </c>
      <c r="P115" s="25">
        <f t="shared" si="40"/>
        <v>0</v>
      </c>
      <c r="Q115" s="25">
        <f t="shared" si="34"/>
        <v>1</v>
      </c>
      <c r="R115" s="27">
        <f t="shared" si="35"/>
        <v>0</v>
      </c>
    </row>
    <row r="116" spans="1:18" s="19" customFormat="1" ht="25" hidden="1" customHeight="1" x14ac:dyDescent="0.2">
      <c r="A116" s="12">
        <v>46041</v>
      </c>
      <c r="B116" s="5" t="s">
        <v>20</v>
      </c>
      <c r="C116" s="20"/>
      <c r="D116" s="20">
        <v>1</v>
      </c>
      <c r="E116" s="5"/>
      <c r="F116" s="20"/>
      <c r="G116" s="21" t="s">
        <v>27</v>
      </c>
      <c r="H116" s="20">
        <v>540</v>
      </c>
      <c r="I116" s="21"/>
      <c r="J116" s="20"/>
      <c r="K116" s="21"/>
      <c r="L116" s="21"/>
      <c r="M116" s="5"/>
      <c r="N116" s="24">
        <f>C116 / VLOOKUP(B116,AYAR!C5:D7,2,0)</f>
        <v>0</v>
      </c>
      <c r="O116" s="24">
        <f t="shared" si="39"/>
        <v>1</v>
      </c>
      <c r="P116" s="25">
        <f t="shared" si="40"/>
        <v>0</v>
      </c>
      <c r="Q116" s="25">
        <f t="shared" si="34"/>
        <v>1</v>
      </c>
      <c r="R116" s="27">
        <f t="shared" si="35"/>
        <v>0</v>
      </c>
    </row>
    <row r="117" spans="1:18" s="19" customFormat="1" ht="25" customHeight="1" x14ac:dyDescent="0.2">
      <c r="A117" s="12">
        <v>46041</v>
      </c>
      <c r="B117" s="5" t="s">
        <v>19</v>
      </c>
      <c r="C117" s="20">
        <v>562</v>
      </c>
      <c r="D117" s="20">
        <v>227.5</v>
      </c>
      <c r="E117" s="5" t="s">
        <v>24</v>
      </c>
      <c r="F117" s="20">
        <v>30</v>
      </c>
      <c r="G117" s="21" t="s">
        <v>32</v>
      </c>
      <c r="H117" s="20">
        <v>240</v>
      </c>
      <c r="I117" s="21" t="s">
        <v>27</v>
      </c>
      <c r="J117" s="20"/>
      <c r="K117" s="21"/>
      <c r="L117" s="21"/>
      <c r="M117" s="5"/>
      <c r="N117" s="24">
        <f>C117 / VLOOKUP(B117,AYAR!C5:D7,2,0)</f>
        <v>0.28100000000000003</v>
      </c>
      <c r="O117" s="24">
        <f t="shared" si="39"/>
        <v>0.5</v>
      </c>
      <c r="P117" s="25">
        <f t="shared" si="40"/>
        <v>0.5</v>
      </c>
      <c r="Q117" s="25">
        <f t="shared" si="34"/>
        <v>1</v>
      </c>
      <c r="R117" s="27">
        <f t="shared" si="35"/>
        <v>0.14050000000000001</v>
      </c>
    </row>
    <row r="118" spans="1:18" s="19" customFormat="1" ht="25" hidden="1" customHeight="1" x14ac:dyDescent="0.2">
      <c r="A118" s="12">
        <v>46041</v>
      </c>
      <c r="B118" s="5" t="s">
        <v>22</v>
      </c>
      <c r="C118" s="20">
        <v>504</v>
      </c>
      <c r="D118" s="20">
        <v>0</v>
      </c>
      <c r="E118" s="5" t="s">
        <v>24</v>
      </c>
      <c r="F118" s="20">
        <v>30</v>
      </c>
      <c r="G118" s="21" t="s">
        <v>32</v>
      </c>
      <c r="H118" s="20">
        <v>400</v>
      </c>
      <c r="I118" s="21" t="s">
        <v>27</v>
      </c>
      <c r="J118" s="20"/>
      <c r="K118" s="21"/>
      <c r="L118" s="21"/>
      <c r="M118" s="5" t="s">
        <v>38</v>
      </c>
      <c r="N118" s="24">
        <f>C118 / VLOOKUP(B118,AYAR!C5:D7,2,0)</f>
        <v>0.30545454545454548</v>
      </c>
      <c r="O118" s="24">
        <f t="shared" si="39"/>
        <v>0.79629629629629628</v>
      </c>
      <c r="P118" s="25">
        <f t="shared" si="40"/>
        <v>0.20370370370370369</v>
      </c>
      <c r="Q118" s="25">
        <f t="shared" ref="Q118:Q119" si="42">IF(AND(B118="TURANLAR",D118=0),1,IF(D118=0,0,IF(L118=0,1,1-(L118/D118))))</f>
        <v>1</v>
      </c>
      <c r="R118" s="27">
        <f t="shared" si="35"/>
        <v>6.222222222222222E-2</v>
      </c>
    </row>
    <row r="119" spans="1:18" s="19" customFormat="1" ht="25" hidden="1" customHeight="1" x14ac:dyDescent="0.2">
      <c r="A119" s="12">
        <v>46038</v>
      </c>
      <c r="B119" s="5" t="s">
        <v>22</v>
      </c>
      <c r="C119" s="20">
        <v>200</v>
      </c>
      <c r="D119" s="20">
        <v>0</v>
      </c>
      <c r="E119" s="5" t="s">
        <v>24</v>
      </c>
      <c r="F119" s="20">
        <v>70</v>
      </c>
      <c r="G119" s="21" t="s">
        <v>32</v>
      </c>
      <c r="H119" s="20">
        <v>410</v>
      </c>
      <c r="I119" s="21" t="s">
        <v>27</v>
      </c>
      <c r="J119" s="20"/>
      <c r="K119" s="21"/>
      <c r="L119" s="21"/>
      <c r="M119" s="5" t="s">
        <v>37</v>
      </c>
      <c r="N119" s="24">
        <f>C119 / VLOOKUP(B119,AYAR!C5:D7,2,0)</f>
        <v>0.12121212121212122</v>
      </c>
      <c r="O119" s="24">
        <f t="shared" si="39"/>
        <v>0.88888888888888884</v>
      </c>
      <c r="P119" s="25">
        <f t="shared" si="40"/>
        <v>0.1111111111111111</v>
      </c>
      <c r="Q119" s="25">
        <f t="shared" si="42"/>
        <v>1</v>
      </c>
      <c r="R119" s="27">
        <f t="shared" si="35"/>
        <v>1.3468013468013467E-2</v>
      </c>
    </row>
    <row r="120" spans="1:18" s="19" customFormat="1" ht="25" hidden="1" customHeight="1" x14ac:dyDescent="0.2">
      <c r="A120" s="12">
        <v>46038</v>
      </c>
      <c r="B120" s="5" t="s">
        <v>19</v>
      </c>
      <c r="C120" s="20">
        <v>1256</v>
      </c>
      <c r="D120" s="20">
        <v>496.75</v>
      </c>
      <c r="E120" s="5" t="s">
        <v>24</v>
      </c>
      <c r="F120" s="20">
        <v>70</v>
      </c>
      <c r="G120" s="21" t="s">
        <v>32</v>
      </c>
      <c r="H120" s="20">
        <v>60</v>
      </c>
      <c r="I120" s="21" t="s">
        <v>27</v>
      </c>
      <c r="J120" s="20"/>
      <c r="K120" s="21"/>
      <c r="L120" s="21"/>
      <c r="M120" s="5"/>
      <c r="N120" s="24">
        <f>C120 / VLOOKUP(B120,AYAR!C5:D7,2,0)</f>
        <v>0.628</v>
      </c>
      <c r="O120" s="24">
        <f t="shared" si="39"/>
        <v>0.24074074074074073</v>
      </c>
      <c r="P120" s="25">
        <f t="shared" si="40"/>
        <v>0.7592592592592593</v>
      </c>
      <c r="Q120" s="25">
        <f t="shared" si="34"/>
        <v>1</v>
      </c>
      <c r="R120" s="27">
        <f t="shared" si="35"/>
        <v>0.47681481481481486</v>
      </c>
    </row>
    <row r="121" spans="1:18" s="19" customFormat="1" ht="25" hidden="1" customHeight="1" x14ac:dyDescent="0.2">
      <c r="A121" s="12">
        <v>46038</v>
      </c>
      <c r="B121" s="5" t="s">
        <v>20</v>
      </c>
      <c r="C121" s="20"/>
      <c r="D121" s="20">
        <v>1</v>
      </c>
      <c r="E121" s="5"/>
      <c r="F121" s="20"/>
      <c r="G121" s="21"/>
      <c r="H121" s="20">
        <v>540</v>
      </c>
      <c r="I121" s="21" t="s">
        <v>27</v>
      </c>
      <c r="J121" s="20"/>
      <c r="K121" s="21"/>
      <c r="L121" s="21"/>
      <c r="M121" s="5" t="s">
        <v>28</v>
      </c>
      <c r="N121" s="24">
        <f>C121 / VLOOKUP(B121,AYAR!C5:D7,2,0)</f>
        <v>0</v>
      </c>
      <c r="O121" s="24">
        <f t="shared" si="39"/>
        <v>1</v>
      </c>
      <c r="P121" s="25">
        <f t="shared" si="40"/>
        <v>0</v>
      </c>
      <c r="Q121" s="25">
        <f t="shared" si="34"/>
        <v>1</v>
      </c>
      <c r="R121" s="27">
        <f t="shared" si="35"/>
        <v>0</v>
      </c>
    </row>
    <row r="122" spans="1:18" s="19" customFormat="1" ht="25" hidden="1" customHeight="1" x14ac:dyDescent="0.2">
      <c r="A122" s="12">
        <v>46037</v>
      </c>
      <c r="B122" s="5" t="s">
        <v>22</v>
      </c>
      <c r="C122" s="20">
        <v>465</v>
      </c>
      <c r="D122" s="20">
        <v>0</v>
      </c>
      <c r="E122" s="5" t="s">
        <v>24</v>
      </c>
      <c r="F122" s="20">
        <v>30</v>
      </c>
      <c r="G122" s="21" t="s">
        <v>32</v>
      </c>
      <c r="H122" s="20">
        <v>330</v>
      </c>
      <c r="I122" s="21" t="s">
        <v>27</v>
      </c>
      <c r="J122" s="20"/>
      <c r="K122" s="21"/>
      <c r="L122" s="21"/>
      <c r="M122" s="5" t="s">
        <v>37</v>
      </c>
      <c r="N122" s="24">
        <f>C122 / VLOOKUP(B122,AYAR!C5:D7,2,0)</f>
        <v>0.2818181818181818</v>
      </c>
      <c r="O122" s="24">
        <f t="shared" si="39"/>
        <v>0.66666666666666663</v>
      </c>
      <c r="P122" s="25">
        <f t="shared" si="40"/>
        <v>0.33333333333333331</v>
      </c>
      <c r="Q122" s="25">
        <f>IF(AND(B122="TURANLAR",D122=0),1,IF(D122=0,0,IF(L122=0,1,1-(L122/D122))))</f>
        <v>1</v>
      </c>
      <c r="R122" s="27">
        <f t="shared" si="35"/>
        <v>9.3939393939393934E-2</v>
      </c>
    </row>
    <row r="123" spans="1:18" s="19" customFormat="1" ht="25" hidden="1" customHeight="1" x14ac:dyDescent="0.2">
      <c r="A123" s="12">
        <v>46037</v>
      </c>
      <c r="B123" s="5" t="s">
        <v>20</v>
      </c>
      <c r="C123" s="20"/>
      <c r="D123" s="20">
        <v>1</v>
      </c>
      <c r="E123" s="5"/>
      <c r="F123" s="20"/>
      <c r="G123" s="21"/>
      <c r="H123" s="20">
        <v>540</v>
      </c>
      <c r="I123" s="21" t="s">
        <v>27</v>
      </c>
      <c r="J123" s="20"/>
      <c r="K123" s="21"/>
      <c r="L123" s="21"/>
      <c r="M123" s="5" t="s">
        <v>28</v>
      </c>
      <c r="N123" s="24">
        <f>C123 / VLOOKUP(B123,AYAR!C5:D7,2,0)</f>
        <v>0</v>
      </c>
      <c r="O123" s="24">
        <f t="shared" si="39"/>
        <v>1</v>
      </c>
      <c r="P123" s="25">
        <f t="shared" si="40"/>
        <v>0</v>
      </c>
      <c r="Q123" s="25">
        <f t="shared" si="34"/>
        <v>1</v>
      </c>
      <c r="R123" s="27">
        <f t="shared" si="35"/>
        <v>0</v>
      </c>
    </row>
    <row r="124" spans="1:18" s="19" customFormat="1" ht="25" hidden="1" customHeight="1" x14ac:dyDescent="0.2">
      <c r="A124" s="12">
        <v>46037</v>
      </c>
      <c r="B124" s="5" t="s">
        <v>19</v>
      </c>
      <c r="C124" s="20">
        <v>572</v>
      </c>
      <c r="D124" s="20">
        <v>218</v>
      </c>
      <c r="E124" s="5" t="s">
        <v>24</v>
      </c>
      <c r="F124" s="20">
        <v>30</v>
      </c>
      <c r="G124" s="21" t="s">
        <v>32</v>
      </c>
      <c r="H124" s="20">
        <v>240</v>
      </c>
      <c r="I124" s="21" t="s">
        <v>27</v>
      </c>
      <c r="J124" s="20"/>
      <c r="K124" s="21"/>
      <c r="L124" s="21"/>
      <c r="M124" s="5"/>
      <c r="N124" s="24">
        <f>C124 / VLOOKUP(B124,AYAR!C5:D7,2,0)</f>
        <v>0.28599999999999998</v>
      </c>
      <c r="O124" s="24">
        <f t="shared" si="39"/>
        <v>0.5</v>
      </c>
      <c r="P124" s="25">
        <f t="shared" si="40"/>
        <v>0.5</v>
      </c>
      <c r="Q124" s="25">
        <f t="shared" si="34"/>
        <v>1</v>
      </c>
      <c r="R124" s="27">
        <f t="shared" si="35"/>
        <v>0.14299999999999999</v>
      </c>
    </row>
    <row r="125" spans="1:18" s="19" customFormat="1" ht="25" hidden="1" customHeight="1" x14ac:dyDescent="0.2">
      <c r="A125" s="12">
        <v>46036</v>
      </c>
      <c r="B125" s="5" t="s">
        <v>19</v>
      </c>
      <c r="C125" s="20">
        <v>661</v>
      </c>
      <c r="D125" s="20">
        <v>298</v>
      </c>
      <c r="E125" s="5" t="s">
        <v>24</v>
      </c>
      <c r="F125" s="20">
        <v>30</v>
      </c>
      <c r="G125" s="21" t="s">
        <v>32</v>
      </c>
      <c r="H125" s="20">
        <v>270</v>
      </c>
      <c r="I125" s="21" t="s">
        <v>27</v>
      </c>
      <c r="J125" s="20"/>
      <c r="K125" s="21"/>
      <c r="L125" s="21"/>
      <c r="M125" s="5"/>
      <c r="N125" s="24">
        <f>C125 / VLOOKUP(B125,AYAR!C5:D7,2,0)</f>
        <v>0.33050000000000002</v>
      </c>
      <c r="O125" s="24">
        <f t="shared" si="39"/>
        <v>0.55555555555555558</v>
      </c>
      <c r="P125" s="25">
        <f t="shared" si="40"/>
        <v>0.44444444444444442</v>
      </c>
      <c r="Q125" s="25">
        <f t="shared" si="34"/>
        <v>1</v>
      </c>
      <c r="R125" s="27">
        <f t="shared" si="35"/>
        <v>0.14688888888888887</v>
      </c>
    </row>
    <row r="126" spans="1:18" s="19" customFormat="1" ht="25" hidden="1" customHeight="1" x14ac:dyDescent="0.2">
      <c r="A126" s="12">
        <v>46036</v>
      </c>
      <c r="B126" s="5" t="s">
        <v>20</v>
      </c>
      <c r="C126" s="20">
        <v>1482</v>
      </c>
      <c r="D126" s="20">
        <v>706.5</v>
      </c>
      <c r="E126" s="5" t="s">
        <v>24</v>
      </c>
      <c r="F126" s="20">
        <v>30</v>
      </c>
      <c r="G126" s="21" t="s">
        <v>32</v>
      </c>
      <c r="H126" s="20">
        <v>90</v>
      </c>
      <c r="I126" s="21" t="s">
        <v>35</v>
      </c>
      <c r="J126" s="20">
        <v>75</v>
      </c>
      <c r="K126" s="21" t="s">
        <v>27</v>
      </c>
      <c r="L126" s="21"/>
      <c r="M126" s="5" t="s">
        <v>36</v>
      </c>
      <c r="N126" s="24">
        <f>C126 / VLOOKUP(B126,AYAR!C5:D7,2,0)</f>
        <v>0.3705</v>
      </c>
      <c r="O126" s="24">
        <f t="shared" si="39"/>
        <v>0.3611111111111111</v>
      </c>
      <c r="P126" s="25">
        <f t="shared" si="40"/>
        <v>0.63888888888888884</v>
      </c>
      <c r="Q126" s="25">
        <f t="shared" si="34"/>
        <v>1</v>
      </c>
      <c r="R126" s="27">
        <f t="shared" si="35"/>
        <v>0.23670833333333333</v>
      </c>
    </row>
    <row r="127" spans="1:18" s="19" customFormat="1" ht="25" hidden="1" customHeight="1" x14ac:dyDescent="0.2">
      <c r="A127" s="12">
        <v>46036</v>
      </c>
      <c r="B127" s="5" t="s">
        <v>22</v>
      </c>
      <c r="C127" s="20"/>
      <c r="D127" s="20">
        <v>0</v>
      </c>
      <c r="E127" s="5"/>
      <c r="F127" s="20"/>
      <c r="G127" s="21"/>
      <c r="H127" s="20">
        <v>540</v>
      </c>
      <c r="I127" s="21" t="s">
        <v>27</v>
      </c>
      <c r="J127" s="20"/>
      <c r="K127" s="21"/>
      <c r="L127" s="21"/>
      <c r="M127" s="5" t="s">
        <v>28</v>
      </c>
      <c r="N127" s="24">
        <f>C127 / VLOOKUP(B127,AYAR!C5:D7,2,0)</f>
        <v>0</v>
      </c>
      <c r="O127" s="24">
        <f t="shared" si="39"/>
        <v>1</v>
      </c>
      <c r="P127" s="25">
        <f t="shared" si="40"/>
        <v>0</v>
      </c>
      <c r="Q127" s="25">
        <f t="shared" si="34"/>
        <v>0</v>
      </c>
      <c r="R127" s="27">
        <f t="shared" si="35"/>
        <v>0</v>
      </c>
    </row>
    <row r="128" spans="1:18" s="19" customFormat="1" ht="25" hidden="1" customHeight="1" x14ac:dyDescent="0.2">
      <c r="A128" s="12">
        <v>46035</v>
      </c>
      <c r="B128" s="5" t="s">
        <v>20</v>
      </c>
      <c r="C128" s="20">
        <v>982</v>
      </c>
      <c r="D128" s="20">
        <v>469</v>
      </c>
      <c r="E128" s="5" t="s">
        <v>24</v>
      </c>
      <c r="F128" s="20">
        <v>30</v>
      </c>
      <c r="G128" s="21" t="s">
        <v>32</v>
      </c>
      <c r="H128" s="20">
        <v>270</v>
      </c>
      <c r="I128" s="21" t="s">
        <v>27</v>
      </c>
      <c r="J128" s="20"/>
      <c r="K128" s="21"/>
      <c r="L128" s="21"/>
      <c r="M128" s="5"/>
      <c r="N128" s="24">
        <f>C128 / VLOOKUP(B128,AYAR!C5:D7,2,0)</f>
        <v>0.2455</v>
      </c>
      <c r="O128" s="24">
        <f t="shared" si="39"/>
        <v>0.55555555555555558</v>
      </c>
      <c r="P128" s="25">
        <f t="shared" si="40"/>
        <v>0.44444444444444442</v>
      </c>
      <c r="Q128" s="25">
        <f t="shared" si="34"/>
        <v>1</v>
      </c>
      <c r="R128" s="27">
        <f t="shared" si="35"/>
        <v>0.1091111111111111</v>
      </c>
    </row>
    <row r="129" spans="1:18" s="19" customFormat="1" ht="25" hidden="1" customHeight="1" x14ac:dyDescent="0.2">
      <c r="A129" s="12">
        <v>46035</v>
      </c>
      <c r="B129" s="5" t="s">
        <v>19</v>
      </c>
      <c r="C129" s="20">
        <v>796</v>
      </c>
      <c r="D129" s="20">
        <v>343</v>
      </c>
      <c r="E129" s="5" t="s">
        <v>24</v>
      </c>
      <c r="F129" s="20">
        <v>30</v>
      </c>
      <c r="G129" s="21" t="s">
        <v>32</v>
      </c>
      <c r="H129" s="20">
        <v>120</v>
      </c>
      <c r="I129" s="21" t="s">
        <v>27</v>
      </c>
      <c r="J129" s="20"/>
      <c r="K129" s="21"/>
      <c r="L129" s="21"/>
      <c r="M129" s="5"/>
      <c r="N129" s="24">
        <f>C129 / VLOOKUP(B129,AYAR!C5:D7,2,0)</f>
        <v>0.39800000000000002</v>
      </c>
      <c r="O129" s="24">
        <f t="shared" si="39"/>
        <v>0.27777777777777779</v>
      </c>
      <c r="P129" s="25">
        <f t="shared" si="40"/>
        <v>0.72222222222222221</v>
      </c>
      <c r="Q129" s="25">
        <f t="shared" ref="Q129:Q148" si="43">IF(D129=0,0,IF(L129=0,1,1-(L129/D129)))</f>
        <v>1</v>
      </c>
      <c r="R129" s="27">
        <f t="shared" si="35"/>
        <v>0.28744444444444445</v>
      </c>
    </row>
    <row r="130" spans="1:18" s="19" customFormat="1" ht="25" hidden="1" customHeight="1" x14ac:dyDescent="0.2">
      <c r="A130" s="12">
        <v>46035</v>
      </c>
      <c r="B130" s="5" t="s">
        <v>22</v>
      </c>
      <c r="C130" s="20">
        <v>180</v>
      </c>
      <c r="D130" s="20">
        <v>0</v>
      </c>
      <c r="E130" s="5" t="s">
        <v>24</v>
      </c>
      <c r="F130" s="20">
        <v>30</v>
      </c>
      <c r="G130" s="21" t="s">
        <v>32</v>
      </c>
      <c r="H130" s="20">
        <v>400</v>
      </c>
      <c r="I130" s="21" t="s">
        <v>27</v>
      </c>
      <c r="J130" s="20"/>
      <c r="K130" s="21"/>
      <c r="L130" s="21"/>
      <c r="M130" s="5"/>
      <c r="N130" s="24">
        <f>C130 / VLOOKUP(B130,AYAR!C5:D7,2,0)</f>
        <v>0.10909090909090909</v>
      </c>
      <c r="O130" s="24">
        <f t="shared" si="39"/>
        <v>0.79629629629629628</v>
      </c>
      <c r="P130" s="25">
        <f t="shared" si="40"/>
        <v>0.20370370370370369</v>
      </c>
      <c r="Q130" s="25">
        <f>IF(AND(B130="TURANLAR",D130=0),1,IF(D130=0,0,IF(L130=0,1,1-(L130/D130))))</f>
        <v>1</v>
      </c>
      <c r="R130" s="27">
        <f t="shared" ref="R130:R148" si="44">N130*P130*Q130</f>
        <v>2.222222222222222E-2</v>
      </c>
    </row>
    <row r="131" spans="1:18" ht="24.75" customHeight="1" x14ac:dyDescent="0.2">
      <c r="A131" s="12">
        <v>46034</v>
      </c>
      <c r="B131" s="5" t="s">
        <v>20</v>
      </c>
      <c r="C131" s="20">
        <v>320</v>
      </c>
      <c r="D131" s="20">
        <v>255</v>
      </c>
      <c r="E131" s="5" t="s">
        <v>24</v>
      </c>
      <c r="F131" s="20">
        <v>30</v>
      </c>
      <c r="G131" s="21" t="s">
        <v>32</v>
      </c>
      <c r="H131" s="20">
        <v>450</v>
      </c>
      <c r="I131" s="21" t="s">
        <v>27</v>
      </c>
      <c r="J131" s="20"/>
      <c r="K131" s="21"/>
      <c r="L131" s="21"/>
      <c r="M131" s="5"/>
      <c r="N131" s="24">
        <f>C131 / VLOOKUP(B131,AYAR!C5:D7,2,0)</f>
        <v>0.08</v>
      </c>
      <c r="O131" s="24">
        <f t="shared" ref="O131:O139" si="45">(F131 + H131 + J131) / 540</f>
        <v>0.88888888888888884</v>
      </c>
      <c r="P131" s="25">
        <f t="shared" ref="P131:P139" si="46">(540 - (F131 + H131 + J131)) / 540</f>
        <v>0.1111111111111111</v>
      </c>
      <c r="Q131" s="25">
        <f t="shared" si="43"/>
        <v>1</v>
      </c>
      <c r="R131" s="27">
        <f t="shared" si="44"/>
        <v>8.8888888888888889E-3</v>
      </c>
    </row>
    <row r="132" spans="1:18" ht="24.75" customHeight="1" x14ac:dyDescent="0.2">
      <c r="A132" s="12">
        <v>46034</v>
      </c>
      <c r="B132" s="5" t="s">
        <v>19</v>
      </c>
      <c r="C132" s="20">
        <v>608</v>
      </c>
      <c r="D132" s="20">
        <v>302.75</v>
      </c>
      <c r="E132" s="5" t="s">
        <v>24</v>
      </c>
      <c r="F132" s="20">
        <v>30</v>
      </c>
      <c r="G132" s="21" t="s">
        <v>32</v>
      </c>
      <c r="H132" s="20">
        <v>350</v>
      </c>
      <c r="I132" s="21" t="s">
        <v>27</v>
      </c>
      <c r="J132" s="20"/>
      <c r="K132" s="21"/>
      <c r="L132" s="21"/>
      <c r="M132" s="5"/>
      <c r="N132" s="24">
        <f>C132 / VLOOKUP(B132,AYAR!C5:D7,2,0)</f>
        <v>0.30399999999999999</v>
      </c>
      <c r="O132" s="24">
        <f t="shared" si="45"/>
        <v>0.70370370370370372</v>
      </c>
      <c r="P132" s="25">
        <f t="shared" si="46"/>
        <v>0.29629629629629628</v>
      </c>
      <c r="Q132" s="25">
        <f t="shared" si="43"/>
        <v>1</v>
      </c>
      <c r="R132" s="27">
        <f t="shared" si="44"/>
        <v>9.007407407407407E-2</v>
      </c>
    </row>
    <row r="133" spans="1:18" ht="24.75" customHeight="1" x14ac:dyDescent="0.2">
      <c r="A133" s="12">
        <v>46034</v>
      </c>
      <c r="B133" s="5" t="s">
        <v>22</v>
      </c>
      <c r="C133" s="20">
        <v>627</v>
      </c>
      <c r="D133" s="20">
        <v>0</v>
      </c>
      <c r="E133" s="5" t="s">
        <v>24</v>
      </c>
      <c r="F133" s="20">
        <v>30</v>
      </c>
      <c r="G133" s="21" t="s">
        <v>32</v>
      </c>
      <c r="H133" s="20">
        <v>400</v>
      </c>
      <c r="I133" s="21" t="s">
        <v>27</v>
      </c>
      <c r="J133" s="20"/>
      <c r="K133" s="21"/>
      <c r="L133" s="21"/>
      <c r="M133" s="5" t="s">
        <v>34</v>
      </c>
      <c r="N133" s="24">
        <f>C133 / VLOOKUP(B133,AYAR!C5:D7,2,0)</f>
        <v>0.38</v>
      </c>
      <c r="O133" s="24">
        <f t="shared" si="45"/>
        <v>0.79629629629629628</v>
      </c>
      <c r="P133" s="25">
        <f t="shared" si="46"/>
        <v>0.20370370370370369</v>
      </c>
      <c r="Q133" s="25">
        <f>IF(AND(B133="TURANLAR",D133=0),1,IF(D133=0,0,IF(L133=0,1,1-(L133/D133))))</f>
        <v>1</v>
      </c>
      <c r="R133" s="27">
        <f t="shared" si="44"/>
        <v>7.7407407407407411E-2</v>
      </c>
    </row>
    <row r="134" spans="1:18" ht="24.75" customHeight="1" x14ac:dyDescent="0.2">
      <c r="A134" s="12">
        <v>46031</v>
      </c>
      <c r="B134" s="5" t="s">
        <v>20</v>
      </c>
      <c r="C134" s="20">
        <v>1326</v>
      </c>
      <c r="D134" s="20">
        <v>553.5</v>
      </c>
      <c r="E134" s="5" t="s">
        <v>24</v>
      </c>
      <c r="F134" s="20">
        <v>30</v>
      </c>
      <c r="G134" s="21" t="s">
        <v>32</v>
      </c>
      <c r="H134" s="20">
        <v>90</v>
      </c>
      <c r="I134" s="21" t="s">
        <v>27</v>
      </c>
      <c r="J134" s="20">
        <v>60</v>
      </c>
      <c r="K134" s="21" t="s">
        <v>25</v>
      </c>
      <c r="L134" s="21"/>
      <c r="M134" s="5" t="s">
        <v>33</v>
      </c>
      <c r="N134" s="24">
        <f>C134 / VLOOKUP(B134,AYAR!C5:D7,2,0)</f>
        <v>0.33150000000000002</v>
      </c>
      <c r="O134" s="24">
        <f t="shared" si="45"/>
        <v>0.33333333333333331</v>
      </c>
      <c r="P134" s="25">
        <f t="shared" si="46"/>
        <v>0.66666666666666663</v>
      </c>
      <c r="Q134" s="25">
        <f t="shared" si="43"/>
        <v>1</v>
      </c>
      <c r="R134" s="27">
        <f t="shared" si="44"/>
        <v>0.221</v>
      </c>
    </row>
    <row r="135" spans="1:18" ht="24.75" customHeight="1" x14ac:dyDescent="0.2">
      <c r="A135" s="12">
        <v>46031</v>
      </c>
      <c r="B135" s="5" t="s">
        <v>19</v>
      </c>
      <c r="C135" s="20">
        <v>875</v>
      </c>
      <c r="D135" s="20">
        <v>355</v>
      </c>
      <c r="E135" s="5" t="s">
        <v>24</v>
      </c>
      <c r="F135" s="20">
        <v>30</v>
      </c>
      <c r="G135" s="21" t="s">
        <v>32</v>
      </c>
      <c r="H135" s="20">
        <v>60</v>
      </c>
      <c r="I135" s="21" t="s">
        <v>27</v>
      </c>
      <c r="J135" s="20">
        <v>60</v>
      </c>
      <c r="K135" s="21" t="s">
        <v>25</v>
      </c>
      <c r="L135" s="21"/>
      <c r="M135" s="5"/>
      <c r="N135" s="24">
        <f>C135 / VLOOKUP(B135,AYAR!C5:D7,2,0)</f>
        <v>0.4375</v>
      </c>
      <c r="O135" s="24">
        <f t="shared" si="45"/>
        <v>0.27777777777777779</v>
      </c>
      <c r="P135" s="25">
        <f t="shared" si="46"/>
        <v>0.72222222222222221</v>
      </c>
      <c r="Q135" s="25">
        <f t="shared" si="43"/>
        <v>1</v>
      </c>
      <c r="R135" s="27">
        <f t="shared" si="44"/>
        <v>0.31597222222222221</v>
      </c>
    </row>
    <row r="136" spans="1:18" ht="24.75" customHeight="1" x14ac:dyDescent="0.2">
      <c r="A136" s="12">
        <v>46031</v>
      </c>
      <c r="B136" s="5" t="s">
        <v>22</v>
      </c>
      <c r="C136" s="20"/>
      <c r="D136" s="20">
        <v>0</v>
      </c>
      <c r="E136" s="5"/>
      <c r="F136" s="20"/>
      <c r="G136" s="21"/>
      <c r="H136" s="20"/>
      <c r="I136" s="21" t="s">
        <v>27</v>
      </c>
      <c r="J136" s="20">
        <v>540</v>
      </c>
      <c r="K136" s="21"/>
      <c r="L136" s="21"/>
      <c r="M136" s="5"/>
      <c r="N136" s="24">
        <f>C136 / VLOOKUP(B136,AYAR!C5:D7,2,0)</f>
        <v>0</v>
      </c>
      <c r="O136" s="24">
        <f t="shared" si="45"/>
        <v>1</v>
      </c>
      <c r="P136" s="25">
        <f t="shared" si="46"/>
        <v>0</v>
      </c>
      <c r="Q136" s="25">
        <f t="shared" si="43"/>
        <v>0</v>
      </c>
      <c r="R136" s="27">
        <f t="shared" si="44"/>
        <v>0</v>
      </c>
    </row>
    <row r="137" spans="1:18" ht="24.75" customHeight="1" x14ac:dyDescent="0.2">
      <c r="A137" s="12">
        <v>46030</v>
      </c>
      <c r="B137" s="5" t="s">
        <v>20</v>
      </c>
      <c r="C137" s="20">
        <v>172</v>
      </c>
      <c r="D137" s="20">
        <v>48</v>
      </c>
      <c r="E137" s="5" t="s">
        <v>24</v>
      </c>
      <c r="F137" s="20">
        <v>30</v>
      </c>
      <c r="G137" s="21" t="s">
        <v>32</v>
      </c>
      <c r="H137" s="20">
        <v>420</v>
      </c>
      <c r="I137" s="21" t="s">
        <v>27</v>
      </c>
      <c r="J137" s="20"/>
      <c r="K137" s="21"/>
      <c r="L137" s="21"/>
      <c r="M137" s="5"/>
      <c r="N137" s="24">
        <f>C137 / VLOOKUP(B137,AYAR!C5:D7,2,0)</f>
        <v>4.2999999999999997E-2</v>
      </c>
      <c r="O137" s="24">
        <f t="shared" si="45"/>
        <v>0.83333333333333337</v>
      </c>
      <c r="P137" s="25">
        <f t="shared" si="46"/>
        <v>0.16666666666666666</v>
      </c>
      <c r="Q137" s="25">
        <f t="shared" si="43"/>
        <v>1</v>
      </c>
      <c r="R137" s="27">
        <f t="shared" si="44"/>
        <v>7.1666666666666658E-3</v>
      </c>
    </row>
    <row r="138" spans="1:18" ht="24.75" customHeight="1" x14ac:dyDescent="0.2">
      <c r="A138" s="12">
        <v>46030</v>
      </c>
      <c r="B138" s="5" t="s">
        <v>22</v>
      </c>
      <c r="C138" s="20">
        <v>377</v>
      </c>
      <c r="D138" s="20">
        <v>0</v>
      </c>
      <c r="E138" s="5" t="s">
        <v>24</v>
      </c>
      <c r="F138" s="20">
        <v>30</v>
      </c>
      <c r="G138" s="21" t="s">
        <v>32</v>
      </c>
      <c r="H138" s="20">
        <v>390</v>
      </c>
      <c r="I138" s="21" t="s">
        <v>27</v>
      </c>
      <c r="J138" s="20"/>
      <c r="K138" s="21"/>
      <c r="L138" s="21"/>
      <c r="M138" s="5"/>
      <c r="N138" s="24">
        <f>C138 / VLOOKUP(B138,AYAR!C5:D7,2,0)</f>
        <v>0.22848484848484849</v>
      </c>
      <c r="O138" s="24">
        <f t="shared" si="45"/>
        <v>0.77777777777777779</v>
      </c>
      <c r="P138" s="25">
        <f t="shared" si="46"/>
        <v>0.22222222222222221</v>
      </c>
      <c r="Q138" s="25">
        <f>IF(AND(B138="TURANLAR",D138=0),1,IF(D138=0,0,IF(L138=0,1,1-(L138/D138))))</f>
        <v>1</v>
      </c>
      <c r="R138" s="27">
        <f t="shared" si="44"/>
        <v>5.0774410774410771E-2</v>
      </c>
    </row>
    <row r="139" spans="1:18" ht="24.75" customHeight="1" x14ac:dyDescent="0.2">
      <c r="A139" s="12">
        <v>46030</v>
      </c>
      <c r="B139" s="5" t="s">
        <v>19</v>
      </c>
      <c r="C139" s="20">
        <v>1214</v>
      </c>
      <c r="D139" s="20">
        <v>565.25</v>
      </c>
      <c r="E139" s="5" t="s">
        <v>24</v>
      </c>
      <c r="F139" s="20">
        <v>30</v>
      </c>
      <c r="G139" s="21" t="s">
        <v>32</v>
      </c>
      <c r="H139" s="20">
        <v>120</v>
      </c>
      <c r="I139" s="21" t="s">
        <v>27</v>
      </c>
      <c r="J139" s="20"/>
      <c r="K139" s="21"/>
      <c r="L139" s="21"/>
      <c r="M139" s="5"/>
      <c r="N139" s="24">
        <f>C139 / VLOOKUP(B139,AYAR!C5:D7,2,0)</f>
        <v>0.60699999999999998</v>
      </c>
      <c r="O139" s="24">
        <f t="shared" si="45"/>
        <v>0.27777777777777779</v>
      </c>
      <c r="P139" s="25">
        <f t="shared" si="46"/>
        <v>0.72222222222222221</v>
      </c>
      <c r="Q139" s="25">
        <f t="shared" si="43"/>
        <v>1</v>
      </c>
      <c r="R139" s="27">
        <f t="shared" si="44"/>
        <v>0.43838888888888888</v>
      </c>
    </row>
    <row r="140" spans="1:18" ht="30" customHeight="1" x14ac:dyDescent="0.2">
      <c r="A140" s="12">
        <v>46029</v>
      </c>
      <c r="B140" s="5" t="s">
        <v>20</v>
      </c>
      <c r="C140" s="5">
        <v>1380</v>
      </c>
      <c r="D140" s="5">
        <v>990</v>
      </c>
      <c r="E140" s="5" t="s">
        <v>24</v>
      </c>
      <c r="F140" s="5">
        <v>15</v>
      </c>
      <c r="G140" s="5" t="s">
        <v>23</v>
      </c>
      <c r="H140" s="5">
        <v>15</v>
      </c>
      <c r="I140" s="5" t="s">
        <v>25</v>
      </c>
      <c r="J140" s="5">
        <v>330</v>
      </c>
      <c r="K140" s="5" t="s">
        <v>27</v>
      </c>
      <c r="L140" s="5"/>
      <c r="M140" s="5"/>
      <c r="N140" s="24">
        <f>C140/VLOOKUP(B140,AYAR!C5:D7,2,0)</f>
        <v>0.34499999999999997</v>
      </c>
      <c r="O140" s="24">
        <f t="shared" ref="O140:O148" si="47">(F140+H140+J140)/540</f>
        <v>0.66666666666666663</v>
      </c>
      <c r="P140" s="24">
        <f t="shared" ref="P140:P148" si="48">(540-(F140+H140+J140))/540</f>
        <v>0.33333333333333331</v>
      </c>
      <c r="Q140" s="25">
        <f t="shared" si="43"/>
        <v>1</v>
      </c>
      <c r="R140" s="27">
        <f t="shared" si="44"/>
        <v>0.11499999999999999</v>
      </c>
    </row>
    <row r="141" spans="1:18" ht="30" customHeight="1" x14ac:dyDescent="0.2">
      <c r="A141" s="12">
        <v>46029</v>
      </c>
      <c r="B141" s="5" t="s">
        <v>19</v>
      </c>
      <c r="C141" s="5">
        <v>520</v>
      </c>
      <c r="D141" s="5">
        <v>893</v>
      </c>
      <c r="E141" s="5" t="s">
        <v>24</v>
      </c>
      <c r="F141" s="5">
        <v>15</v>
      </c>
      <c r="G141" s="5" t="s">
        <v>23</v>
      </c>
      <c r="H141" s="5">
        <v>15</v>
      </c>
      <c r="I141" s="5" t="s">
        <v>25</v>
      </c>
      <c r="J141" s="5">
        <v>180</v>
      </c>
      <c r="K141" s="5" t="s">
        <v>27</v>
      </c>
      <c r="L141" s="5"/>
      <c r="M141" s="5"/>
      <c r="N141" s="24">
        <f>C141/VLOOKUP(B141,AYAR!C5:D7,2,0)</f>
        <v>0.26</v>
      </c>
      <c r="O141" s="24">
        <f t="shared" si="47"/>
        <v>0.3888888888888889</v>
      </c>
      <c r="P141" s="24">
        <f t="shared" si="48"/>
        <v>0.61111111111111116</v>
      </c>
      <c r="Q141" s="25">
        <f t="shared" si="43"/>
        <v>1</v>
      </c>
      <c r="R141" s="27">
        <f t="shared" si="44"/>
        <v>0.15888888888888891</v>
      </c>
    </row>
    <row r="142" spans="1:18" ht="30" customHeight="1" x14ac:dyDescent="0.2">
      <c r="A142" s="12">
        <v>46029</v>
      </c>
      <c r="B142" s="5" t="s">
        <v>22</v>
      </c>
      <c r="C142" s="5">
        <v>997</v>
      </c>
      <c r="D142" s="20">
        <v>0</v>
      </c>
      <c r="E142" s="5" t="s">
        <v>24</v>
      </c>
      <c r="F142" s="5">
        <v>15</v>
      </c>
      <c r="G142" s="5" t="s">
        <v>23</v>
      </c>
      <c r="H142" s="5">
        <v>15</v>
      </c>
      <c r="I142" s="5" t="s">
        <v>25</v>
      </c>
      <c r="J142" s="5">
        <v>60</v>
      </c>
      <c r="K142" s="5" t="s">
        <v>27</v>
      </c>
      <c r="L142" s="5"/>
      <c r="M142" s="5"/>
      <c r="N142" s="24">
        <f>C142/VLOOKUP(B142,AYAR!C5:D7,2,0)</f>
        <v>0.60424242424242425</v>
      </c>
      <c r="O142" s="24">
        <f t="shared" si="47"/>
        <v>0.16666666666666666</v>
      </c>
      <c r="P142" s="24">
        <f t="shared" si="48"/>
        <v>0.83333333333333337</v>
      </c>
      <c r="Q142" s="25">
        <f>IF(AND(B142="TURANLAR",D142=0),1,IF(D142=0,0,IF(L142=0,1,1-(L142/D142))))</f>
        <v>1</v>
      </c>
      <c r="R142" s="27">
        <f t="shared" si="44"/>
        <v>0.50353535353535361</v>
      </c>
    </row>
    <row r="143" spans="1:18" ht="30" customHeight="1" x14ac:dyDescent="0.2">
      <c r="A143" s="12">
        <v>46028</v>
      </c>
      <c r="B143" s="5" t="s">
        <v>20</v>
      </c>
      <c r="C143" s="5">
        <v>1874</v>
      </c>
      <c r="D143" s="5">
        <v>1424</v>
      </c>
      <c r="E143" s="5" t="s">
        <v>24</v>
      </c>
      <c r="F143" s="5">
        <v>15</v>
      </c>
      <c r="G143" s="5" t="s">
        <v>23</v>
      </c>
      <c r="H143" s="5">
        <v>15</v>
      </c>
      <c r="I143" s="5" t="s">
        <v>25</v>
      </c>
      <c r="J143" s="5">
        <v>330</v>
      </c>
      <c r="K143" s="5" t="s">
        <v>27</v>
      </c>
      <c r="L143" s="5"/>
      <c r="M143" s="5"/>
      <c r="N143" s="24">
        <f>C143/VLOOKUP(B143,AYAR!C5:D7,2,0)</f>
        <v>0.46850000000000003</v>
      </c>
      <c r="O143" s="24">
        <f t="shared" si="47"/>
        <v>0.66666666666666663</v>
      </c>
      <c r="P143" s="24">
        <f t="shared" si="48"/>
        <v>0.33333333333333331</v>
      </c>
      <c r="Q143" s="25">
        <f t="shared" si="43"/>
        <v>1</v>
      </c>
      <c r="R143" s="27">
        <f t="shared" si="44"/>
        <v>0.15616666666666668</v>
      </c>
    </row>
    <row r="144" spans="1:18" ht="30" customHeight="1" x14ac:dyDescent="0.2">
      <c r="A144" s="12">
        <v>46028</v>
      </c>
      <c r="B144" s="5" t="s">
        <v>19</v>
      </c>
      <c r="C144" s="5">
        <v>503</v>
      </c>
      <c r="D144" s="5">
        <v>900</v>
      </c>
      <c r="E144" s="5" t="s">
        <v>24</v>
      </c>
      <c r="F144" s="5">
        <v>15</v>
      </c>
      <c r="G144" s="5" t="s">
        <v>23</v>
      </c>
      <c r="H144" s="5">
        <v>15</v>
      </c>
      <c r="I144" s="5" t="s">
        <v>25</v>
      </c>
      <c r="J144" s="5">
        <v>230</v>
      </c>
      <c r="K144" s="5" t="s">
        <v>27</v>
      </c>
      <c r="L144" s="5"/>
      <c r="M144" s="5"/>
      <c r="N144" s="24">
        <f>C144/VLOOKUP(B144,AYAR!C5:D7,2,0)</f>
        <v>0.2515</v>
      </c>
      <c r="O144" s="24">
        <f t="shared" si="47"/>
        <v>0.48148148148148145</v>
      </c>
      <c r="P144" s="24">
        <f t="shared" si="48"/>
        <v>0.51851851851851849</v>
      </c>
      <c r="Q144" s="25">
        <f t="shared" si="43"/>
        <v>1</v>
      </c>
      <c r="R144" s="27">
        <f t="shared" si="44"/>
        <v>0.13040740740740739</v>
      </c>
    </row>
    <row r="145" spans="1:18" ht="30" customHeight="1" x14ac:dyDescent="0.2">
      <c r="A145" s="12">
        <v>46028</v>
      </c>
      <c r="B145" s="5" t="s">
        <v>22</v>
      </c>
      <c r="C145" s="5">
        <v>1099</v>
      </c>
      <c r="D145" s="20">
        <v>0</v>
      </c>
      <c r="E145" s="5" t="s">
        <v>24</v>
      </c>
      <c r="F145" s="5">
        <v>15</v>
      </c>
      <c r="G145" s="5" t="s">
        <v>23</v>
      </c>
      <c r="H145" s="5">
        <v>15</v>
      </c>
      <c r="I145" s="5" t="s">
        <v>25</v>
      </c>
      <c r="J145" s="5">
        <v>45</v>
      </c>
      <c r="K145" s="5" t="s">
        <v>29</v>
      </c>
      <c r="L145" s="5"/>
      <c r="M145" s="5" t="s">
        <v>31</v>
      </c>
      <c r="N145" s="24">
        <f>C145/VLOOKUP(B145,AYAR!C5:D7,2,0)</f>
        <v>0.66606060606060602</v>
      </c>
      <c r="O145" s="24">
        <f t="shared" si="47"/>
        <v>0.1388888888888889</v>
      </c>
      <c r="P145" s="24">
        <f t="shared" si="48"/>
        <v>0.86111111111111116</v>
      </c>
      <c r="Q145" s="25">
        <f>IF(AND(B145="TURANLAR",D145=0),1,IF(D145=0,0,IF(L145=0,1,1-(L145/D145))))</f>
        <v>1</v>
      </c>
      <c r="R145" s="27">
        <f t="shared" si="44"/>
        <v>0.57355218855218859</v>
      </c>
    </row>
    <row r="146" spans="1:18" ht="30" customHeight="1" x14ac:dyDescent="0.2">
      <c r="A146" s="12">
        <v>46027</v>
      </c>
      <c r="B146" s="5" t="s">
        <v>19</v>
      </c>
      <c r="C146" s="5">
        <v>143</v>
      </c>
      <c r="D146" s="5">
        <v>225</v>
      </c>
      <c r="E146" s="5" t="s">
        <v>24</v>
      </c>
      <c r="F146" s="5">
        <v>15</v>
      </c>
      <c r="G146" s="5" t="s">
        <v>23</v>
      </c>
      <c r="H146" s="5">
        <v>15</v>
      </c>
      <c r="I146" s="5" t="s">
        <v>25</v>
      </c>
      <c r="J146" s="5">
        <v>450</v>
      </c>
      <c r="K146" s="5" t="s">
        <v>27</v>
      </c>
      <c r="L146" s="5"/>
      <c r="M146" s="5"/>
      <c r="N146" s="24">
        <f>C146/VLOOKUP(B146,AYAR!C5:D7,2,0)</f>
        <v>7.1499999999999994E-2</v>
      </c>
      <c r="O146" s="24">
        <f t="shared" si="47"/>
        <v>0.88888888888888884</v>
      </c>
      <c r="P146" s="24">
        <f t="shared" si="48"/>
        <v>0.1111111111111111</v>
      </c>
      <c r="Q146" s="25">
        <f t="shared" si="43"/>
        <v>1</v>
      </c>
      <c r="R146" s="27">
        <f t="shared" si="44"/>
        <v>7.9444444444444432E-3</v>
      </c>
    </row>
    <row r="147" spans="1:18" ht="30" customHeight="1" x14ac:dyDescent="0.2">
      <c r="A147" s="12">
        <v>46027</v>
      </c>
      <c r="B147" s="5" t="s">
        <v>22</v>
      </c>
      <c r="C147" s="5"/>
      <c r="D147" s="20">
        <v>0</v>
      </c>
      <c r="E147" s="5"/>
      <c r="F147" s="5"/>
      <c r="G147" s="5"/>
      <c r="H147" s="5"/>
      <c r="I147" s="5"/>
      <c r="J147" s="5">
        <v>540</v>
      </c>
      <c r="K147" s="5" t="s">
        <v>27</v>
      </c>
      <c r="L147" s="5"/>
      <c r="M147" s="5" t="s">
        <v>28</v>
      </c>
      <c r="N147" s="24">
        <f>C147/VLOOKUP(B147,AYAR!C5:D7,2,0)</f>
        <v>0</v>
      </c>
      <c r="O147" s="24">
        <f t="shared" si="47"/>
        <v>1</v>
      </c>
      <c r="P147" s="24">
        <f t="shared" si="48"/>
        <v>0</v>
      </c>
      <c r="Q147" s="25">
        <f t="shared" si="43"/>
        <v>0</v>
      </c>
      <c r="R147" s="27">
        <f t="shared" si="44"/>
        <v>0</v>
      </c>
    </row>
    <row r="148" spans="1:18" ht="30" customHeight="1" x14ac:dyDescent="0.2">
      <c r="A148" s="12">
        <v>46027</v>
      </c>
      <c r="B148" s="5" t="s">
        <v>20</v>
      </c>
      <c r="C148" s="5">
        <v>3192</v>
      </c>
      <c r="D148" s="5">
        <v>2511</v>
      </c>
      <c r="E148" s="5" t="s">
        <v>24</v>
      </c>
      <c r="F148" s="5">
        <v>15</v>
      </c>
      <c r="G148" s="5" t="s">
        <v>23</v>
      </c>
      <c r="H148" s="5">
        <v>15</v>
      </c>
      <c r="I148" s="5" t="s">
        <v>25</v>
      </c>
      <c r="J148" s="5">
        <v>60</v>
      </c>
      <c r="K148" s="5" t="s">
        <v>30</v>
      </c>
      <c r="L148" s="5"/>
      <c r="M148" s="5"/>
      <c r="N148" s="24">
        <f>C148/VLOOKUP(B148,AYAR!C5:D7,2,0)</f>
        <v>0.79800000000000004</v>
      </c>
      <c r="O148" s="24">
        <f t="shared" si="47"/>
        <v>0.16666666666666666</v>
      </c>
      <c r="P148" s="24">
        <f t="shared" si="48"/>
        <v>0.83333333333333337</v>
      </c>
      <c r="Q148" s="25">
        <f t="shared" si="43"/>
        <v>1</v>
      </c>
      <c r="R148" s="27">
        <f t="shared" si="44"/>
        <v>0.66500000000000004</v>
      </c>
    </row>
    <row r="149" spans="1:18" ht="30" customHeight="1" x14ac:dyDescent="0.2">
      <c r="A149" s="12"/>
      <c r="B149" s="5"/>
      <c r="C149" s="10"/>
      <c r="D149" s="10"/>
      <c r="E149" s="7"/>
      <c r="F149" s="10"/>
      <c r="G149" s="5"/>
      <c r="H149" s="10"/>
      <c r="I149" s="5"/>
      <c r="J149" s="10"/>
      <c r="K149" s="5"/>
      <c r="L149" s="5"/>
      <c r="M149" s="5"/>
      <c r="N149" s="24"/>
      <c r="O149" s="24"/>
      <c r="P149" s="24"/>
    </row>
    <row r="150" spans="1:18" ht="30" customHeight="1" x14ac:dyDescent="0.2">
      <c r="A150" s="12"/>
      <c r="B150" s="5"/>
      <c r="C150" s="10"/>
      <c r="D150" s="10"/>
      <c r="E150" s="7"/>
      <c r="F150" s="10"/>
      <c r="G150" s="5"/>
      <c r="H150" s="10"/>
      <c r="I150" s="5"/>
      <c r="J150" s="10"/>
      <c r="K150" s="5"/>
      <c r="L150" s="5"/>
      <c r="M150" s="5"/>
      <c r="N150" s="24"/>
      <c r="O150" s="24"/>
      <c r="P150" s="24"/>
    </row>
    <row r="151" spans="1:18" ht="30" customHeight="1" x14ac:dyDescent="0.2">
      <c r="A151" s="12"/>
      <c r="B151" s="5"/>
      <c r="C151" s="10"/>
      <c r="D151" s="10"/>
      <c r="E151" s="7"/>
      <c r="F151" s="10"/>
      <c r="G151" s="5"/>
      <c r="H151" s="10"/>
      <c r="I151" s="5"/>
      <c r="J151" s="10"/>
      <c r="K151" s="5"/>
      <c r="L151" s="5"/>
      <c r="M151" s="5"/>
      <c r="N151" s="24"/>
      <c r="O151" s="24"/>
      <c r="P151" s="24"/>
    </row>
    <row r="152" spans="1:18" ht="30" customHeight="1" x14ac:dyDescent="0.2">
      <c r="A152" s="12"/>
      <c r="B152" s="5"/>
      <c r="C152" s="10"/>
      <c r="D152" s="10"/>
      <c r="E152" s="7"/>
      <c r="F152" s="10"/>
      <c r="G152" s="5"/>
      <c r="H152" s="10"/>
      <c r="I152" s="5"/>
      <c r="J152" s="10"/>
      <c r="K152" s="5"/>
      <c r="L152" s="5"/>
      <c r="M152" s="5"/>
      <c r="N152" s="24"/>
      <c r="O152" s="24"/>
      <c r="P152" s="24"/>
    </row>
    <row r="153" spans="1:18" ht="30" customHeight="1" x14ac:dyDescent="0.2">
      <c r="A153" s="12"/>
      <c r="B153" s="5"/>
      <c r="C153" s="10"/>
      <c r="D153" s="10"/>
      <c r="E153" s="7"/>
      <c r="F153" s="10"/>
      <c r="G153" s="5"/>
      <c r="H153" s="10"/>
      <c r="I153" s="5"/>
      <c r="J153" s="10"/>
      <c r="K153" s="5"/>
      <c r="L153" s="5"/>
      <c r="M153" s="5"/>
      <c r="N153" s="24"/>
      <c r="O153" s="24"/>
      <c r="P153" s="24"/>
    </row>
    <row r="154" spans="1:18" ht="30" customHeight="1" x14ac:dyDescent="0.2">
      <c r="A154" s="12"/>
      <c r="B154" s="5"/>
      <c r="C154" s="10"/>
      <c r="D154" s="10"/>
      <c r="E154" s="7"/>
      <c r="F154" s="10"/>
      <c r="G154" s="5"/>
      <c r="H154" s="10"/>
      <c r="I154" s="5"/>
      <c r="J154" s="10"/>
      <c r="K154" s="5"/>
      <c r="L154" s="5"/>
      <c r="M154" s="5"/>
      <c r="N154" s="24"/>
      <c r="O154" s="24"/>
      <c r="P154" s="24"/>
    </row>
    <row r="155" spans="1:18" ht="30" customHeight="1" x14ac:dyDescent="0.2">
      <c r="A155" s="12"/>
      <c r="B155" s="5"/>
      <c r="C155" s="10"/>
      <c r="D155" s="10"/>
      <c r="E155" s="7"/>
      <c r="F155" s="10"/>
      <c r="G155" s="5"/>
      <c r="H155" s="10"/>
      <c r="I155" s="5"/>
      <c r="J155" s="10"/>
      <c r="K155" s="5"/>
      <c r="L155" s="5"/>
      <c r="M155" s="5"/>
      <c r="N155" s="24"/>
      <c r="O155" s="24"/>
      <c r="P155" s="24"/>
    </row>
    <row r="156" spans="1:18" ht="30" customHeight="1" x14ac:dyDescent="0.2">
      <c r="A156" s="12"/>
      <c r="B156" s="5"/>
      <c r="C156" s="10"/>
      <c r="D156" s="10"/>
      <c r="E156" s="7"/>
      <c r="F156" s="10"/>
      <c r="G156" s="5"/>
      <c r="H156" s="10"/>
      <c r="I156" s="5"/>
      <c r="J156" s="10"/>
      <c r="K156" s="5"/>
      <c r="L156" s="5"/>
      <c r="M156" s="5"/>
      <c r="N156" s="24"/>
      <c r="O156" s="24"/>
      <c r="P156" s="24"/>
    </row>
    <row r="157" spans="1:18" ht="30" customHeight="1" x14ac:dyDescent="0.2">
      <c r="A157" s="12"/>
      <c r="B157" s="5"/>
      <c r="C157" s="10"/>
      <c r="D157" s="10"/>
      <c r="E157" s="7"/>
      <c r="F157" s="10"/>
      <c r="G157" s="5"/>
      <c r="H157" s="10"/>
      <c r="I157" s="5"/>
      <c r="J157" s="10"/>
      <c r="K157" s="5"/>
      <c r="L157" s="5"/>
      <c r="M157" s="5"/>
      <c r="N157" s="24"/>
      <c r="O157" s="24"/>
      <c r="P157" s="24"/>
    </row>
    <row r="158" spans="1:18" ht="30" customHeight="1" x14ac:dyDescent="0.2">
      <c r="A158" s="12"/>
      <c r="B158" s="5"/>
      <c r="C158" s="10"/>
      <c r="D158" s="10"/>
      <c r="E158" s="6"/>
      <c r="F158" s="10"/>
      <c r="G158" s="5"/>
      <c r="H158" s="10"/>
      <c r="I158" s="5"/>
      <c r="J158" s="10"/>
      <c r="K158" s="6"/>
      <c r="L158" s="6"/>
      <c r="M158" s="6"/>
      <c r="N158" s="24"/>
      <c r="O158" s="24"/>
      <c r="P158" s="24"/>
    </row>
    <row r="159" spans="1:18" ht="30" customHeight="1" x14ac:dyDescent="0.2">
      <c r="A159" s="12"/>
      <c r="B159" s="5"/>
      <c r="C159" s="10"/>
      <c r="D159" s="10"/>
      <c r="E159" s="6"/>
      <c r="F159" s="10"/>
      <c r="G159" s="5"/>
      <c r="H159" s="10"/>
      <c r="I159" s="5"/>
      <c r="J159" s="10"/>
      <c r="K159" s="6"/>
      <c r="L159" s="6"/>
      <c r="M159" s="6"/>
      <c r="N159" s="24"/>
      <c r="O159" s="24"/>
      <c r="P159" s="24"/>
    </row>
    <row r="160" spans="1:18" ht="30" customHeight="1" x14ac:dyDescent="0.2">
      <c r="A160" s="12"/>
      <c r="B160" s="5"/>
      <c r="C160" s="10"/>
      <c r="D160" s="10"/>
      <c r="E160" s="6"/>
      <c r="F160" s="10"/>
      <c r="G160" s="5"/>
      <c r="H160" s="10"/>
      <c r="I160" s="5"/>
      <c r="J160" s="10"/>
      <c r="K160" s="6"/>
      <c r="L160" s="6"/>
      <c r="M160" s="6"/>
      <c r="N160" s="24"/>
      <c r="O160" s="24"/>
      <c r="P160" s="24"/>
    </row>
    <row r="161" spans="1:16" ht="30" customHeight="1" x14ac:dyDescent="0.2">
      <c r="A161" s="12"/>
      <c r="B161" s="5"/>
      <c r="C161" s="10"/>
      <c r="D161" s="10"/>
      <c r="E161" s="6"/>
      <c r="F161" s="10"/>
      <c r="G161" s="5"/>
      <c r="H161" s="10"/>
      <c r="I161" s="5"/>
      <c r="J161" s="10"/>
      <c r="K161" s="6"/>
      <c r="L161" s="6"/>
      <c r="M161" s="6"/>
      <c r="N161" s="24"/>
      <c r="O161" s="24"/>
      <c r="P161" s="24"/>
    </row>
    <row r="162" spans="1:16" ht="30" customHeight="1" x14ac:dyDescent="0.2">
      <c r="B162" s="5"/>
      <c r="F162" s="10"/>
    </row>
    <row r="163" spans="1:16" ht="30" customHeight="1" x14ac:dyDescent="0.2">
      <c r="B163" s="5"/>
      <c r="F163" s="10"/>
    </row>
    <row r="164" spans="1:16" ht="30" customHeight="1" x14ac:dyDescent="0.2">
      <c r="B164" s="5"/>
      <c r="F164" s="10"/>
    </row>
    <row r="165" spans="1:16" ht="30" customHeight="1" x14ac:dyDescent="0.2">
      <c r="B165" s="5"/>
      <c r="F165" s="10"/>
    </row>
  </sheetData>
  <autoFilter ref="A1:P139" xr:uid="{00000000-0009-0000-0000-000001000000}">
    <filterColumn colId="8">
      <filters blank="1">
        <filter val="Ayar"/>
        <filter val="Hazırlık/İlk ısınma"/>
        <filter val="Kompresör arızası"/>
        <filter val="Makine Arızası"/>
        <filter val="Temizlik"/>
      </filters>
    </filterColumn>
    <sortState xmlns:xlrd2="http://schemas.microsoft.com/office/spreadsheetml/2017/richdata2" ref="A2:P106">
      <sortCondition descending="1" ref="A1:A106"/>
    </sortState>
  </autoFilter>
  <sortState xmlns:xlrd2="http://schemas.microsoft.com/office/spreadsheetml/2017/richdata2" ref="A13:P20">
    <sortCondition descending="1" ref="A10:A20"/>
  </sortState>
  <dataValidations count="3">
    <dataValidation type="list" allowBlank="1" showInputMessage="1" showErrorMessage="1" sqref="I140:I148 G140:G148 K140:L148" xr:uid="{00000000-0002-0000-0100-000000000000}">
      <formula1>"Temizlik,Hazırlık/İlk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E140:E148" xr:uid="{00000000-0002-0000-0100-000001000000}">
      <formula1>"NORMAL MESAİ,FAZLA MESAİ,VARDİYA"</formula1>
    </dataValidation>
    <dataValidation type="list" allowBlank="1" showInputMessage="1" showErrorMessage="1" sqref="B140:B148" xr:uid="{00000000-0002-0000-0100-000002000000}">
      <formula1>"STREAM-B,STREAM-C,TURANLAR"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C5:D7"/>
  <sheetViews>
    <sheetView workbookViewId="0">
      <selection activeCell="D8" sqref="D8"/>
    </sheetView>
  </sheetViews>
  <sheetFormatPr baseColWidth="10" defaultColWidth="8.83203125" defaultRowHeight="15" x14ac:dyDescent="0.2"/>
  <cols>
    <col min="3" max="3" width="10.5" bestFit="1" customWidth="1"/>
    <col min="4" max="4" width="5" bestFit="1" customWidth="1"/>
  </cols>
  <sheetData>
    <row r="5" spans="3:4" x14ac:dyDescent="0.2">
      <c r="C5" s="8" t="s">
        <v>19</v>
      </c>
      <c r="D5" s="9">
        <v>2000</v>
      </c>
    </row>
    <row r="6" spans="3:4" x14ac:dyDescent="0.2">
      <c r="C6" s="8" t="s">
        <v>20</v>
      </c>
      <c r="D6" s="9">
        <v>4000</v>
      </c>
    </row>
    <row r="7" spans="3:4" x14ac:dyDescent="0.2">
      <c r="C7" s="8" t="s">
        <v>22</v>
      </c>
      <c r="D7" s="9">
        <v>1650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GİRİŞİ</vt:lpstr>
      <vt:lpstr>KAYIT</vt:lpstr>
      <vt:lpstr>AYAR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Tuncay Özalıcı</cp:lastModifiedBy>
  <dcterms:created xsi:type="dcterms:W3CDTF">2015-06-05T18:19:34Z</dcterms:created>
  <dcterms:modified xsi:type="dcterms:W3CDTF">2026-03-16T11:43:34Z</dcterms:modified>
</cp:coreProperties>
</file>