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xr:revisionPtr revIDLastSave="0" documentId="13_ncr:1_{9553E328-E58E-4EA9-ABA5-4A8E9F0EFE41}" xr6:coauthVersionLast="47" xr6:coauthVersionMax="47" xr10:uidLastSave="{00000000-0000-0000-0000-000000000000}"/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08" yWindow="-108" windowWidth="23256" windowHeight="12576" xr2:uid="{00000000-000D-0000-FFFF-FFFF00000000}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2" l="1"/>
  <c r="P2" i="2"/>
  <c r="O2" i="2"/>
  <c r="N2" i="2"/>
  <c r="Q3" i="2"/>
  <c r="P3" i="2"/>
  <c r="O3" i="2"/>
  <c r="N3" i="2"/>
  <c r="R3" i="2" s="1"/>
  <c r="Q4" i="2"/>
  <c r="P4" i="2"/>
  <c r="O4" i="2"/>
  <c r="N4" i="2"/>
  <c r="R4" i="2" s="1"/>
  <c r="R2" i="2" l="1"/>
  <c r="Q5" i="2"/>
  <c r="P5" i="2"/>
  <c r="O5" i="2"/>
  <c r="N5" i="2"/>
  <c r="R5" i="2" s="1"/>
  <c r="Q6" i="2"/>
  <c r="P6" i="2"/>
  <c r="O6" i="2"/>
  <c r="N6" i="2"/>
  <c r="Q7" i="2"/>
  <c r="P7" i="2"/>
  <c r="O7" i="2"/>
  <c r="N7" i="2"/>
  <c r="R6" i="2" l="1"/>
  <c r="R7" i="2"/>
  <c r="Q8" i="2"/>
  <c r="P8" i="2"/>
  <c r="O8" i="2"/>
  <c r="N8" i="2"/>
  <c r="Q9" i="2"/>
  <c r="P9" i="2"/>
  <c r="O9" i="2"/>
  <c r="N9" i="2"/>
  <c r="R9" i="2" s="1"/>
  <c r="Q10" i="2"/>
  <c r="P10" i="2"/>
  <c r="O10" i="2"/>
  <c r="N10" i="2"/>
  <c r="R8" i="2" l="1"/>
  <c r="R10" i="2"/>
  <c r="Q91" i="2"/>
  <c r="Q88" i="2"/>
  <c r="Q84" i="2"/>
  <c r="Q79" i="2"/>
  <c r="Q76" i="2"/>
  <c r="Q68" i="2"/>
  <c r="Q65" i="2"/>
  <c r="Q64" i="2"/>
  <c r="Q59" i="2"/>
  <c r="Q58" i="2"/>
  <c r="Q55" i="2"/>
  <c r="Q52" i="2"/>
  <c r="Q48" i="2"/>
  <c r="Q44" i="2"/>
  <c r="Q42" i="2"/>
  <c r="Q36" i="2"/>
  <c r="Q33" i="2"/>
  <c r="Q20" i="2"/>
  <c r="Q19" i="2"/>
  <c r="Q14" i="2"/>
  <c r="Q11" i="2"/>
  <c r="Q12" i="2"/>
  <c r="Q13" i="2"/>
  <c r="Q15" i="2"/>
  <c r="Q16" i="2"/>
  <c r="Q17" i="2"/>
  <c r="Q18" i="2"/>
  <c r="Q21" i="2"/>
  <c r="Q22" i="2"/>
  <c r="Q23" i="2"/>
  <c r="Q24" i="2"/>
  <c r="Q25" i="2"/>
  <c r="Q26" i="2"/>
  <c r="Q27" i="2"/>
  <c r="Q28" i="2"/>
  <c r="Q29" i="2"/>
  <c r="Q30" i="2"/>
  <c r="Q31" i="2"/>
  <c r="Q32" i="2"/>
  <c r="Q34" i="2"/>
  <c r="Q35" i="2"/>
  <c r="Q37" i="2"/>
  <c r="Q38" i="2"/>
  <c r="Q39" i="2"/>
  <c r="Q40" i="2"/>
  <c r="Q41" i="2"/>
  <c r="Q43" i="2"/>
  <c r="Q45" i="2"/>
  <c r="Q46" i="2"/>
  <c r="Q47" i="2"/>
  <c r="Q49" i="2"/>
  <c r="Q50" i="2"/>
  <c r="Q51" i="2"/>
  <c r="Q53" i="2"/>
  <c r="Q54" i="2"/>
  <c r="Q56" i="2"/>
  <c r="Q57" i="2"/>
  <c r="Q60" i="2"/>
  <c r="Q61" i="2"/>
  <c r="Q62" i="2"/>
  <c r="Q63" i="2"/>
  <c r="Q66" i="2"/>
  <c r="Q67" i="2"/>
  <c r="Q69" i="2"/>
  <c r="Q70" i="2"/>
  <c r="Q71" i="2"/>
  <c r="Q72" i="2"/>
  <c r="Q73" i="2"/>
  <c r="Q74" i="2"/>
  <c r="Q75" i="2"/>
  <c r="Q77" i="2"/>
  <c r="Q78" i="2"/>
  <c r="Q80" i="2"/>
  <c r="Q81" i="2"/>
  <c r="Q82" i="2"/>
  <c r="Q83" i="2"/>
  <c r="Q85" i="2"/>
  <c r="Q86" i="2"/>
  <c r="Q87" i="2"/>
  <c r="Q89" i="2"/>
  <c r="Q90" i="2"/>
  <c r="Q92" i="2"/>
  <c r="Q93" i="2"/>
  <c r="Q94" i="2"/>
  <c r="P11" i="2"/>
  <c r="O11" i="2"/>
  <c r="P12" i="2"/>
  <c r="O12" i="2"/>
  <c r="N11" i="2"/>
  <c r="R11" i="2" l="1"/>
  <c r="N12" i="2"/>
  <c r="R12" i="2" s="1"/>
  <c r="P13" i="2"/>
  <c r="O13" i="2"/>
  <c r="N13" i="2"/>
  <c r="R13" i="2" l="1"/>
  <c r="P14" i="2"/>
  <c r="O14" i="2"/>
  <c r="N14" i="2"/>
  <c r="P15" i="2"/>
  <c r="O15" i="2"/>
  <c r="N15" i="2"/>
  <c r="P16" i="2"/>
  <c r="O16" i="2"/>
  <c r="N16" i="2"/>
  <c r="R16" i="2" l="1"/>
  <c r="R14" i="2"/>
  <c r="R15" i="2"/>
  <c r="P17" i="2"/>
  <c r="O17" i="2"/>
  <c r="N17" i="2"/>
  <c r="P18" i="2"/>
  <c r="O18" i="2"/>
  <c r="N18" i="2"/>
  <c r="P19" i="2"/>
  <c r="O19" i="2"/>
  <c r="N19" i="2"/>
  <c r="R19" i="2" s="1"/>
  <c r="R17" i="2" l="1"/>
  <c r="R18" i="2"/>
  <c r="P20" i="2"/>
  <c r="O20" i="2"/>
  <c r="N20" i="2"/>
  <c r="P21" i="2"/>
  <c r="O21" i="2"/>
  <c r="N21" i="2"/>
  <c r="P22" i="2"/>
  <c r="O22" i="2"/>
  <c r="N22" i="2"/>
  <c r="R20" i="2" l="1"/>
  <c r="R21" i="2"/>
  <c r="R22" i="2"/>
  <c r="P23" i="2"/>
  <c r="O23" i="2"/>
  <c r="N23" i="2"/>
  <c r="P24" i="2"/>
  <c r="O24" i="2"/>
  <c r="N24" i="2"/>
  <c r="P25" i="2"/>
  <c r="O25" i="2"/>
  <c r="N25" i="2"/>
  <c r="R25" i="2" s="1"/>
  <c r="R24" i="2" l="1"/>
  <c r="R23" i="2"/>
  <c r="P26" i="2"/>
  <c r="O26" i="2"/>
  <c r="N26" i="2"/>
  <c r="P27" i="2"/>
  <c r="O27" i="2"/>
  <c r="N27" i="2"/>
  <c r="P28" i="2"/>
  <c r="O28" i="2"/>
  <c r="N28" i="2"/>
  <c r="R27" i="2" l="1"/>
  <c r="R26" i="2"/>
  <c r="R28" i="2"/>
  <c r="P29" i="2"/>
  <c r="O29" i="2"/>
  <c r="N29" i="2"/>
  <c r="P30" i="2"/>
  <c r="O30" i="2"/>
  <c r="N30" i="2"/>
  <c r="P31" i="2"/>
  <c r="O31" i="2"/>
  <c r="N31" i="2"/>
  <c r="R31" i="2" s="1"/>
  <c r="R30" i="2" l="1"/>
  <c r="R29" i="2"/>
  <c r="P32" i="2"/>
  <c r="O32" i="2"/>
  <c r="N32" i="2"/>
  <c r="P33" i="2"/>
  <c r="O33" i="2"/>
  <c r="N33" i="2"/>
  <c r="P34" i="2"/>
  <c r="O34" i="2"/>
  <c r="N34" i="2"/>
  <c r="R34" i="2" l="1"/>
  <c r="R32" i="2"/>
  <c r="R33" i="2"/>
  <c r="P35" i="2"/>
  <c r="O35" i="2"/>
  <c r="N35" i="2"/>
  <c r="P36" i="2"/>
  <c r="O36" i="2"/>
  <c r="N36" i="2"/>
  <c r="P37" i="2"/>
  <c r="O37" i="2"/>
  <c r="N37" i="2"/>
  <c r="R37" i="2" s="1"/>
  <c r="R35" i="2" l="1"/>
  <c r="R36" i="2"/>
  <c r="P38" i="2"/>
  <c r="O38" i="2"/>
  <c r="N38" i="2"/>
  <c r="P39" i="2"/>
  <c r="O39" i="2"/>
  <c r="N39" i="2"/>
  <c r="P40" i="2"/>
  <c r="O40" i="2"/>
  <c r="N40" i="2"/>
  <c r="R40" i="2" l="1"/>
  <c r="R39" i="2"/>
  <c r="R38" i="2"/>
  <c r="P41" i="2"/>
  <c r="O41" i="2"/>
  <c r="N41" i="2"/>
  <c r="P42" i="2"/>
  <c r="O42" i="2"/>
  <c r="N42" i="2"/>
  <c r="P43" i="2"/>
  <c r="O43" i="2"/>
  <c r="N43" i="2"/>
  <c r="R42" i="2" l="1"/>
  <c r="R43" i="2"/>
  <c r="R41" i="2"/>
  <c r="P44" i="2"/>
  <c r="O44" i="2"/>
  <c r="N44" i="2"/>
  <c r="R44" i="2" s="1"/>
  <c r="P45" i="2" l="1"/>
  <c r="O45" i="2"/>
  <c r="N45" i="2"/>
  <c r="P46" i="2"/>
  <c r="O46" i="2"/>
  <c r="N46" i="2"/>
  <c r="R46" i="2" l="1"/>
  <c r="R45" i="2"/>
  <c r="P47" i="2"/>
  <c r="O47" i="2"/>
  <c r="N47" i="2"/>
  <c r="P48" i="2"/>
  <c r="O48" i="2"/>
  <c r="N48" i="2"/>
  <c r="P49" i="2"/>
  <c r="O49" i="2"/>
  <c r="N49" i="2"/>
  <c r="R49" i="2" l="1"/>
  <c r="R47" i="2"/>
  <c r="R48" i="2"/>
  <c r="P50" i="2"/>
  <c r="O50" i="2"/>
  <c r="N50" i="2"/>
  <c r="P51" i="2"/>
  <c r="O51" i="2"/>
  <c r="N51" i="2"/>
  <c r="P52" i="2"/>
  <c r="O52" i="2"/>
  <c r="N52" i="2"/>
  <c r="R52" i="2" l="1"/>
  <c r="R50" i="2"/>
  <c r="R51" i="2"/>
  <c r="P53" i="2"/>
  <c r="O53" i="2"/>
  <c r="N53" i="2"/>
  <c r="P54" i="2"/>
  <c r="O54" i="2"/>
  <c r="N54" i="2"/>
  <c r="P55" i="2"/>
  <c r="O55" i="2"/>
  <c r="N55" i="2"/>
  <c r="R55" i="2" s="1"/>
  <c r="R54" i="2" l="1"/>
  <c r="R53" i="2"/>
  <c r="P56" i="2"/>
  <c r="O56" i="2"/>
  <c r="N56" i="2"/>
  <c r="P57" i="2"/>
  <c r="O57" i="2"/>
  <c r="N57" i="2"/>
  <c r="P58" i="2"/>
  <c r="O58" i="2"/>
  <c r="N58" i="2"/>
  <c r="R58" i="2" l="1"/>
  <c r="R57" i="2"/>
  <c r="R56" i="2"/>
  <c r="P59" i="2"/>
  <c r="O59" i="2"/>
  <c r="N59" i="2"/>
  <c r="P60" i="2"/>
  <c r="O60" i="2"/>
  <c r="N60" i="2"/>
  <c r="P61" i="2"/>
  <c r="O61" i="2"/>
  <c r="N61" i="2"/>
  <c r="R61" i="2" s="1"/>
  <c r="R60" i="2" l="1"/>
  <c r="R59" i="2"/>
  <c r="P62" i="2"/>
  <c r="O62" i="2"/>
  <c r="N62" i="2"/>
  <c r="R62" i="2" l="1"/>
  <c r="P63" i="2"/>
  <c r="O63" i="2"/>
  <c r="N63" i="2"/>
  <c r="P64" i="2"/>
  <c r="O64" i="2"/>
  <c r="N64" i="2"/>
  <c r="R64" i="2" l="1"/>
  <c r="R63" i="2"/>
  <c r="P65" i="2"/>
  <c r="O65" i="2"/>
  <c r="N65" i="2"/>
  <c r="P66" i="2"/>
  <c r="O66" i="2"/>
  <c r="N66" i="2"/>
  <c r="P67" i="2"/>
  <c r="O67" i="2"/>
  <c r="N67" i="2"/>
  <c r="R67" i="2" l="1"/>
  <c r="R66" i="2"/>
  <c r="R65" i="2"/>
  <c r="P68" i="2"/>
  <c r="O68" i="2"/>
  <c r="N68" i="2"/>
  <c r="P69" i="2"/>
  <c r="O69" i="2"/>
  <c r="N69" i="2"/>
  <c r="P70" i="2"/>
  <c r="O70" i="2"/>
  <c r="N70" i="2"/>
  <c r="R70" i="2" l="1"/>
  <c r="R68" i="2"/>
  <c r="R69" i="2"/>
  <c r="P71" i="2"/>
  <c r="O71" i="2"/>
  <c r="N71" i="2"/>
  <c r="P72" i="2"/>
  <c r="O72" i="2"/>
  <c r="N72" i="2"/>
  <c r="P73" i="2"/>
  <c r="O73" i="2"/>
  <c r="N73" i="2"/>
  <c r="R73" i="2" l="1"/>
  <c r="R71" i="2"/>
  <c r="R72" i="2"/>
  <c r="P74" i="2"/>
  <c r="O74" i="2"/>
  <c r="N74" i="2"/>
  <c r="R74" i="2" s="1"/>
  <c r="P75" i="2"/>
  <c r="O75" i="2"/>
  <c r="N75" i="2"/>
  <c r="P76" i="2"/>
  <c r="O76" i="2"/>
  <c r="N76" i="2"/>
  <c r="R76" i="2" s="1"/>
  <c r="R75" i="2" l="1"/>
  <c r="P77" i="2"/>
  <c r="O77" i="2"/>
  <c r="N77" i="2"/>
  <c r="P78" i="2"/>
  <c r="O78" i="2"/>
  <c r="N78" i="2"/>
  <c r="P79" i="2"/>
  <c r="O79" i="2"/>
  <c r="N79" i="2"/>
  <c r="R77" i="2" l="1"/>
  <c r="R79" i="2"/>
  <c r="R78" i="2"/>
  <c r="P80" i="2"/>
  <c r="O80" i="2"/>
  <c r="N80" i="2"/>
  <c r="R80" i="2" s="1"/>
  <c r="P81" i="2"/>
  <c r="O81" i="2"/>
  <c r="N81" i="2"/>
  <c r="R81" i="2" s="1"/>
  <c r="P82" i="2"/>
  <c r="O82" i="2"/>
  <c r="N82" i="2"/>
  <c r="R82" i="2" s="1"/>
  <c r="P83" i="2" l="1"/>
  <c r="O83" i="2"/>
  <c r="N83" i="2"/>
  <c r="P84" i="2"/>
  <c r="O84" i="2"/>
  <c r="N84" i="2"/>
  <c r="P85" i="2"/>
  <c r="O85" i="2"/>
  <c r="N85" i="2"/>
  <c r="R84" i="2" l="1"/>
  <c r="R83" i="2"/>
  <c r="R85" i="2"/>
  <c r="N86" i="2"/>
  <c r="P86" i="2"/>
  <c r="O86" i="2"/>
  <c r="P87" i="2"/>
  <c r="O87" i="2"/>
  <c r="N87" i="2"/>
  <c r="P88" i="2"/>
  <c r="O88" i="2"/>
  <c r="N88" i="2"/>
  <c r="R87" i="2" l="1"/>
  <c r="R88" i="2"/>
  <c r="R86" i="2"/>
  <c r="P89" i="2"/>
  <c r="O89" i="2"/>
  <c r="N89" i="2"/>
  <c r="R89" i="2" s="1"/>
  <c r="P90" i="2"/>
  <c r="O90" i="2"/>
  <c r="N90" i="2"/>
  <c r="R90" i="2" s="1"/>
  <c r="P91" i="2"/>
  <c r="O91" i="2"/>
  <c r="N91" i="2"/>
  <c r="R91" i="2" s="1"/>
  <c r="P92" i="2" l="1"/>
  <c r="O92" i="2"/>
  <c r="N92" i="2"/>
  <c r="P93" i="2"/>
  <c r="O93" i="2"/>
  <c r="N93" i="2"/>
  <c r="P94" i="2"/>
  <c r="O94" i="2"/>
  <c r="N94" i="2"/>
  <c r="R92" i="2" l="1"/>
  <c r="R94" i="2"/>
  <c r="R93" i="2"/>
  <c r="C2" i="1"/>
</calcChain>
</file>

<file path=xl/sharedStrings.xml><?xml version="1.0" encoding="utf-8"?>
<sst xmlns="http://schemas.openxmlformats.org/spreadsheetml/2006/main" count="410" uniqueCount="57">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</sst>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106680</xdr:rowOff>
        </xdr:from>
        <xdr:to>
          <xdr:col>2</xdr:col>
          <xdr:colOff>1562100</xdr:colOff>
          <xdr:row>16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14"/>
  <sheetViews>
    <sheetView showGridLines="0" tabSelected="1" topLeftCell="A5" zoomScale="160" zoomScaleNormal="160" workbookViewId="0">
      <selection activeCell="E12" sqref="E12"/>
    </sheetView>
  </sheetViews>
  <sheetFormatPr defaultRowHeight="14.4" x14ac:dyDescent="0.3"/>
  <cols>
    <col min="1" max="1" width="14.5546875" style="1" customWidth="1"/>
    <col min="2" max="2" width="12.44140625" customWidth="1"/>
    <col min="3" max="3" width="26.5546875" customWidth="1"/>
    <col min="4" max="4" width="14.5546875" customWidth="1"/>
    <col min="5" max="5" width="11.5546875" customWidth="1"/>
    <col min="6" max="6" width="22.5546875" customWidth="1"/>
    <col min="8" max="8" width="22.44140625" customWidth="1"/>
  </cols>
  <sheetData>
    <row r="1" spans="1:8" ht="46.5" customHeight="1" x14ac:dyDescent="0.3">
      <c r="A1" s="2"/>
      <c r="B1" s="29" t="s">
        <v>14</v>
      </c>
      <c r="C1" s="30"/>
    </row>
    <row r="2" spans="1:8" ht="21" customHeight="1" x14ac:dyDescent="0.3">
      <c r="A2" s="31" t="s">
        <v>2</v>
      </c>
      <c r="B2" s="31"/>
      <c r="C2" s="6">
        <f ca="1">TODAY()</f>
        <v>46070</v>
      </c>
      <c r="H2" s="4"/>
    </row>
    <row r="3" spans="1:8" ht="21" customHeight="1" x14ac:dyDescent="0.3">
      <c r="A3" s="31" t="s">
        <v>8</v>
      </c>
      <c r="B3" s="31"/>
      <c r="C3" s="5" t="s">
        <v>19</v>
      </c>
    </row>
    <row r="4" spans="1:8" ht="21" customHeight="1" x14ac:dyDescent="0.3">
      <c r="A4" s="31" t="s">
        <v>26</v>
      </c>
      <c r="B4" s="31"/>
      <c r="C4" s="5"/>
    </row>
    <row r="5" spans="1:8" ht="21" customHeight="1" x14ac:dyDescent="0.3">
      <c r="A5" s="31" t="s">
        <v>10</v>
      </c>
      <c r="B5" s="31"/>
      <c r="C5" s="5"/>
    </row>
    <row r="6" spans="1:8" ht="21" customHeight="1" x14ac:dyDescent="0.3">
      <c r="A6" s="31" t="s">
        <v>11</v>
      </c>
      <c r="B6" s="31"/>
      <c r="C6" s="5"/>
    </row>
    <row r="7" spans="1:8" ht="21" customHeight="1" x14ac:dyDescent="0.3">
      <c r="A7" s="31" t="s">
        <v>7</v>
      </c>
      <c r="B7" s="31"/>
      <c r="C7" s="5"/>
    </row>
    <row r="8" spans="1:8" ht="21" customHeight="1" x14ac:dyDescent="0.3">
      <c r="A8" s="31" t="s">
        <v>6</v>
      </c>
      <c r="B8" s="31"/>
      <c r="C8" s="5"/>
    </row>
    <row r="9" spans="1:8" ht="21" customHeight="1" x14ac:dyDescent="0.3">
      <c r="A9" s="32" t="s">
        <v>3</v>
      </c>
      <c r="B9" s="33"/>
      <c r="C9" s="14"/>
    </row>
    <row r="10" spans="1:8" ht="21" customHeight="1" x14ac:dyDescent="0.3">
      <c r="A10" s="32" t="s">
        <v>5</v>
      </c>
      <c r="B10" s="33"/>
      <c r="C10" s="5"/>
    </row>
    <row r="11" spans="1:8" ht="21" customHeight="1" x14ac:dyDescent="0.3">
      <c r="A11" s="32" t="s">
        <v>12</v>
      </c>
      <c r="B11" s="33"/>
      <c r="C11" s="5"/>
    </row>
    <row r="12" spans="1:8" ht="21" customHeight="1" x14ac:dyDescent="0.3">
      <c r="A12" s="31" t="s">
        <v>13</v>
      </c>
      <c r="B12" s="31"/>
      <c r="C12" s="5"/>
    </row>
    <row r="13" spans="1:8" ht="21" customHeight="1" x14ac:dyDescent="0.3">
      <c r="A13" s="34" t="s">
        <v>53</v>
      </c>
      <c r="B13" s="35"/>
      <c r="C13" s="5"/>
    </row>
    <row r="14" spans="1:8" ht="36.75" customHeight="1" x14ac:dyDescent="0.3">
      <c r="A14" s="31" t="s">
        <v>4</v>
      </c>
      <c r="B14" s="31"/>
      <c r="C14" s="5"/>
    </row>
  </sheetData>
  <dataConsolidate/>
  <mergeCells count="14">
    <mergeCell ref="A6:B6"/>
    <mergeCell ref="A7:B7"/>
    <mergeCell ref="A8:B8"/>
    <mergeCell ref="A14:B14"/>
    <mergeCell ref="A10:B10"/>
    <mergeCell ref="A11:B11"/>
    <mergeCell ref="A12:B12"/>
    <mergeCell ref="A9:B9"/>
    <mergeCell ref="A13:B13"/>
    <mergeCell ref="B1:C1"/>
    <mergeCell ref="A2:B2"/>
    <mergeCell ref="A3:B3"/>
    <mergeCell ref="A5:B5"/>
    <mergeCell ref="A4:B4"/>
  </mergeCells>
  <dataValidations count="5">
    <dataValidation type="list" allowBlank="1" showInputMessage="1" showErrorMessage="1" sqref="C3" xr:uid="{00000000-0002-0000-0000-000000000000}">
      <formula1>"STREAM-B,STREAM-C,TURANLAR"</formula1>
    </dataValidation>
    <dataValidation type="list" allowBlank="1" showInputMessage="1" showErrorMessage="1" sqref="C6" xr:uid="{00000000-0002-0000-0000-000001000000}">
      <formula1>"NORMAL MESAİ,FAZLA MESAİ,VARDİYA"</formula1>
    </dataValidation>
    <dataValidation type="list" allowBlank="1" showInputMessage="1" showErrorMessage="1" sqref="C10 C12" xr:uid="{00000000-0002-0000-0000-000002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 xr:uid="{00000000-0002-0000-0000-000003000000}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 xr:uid="{00000000-0002-0000-0000-000004000000}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106680</xdr:rowOff>
                  </from>
                  <to>
                    <xdr:col>2</xdr:col>
                    <xdr:colOff>1562100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R120"/>
  <sheetViews>
    <sheetView showGridLines="0" topLeftCell="E1" zoomScale="90" zoomScaleNormal="90" workbookViewId="0">
      <selection activeCell="L3" sqref="L3"/>
    </sheetView>
  </sheetViews>
  <sheetFormatPr defaultRowHeight="30" customHeight="1" x14ac:dyDescent="0.3"/>
  <cols>
    <col min="1" max="1" width="29.44140625" style="13" customWidth="1"/>
    <col min="2" max="2" width="16.5546875" style="3" customWidth="1"/>
    <col min="3" max="3" width="18" style="11" customWidth="1"/>
    <col min="4" max="4" width="16.5546875" style="11" customWidth="1"/>
    <col min="5" max="5" width="16.5546875" style="3" customWidth="1"/>
    <col min="6" max="6" width="16.5546875" style="11" customWidth="1"/>
    <col min="7" max="7" width="21.109375" style="3" customWidth="1"/>
    <col min="8" max="8" width="16.5546875" style="11" customWidth="1"/>
    <col min="9" max="9" width="16.5546875" style="3" customWidth="1"/>
    <col min="10" max="10" width="23.21875" style="11" bestFit="1" customWidth="1"/>
    <col min="11" max="12" width="20.21875" style="3" customWidth="1"/>
    <col min="13" max="13" width="86.21875" style="3" bestFit="1" customWidth="1"/>
    <col min="14" max="14" width="18.5546875" style="27" customWidth="1"/>
    <col min="15" max="15" width="16.5546875" style="27" customWidth="1"/>
    <col min="16" max="16" width="22.109375" style="27" bestFit="1" customWidth="1"/>
    <col min="17" max="17" width="11.44140625" style="27" customWidth="1"/>
    <col min="18" max="18" width="11.44140625" style="24" customWidth="1"/>
    <col min="20" max="20" width="16.5546875" customWidth="1"/>
  </cols>
  <sheetData>
    <row r="1" spans="1:18" s="19" customFormat="1" ht="28.8" x14ac:dyDescent="0.3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.05" customHeight="1" x14ac:dyDescent="0.3">
      <c r="A2" s="12">
        <v>46070</v>
      </c>
      <c r="B2" s="5" t="s">
        <v>19</v>
      </c>
      <c r="C2" s="20">
        <v>1437</v>
      </c>
      <c r="D2" s="20">
        <v>587.5</v>
      </c>
      <c r="E2" s="5" t="s">
        <v>24</v>
      </c>
      <c r="F2" s="20">
        <v>30</v>
      </c>
      <c r="G2" s="21" t="s">
        <v>32</v>
      </c>
      <c r="H2" s="20">
        <v>180</v>
      </c>
      <c r="I2" s="21" t="s">
        <v>27</v>
      </c>
      <c r="J2" s="20"/>
      <c r="K2" s="21"/>
      <c r="L2" s="21">
        <v>1</v>
      </c>
      <c r="M2" s="5"/>
      <c r="N2" s="24">
        <f>IFERROR(C2 / VLOOKUP(B2,AYAR!C5:D7,2,0),0)</f>
        <v>0.71850000000000003</v>
      </c>
      <c r="O2" s="24">
        <f>IFERROR((F2 + H2 + J2) / 510,0)</f>
        <v>0.41176470588235292</v>
      </c>
      <c r="P2" s="25">
        <f>IFERROR((510 - (F2 + H2 + J2)) / 510,0)</f>
        <v>0.58823529411764708</v>
      </c>
      <c r="Q2" s="25">
        <f>IF(AND(B2="TURANLAR",C2=0),0,IF(AND(B2="TURANLAR",D2=0),1,IF(D2=0,0,IF(L2=0,1,1-(L2/D2)))))</f>
        <v>0.99829787234042555</v>
      </c>
      <c r="R2" s="25">
        <f>IFERROR(N2*P2*Q2,0)</f>
        <v>0.42192765957446809</v>
      </c>
    </row>
    <row r="3" spans="1:18" s="19" customFormat="1" ht="25.05" customHeight="1" x14ac:dyDescent="0.3">
      <c r="A3" s="12">
        <v>46070</v>
      </c>
      <c r="B3" s="5" t="s">
        <v>22</v>
      </c>
      <c r="C3" s="20">
        <v>400</v>
      </c>
      <c r="D3" s="20">
        <v>0</v>
      </c>
      <c r="E3" s="5" t="s">
        <v>24</v>
      </c>
      <c r="F3" s="20">
        <v>30</v>
      </c>
      <c r="G3" s="21" t="s">
        <v>32</v>
      </c>
      <c r="H3" s="20">
        <v>300</v>
      </c>
      <c r="I3" s="21" t="s">
        <v>27</v>
      </c>
      <c r="J3" s="20"/>
      <c r="K3" s="21"/>
      <c r="L3" s="21"/>
      <c r="M3" s="5"/>
      <c r="N3" s="24">
        <f>IFERROR(C3 / VLOOKUP(B3,AYAR!C5:D7,2,0),0)</f>
        <v>0.24242424242424243</v>
      </c>
      <c r="O3" s="24">
        <f>IFERROR((F3 + H3 + J3) / 510,0)</f>
        <v>0.6470588235294118</v>
      </c>
      <c r="P3" s="25">
        <f>IFERROR((510 - (F3 + H3 + J3)) / 510,0)</f>
        <v>0.35294117647058826</v>
      </c>
      <c r="Q3" s="25">
        <f>IF(AND(B3="TURANLAR",C3=0),0,IF(AND(B3="TURANLAR",D3=0),1,IF(D3=0,0,IF(L3=0,1,1-(L3/D3)))))</f>
        <v>1</v>
      </c>
      <c r="R3" s="25">
        <f>IFERROR(N3*P3*Q3,0)</f>
        <v>8.5561497326203217E-2</v>
      </c>
    </row>
    <row r="4" spans="1:18" s="19" customFormat="1" ht="25.05" customHeight="1" x14ac:dyDescent="0.3">
      <c r="A4" s="12">
        <v>46070</v>
      </c>
      <c r="B4" s="5" t="s">
        <v>20</v>
      </c>
      <c r="C4" s="20"/>
      <c r="D4" s="20">
        <v>0</v>
      </c>
      <c r="E4" s="5"/>
      <c r="F4" s="20"/>
      <c r="G4" s="21"/>
      <c r="H4" s="20">
        <v>510</v>
      </c>
      <c r="I4" s="21" t="s">
        <v>27</v>
      </c>
      <c r="J4" s="20"/>
      <c r="K4" s="21"/>
      <c r="L4" s="21"/>
      <c r="M4" s="5" t="s">
        <v>28</v>
      </c>
      <c r="N4" s="24">
        <f>IFERROR(C4 / VLOOKUP(B4,AYAR!C5:D7,2,0),0)</f>
        <v>0</v>
      </c>
      <c r="O4" s="24">
        <f>IFERROR((F4 + H4 + J4) / 510,0)</f>
        <v>1</v>
      </c>
      <c r="P4" s="25">
        <f>IFERROR((510 - (F4 + H4 + J4)) / 510,0)</f>
        <v>0</v>
      </c>
      <c r="Q4" s="25">
        <f>IF(AND(B4="TURANLAR",C4=0),0,IF(AND(B4="TURANLAR",D4=0),1,IF(D4=0,0,IF(L4=0,1,1-(L4/D4)))))</f>
        <v>0</v>
      </c>
      <c r="R4" s="25">
        <f>IFERROR(N4*P4*Q4,0)</f>
        <v>0</v>
      </c>
    </row>
    <row r="5" spans="1:18" s="19" customFormat="1" ht="25.05" customHeight="1" x14ac:dyDescent="0.3">
      <c r="A5" s="12">
        <v>46069</v>
      </c>
      <c r="B5" s="5" t="s">
        <v>19</v>
      </c>
      <c r="C5" s="20">
        <v>1115</v>
      </c>
      <c r="D5" s="20">
        <v>450.25</v>
      </c>
      <c r="E5" s="5" t="s">
        <v>24</v>
      </c>
      <c r="F5" s="20">
        <v>30</v>
      </c>
      <c r="G5" s="21" t="s">
        <v>32</v>
      </c>
      <c r="H5" s="20">
        <v>40</v>
      </c>
      <c r="I5" s="21" t="s">
        <v>23</v>
      </c>
      <c r="J5" s="20"/>
      <c r="K5" s="21"/>
      <c r="L5" s="21"/>
      <c r="M5" s="5" t="s">
        <v>56</v>
      </c>
      <c r="N5" s="24">
        <f>IFERROR(C5 / VLOOKUP(B5,AYAR!C5:D7,2,0),0)</f>
        <v>0.5575</v>
      </c>
      <c r="O5" s="24">
        <f t="shared" ref="O5:O10" si="0">IFERROR((F5 + H5 + J5) / 510,0)</f>
        <v>0.13725490196078433</v>
      </c>
      <c r="P5" s="25">
        <f t="shared" ref="P5:P10" si="1">IFERROR((510 - (F5 + H5 + J5)) / 510,0)</f>
        <v>0.86274509803921573</v>
      </c>
      <c r="Q5" s="25">
        <f t="shared" ref="Q5:Q10" si="2">IF(AND(B5="TURANLAR",C5=0),0,IF(AND(B5="TURANLAR",D5=0),1,IF(D5=0,0,IF(L5=0,1,1-(L5/D5)))))</f>
        <v>1</v>
      </c>
      <c r="R5" s="25">
        <f t="shared" ref="R5:R10" si="3">IFERROR(N5*P5*Q5,0)</f>
        <v>0.48098039215686278</v>
      </c>
    </row>
    <row r="6" spans="1:18" s="19" customFormat="1" ht="25.05" customHeight="1" x14ac:dyDescent="0.3">
      <c r="A6" s="12">
        <v>46069</v>
      </c>
      <c r="B6" s="5" t="s">
        <v>20</v>
      </c>
      <c r="C6" s="20">
        <v>340</v>
      </c>
      <c r="D6" s="20">
        <v>230</v>
      </c>
      <c r="E6" s="5" t="s">
        <v>24</v>
      </c>
      <c r="F6" s="20">
        <v>30</v>
      </c>
      <c r="G6" s="21" t="s">
        <v>32</v>
      </c>
      <c r="H6" s="20">
        <v>400</v>
      </c>
      <c r="I6" s="21" t="s">
        <v>27</v>
      </c>
      <c r="J6" s="20"/>
      <c r="K6" s="21"/>
      <c r="L6" s="21"/>
      <c r="M6" s="5"/>
      <c r="N6" s="24">
        <f>IFERROR(C6 / VLOOKUP(B6,AYAR!C5:D7,2,0),0)</f>
        <v>8.5000000000000006E-2</v>
      </c>
      <c r="O6" s="24">
        <f t="shared" si="0"/>
        <v>0.84313725490196079</v>
      </c>
      <c r="P6" s="25">
        <f t="shared" si="1"/>
        <v>0.15686274509803921</v>
      </c>
      <c r="Q6" s="25">
        <f t="shared" si="2"/>
        <v>1</v>
      </c>
      <c r="R6" s="25">
        <f t="shared" si="3"/>
        <v>1.3333333333333334E-2</v>
      </c>
    </row>
    <row r="7" spans="1:18" s="19" customFormat="1" ht="25.05" customHeight="1" x14ac:dyDescent="0.3">
      <c r="A7" s="12">
        <v>46069</v>
      </c>
      <c r="B7" s="5" t="s">
        <v>22</v>
      </c>
      <c r="C7" s="20"/>
      <c r="D7" s="20">
        <v>0</v>
      </c>
      <c r="E7" s="5"/>
      <c r="F7" s="20"/>
      <c r="G7" s="21"/>
      <c r="H7" s="20">
        <v>540</v>
      </c>
      <c r="I7" s="21" t="s">
        <v>27</v>
      </c>
      <c r="J7" s="20"/>
      <c r="K7" s="21"/>
      <c r="L7" s="21"/>
      <c r="M7" s="5" t="s">
        <v>28</v>
      </c>
      <c r="N7" s="24">
        <f>IFERROR(C7 / VLOOKUP(B7,AYAR!C5:D7,2,0),0)</f>
        <v>0</v>
      </c>
      <c r="O7" s="24">
        <f t="shared" si="0"/>
        <v>1.0588235294117647</v>
      </c>
      <c r="P7" s="25">
        <f t="shared" si="1"/>
        <v>-5.8823529411764705E-2</v>
      </c>
      <c r="Q7" s="25">
        <f t="shared" si="2"/>
        <v>0</v>
      </c>
      <c r="R7" s="25">
        <f t="shared" si="3"/>
        <v>0</v>
      </c>
    </row>
    <row r="8" spans="1:18" s="19" customFormat="1" ht="25.05" customHeight="1" x14ac:dyDescent="0.3">
      <c r="A8" s="12">
        <v>46066</v>
      </c>
      <c r="B8" s="5" t="s">
        <v>20</v>
      </c>
      <c r="C8" s="20">
        <v>526</v>
      </c>
      <c r="D8" s="20">
        <v>236</v>
      </c>
      <c r="E8" s="5" t="s">
        <v>24</v>
      </c>
      <c r="F8" s="20">
        <v>30</v>
      </c>
      <c r="G8" s="21" t="s">
        <v>32</v>
      </c>
      <c r="H8" s="20">
        <v>45</v>
      </c>
      <c r="I8" s="21" t="s">
        <v>25</v>
      </c>
      <c r="J8" s="20">
        <v>255</v>
      </c>
      <c r="K8" s="21" t="s">
        <v>27</v>
      </c>
      <c r="L8" s="21"/>
      <c r="M8" s="5"/>
      <c r="N8" s="24">
        <f>IFERROR(C8 / VLOOKUP(B8,AYAR!C5:D7,2,0),0)</f>
        <v>0.13150000000000001</v>
      </c>
      <c r="O8" s="24">
        <f t="shared" si="0"/>
        <v>0.6470588235294118</v>
      </c>
      <c r="P8" s="25">
        <f t="shared" si="1"/>
        <v>0.35294117647058826</v>
      </c>
      <c r="Q8" s="25">
        <f t="shared" si="2"/>
        <v>1</v>
      </c>
      <c r="R8" s="25">
        <f t="shared" si="3"/>
        <v>4.6411764705882361E-2</v>
      </c>
    </row>
    <row r="9" spans="1:18" s="19" customFormat="1" ht="25.05" customHeight="1" x14ac:dyDescent="0.3">
      <c r="A9" s="12">
        <v>46066</v>
      </c>
      <c r="B9" s="5" t="s">
        <v>19</v>
      </c>
      <c r="C9" s="20">
        <v>1208</v>
      </c>
      <c r="D9" s="20">
        <v>553.25</v>
      </c>
      <c r="E9" s="5" t="s">
        <v>24</v>
      </c>
      <c r="F9" s="20">
        <v>30</v>
      </c>
      <c r="G9" s="21" t="s">
        <v>32</v>
      </c>
      <c r="H9" s="20">
        <v>45</v>
      </c>
      <c r="I9" s="21" t="s">
        <v>25</v>
      </c>
      <c r="J9" s="20"/>
      <c r="K9" s="21"/>
      <c r="L9" s="21"/>
      <c r="M9" s="5"/>
      <c r="N9" s="24">
        <f>IFERROR(C9 / VLOOKUP(B9,AYAR!C5:D7,2,0),0)</f>
        <v>0.60399999999999998</v>
      </c>
      <c r="O9" s="24">
        <f t="shared" si="0"/>
        <v>0.14705882352941177</v>
      </c>
      <c r="P9" s="25">
        <f t="shared" si="1"/>
        <v>0.8529411764705882</v>
      </c>
      <c r="Q9" s="25">
        <f t="shared" si="2"/>
        <v>1</v>
      </c>
      <c r="R9" s="25">
        <f t="shared" si="3"/>
        <v>0.51517647058823524</v>
      </c>
    </row>
    <row r="10" spans="1:18" s="19" customFormat="1" ht="25.05" customHeight="1" x14ac:dyDescent="0.3">
      <c r="A10" s="12">
        <v>46066</v>
      </c>
      <c r="B10" s="5" t="s">
        <v>22</v>
      </c>
      <c r="C10" s="20">
        <v>641</v>
      </c>
      <c r="D10" s="20">
        <v>0</v>
      </c>
      <c r="E10" s="5" t="s">
        <v>24</v>
      </c>
      <c r="F10" s="20">
        <v>30</v>
      </c>
      <c r="G10" s="21" t="s">
        <v>32</v>
      </c>
      <c r="H10" s="20">
        <v>190</v>
      </c>
      <c r="I10" s="21" t="s">
        <v>27</v>
      </c>
      <c r="J10" s="20">
        <v>60</v>
      </c>
      <c r="K10" s="21" t="s">
        <v>55</v>
      </c>
      <c r="L10" s="21"/>
      <c r="M10" s="5" t="s">
        <v>54</v>
      </c>
      <c r="N10" s="24">
        <f>IFERROR(C10 / VLOOKUP(B10,AYAR!C5:D7,2,0),0)</f>
        <v>0.38848484848484849</v>
      </c>
      <c r="O10" s="24">
        <f t="shared" si="0"/>
        <v>0.5490196078431373</v>
      </c>
      <c r="P10" s="25">
        <f t="shared" si="1"/>
        <v>0.45098039215686275</v>
      </c>
      <c r="Q10" s="25">
        <f t="shared" si="2"/>
        <v>1</v>
      </c>
      <c r="R10" s="25">
        <f t="shared" si="3"/>
        <v>0.17519904931669639</v>
      </c>
    </row>
    <row r="11" spans="1:18" s="19" customFormat="1" ht="25.05" customHeight="1" x14ac:dyDescent="0.3">
      <c r="A11" s="12">
        <v>46065</v>
      </c>
      <c r="B11" s="5" t="s">
        <v>22</v>
      </c>
      <c r="C11" s="20">
        <v>320</v>
      </c>
      <c r="D11" s="20">
        <v>0</v>
      </c>
      <c r="E11" s="5" t="s">
        <v>24</v>
      </c>
      <c r="F11" s="20">
        <v>30</v>
      </c>
      <c r="G11" s="21" t="s">
        <v>32</v>
      </c>
      <c r="H11" s="20">
        <v>390</v>
      </c>
      <c r="I11" s="21" t="s">
        <v>27</v>
      </c>
      <c r="J11" s="20"/>
      <c r="K11" s="21"/>
      <c r="L11" s="21"/>
      <c r="M11" s="5" t="s">
        <v>37</v>
      </c>
      <c r="N11" s="24">
        <f>C11 / VLOOKUP(B11,AYAR!C5:D7,2,0)</f>
        <v>0.19393939393939394</v>
      </c>
      <c r="O11" s="24">
        <f>(F11 + H11 + J11) / 510</f>
        <v>0.82352941176470584</v>
      </c>
      <c r="P11" s="25">
        <f>(510 - (F11 + H11 + J11)) / 510</f>
        <v>0.17647058823529413</v>
      </c>
      <c r="Q11" s="25">
        <f>IF(AND(B11="TURANLAR",D11=0),1,IF(D11=0,0,IF(L11=0,1,1-(L11/D11))))</f>
        <v>1</v>
      </c>
      <c r="R11" s="28">
        <f>N11*P11*Q11</f>
        <v>3.4224598930481284E-2</v>
      </c>
    </row>
    <row r="12" spans="1:18" s="19" customFormat="1" ht="25.05" customHeight="1" x14ac:dyDescent="0.3">
      <c r="A12" s="12">
        <v>46065</v>
      </c>
      <c r="B12" s="5" t="s">
        <v>19</v>
      </c>
      <c r="C12" s="20">
        <v>1085</v>
      </c>
      <c r="D12" s="20">
        <v>493.5</v>
      </c>
      <c r="E12" s="5" t="s">
        <v>24</v>
      </c>
      <c r="F12" s="20">
        <v>30</v>
      </c>
      <c r="G12" s="21" t="s">
        <v>32</v>
      </c>
      <c r="H12" s="20">
        <v>180</v>
      </c>
      <c r="I12" s="21" t="s">
        <v>27</v>
      </c>
      <c r="J12" s="20"/>
      <c r="K12" s="21"/>
      <c r="L12" s="21"/>
      <c r="M12" s="5"/>
      <c r="N12" s="24">
        <f>C12 / VLOOKUP(B12,AYAR!C5:D7,2,0)</f>
        <v>0.54249999999999998</v>
      </c>
      <c r="O12" s="24">
        <f>(F12 + H12 + J12) / 510</f>
        <v>0.41176470588235292</v>
      </c>
      <c r="P12" s="25">
        <f>(510 - (F12 + H12 + J12)) / 510</f>
        <v>0.58823529411764708</v>
      </c>
      <c r="Q12" s="25">
        <f t="shared" ref="Q12:Q74" si="4">IF(D12=0,0,IF(L12=0,1,1-(L12/D12)))</f>
        <v>1</v>
      </c>
      <c r="R12" s="28">
        <f t="shared" ref="R12:R75" si="5">N12*P12*Q12</f>
        <v>0.31911764705882351</v>
      </c>
    </row>
    <row r="13" spans="1:18" s="19" customFormat="1" ht="25.05" customHeight="1" x14ac:dyDescent="0.3">
      <c r="A13" s="12">
        <v>46065</v>
      </c>
      <c r="B13" s="5" t="s">
        <v>20</v>
      </c>
      <c r="C13" s="20"/>
      <c r="D13" s="20">
        <v>1</v>
      </c>
      <c r="E13" s="5"/>
      <c r="F13" s="20"/>
      <c r="G13" s="21" t="s">
        <v>27</v>
      </c>
      <c r="H13" s="20">
        <v>510</v>
      </c>
      <c r="I13" s="21"/>
      <c r="J13" s="20"/>
      <c r="K13" s="21"/>
      <c r="L13" s="21"/>
      <c r="M13" s="5" t="s">
        <v>28</v>
      </c>
      <c r="N13" s="24">
        <f>C13 / VLOOKUP(B13,AYAR!C5:D7,2,0)</f>
        <v>0</v>
      </c>
      <c r="O13" s="24">
        <f t="shared" ref="O13:O44" si="6">(F13 + H13 + J13) / 540</f>
        <v>0.94444444444444442</v>
      </c>
      <c r="P13" s="25">
        <f t="shared" ref="P13:P44" si="7">(540 - (F13 + H13 + J13)) / 540</f>
        <v>5.5555555555555552E-2</v>
      </c>
      <c r="Q13" s="25">
        <f t="shared" si="4"/>
        <v>1</v>
      </c>
      <c r="R13" s="28">
        <f t="shared" si="5"/>
        <v>0</v>
      </c>
    </row>
    <row r="14" spans="1:18" s="19" customFormat="1" ht="25.05" customHeight="1" x14ac:dyDescent="0.3">
      <c r="A14" s="12">
        <v>46064</v>
      </c>
      <c r="B14" s="5" t="s">
        <v>22</v>
      </c>
      <c r="C14" s="20">
        <v>921</v>
      </c>
      <c r="D14" s="20">
        <v>0</v>
      </c>
      <c r="E14" s="5" t="s">
        <v>24</v>
      </c>
      <c r="F14" s="20">
        <v>30</v>
      </c>
      <c r="G14" s="21" t="s">
        <v>32</v>
      </c>
      <c r="H14" s="20">
        <v>20</v>
      </c>
      <c r="I14" s="21" t="s">
        <v>46</v>
      </c>
      <c r="J14" s="20"/>
      <c r="K14" s="21"/>
      <c r="L14" s="21"/>
      <c r="M14" s="5" t="s">
        <v>47</v>
      </c>
      <c r="N14" s="24">
        <f>C14 / VLOOKUP(B14,AYAR!C5:D7,2,0)</f>
        <v>0.55818181818181822</v>
      </c>
      <c r="O14" s="24">
        <f t="shared" si="6"/>
        <v>9.2592592592592587E-2</v>
      </c>
      <c r="P14" s="25">
        <f t="shared" si="7"/>
        <v>0.90740740740740744</v>
      </c>
      <c r="Q14" s="25">
        <f>IF(AND(B14="TURANLAR",D14=0),1,IF(D14=0,0,IF(L14=0,1,1-(L14/D14))))</f>
        <v>1</v>
      </c>
      <c r="R14" s="28">
        <f t="shared" si="5"/>
        <v>0.50649831649831656</v>
      </c>
    </row>
    <row r="15" spans="1:18" s="19" customFormat="1" ht="25.05" customHeight="1" x14ac:dyDescent="0.3">
      <c r="A15" s="12">
        <v>46064</v>
      </c>
      <c r="B15" s="5" t="s">
        <v>19</v>
      </c>
      <c r="C15" s="20">
        <v>450</v>
      </c>
      <c r="D15" s="20">
        <v>170.75</v>
      </c>
      <c r="E15" s="5" t="s">
        <v>24</v>
      </c>
      <c r="F15" s="20">
        <v>30</v>
      </c>
      <c r="G15" s="21" t="s">
        <v>32</v>
      </c>
      <c r="H15" s="20">
        <v>310</v>
      </c>
      <c r="I15" s="21" t="s">
        <v>27</v>
      </c>
      <c r="J15" s="20">
        <v>20</v>
      </c>
      <c r="K15" s="21" t="s">
        <v>46</v>
      </c>
      <c r="L15" s="21"/>
      <c r="M15" s="5"/>
      <c r="N15" s="24">
        <f>C15 / VLOOKUP(B15,AYAR!C5:D7,2,0)</f>
        <v>0.22500000000000001</v>
      </c>
      <c r="O15" s="24">
        <f t="shared" si="6"/>
        <v>0.66666666666666663</v>
      </c>
      <c r="P15" s="25">
        <f t="shared" si="7"/>
        <v>0.33333333333333331</v>
      </c>
      <c r="Q15" s="25">
        <f t="shared" si="4"/>
        <v>1</v>
      </c>
      <c r="R15" s="28">
        <f t="shared" si="5"/>
        <v>7.4999999999999997E-2</v>
      </c>
    </row>
    <row r="16" spans="1:18" s="19" customFormat="1" ht="25.05" customHeight="1" x14ac:dyDescent="0.3">
      <c r="A16" s="12">
        <v>46064</v>
      </c>
      <c r="B16" s="5" t="s">
        <v>20</v>
      </c>
      <c r="C16" s="20">
        <v>1092</v>
      </c>
      <c r="D16" s="20">
        <v>374.5</v>
      </c>
      <c r="E16" s="5" t="s">
        <v>24</v>
      </c>
      <c r="F16" s="20">
        <v>30</v>
      </c>
      <c r="G16" s="21" t="s">
        <v>32</v>
      </c>
      <c r="H16" s="20">
        <v>270</v>
      </c>
      <c r="I16" s="21" t="s">
        <v>27</v>
      </c>
      <c r="J16" s="20"/>
      <c r="K16" s="21"/>
      <c r="L16" s="21"/>
      <c r="M16" s="5"/>
      <c r="N16" s="24">
        <f>C16 / VLOOKUP(B16,AYAR!C5:D7,2,0)</f>
        <v>0.27300000000000002</v>
      </c>
      <c r="O16" s="24">
        <f t="shared" si="6"/>
        <v>0.55555555555555558</v>
      </c>
      <c r="P16" s="25">
        <f t="shared" si="7"/>
        <v>0.44444444444444442</v>
      </c>
      <c r="Q16" s="25">
        <f t="shared" si="4"/>
        <v>1</v>
      </c>
      <c r="R16" s="28">
        <f t="shared" si="5"/>
        <v>0.12133333333333333</v>
      </c>
    </row>
    <row r="17" spans="1:18" s="19" customFormat="1" ht="25.05" customHeight="1" x14ac:dyDescent="0.3">
      <c r="A17" s="12">
        <v>46063</v>
      </c>
      <c r="B17" s="5" t="s">
        <v>19</v>
      </c>
      <c r="C17" s="20">
        <v>447</v>
      </c>
      <c r="D17" s="20">
        <v>151.5</v>
      </c>
      <c r="E17" s="5" t="s">
        <v>24</v>
      </c>
      <c r="F17" s="20">
        <v>30</v>
      </c>
      <c r="G17" s="21" t="s">
        <v>32</v>
      </c>
      <c r="H17" s="20">
        <v>330</v>
      </c>
      <c r="I17" s="21" t="s">
        <v>27</v>
      </c>
      <c r="J17" s="20"/>
      <c r="K17" s="21"/>
      <c r="L17" s="21"/>
      <c r="M17" s="5"/>
      <c r="N17" s="24">
        <f>C17 / VLOOKUP(B17,AYAR!C5:D7,2,0)</f>
        <v>0.2235</v>
      </c>
      <c r="O17" s="24">
        <f t="shared" si="6"/>
        <v>0.66666666666666663</v>
      </c>
      <c r="P17" s="25">
        <f t="shared" si="7"/>
        <v>0.33333333333333331</v>
      </c>
      <c r="Q17" s="25">
        <f t="shared" si="4"/>
        <v>1</v>
      </c>
      <c r="R17" s="28">
        <f t="shared" si="5"/>
        <v>7.4499999999999997E-2</v>
      </c>
    </row>
    <row r="18" spans="1:18" s="19" customFormat="1" ht="25.05" customHeight="1" x14ac:dyDescent="0.3">
      <c r="A18" s="12">
        <v>46063</v>
      </c>
      <c r="B18" s="5" t="s">
        <v>20</v>
      </c>
      <c r="C18" s="20">
        <v>1556</v>
      </c>
      <c r="D18" s="20">
        <v>585.5</v>
      </c>
      <c r="E18" s="5" t="s">
        <v>24</v>
      </c>
      <c r="F18" s="20">
        <v>30</v>
      </c>
      <c r="G18" s="21" t="s">
        <v>32</v>
      </c>
      <c r="H18" s="20">
        <v>240</v>
      </c>
      <c r="I18" s="21" t="s">
        <v>27</v>
      </c>
      <c r="J18" s="20"/>
      <c r="K18" s="21"/>
      <c r="L18" s="21"/>
      <c r="M18" s="5"/>
      <c r="N18" s="24">
        <f>C18 / VLOOKUP(B18,AYAR!C5:D7,2,0)</f>
        <v>0.38900000000000001</v>
      </c>
      <c r="O18" s="24">
        <f t="shared" si="6"/>
        <v>0.5</v>
      </c>
      <c r="P18" s="25">
        <f t="shared" si="7"/>
        <v>0.5</v>
      </c>
      <c r="Q18" s="25">
        <f t="shared" si="4"/>
        <v>1</v>
      </c>
      <c r="R18" s="28">
        <f t="shared" si="5"/>
        <v>0.19450000000000001</v>
      </c>
    </row>
    <row r="19" spans="1:18" s="19" customFormat="1" ht="25.05" customHeight="1" x14ac:dyDescent="0.3">
      <c r="A19" s="12">
        <v>46063</v>
      </c>
      <c r="B19" s="5" t="s">
        <v>22</v>
      </c>
      <c r="C19" s="20">
        <v>1345</v>
      </c>
      <c r="D19" s="20">
        <v>0</v>
      </c>
      <c r="E19" s="5" t="s">
        <v>24</v>
      </c>
      <c r="F19" s="20">
        <v>30</v>
      </c>
      <c r="G19" s="21" t="s">
        <v>32</v>
      </c>
      <c r="H19" s="20"/>
      <c r="I19" s="21"/>
      <c r="J19" s="20"/>
      <c r="K19" s="21"/>
      <c r="L19" s="21"/>
      <c r="M19" s="5"/>
      <c r="N19" s="24">
        <f>C19 / VLOOKUP(B19,AYAR!C5:D7,2,0)</f>
        <v>0.81515151515151518</v>
      </c>
      <c r="O19" s="24">
        <f t="shared" si="6"/>
        <v>5.5555555555555552E-2</v>
      </c>
      <c r="P19" s="25">
        <f t="shared" si="7"/>
        <v>0.94444444444444442</v>
      </c>
      <c r="Q19" s="25">
        <f t="shared" ref="Q19:Q20" si="8">IF(AND(B19="TURANLAR",D19=0),1,IF(D19=0,0,IF(L19=0,1,1-(L19/D19))))</f>
        <v>1</v>
      </c>
      <c r="R19" s="28">
        <f t="shared" si="5"/>
        <v>0.76986531986531992</v>
      </c>
    </row>
    <row r="20" spans="1:18" s="19" customFormat="1" ht="25.05" customHeight="1" x14ac:dyDescent="0.3">
      <c r="A20" s="12">
        <v>46062</v>
      </c>
      <c r="B20" s="5" t="s">
        <v>22</v>
      </c>
      <c r="C20" s="20">
        <v>220</v>
      </c>
      <c r="D20" s="20">
        <v>0</v>
      </c>
      <c r="E20" s="5" t="s">
        <v>24</v>
      </c>
      <c r="F20" s="20">
        <v>30</v>
      </c>
      <c r="G20" s="21" t="s">
        <v>32</v>
      </c>
      <c r="H20" s="20">
        <v>420</v>
      </c>
      <c r="I20" s="21" t="s">
        <v>27</v>
      </c>
      <c r="J20" s="20"/>
      <c r="K20" s="21"/>
      <c r="L20" s="21"/>
      <c r="M20" s="5"/>
      <c r="N20" s="24">
        <f>C20 / VLOOKUP(B20,AYAR!C5:D7,2,0)</f>
        <v>0.13333333333333333</v>
      </c>
      <c r="O20" s="24">
        <f t="shared" si="6"/>
        <v>0.83333333333333337</v>
      </c>
      <c r="P20" s="25">
        <f t="shared" si="7"/>
        <v>0.16666666666666666</v>
      </c>
      <c r="Q20" s="25">
        <f t="shared" si="8"/>
        <v>1</v>
      </c>
      <c r="R20" s="28">
        <f t="shared" si="5"/>
        <v>2.222222222222222E-2</v>
      </c>
    </row>
    <row r="21" spans="1:18" s="19" customFormat="1" ht="25.05" customHeight="1" x14ac:dyDescent="0.3">
      <c r="A21" s="12">
        <v>46062</v>
      </c>
      <c r="B21" s="5" t="s">
        <v>19</v>
      </c>
      <c r="C21" s="20">
        <v>786</v>
      </c>
      <c r="D21" s="20">
        <v>303</v>
      </c>
      <c r="E21" s="5" t="s">
        <v>24</v>
      </c>
      <c r="F21" s="20">
        <v>30</v>
      </c>
      <c r="G21" s="21" t="s">
        <v>32</v>
      </c>
      <c r="H21" s="20">
        <v>180</v>
      </c>
      <c r="I21" s="21" t="s">
        <v>27</v>
      </c>
      <c r="J21" s="20"/>
      <c r="K21" s="21"/>
      <c r="L21" s="21"/>
      <c r="M21" s="5"/>
      <c r="N21" s="24">
        <f>C21 / VLOOKUP(B21,AYAR!C5:D7,2,0)</f>
        <v>0.39300000000000002</v>
      </c>
      <c r="O21" s="24">
        <f t="shared" si="6"/>
        <v>0.3888888888888889</v>
      </c>
      <c r="P21" s="25">
        <f t="shared" si="7"/>
        <v>0.61111111111111116</v>
      </c>
      <c r="Q21" s="25">
        <f t="shared" si="4"/>
        <v>1</v>
      </c>
      <c r="R21" s="28">
        <f t="shared" si="5"/>
        <v>0.24016666666666669</v>
      </c>
    </row>
    <row r="22" spans="1:18" s="19" customFormat="1" ht="25.05" customHeight="1" x14ac:dyDescent="0.3">
      <c r="A22" s="12">
        <v>46062</v>
      </c>
      <c r="B22" s="5" t="s">
        <v>20</v>
      </c>
      <c r="C22" s="20">
        <v>382</v>
      </c>
      <c r="D22" s="20">
        <v>129</v>
      </c>
      <c r="E22" s="5" t="s">
        <v>24</v>
      </c>
      <c r="F22" s="20">
        <v>30</v>
      </c>
      <c r="G22" s="21" t="s">
        <v>32</v>
      </c>
      <c r="H22" s="20">
        <v>330</v>
      </c>
      <c r="I22" s="21" t="s">
        <v>27</v>
      </c>
      <c r="J22" s="20"/>
      <c r="K22" s="21"/>
      <c r="L22" s="21"/>
      <c r="M22" s="5"/>
      <c r="N22" s="24">
        <f>C22 / VLOOKUP(B22,AYAR!C5:D7,2,0)</f>
        <v>9.5500000000000002E-2</v>
      </c>
      <c r="O22" s="24">
        <f t="shared" si="6"/>
        <v>0.66666666666666663</v>
      </c>
      <c r="P22" s="25">
        <f t="shared" si="7"/>
        <v>0.33333333333333331</v>
      </c>
      <c r="Q22" s="25">
        <f t="shared" si="4"/>
        <v>1</v>
      </c>
      <c r="R22" s="28">
        <f t="shared" si="5"/>
        <v>3.1833333333333332E-2</v>
      </c>
    </row>
    <row r="23" spans="1:18" s="19" customFormat="1" ht="25.05" customHeight="1" x14ac:dyDescent="0.3">
      <c r="A23" s="12">
        <v>46059</v>
      </c>
      <c r="B23" s="5" t="s">
        <v>19</v>
      </c>
      <c r="C23" s="20">
        <v>327</v>
      </c>
      <c r="D23" s="20">
        <v>163.25</v>
      </c>
      <c r="E23" s="5" t="s">
        <v>24</v>
      </c>
      <c r="F23" s="20">
        <v>30</v>
      </c>
      <c r="G23" s="21" t="s">
        <v>27</v>
      </c>
      <c r="H23" s="20">
        <v>440</v>
      </c>
      <c r="I23" s="21" t="s">
        <v>27</v>
      </c>
      <c r="J23" s="20"/>
      <c r="K23" s="21"/>
      <c r="L23" s="21"/>
      <c r="M23" s="5" t="s">
        <v>45</v>
      </c>
      <c r="N23" s="24">
        <f>C23 / VLOOKUP(B23,AYAR!C5:D7,2,0)</f>
        <v>0.16350000000000001</v>
      </c>
      <c r="O23" s="24">
        <f t="shared" si="6"/>
        <v>0.87037037037037035</v>
      </c>
      <c r="P23" s="25">
        <f t="shared" si="7"/>
        <v>0.12962962962962962</v>
      </c>
      <c r="Q23" s="25">
        <f t="shared" si="4"/>
        <v>1</v>
      </c>
      <c r="R23" s="28">
        <f t="shared" si="5"/>
        <v>2.1194444444444443E-2</v>
      </c>
    </row>
    <row r="24" spans="1:18" s="19" customFormat="1" ht="25.05" customHeight="1" x14ac:dyDescent="0.3">
      <c r="A24" s="12">
        <v>46059</v>
      </c>
      <c r="B24" s="5" t="s">
        <v>22</v>
      </c>
      <c r="C24" s="20"/>
      <c r="D24" s="20">
        <v>0</v>
      </c>
      <c r="E24" s="5"/>
      <c r="F24" s="20"/>
      <c r="G24" s="21" t="s">
        <v>27</v>
      </c>
      <c r="H24" s="20">
        <v>540</v>
      </c>
      <c r="I24" s="21"/>
      <c r="J24" s="20"/>
      <c r="K24" s="21"/>
      <c r="L24" s="21"/>
      <c r="M24" s="5" t="s">
        <v>45</v>
      </c>
      <c r="N24" s="24">
        <f>C24 / VLOOKUP(B24,AYAR!C5:D7,2,0)</f>
        <v>0</v>
      </c>
      <c r="O24" s="24">
        <f t="shared" si="6"/>
        <v>1</v>
      </c>
      <c r="P24" s="25">
        <f t="shared" si="7"/>
        <v>0</v>
      </c>
      <c r="Q24" s="25">
        <f t="shared" si="4"/>
        <v>0</v>
      </c>
      <c r="R24" s="28">
        <f t="shared" si="5"/>
        <v>0</v>
      </c>
    </row>
    <row r="25" spans="1:18" s="19" customFormat="1" ht="25.05" customHeight="1" x14ac:dyDescent="0.3">
      <c r="A25" s="12">
        <v>46059</v>
      </c>
      <c r="B25" s="5" t="s">
        <v>20</v>
      </c>
      <c r="C25" s="20"/>
      <c r="D25" s="20">
        <v>1</v>
      </c>
      <c r="E25" s="5"/>
      <c r="F25" s="20"/>
      <c r="G25" s="21" t="s">
        <v>27</v>
      </c>
      <c r="H25" s="20">
        <v>540</v>
      </c>
      <c r="I25" s="21"/>
      <c r="J25" s="20"/>
      <c r="K25" s="21"/>
      <c r="L25" s="21"/>
      <c r="M25" s="5" t="s">
        <v>45</v>
      </c>
      <c r="N25" s="24">
        <f>C25 / VLOOKUP(B25,AYAR!C5:D7,2,0)</f>
        <v>0</v>
      </c>
      <c r="O25" s="24">
        <f t="shared" si="6"/>
        <v>1</v>
      </c>
      <c r="P25" s="25">
        <f t="shared" si="7"/>
        <v>0</v>
      </c>
      <c r="Q25" s="25">
        <f t="shared" si="4"/>
        <v>1</v>
      </c>
      <c r="R25" s="28">
        <f t="shared" si="5"/>
        <v>0</v>
      </c>
    </row>
    <row r="26" spans="1:18" s="19" customFormat="1" ht="25.05" customHeight="1" x14ac:dyDescent="0.3">
      <c r="A26" s="12">
        <v>46058</v>
      </c>
      <c r="B26" s="5" t="s">
        <v>22</v>
      </c>
      <c r="C26" s="20"/>
      <c r="D26" s="20">
        <v>0</v>
      </c>
      <c r="E26" s="5" t="s">
        <v>24</v>
      </c>
      <c r="F26" s="20"/>
      <c r="G26" s="21" t="s">
        <v>27</v>
      </c>
      <c r="H26" s="20"/>
      <c r="I26" s="21"/>
      <c r="J26" s="20"/>
      <c r="K26" s="21"/>
      <c r="L26" s="21"/>
      <c r="M26" s="5" t="s">
        <v>44</v>
      </c>
      <c r="N26" s="24">
        <f>C26 / VLOOKUP(B26,AYAR!C5:D7,2,0)</f>
        <v>0</v>
      </c>
      <c r="O26" s="24">
        <f t="shared" si="6"/>
        <v>0</v>
      </c>
      <c r="P26" s="25">
        <f t="shared" si="7"/>
        <v>1</v>
      </c>
      <c r="Q26" s="25">
        <f t="shared" si="4"/>
        <v>0</v>
      </c>
      <c r="R26" s="28">
        <f t="shared" si="5"/>
        <v>0</v>
      </c>
    </row>
    <row r="27" spans="1:18" s="19" customFormat="1" ht="25.05" customHeight="1" x14ac:dyDescent="0.3">
      <c r="A27" s="12">
        <v>46058</v>
      </c>
      <c r="B27" s="5" t="s">
        <v>20</v>
      </c>
      <c r="C27" s="20"/>
      <c r="D27" s="20">
        <v>1</v>
      </c>
      <c r="E27" s="5" t="s">
        <v>24</v>
      </c>
      <c r="F27" s="20"/>
      <c r="G27" s="21" t="s">
        <v>27</v>
      </c>
      <c r="H27" s="20"/>
      <c r="I27" s="21"/>
      <c r="J27" s="20"/>
      <c r="K27" s="21"/>
      <c r="L27" s="21"/>
      <c r="M27" s="5" t="s">
        <v>44</v>
      </c>
      <c r="N27" s="24">
        <f>C27 / VLOOKUP(B27,AYAR!C5:D7,2,0)</f>
        <v>0</v>
      </c>
      <c r="O27" s="24">
        <f t="shared" si="6"/>
        <v>0</v>
      </c>
      <c r="P27" s="25">
        <f t="shared" si="7"/>
        <v>1</v>
      </c>
      <c r="Q27" s="25">
        <f t="shared" si="4"/>
        <v>1</v>
      </c>
      <c r="R27" s="28">
        <f t="shared" si="5"/>
        <v>0</v>
      </c>
    </row>
    <row r="28" spans="1:18" s="19" customFormat="1" ht="25.05" customHeight="1" x14ac:dyDescent="0.3">
      <c r="A28" s="12">
        <v>46058</v>
      </c>
      <c r="B28" s="5" t="s">
        <v>19</v>
      </c>
      <c r="C28" s="20"/>
      <c r="D28" s="20">
        <v>1</v>
      </c>
      <c r="E28" s="5" t="s">
        <v>24</v>
      </c>
      <c r="F28" s="20"/>
      <c r="G28" s="21" t="s">
        <v>27</v>
      </c>
      <c r="H28" s="20">
        <v>540</v>
      </c>
      <c r="I28" s="21"/>
      <c r="J28" s="20"/>
      <c r="K28" s="21"/>
      <c r="L28" s="21"/>
      <c r="M28" s="5" t="s">
        <v>44</v>
      </c>
      <c r="N28" s="24">
        <f>C28 / VLOOKUP(B28,AYAR!C5:D7,2,0)</f>
        <v>0</v>
      </c>
      <c r="O28" s="24">
        <f t="shared" si="6"/>
        <v>1</v>
      </c>
      <c r="P28" s="25">
        <f t="shared" si="7"/>
        <v>0</v>
      </c>
      <c r="Q28" s="25">
        <f t="shared" si="4"/>
        <v>1</v>
      </c>
      <c r="R28" s="28">
        <f t="shared" si="5"/>
        <v>0</v>
      </c>
    </row>
    <row r="29" spans="1:18" s="19" customFormat="1" ht="25.05" customHeight="1" x14ac:dyDescent="0.3">
      <c r="A29" s="12">
        <v>46057</v>
      </c>
      <c r="B29" s="5" t="s">
        <v>20</v>
      </c>
      <c r="C29" s="20">
        <v>1870</v>
      </c>
      <c r="D29" s="20">
        <v>304</v>
      </c>
      <c r="E29" s="5" t="s">
        <v>24</v>
      </c>
      <c r="F29" s="20">
        <v>30</v>
      </c>
      <c r="G29" s="21" t="s">
        <v>32</v>
      </c>
      <c r="H29" s="20">
        <v>240</v>
      </c>
      <c r="I29" s="21" t="s">
        <v>27</v>
      </c>
      <c r="J29" s="20">
        <v>20</v>
      </c>
      <c r="K29" s="21" t="s">
        <v>43</v>
      </c>
      <c r="L29" s="21"/>
      <c r="M29" s="5"/>
      <c r="N29" s="24">
        <f>C29 / VLOOKUP(B29,AYAR!C5:D7,2,0)</f>
        <v>0.46750000000000003</v>
      </c>
      <c r="O29" s="24">
        <f t="shared" si="6"/>
        <v>0.53703703703703709</v>
      </c>
      <c r="P29" s="25">
        <f t="shared" si="7"/>
        <v>0.46296296296296297</v>
      </c>
      <c r="Q29" s="25">
        <f t="shared" si="4"/>
        <v>1</v>
      </c>
      <c r="R29" s="28">
        <f t="shared" si="5"/>
        <v>0.2164351851851852</v>
      </c>
    </row>
    <row r="30" spans="1:18" s="19" customFormat="1" ht="25.05" customHeight="1" x14ac:dyDescent="0.3">
      <c r="A30" s="12">
        <v>46057</v>
      </c>
      <c r="B30" s="5" t="s">
        <v>19</v>
      </c>
      <c r="C30" s="20">
        <v>727</v>
      </c>
      <c r="D30" s="20">
        <v>325.5</v>
      </c>
      <c r="E30" s="5" t="s">
        <v>24</v>
      </c>
      <c r="F30" s="20">
        <v>30</v>
      </c>
      <c r="G30" s="21" t="s">
        <v>32</v>
      </c>
      <c r="H30" s="20">
        <v>200</v>
      </c>
      <c r="I30" s="21" t="s">
        <v>27</v>
      </c>
      <c r="J30" s="20">
        <v>20</v>
      </c>
      <c r="K30" s="21" t="s">
        <v>43</v>
      </c>
      <c r="L30" s="21"/>
      <c r="M30" s="5"/>
      <c r="N30" s="24">
        <f>C30 / VLOOKUP(B30,AYAR!C5:D7,2,0)</f>
        <v>0.36349999999999999</v>
      </c>
      <c r="O30" s="24">
        <f t="shared" si="6"/>
        <v>0.46296296296296297</v>
      </c>
      <c r="P30" s="25">
        <f t="shared" si="7"/>
        <v>0.53703703703703709</v>
      </c>
      <c r="Q30" s="25">
        <f t="shared" si="4"/>
        <v>1</v>
      </c>
      <c r="R30" s="28">
        <f t="shared" si="5"/>
        <v>0.19521296296296298</v>
      </c>
    </row>
    <row r="31" spans="1:18" s="19" customFormat="1" ht="25.05" customHeight="1" x14ac:dyDescent="0.3">
      <c r="A31" s="12">
        <v>46057</v>
      </c>
      <c r="B31" s="5" t="s">
        <v>22</v>
      </c>
      <c r="C31" s="20"/>
      <c r="D31" s="20">
        <v>0</v>
      </c>
      <c r="E31" s="5"/>
      <c r="F31" s="20"/>
      <c r="G31" s="21" t="s">
        <v>27</v>
      </c>
      <c r="H31" s="20">
        <v>540</v>
      </c>
      <c r="I31" s="21"/>
      <c r="J31" s="20"/>
      <c r="K31" s="21"/>
      <c r="L31" s="21"/>
      <c r="M31" s="5"/>
      <c r="N31" s="24">
        <f>C31 / VLOOKUP(B31,AYAR!C5:D7,2,0)</f>
        <v>0</v>
      </c>
      <c r="O31" s="24">
        <f t="shared" si="6"/>
        <v>1</v>
      </c>
      <c r="P31" s="25">
        <f t="shared" si="7"/>
        <v>0</v>
      </c>
      <c r="Q31" s="25">
        <f t="shared" si="4"/>
        <v>0</v>
      </c>
      <c r="R31" s="28">
        <f t="shared" si="5"/>
        <v>0</v>
      </c>
    </row>
    <row r="32" spans="1:18" s="19" customFormat="1" ht="25.05" customHeight="1" x14ac:dyDescent="0.3">
      <c r="A32" s="12">
        <v>46056</v>
      </c>
      <c r="B32" s="5" t="s">
        <v>19</v>
      </c>
      <c r="C32" s="20">
        <v>412</v>
      </c>
      <c r="D32" s="20">
        <v>814</v>
      </c>
      <c r="E32" s="5" t="s">
        <v>24</v>
      </c>
      <c r="F32" s="20">
        <v>30</v>
      </c>
      <c r="G32" s="21" t="s">
        <v>32</v>
      </c>
      <c r="H32" s="20">
        <v>400</v>
      </c>
      <c r="I32" s="21" t="s">
        <v>27</v>
      </c>
      <c r="J32" s="20"/>
      <c r="K32" s="21"/>
      <c r="L32" s="21"/>
      <c r="M32" s="5"/>
      <c r="N32" s="24">
        <f>C32 / VLOOKUP(B32,AYAR!C5:D7,2,0)</f>
        <v>0.20599999999999999</v>
      </c>
      <c r="O32" s="24">
        <f t="shared" si="6"/>
        <v>0.79629629629629628</v>
      </c>
      <c r="P32" s="25">
        <f t="shared" si="7"/>
        <v>0.20370370370370369</v>
      </c>
      <c r="Q32" s="25">
        <f t="shared" si="4"/>
        <v>1</v>
      </c>
      <c r="R32" s="28">
        <f t="shared" si="5"/>
        <v>4.1962962962962959E-2</v>
      </c>
    </row>
    <row r="33" spans="1:18" s="19" customFormat="1" ht="25.05" customHeight="1" x14ac:dyDescent="0.3">
      <c r="A33" s="12">
        <v>46056</v>
      </c>
      <c r="B33" s="5" t="s">
        <v>22</v>
      </c>
      <c r="C33" s="20">
        <v>278</v>
      </c>
      <c r="D33" s="20">
        <v>0</v>
      </c>
      <c r="E33" s="5" t="s">
        <v>24</v>
      </c>
      <c r="F33" s="20">
        <v>30</v>
      </c>
      <c r="G33" s="21" t="s">
        <v>32</v>
      </c>
      <c r="H33" s="20">
        <v>420</v>
      </c>
      <c r="I33" s="21" t="s">
        <v>27</v>
      </c>
      <c r="J33" s="20"/>
      <c r="K33" s="21"/>
      <c r="L33" s="21"/>
      <c r="M33" s="5" t="s">
        <v>37</v>
      </c>
      <c r="N33" s="24">
        <f>C33 / VLOOKUP(B33,AYAR!C5:D7,2,0)</f>
        <v>0.16848484848484849</v>
      </c>
      <c r="O33" s="24">
        <f t="shared" si="6"/>
        <v>0.83333333333333337</v>
      </c>
      <c r="P33" s="25">
        <f t="shared" si="7"/>
        <v>0.16666666666666666</v>
      </c>
      <c r="Q33" s="25">
        <f>IF(AND(B33="TURANLAR",D33=0),1,IF(D33=0,0,IF(L33=0,1,1-(L33/D33))))</f>
        <v>1</v>
      </c>
      <c r="R33" s="28">
        <f t="shared" si="5"/>
        <v>2.8080808080808081E-2</v>
      </c>
    </row>
    <row r="34" spans="1:18" s="19" customFormat="1" ht="25.05" customHeight="1" x14ac:dyDescent="0.3">
      <c r="A34" s="12">
        <v>46056</v>
      </c>
      <c r="B34" s="5" t="s">
        <v>20</v>
      </c>
      <c r="C34" s="20"/>
      <c r="D34" s="20">
        <v>1</v>
      </c>
      <c r="E34" s="5"/>
      <c r="F34" s="20"/>
      <c r="G34" s="21" t="s">
        <v>27</v>
      </c>
      <c r="H34" s="20">
        <v>540</v>
      </c>
      <c r="I34" s="21"/>
      <c r="J34" s="20"/>
      <c r="K34" s="21"/>
      <c r="L34" s="21"/>
      <c r="M34" s="5"/>
      <c r="N34" s="24">
        <f>C34 / VLOOKUP(B34,AYAR!C5:D7,2,0)</f>
        <v>0</v>
      </c>
      <c r="O34" s="24">
        <f t="shared" si="6"/>
        <v>1</v>
      </c>
      <c r="P34" s="25">
        <f t="shared" si="7"/>
        <v>0</v>
      </c>
      <c r="Q34" s="25">
        <f t="shared" si="4"/>
        <v>1</v>
      </c>
      <c r="R34" s="28">
        <f t="shared" si="5"/>
        <v>0</v>
      </c>
    </row>
    <row r="35" spans="1:18" s="19" customFormat="1" ht="25.05" customHeight="1" x14ac:dyDescent="0.3">
      <c r="A35" s="12">
        <v>46055</v>
      </c>
      <c r="B35" s="5" t="s">
        <v>19</v>
      </c>
      <c r="C35" s="20">
        <v>446</v>
      </c>
      <c r="D35" s="20">
        <v>197.25</v>
      </c>
      <c r="E35" s="5" t="s">
        <v>24</v>
      </c>
      <c r="F35" s="20">
        <v>30</v>
      </c>
      <c r="G35" s="21" t="s">
        <v>32</v>
      </c>
      <c r="H35" s="20">
        <v>400</v>
      </c>
      <c r="I35" s="21" t="s">
        <v>27</v>
      </c>
      <c r="J35" s="20"/>
      <c r="K35" s="21"/>
      <c r="L35" s="21"/>
      <c r="M35" s="5"/>
      <c r="N35" s="24">
        <f>C35 / VLOOKUP(B35,AYAR!C5:D7,2,0)</f>
        <v>0.223</v>
      </c>
      <c r="O35" s="24">
        <f t="shared" si="6"/>
        <v>0.79629629629629628</v>
      </c>
      <c r="P35" s="25">
        <f t="shared" si="7"/>
        <v>0.20370370370370369</v>
      </c>
      <c r="Q35" s="25">
        <f t="shared" si="4"/>
        <v>1</v>
      </c>
      <c r="R35" s="28">
        <f t="shared" si="5"/>
        <v>4.5425925925925925E-2</v>
      </c>
    </row>
    <row r="36" spans="1:18" s="19" customFormat="1" ht="25.05" customHeight="1" x14ac:dyDescent="0.3">
      <c r="A36" s="12">
        <v>46055</v>
      </c>
      <c r="B36" s="5" t="s">
        <v>22</v>
      </c>
      <c r="C36" s="20">
        <v>961</v>
      </c>
      <c r="D36" s="20">
        <v>0</v>
      </c>
      <c r="E36" s="5" t="s">
        <v>24</v>
      </c>
      <c r="F36" s="20">
        <v>30</v>
      </c>
      <c r="G36" s="21" t="s">
        <v>32</v>
      </c>
      <c r="H36" s="20">
        <v>120</v>
      </c>
      <c r="I36" s="21" t="s">
        <v>27</v>
      </c>
      <c r="J36" s="20"/>
      <c r="K36" s="21"/>
      <c r="L36" s="21"/>
      <c r="M36" s="5" t="s">
        <v>37</v>
      </c>
      <c r="N36" s="24">
        <f>C36 / VLOOKUP(B36,AYAR!C5:D7,2,0)</f>
        <v>0.5824242424242424</v>
      </c>
      <c r="O36" s="24">
        <f t="shared" si="6"/>
        <v>0.27777777777777779</v>
      </c>
      <c r="P36" s="25">
        <f t="shared" si="7"/>
        <v>0.72222222222222221</v>
      </c>
      <c r="Q36" s="25">
        <f>IF(AND(B36="TURANLAR",D36=0),1,IF(D36=0,0,IF(L36=0,1,1-(L36/D36))))</f>
        <v>1</v>
      </c>
      <c r="R36" s="28">
        <f t="shared" si="5"/>
        <v>0.42063973063973059</v>
      </c>
    </row>
    <row r="37" spans="1:18" s="19" customFormat="1" ht="25.05" customHeight="1" x14ac:dyDescent="0.3">
      <c r="A37" s="12">
        <v>46055</v>
      </c>
      <c r="B37" s="5" t="s">
        <v>20</v>
      </c>
      <c r="C37" s="20"/>
      <c r="D37" s="20">
        <v>1</v>
      </c>
      <c r="E37" s="5"/>
      <c r="F37" s="20"/>
      <c r="G37" s="21" t="s">
        <v>27</v>
      </c>
      <c r="H37" s="20">
        <v>540</v>
      </c>
      <c r="I37" s="21"/>
      <c r="J37" s="20"/>
      <c r="K37" s="21"/>
      <c r="L37" s="21"/>
      <c r="M37" s="5" t="s">
        <v>28</v>
      </c>
      <c r="N37" s="24">
        <f>C37 / VLOOKUP(B37,AYAR!C5:D7,2,0)</f>
        <v>0</v>
      </c>
      <c r="O37" s="24">
        <f t="shared" si="6"/>
        <v>1</v>
      </c>
      <c r="P37" s="25">
        <f t="shared" si="7"/>
        <v>0</v>
      </c>
      <c r="Q37" s="25">
        <f t="shared" si="4"/>
        <v>1</v>
      </c>
      <c r="R37" s="28">
        <f t="shared" si="5"/>
        <v>0</v>
      </c>
    </row>
    <row r="38" spans="1:18" s="19" customFormat="1" ht="25.05" customHeight="1" x14ac:dyDescent="0.3">
      <c r="A38" s="12">
        <v>46052</v>
      </c>
      <c r="B38" s="5" t="s">
        <v>19</v>
      </c>
      <c r="C38" s="20">
        <v>1830</v>
      </c>
      <c r="D38" s="20">
        <v>740</v>
      </c>
      <c r="E38" s="5" t="s">
        <v>24</v>
      </c>
      <c r="F38" s="20">
        <v>30</v>
      </c>
      <c r="G38" s="21" t="s">
        <v>32</v>
      </c>
      <c r="H38" s="20">
        <v>60</v>
      </c>
      <c r="I38" s="21" t="s">
        <v>25</v>
      </c>
      <c r="J38" s="20">
        <v>30</v>
      </c>
      <c r="K38" s="21" t="s">
        <v>43</v>
      </c>
      <c r="L38" s="21"/>
      <c r="M38" s="5"/>
      <c r="N38" s="24">
        <f>C38 / VLOOKUP(B38,AYAR!C5:D7,2,0)</f>
        <v>0.91500000000000004</v>
      </c>
      <c r="O38" s="24">
        <f t="shared" si="6"/>
        <v>0.22222222222222221</v>
      </c>
      <c r="P38" s="25">
        <f t="shared" si="7"/>
        <v>0.77777777777777779</v>
      </c>
      <c r="Q38" s="25">
        <f t="shared" si="4"/>
        <v>1</v>
      </c>
      <c r="R38" s="28">
        <f t="shared" si="5"/>
        <v>0.71166666666666667</v>
      </c>
    </row>
    <row r="39" spans="1:18" s="19" customFormat="1" ht="25.05" customHeight="1" x14ac:dyDescent="0.3">
      <c r="A39" s="12">
        <v>46052</v>
      </c>
      <c r="B39" s="5" t="s">
        <v>20</v>
      </c>
      <c r="C39" s="20"/>
      <c r="D39" s="20">
        <v>1</v>
      </c>
      <c r="E39" s="5"/>
      <c r="F39" s="20"/>
      <c r="G39" s="21" t="s">
        <v>27</v>
      </c>
      <c r="H39" s="20">
        <v>540</v>
      </c>
      <c r="I39" s="21"/>
      <c r="J39" s="20"/>
      <c r="K39" s="21"/>
      <c r="L39" s="21"/>
      <c r="M39" s="5" t="s">
        <v>42</v>
      </c>
      <c r="N39" s="24">
        <f>C39 / VLOOKUP(B39,AYAR!C5:D7,2,0)</f>
        <v>0</v>
      </c>
      <c r="O39" s="24">
        <f t="shared" si="6"/>
        <v>1</v>
      </c>
      <c r="P39" s="25">
        <f t="shared" si="7"/>
        <v>0</v>
      </c>
      <c r="Q39" s="25">
        <f t="shared" si="4"/>
        <v>1</v>
      </c>
      <c r="R39" s="28">
        <f t="shared" si="5"/>
        <v>0</v>
      </c>
    </row>
    <row r="40" spans="1:18" s="19" customFormat="1" ht="25.05" customHeight="1" x14ac:dyDescent="0.3">
      <c r="A40" s="12">
        <v>46052</v>
      </c>
      <c r="B40" s="5" t="s">
        <v>22</v>
      </c>
      <c r="C40" s="20"/>
      <c r="D40" s="20">
        <v>0</v>
      </c>
      <c r="E40" s="5"/>
      <c r="F40" s="20"/>
      <c r="G40" s="21" t="s">
        <v>27</v>
      </c>
      <c r="H40" s="20">
        <v>540</v>
      </c>
      <c r="I40" s="21"/>
      <c r="J40" s="20"/>
      <c r="K40" s="21"/>
      <c r="L40" s="21"/>
      <c r="M40" s="5" t="s">
        <v>28</v>
      </c>
      <c r="N40" s="24">
        <f>C40 / VLOOKUP(B40,AYAR!C5:D7,2,0)</f>
        <v>0</v>
      </c>
      <c r="O40" s="24">
        <f t="shared" si="6"/>
        <v>1</v>
      </c>
      <c r="P40" s="25">
        <f t="shared" si="7"/>
        <v>0</v>
      </c>
      <c r="Q40" s="25">
        <f t="shared" si="4"/>
        <v>0</v>
      </c>
      <c r="R40" s="28">
        <f t="shared" si="5"/>
        <v>0</v>
      </c>
    </row>
    <row r="41" spans="1:18" s="19" customFormat="1" ht="25.05" customHeight="1" x14ac:dyDescent="0.3">
      <c r="A41" s="12">
        <v>46051</v>
      </c>
      <c r="B41" s="5" t="s">
        <v>19</v>
      </c>
      <c r="C41" s="20">
        <v>1504</v>
      </c>
      <c r="D41" s="20">
        <v>633</v>
      </c>
      <c r="E41" s="5" t="s">
        <v>24</v>
      </c>
      <c r="F41" s="20">
        <v>30</v>
      </c>
      <c r="G41" s="21" t="s">
        <v>32</v>
      </c>
      <c r="H41" s="20">
        <v>60</v>
      </c>
      <c r="I41" s="21" t="s">
        <v>27</v>
      </c>
      <c r="J41" s="20"/>
      <c r="K41" s="21"/>
      <c r="L41" s="21"/>
      <c r="M41" s="5"/>
      <c r="N41" s="24">
        <f>C41 / VLOOKUP(B41,AYAR!C5:D7,2,0)</f>
        <v>0.752</v>
      </c>
      <c r="O41" s="24">
        <f t="shared" si="6"/>
        <v>0.16666666666666666</v>
      </c>
      <c r="P41" s="25">
        <f t="shared" si="7"/>
        <v>0.83333333333333337</v>
      </c>
      <c r="Q41" s="25">
        <f t="shared" si="4"/>
        <v>1</v>
      </c>
      <c r="R41" s="28">
        <f t="shared" si="5"/>
        <v>0.62666666666666671</v>
      </c>
    </row>
    <row r="42" spans="1:18" s="19" customFormat="1" ht="25.05" customHeight="1" x14ac:dyDescent="0.3">
      <c r="A42" s="12">
        <v>46051</v>
      </c>
      <c r="B42" s="5" t="s">
        <v>22</v>
      </c>
      <c r="C42" s="20">
        <v>135</v>
      </c>
      <c r="D42" s="20">
        <v>0</v>
      </c>
      <c r="E42" s="5" t="s">
        <v>24</v>
      </c>
      <c r="F42" s="20">
        <v>30</v>
      </c>
      <c r="G42" s="21" t="s">
        <v>32</v>
      </c>
      <c r="H42" s="20">
        <v>450</v>
      </c>
      <c r="I42" s="21" t="s">
        <v>27</v>
      </c>
      <c r="J42" s="20"/>
      <c r="K42" s="21"/>
      <c r="L42" s="21"/>
      <c r="M42" s="5" t="s">
        <v>37</v>
      </c>
      <c r="N42" s="24">
        <f>C42 / VLOOKUP(B42,AYAR!C5:D7,2,0)</f>
        <v>8.1818181818181818E-2</v>
      </c>
      <c r="O42" s="24">
        <f t="shared" si="6"/>
        <v>0.88888888888888884</v>
      </c>
      <c r="P42" s="25">
        <f t="shared" si="7"/>
        <v>0.1111111111111111</v>
      </c>
      <c r="Q42" s="25">
        <f>IF(AND(B42="TURANLAR",D42=0),1,IF(D42=0,0,IF(L42=0,1,1-(L42/D42))))</f>
        <v>1</v>
      </c>
      <c r="R42" s="28">
        <f t="shared" si="5"/>
        <v>9.0909090909090905E-3</v>
      </c>
    </row>
    <row r="43" spans="1:18" s="19" customFormat="1" ht="25.05" customHeight="1" x14ac:dyDescent="0.3">
      <c r="A43" s="12">
        <v>46051</v>
      </c>
      <c r="B43" s="5" t="s">
        <v>20</v>
      </c>
      <c r="C43" s="20"/>
      <c r="D43" s="20">
        <v>1</v>
      </c>
      <c r="E43" s="5"/>
      <c r="F43" s="20"/>
      <c r="G43" s="21" t="s">
        <v>27</v>
      </c>
      <c r="H43" s="20">
        <v>540</v>
      </c>
      <c r="I43" s="21"/>
      <c r="J43" s="20"/>
      <c r="K43" s="21"/>
      <c r="L43" s="21"/>
      <c r="M43" s="5" t="s">
        <v>28</v>
      </c>
      <c r="N43" s="24">
        <f>C43 / VLOOKUP(B43,AYAR!C5:D7,2,0)</f>
        <v>0</v>
      </c>
      <c r="O43" s="24">
        <f t="shared" si="6"/>
        <v>1</v>
      </c>
      <c r="P43" s="25">
        <f t="shared" si="7"/>
        <v>0</v>
      </c>
      <c r="Q43" s="25">
        <f t="shared" si="4"/>
        <v>1</v>
      </c>
      <c r="R43" s="28">
        <f t="shared" si="5"/>
        <v>0</v>
      </c>
    </row>
    <row r="44" spans="1:18" s="19" customFormat="1" ht="25.05" customHeight="1" x14ac:dyDescent="0.3">
      <c r="A44" s="12">
        <v>46050</v>
      </c>
      <c r="B44" s="5" t="s">
        <v>22</v>
      </c>
      <c r="C44" s="20">
        <v>924</v>
      </c>
      <c r="D44" s="20">
        <v>0</v>
      </c>
      <c r="E44" s="5" t="s">
        <v>24</v>
      </c>
      <c r="F44" s="20">
        <v>30</v>
      </c>
      <c r="G44" s="21" t="s">
        <v>32</v>
      </c>
      <c r="H44" s="20">
        <v>90</v>
      </c>
      <c r="I44" s="21" t="s">
        <v>27</v>
      </c>
      <c r="J44" s="20"/>
      <c r="K44" s="21"/>
      <c r="L44" s="21"/>
      <c r="M44" s="5"/>
      <c r="N44" s="24">
        <f>C44 / VLOOKUP(B44,AYAR!C5:D7,2,0)</f>
        <v>0.56000000000000005</v>
      </c>
      <c r="O44" s="24">
        <f t="shared" si="6"/>
        <v>0.22222222222222221</v>
      </c>
      <c r="P44" s="25">
        <f t="shared" si="7"/>
        <v>0.77777777777777779</v>
      </c>
      <c r="Q44" s="25">
        <f>IF(AND(B44="TURANLAR",D44=0),1,IF(D44=0,0,IF(L44=0,1,1-(L44/D44))))</f>
        <v>1</v>
      </c>
      <c r="R44" s="28">
        <f t="shared" si="5"/>
        <v>0.43555555555555558</v>
      </c>
    </row>
    <row r="45" spans="1:18" s="19" customFormat="1" ht="25.05" customHeight="1" x14ac:dyDescent="0.3">
      <c r="A45" s="12">
        <v>46050</v>
      </c>
      <c r="B45" s="5" t="s">
        <v>19</v>
      </c>
      <c r="C45" s="20">
        <v>408</v>
      </c>
      <c r="D45" s="20">
        <v>249.75</v>
      </c>
      <c r="E45" s="5" t="s">
        <v>24</v>
      </c>
      <c r="F45" s="20">
        <v>30</v>
      </c>
      <c r="G45" s="21" t="s">
        <v>32</v>
      </c>
      <c r="H45" s="20">
        <v>390</v>
      </c>
      <c r="I45" s="21" t="s">
        <v>27</v>
      </c>
      <c r="J45" s="20"/>
      <c r="K45" s="21"/>
      <c r="L45" s="21"/>
      <c r="M45" s="5"/>
      <c r="N45" s="24">
        <f>C45 / VLOOKUP(B45,AYAR!C5:D7,2,0)</f>
        <v>0.20399999999999999</v>
      </c>
      <c r="O45" s="24">
        <f t="shared" ref="O45:O76" si="9">(F45 + H45 + J45) / 540</f>
        <v>0.77777777777777779</v>
      </c>
      <c r="P45" s="25">
        <f t="shared" ref="P45:P76" si="10">(540 - (F45 + H45 + J45)) / 540</f>
        <v>0.22222222222222221</v>
      </c>
      <c r="Q45" s="25">
        <f t="shared" si="4"/>
        <v>1</v>
      </c>
      <c r="R45" s="28">
        <f t="shared" si="5"/>
        <v>4.533333333333333E-2</v>
      </c>
    </row>
    <row r="46" spans="1:18" s="19" customFormat="1" ht="25.05" customHeight="1" x14ac:dyDescent="0.3">
      <c r="A46" s="12">
        <v>46050</v>
      </c>
      <c r="B46" s="5" t="s">
        <v>20</v>
      </c>
      <c r="C46" s="20"/>
      <c r="D46" s="20">
        <v>1</v>
      </c>
      <c r="E46" s="5"/>
      <c r="F46" s="20"/>
      <c r="G46" s="21"/>
      <c r="H46" s="20">
        <v>540</v>
      </c>
      <c r="I46" s="21" t="s">
        <v>27</v>
      </c>
      <c r="J46" s="20"/>
      <c r="K46" s="21"/>
      <c r="L46" s="21"/>
      <c r="M46" s="5" t="s">
        <v>28</v>
      </c>
      <c r="N46" s="24">
        <f>C46 / VLOOKUP(B46,AYAR!C5:D7,2,0)</f>
        <v>0</v>
      </c>
      <c r="O46" s="24">
        <f t="shared" si="9"/>
        <v>1</v>
      </c>
      <c r="P46" s="25">
        <f t="shared" si="10"/>
        <v>0</v>
      </c>
      <c r="Q46" s="25">
        <f t="shared" si="4"/>
        <v>1</v>
      </c>
      <c r="R46" s="28">
        <f t="shared" si="5"/>
        <v>0</v>
      </c>
    </row>
    <row r="47" spans="1:18" s="19" customFormat="1" ht="25.05" customHeight="1" x14ac:dyDescent="0.3">
      <c r="A47" s="12">
        <v>46049</v>
      </c>
      <c r="B47" s="5" t="s">
        <v>19</v>
      </c>
      <c r="C47" s="20">
        <v>1870</v>
      </c>
      <c r="D47" s="20">
        <v>887.75</v>
      </c>
      <c r="E47" s="5" t="s">
        <v>24</v>
      </c>
      <c r="F47" s="20">
        <v>30</v>
      </c>
      <c r="G47" s="21" t="s">
        <v>32</v>
      </c>
      <c r="H47" s="20"/>
      <c r="I47" s="21"/>
      <c r="J47" s="20"/>
      <c r="K47" s="21"/>
      <c r="L47" s="21"/>
      <c r="M47" s="5"/>
      <c r="N47" s="24">
        <f>C47 / VLOOKUP(B47,AYAR!C5:D7,2,0)</f>
        <v>0.93500000000000005</v>
      </c>
      <c r="O47" s="24">
        <f t="shared" si="9"/>
        <v>5.5555555555555552E-2</v>
      </c>
      <c r="P47" s="25">
        <f t="shared" si="10"/>
        <v>0.94444444444444442</v>
      </c>
      <c r="Q47" s="25">
        <f t="shared" si="4"/>
        <v>1</v>
      </c>
      <c r="R47" s="28">
        <f t="shared" si="5"/>
        <v>0.88305555555555559</v>
      </c>
    </row>
    <row r="48" spans="1:18" s="19" customFormat="1" ht="25.05" customHeight="1" x14ac:dyDescent="0.3">
      <c r="A48" s="12">
        <v>46049</v>
      </c>
      <c r="B48" s="5" t="s">
        <v>22</v>
      </c>
      <c r="C48" s="20">
        <v>1610</v>
      </c>
      <c r="D48" s="20">
        <v>0</v>
      </c>
      <c r="E48" s="5" t="s">
        <v>24</v>
      </c>
      <c r="F48" s="20">
        <v>30</v>
      </c>
      <c r="G48" s="21" t="s">
        <v>32</v>
      </c>
      <c r="H48" s="20"/>
      <c r="I48" s="21"/>
      <c r="J48" s="20"/>
      <c r="K48" s="21"/>
      <c r="L48" s="21"/>
      <c r="M48" s="5"/>
      <c r="N48" s="24">
        <f>C48 / VLOOKUP(B48,AYAR!C5:D7,2,0)</f>
        <v>0.97575757575757571</v>
      </c>
      <c r="O48" s="24">
        <f t="shared" si="9"/>
        <v>5.5555555555555552E-2</v>
      </c>
      <c r="P48" s="25">
        <f t="shared" si="10"/>
        <v>0.94444444444444442</v>
      </c>
      <c r="Q48" s="25">
        <f>IF(AND(B48="TURANLAR",D48=0),1,IF(D48=0,0,IF(L48=0,1,1-(L48/D48))))</f>
        <v>1</v>
      </c>
      <c r="R48" s="28">
        <f t="shared" si="5"/>
        <v>0.92154882154882145</v>
      </c>
    </row>
    <row r="49" spans="1:18" s="19" customFormat="1" ht="25.05" customHeight="1" x14ac:dyDescent="0.3">
      <c r="A49" s="12">
        <v>46049</v>
      </c>
      <c r="B49" s="5" t="s">
        <v>20</v>
      </c>
      <c r="C49" s="20"/>
      <c r="D49" s="20">
        <v>1</v>
      </c>
      <c r="E49" s="5"/>
      <c r="F49" s="20"/>
      <c r="G49" s="21" t="s">
        <v>27</v>
      </c>
      <c r="H49" s="20">
        <v>540</v>
      </c>
      <c r="I49" s="21" t="s">
        <v>27</v>
      </c>
      <c r="J49" s="20"/>
      <c r="K49" s="21"/>
      <c r="L49" s="21"/>
      <c r="M49" s="5" t="s">
        <v>41</v>
      </c>
      <c r="N49" s="24">
        <f>C49 / VLOOKUP(B49,AYAR!C5:D7,2,0)</f>
        <v>0</v>
      </c>
      <c r="O49" s="24">
        <f t="shared" si="9"/>
        <v>1</v>
      </c>
      <c r="P49" s="25">
        <f t="shared" si="10"/>
        <v>0</v>
      </c>
      <c r="Q49" s="25">
        <f t="shared" si="4"/>
        <v>1</v>
      </c>
      <c r="R49" s="28">
        <f t="shared" si="5"/>
        <v>0</v>
      </c>
    </row>
    <row r="50" spans="1:18" s="19" customFormat="1" ht="25.05" customHeight="1" x14ac:dyDescent="0.3">
      <c r="A50" s="12">
        <v>46048</v>
      </c>
      <c r="B50" s="5" t="s">
        <v>20</v>
      </c>
      <c r="C50" s="20"/>
      <c r="D50" s="20">
        <v>1</v>
      </c>
      <c r="E50" s="5"/>
      <c r="F50" s="20"/>
      <c r="G50" s="21"/>
      <c r="H50" s="20">
        <v>540</v>
      </c>
      <c r="I50" s="21" t="s">
        <v>27</v>
      </c>
      <c r="J50" s="20"/>
      <c r="K50" s="21"/>
      <c r="L50" s="21"/>
      <c r="M50" s="5" t="s">
        <v>28</v>
      </c>
      <c r="N50" s="24">
        <f>C50 / VLOOKUP(B50,AYAR!C5:D7,2,0)</f>
        <v>0</v>
      </c>
      <c r="O50" s="24">
        <f t="shared" si="9"/>
        <v>1</v>
      </c>
      <c r="P50" s="25">
        <f t="shared" si="10"/>
        <v>0</v>
      </c>
      <c r="Q50" s="25">
        <f t="shared" si="4"/>
        <v>1</v>
      </c>
      <c r="R50" s="28">
        <f t="shared" si="5"/>
        <v>0</v>
      </c>
    </row>
    <row r="51" spans="1:18" s="19" customFormat="1" ht="25.05" customHeight="1" x14ac:dyDescent="0.3">
      <c r="A51" s="12">
        <v>46048</v>
      </c>
      <c r="B51" s="5" t="s">
        <v>19</v>
      </c>
      <c r="C51" s="20">
        <v>1747</v>
      </c>
      <c r="D51" s="20">
        <v>739</v>
      </c>
      <c r="E51" s="5" t="s">
        <v>24</v>
      </c>
      <c r="F51" s="20">
        <v>30</v>
      </c>
      <c r="G51" s="21" t="s">
        <v>32</v>
      </c>
      <c r="H51" s="20"/>
      <c r="I51" s="21"/>
      <c r="J51" s="20"/>
      <c r="K51" s="21"/>
      <c r="L51" s="21"/>
      <c r="M51" s="5"/>
      <c r="N51" s="24">
        <f>C51 / VLOOKUP(B51,AYAR!C5:D7,2,0)</f>
        <v>0.87350000000000005</v>
      </c>
      <c r="O51" s="24">
        <f t="shared" si="9"/>
        <v>5.5555555555555552E-2</v>
      </c>
      <c r="P51" s="25">
        <f t="shared" si="10"/>
        <v>0.94444444444444442</v>
      </c>
      <c r="Q51" s="25">
        <f t="shared" si="4"/>
        <v>1</v>
      </c>
      <c r="R51" s="28">
        <f t="shared" si="5"/>
        <v>0.82497222222222222</v>
      </c>
    </row>
    <row r="52" spans="1:18" s="19" customFormat="1" ht="25.05" customHeight="1" x14ac:dyDescent="0.3">
      <c r="A52" s="12">
        <v>46048</v>
      </c>
      <c r="B52" s="5" t="s">
        <v>22</v>
      </c>
      <c r="C52" s="20">
        <v>350</v>
      </c>
      <c r="D52" s="20">
        <v>0</v>
      </c>
      <c r="E52" s="5" t="s">
        <v>24</v>
      </c>
      <c r="F52" s="20">
        <v>30</v>
      </c>
      <c r="G52" s="21" t="s">
        <v>32</v>
      </c>
      <c r="H52" s="20">
        <v>330</v>
      </c>
      <c r="I52" s="21" t="s">
        <v>27</v>
      </c>
      <c r="J52" s="20"/>
      <c r="K52" s="21"/>
      <c r="L52" s="21"/>
      <c r="M52" s="5"/>
      <c r="N52" s="24">
        <f>C52 / VLOOKUP(B52,AYAR!C5:D7,2,0)</f>
        <v>0.21212121212121213</v>
      </c>
      <c r="O52" s="24">
        <f t="shared" si="9"/>
        <v>0.66666666666666663</v>
      </c>
      <c r="P52" s="25">
        <f t="shared" si="10"/>
        <v>0.33333333333333331</v>
      </c>
      <c r="Q52" s="25">
        <f>IF(AND(B52="TURANLAR",D52=0),1,IF(D52=0,0,IF(L52=0,1,1-(L52/D52))))</f>
        <v>1</v>
      </c>
      <c r="R52" s="28">
        <f t="shared" si="5"/>
        <v>7.0707070707070704E-2</v>
      </c>
    </row>
    <row r="53" spans="1:18" s="19" customFormat="1" ht="25.05" customHeight="1" x14ac:dyDescent="0.3">
      <c r="A53" s="12">
        <v>46044</v>
      </c>
      <c r="B53" s="5" t="s">
        <v>20</v>
      </c>
      <c r="C53" s="20"/>
      <c r="D53" s="20">
        <v>1</v>
      </c>
      <c r="E53" s="5"/>
      <c r="F53" s="20"/>
      <c r="G53" s="21" t="s">
        <v>27</v>
      </c>
      <c r="H53" s="20">
        <v>540</v>
      </c>
      <c r="I53" s="21"/>
      <c r="J53" s="20"/>
      <c r="K53" s="21"/>
      <c r="L53" s="21"/>
      <c r="M53" s="5" t="s">
        <v>28</v>
      </c>
      <c r="N53" s="24">
        <f>C53 / VLOOKUP(B53,AYAR!C5:D7,2,0)</f>
        <v>0</v>
      </c>
      <c r="O53" s="24">
        <f t="shared" si="9"/>
        <v>1</v>
      </c>
      <c r="P53" s="25">
        <f t="shared" si="10"/>
        <v>0</v>
      </c>
      <c r="Q53" s="25">
        <f t="shared" si="4"/>
        <v>1</v>
      </c>
      <c r="R53" s="28">
        <f t="shared" si="5"/>
        <v>0</v>
      </c>
    </row>
    <row r="54" spans="1:18" s="19" customFormat="1" ht="25.05" customHeight="1" x14ac:dyDescent="0.3">
      <c r="A54" s="12">
        <v>46044</v>
      </c>
      <c r="B54" s="5" t="s">
        <v>19</v>
      </c>
      <c r="C54" s="20"/>
      <c r="D54" s="20">
        <v>1</v>
      </c>
      <c r="E54" s="5"/>
      <c r="F54" s="20"/>
      <c r="G54" s="21" t="s">
        <v>27</v>
      </c>
      <c r="H54" s="20">
        <v>540</v>
      </c>
      <c r="I54" s="21"/>
      <c r="J54" s="20"/>
      <c r="K54" s="21"/>
      <c r="L54" s="21"/>
      <c r="M54" s="5" t="s">
        <v>28</v>
      </c>
      <c r="N54" s="24">
        <f>C54 / VLOOKUP(B54,AYAR!C5:D7,2,0)</f>
        <v>0</v>
      </c>
      <c r="O54" s="24">
        <f t="shared" si="9"/>
        <v>1</v>
      </c>
      <c r="P54" s="25">
        <f t="shared" si="10"/>
        <v>0</v>
      </c>
      <c r="Q54" s="25">
        <f t="shared" si="4"/>
        <v>1</v>
      </c>
      <c r="R54" s="28">
        <f t="shared" si="5"/>
        <v>0</v>
      </c>
    </row>
    <row r="55" spans="1:18" s="19" customFormat="1" ht="25.05" customHeight="1" x14ac:dyDescent="0.3">
      <c r="A55" s="12">
        <v>46044</v>
      </c>
      <c r="B55" s="5" t="s">
        <v>22</v>
      </c>
      <c r="C55" s="20">
        <v>987</v>
      </c>
      <c r="D55" s="20">
        <v>0</v>
      </c>
      <c r="E55" s="5" t="s">
        <v>24</v>
      </c>
      <c r="F55" s="20">
        <v>30</v>
      </c>
      <c r="G55" s="21" t="s">
        <v>32</v>
      </c>
      <c r="H55" s="20">
        <v>60</v>
      </c>
      <c r="I55" s="21" t="s">
        <v>27</v>
      </c>
      <c r="J55" s="20"/>
      <c r="K55" s="21"/>
      <c r="L55" s="21"/>
      <c r="M55" s="5" t="s">
        <v>40</v>
      </c>
      <c r="N55" s="24">
        <f>C55 / VLOOKUP(B55,AYAR!C5:D7,2,0)</f>
        <v>0.59818181818181815</v>
      </c>
      <c r="O55" s="24">
        <f t="shared" si="9"/>
        <v>0.16666666666666666</v>
      </c>
      <c r="P55" s="25">
        <f t="shared" si="10"/>
        <v>0.83333333333333337</v>
      </c>
      <c r="Q55" s="25">
        <f>IF(AND(B55="TURANLAR",D55=0),1,IF(D55=0,0,IF(L55=0,1,1-(L55/D55))))</f>
        <v>1</v>
      </c>
      <c r="R55" s="28">
        <f t="shared" si="5"/>
        <v>0.49848484848484848</v>
      </c>
    </row>
    <row r="56" spans="1:18" s="19" customFormat="1" ht="25.05" customHeight="1" x14ac:dyDescent="0.3">
      <c r="A56" s="12">
        <v>46043</v>
      </c>
      <c r="B56" s="5" t="s">
        <v>19</v>
      </c>
      <c r="C56" s="20">
        <v>360</v>
      </c>
      <c r="D56" s="20">
        <v>160.75</v>
      </c>
      <c r="E56" s="5" t="s">
        <v>24</v>
      </c>
      <c r="F56" s="20">
        <v>30</v>
      </c>
      <c r="G56" s="21" t="s">
        <v>32</v>
      </c>
      <c r="H56" s="20">
        <v>430</v>
      </c>
      <c r="I56" s="21" t="s">
        <v>27</v>
      </c>
      <c r="J56" s="20"/>
      <c r="K56" s="21"/>
      <c r="L56" s="21"/>
      <c r="M56" s="5"/>
      <c r="N56" s="24">
        <f>C56 / VLOOKUP(B56,AYAR!C5:D7,2,0)</f>
        <v>0.18</v>
      </c>
      <c r="O56" s="24">
        <f t="shared" si="9"/>
        <v>0.85185185185185186</v>
      </c>
      <c r="P56" s="25">
        <f t="shared" si="10"/>
        <v>0.14814814814814814</v>
      </c>
      <c r="Q56" s="25">
        <f t="shared" si="4"/>
        <v>1</v>
      </c>
      <c r="R56" s="28">
        <f t="shared" si="5"/>
        <v>2.6666666666666665E-2</v>
      </c>
    </row>
    <row r="57" spans="1:18" s="19" customFormat="1" ht="25.05" customHeight="1" x14ac:dyDescent="0.3">
      <c r="A57" s="12">
        <v>46043</v>
      </c>
      <c r="B57" s="5" t="s">
        <v>20</v>
      </c>
      <c r="C57" s="20"/>
      <c r="D57" s="20">
        <v>1</v>
      </c>
      <c r="E57" s="5"/>
      <c r="F57" s="20"/>
      <c r="G57" s="21" t="s">
        <v>27</v>
      </c>
      <c r="H57" s="20">
        <v>540</v>
      </c>
      <c r="I57" s="21"/>
      <c r="J57" s="20"/>
      <c r="K57" s="21"/>
      <c r="L57" s="21"/>
      <c r="M57" s="5" t="s">
        <v>28</v>
      </c>
      <c r="N57" s="24">
        <f>C57 / VLOOKUP(B57,AYAR!C5:D7,2,0)</f>
        <v>0</v>
      </c>
      <c r="O57" s="24">
        <f t="shared" si="9"/>
        <v>1</v>
      </c>
      <c r="P57" s="25">
        <f t="shared" si="10"/>
        <v>0</v>
      </c>
      <c r="Q57" s="25">
        <f t="shared" si="4"/>
        <v>1</v>
      </c>
      <c r="R57" s="28">
        <f t="shared" si="5"/>
        <v>0</v>
      </c>
    </row>
    <row r="58" spans="1:18" s="19" customFormat="1" ht="25.05" customHeight="1" x14ac:dyDescent="0.3">
      <c r="A58" s="12">
        <v>46043</v>
      </c>
      <c r="B58" s="5" t="s">
        <v>22</v>
      </c>
      <c r="C58" s="20">
        <v>680</v>
      </c>
      <c r="D58" s="20">
        <v>0</v>
      </c>
      <c r="E58" s="5" t="s">
        <v>24</v>
      </c>
      <c r="F58" s="20">
        <v>30</v>
      </c>
      <c r="G58" s="21" t="s">
        <v>32</v>
      </c>
      <c r="H58" s="20">
        <v>270</v>
      </c>
      <c r="I58" s="21" t="s">
        <v>27</v>
      </c>
      <c r="J58" s="20"/>
      <c r="K58" s="21"/>
      <c r="L58" s="21"/>
      <c r="M58" s="5"/>
      <c r="N58" s="24">
        <f>C58 / VLOOKUP(B58,AYAR!C5:D7,2,0)</f>
        <v>0.41212121212121211</v>
      </c>
      <c r="O58" s="24">
        <f t="shared" si="9"/>
        <v>0.55555555555555558</v>
      </c>
      <c r="P58" s="25">
        <f t="shared" si="10"/>
        <v>0.44444444444444442</v>
      </c>
      <c r="Q58" s="25">
        <f t="shared" ref="Q58:Q59" si="11">IF(AND(B58="TURANLAR",D58=0),1,IF(D58=0,0,IF(L58=0,1,1-(L58/D58))))</f>
        <v>1</v>
      </c>
      <c r="R58" s="28">
        <f t="shared" si="5"/>
        <v>0.18316498316498314</v>
      </c>
    </row>
    <row r="59" spans="1:18" s="19" customFormat="1" ht="25.05" customHeight="1" x14ac:dyDescent="0.3">
      <c r="A59" s="12">
        <v>46042</v>
      </c>
      <c r="B59" s="5" t="s">
        <v>22</v>
      </c>
      <c r="C59" s="20">
        <v>665</v>
      </c>
      <c r="D59" s="20">
        <v>0</v>
      </c>
      <c r="E59" s="5" t="s">
        <v>24</v>
      </c>
      <c r="F59" s="20">
        <v>30</v>
      </c>
      <c r="G59" s="21" t="s">
        <v>32</v>
      </c>
      <c r="H59" s="20">
        <v>120</v>
      </c>
      <c r="I59" s="21" t="s">
        <v>27</v>
      </c>
      <c r="J59" s="20"/>
      <c r="K59" s="21"/>
      <c r="L59" s="21"/>
      <c r="M59" s="5" t="s">
        <v>39</v>
      </c>
      <c r="N59" s="24">
        <f>C59 / VLOOKUP(B59,AYAR!C5:D7,2,0)</f>
        <v>0.40303030303030302</v>
      </c>
      <c r="O59" s="24">
        <f t="shared" si="9"/>
        <v>0.27777777777777779</v>
      </c>
      <c r="P59" s="25">
        <f t="shared" si="10"/>
        <v>0.72222222222222221</v>
      </c>
      <c r="Q59" s="25">
        <f t="shared" si="11"/>
        <v>1</v>
      </c>
      <c r="R59" s="28">
        <f t="shared" si="5"/>
        <v>0.29107744107744105</v>
      </c>
    </row>
    <row r="60" spans="1:18" s="19" customFormat="1" ht="25.05" customHeight="1" x14ac:dyDescent="0.3">
      <c r="A60" s="12">
        <v>46042</v>
      </c>
      <c r="B60" s="5" t="s">
        <v>20</v>
      </c>
      <c r="C60" s="20"/>
      <c r="D60" s="20">
        <v>1</v>
      </c>
      <c r="E60" s="5"/>
      <c r="F60" s="20"/>
      <c r="G60" s="21" t="s">
        <v>27</v>
      </c>
      <c r="H60" s="20">
        <v>540</v>
      </c>
      <c r="I60" s="21"/>
      <c r="J60" s="20"/>
      <c r="K60" s="21"/>
      <c r="L60" s="21"/>
      <c r="M60" s="5" t="s">
        <v>28</v>
      </c>
      <c r="N60" s="24">
        <f>C60 / VLOOKUP(B60,AYAR!C5:D7,2,0)</f>
        <v>0</v>
      </c>
      <c r="O60" s="24">
        <f t="shared" si="9"/>
        <v>1</v>
      </c>
      <c r="P60" s="25">
        <f t="shared" si="10"/>
        <v>0</v>
      </c>
      <c r="Q60" s="25">
        <f t="shared" si="4"/>
        <v>1</v>
      </c>
      <c r="R60" s="28">
        <f t="shared" si="5"/>
        <v>0</v>
      </c>
    </row>
    <row r="61" spans="1:18" s="19" customFormat="1" ht="25.05" customHeight="1" x14ac:dyDescent="0.3">
      <c r="A61" s="12">
        <v>46042</v>
      </c>
      <c r="B61" s="5" t="s">
        <v>19</v>
      </c>
      <c r="C61" s="20"/>
      <c r="D61" s="20">
        <v>1</v>
      </c>
      <c r="E61" s="5"/>
      <c r="F61" s="20"/>
      <c r="G61" s="21" t="s">
        <v>27</v>
      </c>
      <c r="H61" s="20">
        <v>540</v>
      </c>
      <c r="I61" s="21"/>
      <c r="J61" s="20"/>
      <c r="K61" s="21"/>
      <c r="L61" s="21"/>
      <c r="M61" s="5" t="s">
        <v>28</v>
      </c>
      <c r="N61" s="24">
        <f>C61 / VLOOKUP(B61,AYAR!C5:D7,2,0)</f>
        <v>0</v>
      </c>
      <c r="O61" s="24">
        <f t="shared" si="9"/>
        <v>1</v>
      </c>
      <c r="P61" s="25">
        <f t="shared" si="10"/>
        <v>0</v>
      </c>
      <c r="Q61" s="25">
        <f t="shared" si="4"/>
        <v>1</v>
      </c>
      <c r="R61" s="28">
        <f t="shared" si="5"/>
        <v>0</v>
      </c>
    </row>
    <row r="62" spans="1:18" s="19" customFormat="1" ht="25.05" customHeight="1" x14ac:dyDescent="0.3">
      <c r="A62" s="12">
        <v>46041</v>
      </c>
      <c r="B62" s="5" t="s">
        <v>20</v>
      </c>
      <c r="C62" s="20"/>
      <c r="D62" s="20">
        <v>1</v>
      </c>
      <c r="E62" s="5"/>
      <c r="F62" s="20"/>
      <c r="G62" s="21" t="s">
        <v>27</v>
      </c>
      <c r="H62" s="20">
        <v>540</v>
      </c>
      <c r="I62" s="21"/>
      <c r="J62" s="20"/>
      <c r="K62" s="21"/>
      <c r="L62" s="21"/>
      <c r="M62" s="5"/>
      <c r="N62" s="24">
        <f>C62 / VLOOKUP(B62,AYAR!C5:D7,2,0)</f>
        <v>0</v>
      </c>
      <c r="O62" s="24">
        <f t="shared" si="9"/>
        <v>1</v>
      </c>
      <c r="P62" s="25">
        <f t="shared" si="10"/>
        <v>0</v>
      </c>
      <c r="Q62" s="25">
        <f t="shared" si="4"/>
        <v>1</v>
      </c>
      <c r="R62" s="28">
        <f t="shared" si="5"/>
        <v>0</v>
      </c>
    </row>
    <row r="63" spans="1:18" s="19" customFormat="1" ht="25.05" customHeight="1" x14ac:dyDescent="0.3">
      <c r="A63" s="12">
        <v>46041</v>
      </c>
      <c r="B63" s="5" t="s">
        <v>19</v>
      </c>
      <c r="C63" s="20">
        <v>562</v>
      </c>
      <c r="D63" s="20">
        <v>227.5</v>
      </c>
      <c r="E63" s="5" t="s">
        <v>24</v>
      </c>
      <c r="F63" s="20">
        <v>30</v>
      </c>
      <c r="G63" s="21" t="s">
        <v>32</v>
      </c>
      <c r="H63" s="20">
        <v>240</v>
      </c>
      <c r="I63" s="21" t="s">
        <v>27</v>
      </c>
      <c r="J63" s="20"/>
      <c r="K63" s="21"/>
      <c r="L63" s="21"/>
      <c r="M63" s="5"/>
      <c r="N63" s="24">
        <f>C63 / VLOOKUP(B63,AYAR!C5:D7,2,0)</f>
        <v>0.28100000000000003</v>
      </c>
      <c r="O63" s="24">
        <f t="shared" si="9"/>
        <v>0.5</v>
      </c>
      <c r="P63" s="25">
        <f t="shared" si="10"/>
        <v>0.5</v>
      </c>
      <c r="Q63" s="25">
        <f t="shared" si="4"/>
        <v>1</v>
      </c>
      <c r="R63" s="28">
        <f t="shared" si="5"/>
        <v>0.14050000000000001</v>
      </c>
    </row>
    <row r="64" spans="1:18" s="19" customFormat="1" ht="25.05" customHeight="1" x14ac:dyDescent="0.3">
      <c r="A64" s="12">
        <v>46041</v>
      </c>
      <c r="B64" s="5" t="s">
        <v>22</v>
      </c>
      <c r="C64" s="20">
        <v>504</v>
      </c>
      <c r="D64" s="20">
        <v>0</v>
      </c>
      <c r="E64" s="5" t="s">
        <v>24</v>
      </c>
      <c r="F64" s="20">
        <v>30</v>
      </c>
      <c r="G64" s="21" t="s">
        <v>32</v>
      </c>
      <c r="H64" s="20">
        <v>400</v>
      </c>
      <c r="I64" s="21" t="s">
        <v>27</v>
      </c>
      <c r="J64" s="20"/>
      <c r="K64" s="21"/>
      <c r="L64" s="21"/>
      <c r="M64" s="5" t="s">
        <v>38</v>
      </c>
      <c r="N64" s="24">
        <f>C64 / VLOOKUP(B64,AYAR!C5:D7,2,0)</f>
        <v>0.30545454545454548</v>
      </c>
      <c r="O64" s="24">
        <f t="shared" si="9"/>
        <v>0.79629629629629628</v>
      </c>
      <c r="P64" s="25">
        <f t="shared" si="10"/>
        <v>0.20370370370370369</v>
      </c>
      <c r="Q64" s="25">
        <f t="shared" ref="Q64:Q65" si="12">IF(AND(B64="TURANLAR",D64=0),1,IF(D64=0,0,IF(L64=0,1,1-(L64/D64))))</f>
        <v>1</v>
      </c>
      <c r="R64" s="28">
        <f t="shared" si="5"/>
        <v>6.222222222222222E-2</v>
      </c>
    </row>
    <row r="65" spans="1:18" s="19" customFormat="1" ht="25.05" customHeight="1" x14ac:dyDescent="0.3">
      <c r="A65" s="12">
        <v>46038</v>
      </c>
      <c r="B65" s="5" t="s">
        <v>22</v>
      </c>
      <c r="C65" s="20">
        <v>200</v>
      </c>
      <c r="D65" s="20">
        <v>0</v>
      </c>
      <c r="E65" s="5" t="s">
        <v>24</v>
      </c>
      <c r="F65" s="20">
        <v>70</v>
      </c>
      <c r="G65" s="21" t="s">
        <v>32</v>
      </c>
      <c r="H65" s="20">
        <v>410</v>
      </c>
      <c r="I65" s="21" t="s">
        <v>27</v>
      </c>
      <c r="J65" s="20"/>
      <c r="K65" s="21"/>
      <c r="L65" s="21"/>
      <c r="M65" s="5" t="s">
        <v>37</v>
      </c>
      <c r="N65" s="24">
        <f>C65 / VLOOKUP(B65,AYAR!C5:D7,2,0)</f>
        <v>0.12121212121212122</v>
      </c>
      <c r="O65" s="24">
        <f t="shared" si="9"/>
        <v>0.88888888888888884</v>
      </c>
      <c r="P65" s="25">
        <f t="shared" si="10"/>
        <v>0.1111111111111111</v>
      </c>
      <c r="Q65" s="25">
        <f t="shared" si="12"/>
        <v>1</v>
      </c>
      <c r="R65" s="28">
        <f t="shared" si="5"/>
        <v>1.3468013468013467E-2</v>
      </c>
    </row>
    <row r="66" spans="1:18" s="19" customFormat="1" ht="25.05" customHeight="1" x14ac:dyDescent="0.3">
      <c r="A66" s="12">
        <v>46038</v>
      </c>
      <c r="B66" s="5" t="s">
        <v>19</v>
      </c>
      <c r="C66" s="20">
        <v>1256</v>
      </c>
      <c r="D66" s="20">
        <v>496.75</v>
      </c>
      <c r="E66" s="5" t="s">
        <v>24</v>
      </c>
      <c r="F66" s="20">
        <v>70</v>
      </c>
      <c r="G66" s="21" t="s">
        <v>32</v>
      </c>
      <c r="H66" s="20">
        <v>60</v>
      </c>
      <c r="I66" s="21" t="s">
        <v>27</v>
      </c>
      <c r="J66" s="20"/>
      <c r="K66" s="21"/>
      <c r="L66" s="21"/>
      <c r="M66" s="5"/>
      <c r="N66" s="24">
        <f>C66 / VLOOKUP(B66,AYAR!C5:D7,2,0)</f>
        <v>0.628</v>
      </c>
      <c r="O66" s="24">
        <f t="shared" si="9"/>
        <v>0.24074074074074073</v>
      </c>
      <c r="P66" s="25">
        <f t="shared" si="10"/>
        <v>0.7592592592592593</v>
      </c>
      <c r="Q66" s="25">
        <f t="shared" si="4"/>
        <v>1</v>
      </c>
      <c r="R66" s="28">
        <f t="shared" si="5"/>
        <v>0.47681481481481486</v>
      </c>
    </row>
    <row r="67" spans="1:18" s="19" customFormat="1" ht="25.05" customHeight="1" x14ac:dyDescent="0.3">
      <c r="A67" s="12">
        <v>46038</v>
      </c>
      <c r="B67" s="5" t="s">
        <v>20</v>
      </c>
      <c r="C67" s="20"/>
      <c r="D67" s="20">
        <v>1</v>
      </c>
      <c r="E67" s="5"/>
      <c r="F67" s="20"/>
      <c r="G67" s="21"/>
      <c r="H67" s="20">
        <v>540</v>
      </c>
      <c r="I67" s="21" t="s">
        <v>27</v>
      </c>
      <c r="J67" s="20"/>
      <c r="K67" s="21"/>
      <c r="L67" s="21"/>
      <c r="M67" s="5" t="s">
        <v>28</v>
      </c>
      <c r="N67" s="24">
        <f>C67 / VLOOKUP(B67,AYAR!C5:D7,2,0)</f>
        <v>0</v>
      </c>
      <c r="O67" s="24">
        <f t="shared" si="9"/>
        <v>1</v>
      </c>
      <c r="P67" s="25">
        <f t="shared" si="10"/>
        <v>0</v>
      </c>
      <c r="Q67" s="25">
        <f t="shared" si="4"/>
        <v>1</v>
      </c>
      <c r="R67" s="28">
        <f t="shared" si="5"/>
        <v>0</v>
      </c>
    </row>
    <row r="68" spans="1:18" s="19" customFormat="1" ht="25.05" customHeight="1" x14ac:dyDescent="0.3">
      <c r="A68" s="12">
        <v>46037</v>
      </c>
      <c r="B68" s="5" t="s">
        <v>22</v>
      </c>
      <c r="C68" s="20">
        <v>465</v>
      </c>
      <c r="D68" s="20">
        <v>0</v>
      </c>
      <c r="E68" s="5" t="s">
        <v>24</v>
      </c>
      <c r="F68" s="20">
        <v>30</v>
      </c>
      <c r="G68" s="21" t="s">
        <v>32</v>
      </c>
      <c r="H68" s="20">
        <v>330</v>
      </c>
      <c r="I68" s="21" t="s">
        <v>27</v>
      </c>
      <c r="J68" s="20"/>
      <c r="K68" s="21"/>
      <c r="L68" s="21"/>
      <c r="M68" s="5" t="s">
        <v>37</v>
      </c>
      <c r="N68" s="24">
        <f>C68 / VLOOKUP(B68,AYAR!C5:D7,2,0)</f>
        <v>0.2818181818181818</v>
      </c>
      <c r="O68" s="24">
        <f t="shared" si="9"/>
        <v>0.66666666666666663</v>
      </c>
      <c r="P68" s="25">
        <f t="shared" si="10"/>
        <v>0.33333333333333331</v>
      </c>
      <c r="Q68" s="25">
        <f>IF(AND(B68="TURANLAR",D68=0),1,IF(D68=0,0,IF(L68=0,1,1-(L68/D68))))</f>
        <v>1</v>
      </c>
      <c r="R68" s="28">
        <f t="shared" si="5"/>
        <v>9.3939393939393934E-2</v>
      </c>
    </row>
    <row r="69" spans="1:18" s="19" customFormat="1" ht="25.05" customHeight="1" x14ac:dyDescent="0.3">
      <c r="A69" s="12">
        <v>46037</v>
      </c>
      <c r="B69" s="5" t="s">
        <v>20</v>
      </c>
      <c r="C69" s="20"/>
      <c r="D69" s="20">
        <v>1</v>
      </c>
      <c r="E69" s="5"/>
      <c r="F69" s="20"/>
      <c r="G69" s="21"/>
      <c r="H69" s="20">
        <v>540</v>
      </c>
      <c r="I69" s="21" t="s">
        <v>27</v>
      </c>
      <c r="J69" s="20"/>
      <c r="K69" s="21"/>
      <c r="L69" s="21"/>
      <c r="M69" s="5" t="s">
        <v>28</v>
      </c>
      <c r="N69" s="24">
        <f>C69 / VLOOKUP(B69,AYAR!C5:D7,2,0)</f>
        <v>0</v>
      </c>
      <c r="O69" s="24">
        <f t="shared" si="9"/>
        <v>1</v>
      </c>
      <c r="P69" s="25">
        <f t="shared" si="10"/>
        <v>0</v>
      </c>
      <c r="Q69" s="25">
        <f t="shared" si="4"/>
        <v>1</v>
      </c>
      <c r="R69" s="28">
        <f t="shared" si="5"/>
        <v>0</v>
      </c>
    </row>
    <row r="70" spans="1:18" s="19" customFormat="1" ht="25.05" customHeight="1" x14ac:dyDescent="0.3">
      <c r="A70" s="12">
        <v>46037</v>
      </c>
      <c r="B70" s="5" t="s">
        <v>19</v>
      </c>
      <c r="C70" s="20">
        <v>572</v>
      </c>
      <c r="D70" s="20">
        <v>218</v>
      </c>
      <c r="E70" s="5" t="s">
        <v>24</v>
      </c>
      <c r="F70" s="20">
        <v>30</v>
      </c>
      <c r="G70" s="21" t="s">
        <v>32</v>
      </c>
      <c r="H70" s="20">
        <v>240</v>
      </c>
      <c r="I70" s="21" t="s">
        <v>27</v>
      </c>
      <c r="J70" s="20"/>
      <c r="K70" s="21"/>
      <c r="L70" s="21"/>
      <c r="M70" s="5"/>
      <c r="N70" s="24">
        <f>C70 / VLOOKUP(B70,AYAR!C5:D7,2,0)</f>
        <v>0.28599999999999998</v>
      </c>
      <c r="O70" s="24">
        <f t="shared" si="9"/>
        <v>0.5</v>
      </c>
      <c r="P70" s="25">
        <f t="shared" si="10"/>
        <v>0.5</v>
      </c>
      <c r="Q70" s="25">
        <f t="shared" si="4"/>
        <v>1</v>
      </c>
      <c r="R70" s="28">
        <f t="shared" si="5"/>
        <v>0.14299999999999999</v>
      </c>
    </row>
    <row r="71" spans="1:18" s="19" customFormat="1" ht="25.05" customHeight="1" x14ac:dyDescent="0.3">
      <c r="A71" s="12">
        <v>46036</v>
      </c>
      <c r="B71" s="5" t="s">
        <v>19</v>
      </c>
      <c r="C71" s="20">
        <v>661</v>
      </c>
      <c r="D71" s="20">
        <v>298</v>
      </c>
      <c r="E71" s="5" t="s">
        <v>24</v>
      </c>
      <c r="F71" s="20">
        <v>30</v>
      </c>
      <c r="G71" s="21" t="s">
        <v>32</v>
      </c>
      <c r="H71" s="20">
        <v>270</v>
      </c>
      <c r="I71" s="21" t="s">
        <v>27</v>
      </c>
      <c r="J71" s="20"/>
      <c r="K71" s="21"/>
      <c r="L71" s="21"/>
      <c r="M71" s="5"/>
      <c r="N71" s="24">
        <f>C71 / VLOOKUP(B71,AYAR!C5:D7,2,0)</f>
        <v>0.33050000000000002</v>
      </c>
      <c r="O71" s="24">
        <f t="shared" si="9"/>
        <v>0.55555555555555558</v>
      </c>
      <c r="P71" s="25">
        <f t="shared" si="10"/>
        <v>0.44444444444444442</v>
      </c>
      <c r="Q71" s="25">
        <f t="shared" si="4"/>
        <v>1</v>
      </c>
      <c r="R71" s="28">
        <f t="shared" si="5"/>
        <v>0.14688888888888887</v>
      </c>
    </row>
    <row r="72" spans="1:18" s="19" customFormat="1" ht="25.05" customHeight="1" x14ac:dyDescent="0.3">
      <c r="A72" s="12">
        <v>46036</v>
      </c>
      <c r="B72" s="5" t="s">
        <v>20</v>
      </c>
      <c r="C72" s="20">
        <v>1482</v>
      </c>
      <c r="D72" s="20">
        <v>706.5</v>
      </c>
      <c r="E72" s="5" t="s">
        <v>24</v>
      </c>
      <c r="F72" s="20">
        <v>30</v>
      </c>
      <c r="G72" s="21" t="s">
        <v>32</v>
      </c>
      <c r="H72" s="20">
        <v>90</v>
      </c>
      <c r="I72" s="21" t="s">
        <v>35</v>
      </c>
      <c r="J72" s="20">
        <v>75</v>
      </c>
      <c r="K72" s="21" t="s">
        <v>27</v>
      </c>
      <c r="L72" s="21"/>
      <c r="M72" s="5" t="s">
        <v>36</v>
      </c>
      <c r="N72" s="24">
        <f>C72 / VLOOKUP(B72,AYAR!C5:D7,2,0)</f>
        <v>0.3705</v>
      </c>
      <c r="O72" s="24">
        <f t="shared" si="9"/>
        <v>0.3611111111111111</v>
      </c>
      <c r="P72" s="25">
        <f t="shared" si="10"/>
        <v>0.63888888888888884</v>
      </c>
      <c r="Q72" s="25">
        <f t="shared" si="4"/>
        <v>1</v>
      </c>
      <c r="R72" s="28">
        <f t="shared" si="5"/>
        <v>0.23670833333333333</v>
      </c>
    </row>
    <row r="73" spans="1:18" s="19" customFormat="1" ht="25.05" customHeight="1" x14ac:dyDescent="0.3">
      <c r="A73" s="12">
        <v>46036</v>
      </c>
      <c r="B73" s="5" t="s">
        <v>22</v>
      </c>
      <c r="C73" s="20"/>
      <c r="D73" s="20">
        <v>0</v>
      </c>
      <c r="E73" s="5"/>
      <c r="F73" s="20"/>
      <c r="G73" s="21"/>
      <c r="H73" s="20">
        <v>540</v>
      </c>
      <c r="I73" s="21" t="s">
        <v>27</v>
      </c>
      <c r="J73" s="20"/>
      <c r="K73" s="21"/>
      <c r="L73" s="21"/>
      <c r="M73" s="5" t="s">
        <v>28</v>
      </c>
      <c r="N73" s="24">
        <f>C73 / VLOOKUP(B73,AYAR!C5:D7,2,0)</f>
        <v>0</v>
      </c>
      <c r="O73" s="24">
        <f t="shared" si="9"/>
        <v>1</v>
      </c>
      <c r="P73" s="25">
        <f t="shared" si="10"/>
        <v>0</v>
      </c>
      <c r="Q73" s="25">
        <f t="shared" si="4"/>
        <v>0</v>
      </c>
      <c r="R73" s="28">
        <f t="shared" si="5"/>
        <v>0</v>
      </c>
    </row>
    <row r="74" spans="1:18" s="19" customFormat="1" ht="25.05" customHeight="1" x14ac:dyDescent="0.3">
      <c r="A74" s="12">
        <v>46035</v>
      </c>
      <c r="B74" s="5" t="s">
        <v>20</v>
      </c>
      <c r="C74" s="20">
        <v>982</v>
      </c>
      <c r="D74" s="20">
        <v>469</v>
      </c>
      <c r="E74" s="5" t="s">
        <v>24</v>
      </c>
      <c r="F74" s="20">
        <v>30</v>
      </c>
      <c r="G74" s="21" t="s">
        <v>32</v>
      </c>
      <c r="H74" s="20">
        <v>270</v>
      </c>
      <c r="I74" s="21" t="s">
        <v>27</v>
      </c>
      <c r="J74" s="20"/>
      <c r="K74" s="21"/>
      <c r="L74" s="21"/>
      <c r="M74" s="5"/>
      <c r="N74" s="24">
        <f>C74 / VLOOKUP(B74,AYAR!C5:D7,2,0)</f>
        <v>0.2455</v>
      </c>
      <c r="O74" s="24">
        <f t="shared" si="9"/>
        <v>0.55555555555555558</v>
      </c>
      <c r="P74" s="25">
        <f t="shared" si="10"/>
        <v>0.44444444444444442</v>
      </c>
      <c r="Q74" s="25">
        <f t="shared" si="4"/>
        <v>1</v>
      </c>
      <c r="R74" s="28">
        <f t="shared" si="5"/>
        <v>0.1091111111111111</v>
      </c>
    </row>
    <row r="75" spans="1:18" s="19" customFormat="1" ht="25.05" customHeight="1" x14ac:dyDescent="0.3">
      <c r="A75" s="12">
        <v>46035</v>
      </c>
      <c r="B75" s="5" t="s">
        <v>19</v>
      </c>
      <c r="C75" s="20">
        <v>796</v>
      </c>
      <c r="D75" s="20">
        <v>343</v>
      </c>
      <c r="E75" s="5" t="s">
        <v>24</v>
      </c>
      <c r="F75" s="20">
        <v>30</v>
      </c>
      <c r="G75" s="21" t="s">
        <v>32</v>
      </c>
      <c r="H75" s="20">
        <v>120</v>
      </c>
      <c r="I75" s="21" t="s">
        <v>27</v>
      </c>
      <c r="J75" s="20"/>
      <c r="K75" s="21"/>
      <c r="L75" s="21"/>
      <c r="M75" s="5"/>
      <c r="N75" s="24">
        <f>C75 / VLOOKUP(B75,AYAR!C5:D7,2,0)</f>
        <v>0.39800000000000002</v>
      </c>
      <c r="O75" s="24">
        <f t="shared" si="9"/>
        <v>0.27777777777777779</v>
      </c>
      <c r="P75" s="25">
        <f t="shared" si="10"/>
        <v>0.72222222222222221</v>
      </c>
      <c r="Q75" s="25">
        <f t="shared" ref="Q75:Q94" si="13">IF(D75=0,0,IF(L75=0,1,1-(L75/D75)))</f>
        <v>1</v>
      </c>
      <c r="R75" s="28">
        <f t="shared" si="5"/>
        <v>0.28744444444444445</v>
      </c>
    </row>
    <row r="76" spans="1:18" s="19" customFormat="1" ht="25.05" customHeight="1" x14ac:dyDescent="0.3">
      <c r="A76" s="12">
        <v>46035</v>
      </c>
      <c r="B76" s="5" t="s">
        <v>22</v>
      </c>
      <c r="C76" s="20">
        <v>180</v>
      </c>
      <c r="D76" s="20">
        <v>0</v>
      </c>
      <c r="E76" s="5" t="s">
        <v>24</v>
      </c>
      <c r="F76" s="20">
        <v>30</v>
      </c>
      <c r="G76" s="21" t="s">
        <v>32</v>
      </c>
      <c r="H76" s="20">
        <v>400</v>
      </c>
      <c r="I76" s="21" t="s">
        <v>27</v>
      </c>
      <c r="J76" s="20"/>
      <c r="K76" s="21"/>
      <c r="L76" s="21"/>
      <c r="M76" s="5"/>
      <c r="N76" s="24">
        <f>C76 / VLOOKUP(B76,AYAR!C5:D7,2,0)</f>
        <v>0.10909090909090909</v>
      </c>
      <c r="O76" s="24">
        <f t="shared" si="9"/>
        <v>0.79629629629629628</v>
      </c>
      <c r="P76" s="25">
        <f t="shared" si="10"/>
        <v>0.20370370370370369</v>
      </c>
      <c r="Q76" s="25">
        <f>IF(AND(B76="TURANLAR",D76=0),1,IF(D76=0,0,IF(L76=0,1,1-(L76/D76))))</f>
        <v>1</v>
      </c>
      <c r="R76" s="28">
        <f t="shared" ref="R76:R94" si="14">N76*P76*Q76</f>
        <v>2.222222222222222E-2</v>
      </c>
    </row>
    <row r="77" spans="1:18" s="19" customFormat="1" ht="25.05" customHeight="1" x14ac:dyDescent="0.3">
      <c r="A77" s="12">
        <v>46034</v>
      </c>
      <c r="B77" s="5" t="s">
        <v>20</v>
      </c>
      <c r="C77" s="20">
        <v>320</v>
      </c>
      <c r="D77" s="20">
        <v>255</v>
      </c>
      <c r="E77" s="5" t="s">
        <v>24</v>
      </c>
      <c r="F77" s="20">
        <v>30</v>
      </c>
      <c r="G77" s="21" t="s">
        <v>32</v>
      </c>
      <c r="H77" s="20">
        <v>450</v>
      </c>
      <c r="I77" s="21" t="s">
        <v>27</v>
      </c>
      <c r="J77" s="20"/>
      <c r="K77" s="21"/>
      <c r="L77" s="21"/>
      <c r="M77" s="5"/>
      <c r="N77" s="24">
        <f>C77 / VLOOKUP(B77,AYAR!C5:D7,2,0)</f>
        <v>0.08</v>
      </c>
      <c r="O77" s="24">
        <f t="shared" ref="O77:O85" si="15">(F77 + H77 + J77) / 540</f>
        <v>0.88888888888888884</v>
      </c>
      <c r="P77" s="25">
        <f t="shared" ref="P77:P85" si="16">(540 - (F77 + H77 + J77)) / 540</f>
        <v>0.1111111111111111</v>
      </c>
      <c r="Q77" s="25">
        <f t="shared" si="13"/>
        <v>1</v>
      </c>
      <c r="R77" s="28">
        <f t="shared" si="14"/>
        <v>8.8888888888888889E-3</v>
      </c>
    </row>
    <row r="78" spans="1:18" s="19" customFormat="1" ht="25.05" customHeight="1" x14ac:dyDescent="0.3">
      <c r="A78" s="12">
        <v>46034</v>
      </c>
      <c r="B78" s="5" t="s">
        <v>19</v>
      </c>
      <c r="C78" s="20">
        <v>608</v>
      </c>
      <c r="D78" s="20">
        <v>302.75</v>
      </c>
      <c r="E78" s="5" t="s">
        <v>24</v>
      </c>
      <c r="F78" s="20">
        <v>30</v>
      </c>
      <c r="G78" s="21" t="s">
        <v>32</v>
      </c>
      <c r="H78" s="20">
        <v>350</v>
      </c>
      <c r="I78" s="21" t="s">
        <v>27</v>
      </c>
      <c r="J78" s="20"/>
      <c r="K78" s="21"/>
      <c r="L78" s="21"/>
      <c r="M78" s="5"/>
      <c r="N78" s="24">
        <f>C78 / VLOOKUP(B78,AYAR!C5:D7,2,0)</f>
        <v>0.30399999999999999</v>
      </c>
      <c r="O78" s="24">
        <f t="shared" si="15"/>
        <v>0.70370370370370372</v>
      </c>
      <c r="P78" s="25">
        <f t="shared" si="16"/>
        <v>0.29629629629629628</v>
      </c>
      <c r="Q78" s="25">
        <f t="shared" si="13"/>
        <v>1</v>
      </c>
      <c r="R78" s="28">
        <f t="shared" si="14"/>
        <v>9.007407407407407E-2</v>
      </c>
    </row>
    <row r="79" spans="1:18" s="19" customFormat="1" ht="25.05" customHeight="1" x14ac:dyDescent="0.3">
      <c r="A79" s="12">
        <v>46034</v>
      </c>
      <c r="B79" s="5" t="s">
        <v>22</v>
      </c>
      <c r="C79" s="20">
        <v>627</v>
      </c>
      <c r="D79" s="20">
        <v>0</v>
      </c>
      <c r="E79" s="5" t="s">
        <v>24</v>
      </c>
      <c r="F79" s="20">
        <v>30</v>
      </c>
      <c r="G79" s="21" t="s">
        <v>32</v>
      </c>
      <c r="H79" s="20">
        <v>400</v>
      </c>
      <c r="I79" s="21" t="s">
        <v>27</v>
      </c>
      <c r="J79" s="20"/>
      <c r="K79" s="21"/>
      <c r="L79" s="21"/>
      <c r="M79" s="5" t="s">
        <v>34</v>
      </c>
      <c r="N79" s="24">
        <f>C79 / VLOOKUP(B79,AYAR!C5:D7,2,0)</f>
        <v>0.38</v>
      </c>
      <c r="O79" s="24">
        <f t="shared" si="15"/>
        <v>0.79629629629629628</v>
      </c>
      <c r="P79" s="25">
        <f t="shared" si="16"/>
        <v>0.20370370370370369</v>
      </c>
      <c r="Q79" s="25">
        <f>IF(AND(B79="TURANLAR",D79=0),1,IF(D79=0,0,IF(L79=0,1,1-(L79/D79))))</f>
        <v>1</v>
      </c>
      <c r="R79" s="28">
        <f t="shared" si="14"/>
        <v>7.7407407407407411E-2</v>
      </c>
    </row>
    <row r="80" spans="1:18" s="19" customFormat="1" ht="25.05" customHeight="1" x14ac:dyDescent="0.3">
      <c r="A80" s="12">
        <v>46031</v>
      </c>
      <c r="B80" s="5" t="s">
        <v>20</v>
      </c>
      <c r="C80" s="20">
        <v>1326</v>
      </c>
      <c r="D80" s="20">
        <v>553.5</v>
      </c>
      <c r="E80" s="5" t="s">
        <v>24</v>
      </c>
      <c r="F80" s="20">
        <v>30</v>
      </c>
      <c r="G80" s="21" t="s">
        <v>32</v>
      </c>
      <c r="H80" s="20">
        <v>90</v>
      </c>
      <c r="I80" s="21" t="s">
        <v>27</v>
      </c>
      <c r="J80" s="20">
        <v>60</v>
      </c>
      <c r="K80" s="21" t="s">
        <v>25</v>
      </c>
      <c r="L80" s="21"/>
      <c r="M80" s="5" t="s">
        <v>33</v>
      </c>
      <c r="N80" s="24">
        <f>C80 / VLOOKUP(B80,AYAR!C5:D7,2,0)</f>
        <v>0.33150000000000002</v>
      </c>
      <c r="O80" s="24">
        <f t="shared" si="15"/>
        <v>0.33333333333333331</v>
      </c>
      <c r="P80" s="25">
        <f t="shared" si="16"/>
        <v>0.66666666666666663</v>
      </c>
      <c r="Q80" s="25">
        <f t="shared" si="13"/>
        <v>1</v>
      </c>
      <c r="R80" s="28">
        <f t="shared" si="14"/>
        <v>0.221</v>
      </c>
    </row>
    <row r="81" spans="1:18" s="19" customFormat="1" ht="25.05" customHeight="1" x14ac:dyDescent="0.3">
      <c r="A81" s="12">
        <v>46031</v>
      </c>
      <c r="B81" s="5" t="s">
        <v>19</v>
      </c>
      <c r="C81" s="20">
        <v>875</v>
      </c>
      <c r="D81" s="20">
        <v>355</v>
      </c>
      <c r="E81" s="5" t="s">
        <v>24</v>
      </c>
      <c r="F81" s="20">
        <v>30</v>
      </c>
      <c r="G81" s="21" t="s">
        <v>32</v>
      </c>
      <c r="H81" s="20">
        <v>60</v>
      </c>
      <c r="I81" s="21" t="s">
        <v>27</v>
      </c>
      <c r="J81" s="20">
        <v>60</v>
      </c>
      <c r="K81" s="21" t="s">
        <v>25</v>
      </c>
      <c r="L81" s="21"/>
      <c r="M81" s="5"/>
      <c r="N81" s="24">
        <f>C81 / VLOOKUP(B81,AYAR!C5:D7,2,0)</f>
        <v>0.4375</v>
      </c>
      <c r="O81" s="24">
        <f t="shared" si="15"/>
        <v>0.27777777777777779</v>
      </c>
      <c r="P81" s="25">
        <f t="shared" si="16"/>
        <v>0.72222222222222221</v>
      </c>
      <c r="Q81" s="25">
        <f t="shared" si="13"/>
        <v>1</v>
      </c>
      <c r="R81" s="28">
        <f t="shared" si="14"/>
        <v>0.31597222222222221</v>
      </c>
    </row>
    <row r="82" spans="1:18" s="19" customFormat="1" ht="25.05" customHeight="1" x14ac:dyDescent="0.3">
      <c r="A82" s="12">
        <v>46031</v>
      </c>
      <c r="B82" s="5" t="s">
        <v>22</v>
      </c>
      <c r="C82" s="20"/>
      <c r="D82" s="20">
        <v>0</v>
      </c>
      <c r="E82" s="5"/>
      <c r="F82" s="20"/>
      <c r="G82" s="21"/>
      <c r="H82" s="20"/>
      <c r="I82" s="21" t="s">
        <v>27</v>
      </c>
      <c r="J82" s="20">
        <v>540</v>
      </c>
      <c r="K82" s="21"/>
      <c r="L82" s="21"/>
      <c r="M82" s="5"/>
      <c r="N82" s="24">
        <f>C82 / VLOOKUP(B82,AYAR!C5:D7,2,0)</f>
        <v>0</v>
      </c>
      <c r="O82" s="24">
        <f t="shared" si="15"/>
        <v>1</v>
      </c>
      <c r="P82" s="25">
        <f t="shared" si="16"/>
        <v>0</v>
      </c>
      <c r="Q82" s="25">
        <f t="shared" si="13"/>
        <v>0</v>
      </c>
      <c r="R82" s="28">
        <f t="shared" si="14"/>
        <v>0</v>
      </c>
    </row>
    <row r="83" spans="1:18" s="19" customFormat="1" ht="25.05" customHeight="1" x14ac:dyDescent="0.3">
      <c r="A83" s="12">
        <v>46030</v>
      </c>
      <c r="B83" s="5" t="s">
        <v>20</v>
      </c>
      <c r="C83" s="20">
        <v>172</v>
      </c>
      <c r="D83" s="20">
        <v>48</v>
      </c>
      <c r="E83" s="5" t="s">
        <v>24</v>
      </c>
      <c r="F83" s="20">
        <v>30</v>
      </c>
      <c r="G83" s="21" t="s">
        <v>32</v>
      </c>
      <c r="H83" s="20">
        <v>420</v>
      </c>
      <c r="I83" s="21" t="s">
        <v>27</v>
      </c>
      <c r="J83" s="20"/>
      <c r="K83" s="21"/>
      <c r="L83" s="21"/>
      <c r="M83" s="5"/>
      <c r="N83" s="24">
        <f>C83 / VLOOKUP(B83,AYAR!C5:D7,2,0)</f>
        <v>4.2999999999999997E-2</v>
      </c>
      <c r="O83" s="24">
        <f t="shared" si="15"/>
        <v>0.83333333333333337</v>
      </c>
      <c r="P83" s="25">
        <f t="shared" si="16"/>
        <v>0.16666666666666666</v>
      </c>
      <c r="Q83" s="25">
        <f t="shared" si="13"/>
        <v>1</v>
      </c>
      <c r="R83" s="28">
        <f t="shared" si="14"/>
        <v>7.1666666666666658E-3</v>
      </c>
    </row>
    <row r="84" spans="1:18" s="19" customFormat="1" ht="25.05" customHeight="1" x14ac:dyDescent="0.3">
      <c r="A84" s="12">
        <v>46030</v>
      </c>
      <c r="B84" s="5" t="s">
        <v>22</v>
      </c>
      <c r="C84" s="20">
        <v>377</v>
      </c>
      <c r="D84" s="20">
        <v>0</v>
      </c>
      <c r="E84" s="5" t="s">
        <v>24</v>
      </c>
      <c r="F84" s="20">
        <v>30</v>
      </c>
      <c r="G84" s="21" t="s">
        <v>32</v>
      </c>
      <c r="H84" s="20">
        <v>390</v>
      </c>
      <c r="I84" s="21" t="s">
        <v>27</v>
      </c>
      <c r="J84" s="20"/>
      <c r="K84" s="21"/>
      <c r="L84" s="21"/>
      <c r="M84" s="5"/>
      <c r="N84" s="24">
        <f>C84 / VLOOKUP(B84,AYAR!C5:D7,2,0)</f>
        <v>0.22848484848484849</v>
      </c>
      <c r="O84" s="24">
        <f t="shared" si="15"/>
        <v>0.77777777777777779</v>
      </c>
      <c r="P84" s="25">
        <f t="shared" si="16"/>
        <v>0.22222222222222221</v>
      </c>
      <c r="Q84" s="25">
        <f>IF(AND(B84="TURANLAR",D84=0),1,IF(D84=0,0,IF(L84=0,1,1-(L84/D84))))</f>
        <v>1</v>
      </c>
      <c r="R84" s="28">
        <f t="shared" si="14"/>
        <v>5.0774410774410771E-2</v>
      </c>
    </row>
    <row r="85" spans="1:18" s="19" customFormat="1" ht="25.05" customHeight="1" x14ac:dyDescent="0.3">
      <c r="A85" s="12">
        <v>46030</v>
      </c>
      <c r="B85" s="5" t="s">
        <v>19</v>
      </c>
      <c r="C85" s="20">
        <v>1214</v>
      </c>
      <c r="D85" s="20">
        <v>565.25</v>
      </c>
      <c r="E85" s="5" t="s">
        <v>24</v>
      </c>
      <c r="F85" s="20">
        <v>30</v>
      </c>
      <c r="G85" s="21" t="s">
        <v>32</v>
      </c>
      <c r="H85" s="20">
        <v>120</v>
      </c>
      <c r="I85" s="21" t="s">
        <v>27</v>
      </c>
      <c r="J85" s="20"/>
      <c r="K85" s="21"/>
      <c r="L85" s="21"/>
      <c r="M85" s="5"/>
      <c r="N85" s="24">
        <f>C85 / VLOOKUP(B85,AYAR!C5:D7,2,0)</f>
        <v>0.60699999999999998</v>
      </c>
      <c r="O85" s="24">
        <f t="shared" si="15"/>
        <v>0.27777777777777779</v>
      </c>
      <c r="P85" s="25">
        <f t="shared" si="16"/>
        <v>0.72222222222222221</v>
      </c>
      <c r="Q85" s="25">
        <f t="shared" si="13"/>
        <v>1</v>
      </c>
      <c r="R85" s="28">
        <f t="shared" si="14"/>
        <v>0.43838888888888888</v>
      </c>
    </row>
    <row r="86" spans="1:18" ht="24.75" customHeight="1" x14ac:dyDescent="0.3">
      <c r="A86" s="12">
        <v>46029</v>
      </c>
      <c r="B86" s="5" t="s">
        <v>20</v>
      </c>
      <c r="C86" s="5">
        <v>1380</v>
      </c>
      <c r="D86" s="5">
        <v>990</v>
      </c>
      <c r="E86" s="5" t="s">
        <v>24</v>
      </c>
      <c r="F86" s="5">
        <v>15</v>
      </c>
      <c r="G86" s="5" t="s">
        <v>23</v>
      </c>
      <c r="H86" s="5">
        <v>15</v>
      </c>
      <c r="I86" s="5" t="s">
        <v>25</v>
      </c>
      <c r="J86" s="5">
        <v>330</v>
      </c>
      <c r="K86" s="5" t="s">
        <v>27</v>
      </c>
      <c r="L86" s="5"/>
      <c r="M86" s="5"/>
      <c r="N86" s="24">
        <f>C86/VLOOKUP(B86,AYAR!C5:D7,2,0)</f>
        <v>0.34499999999999997</v>
      </c>
      <c r="O86" s="24">
        <f t="shared" ref="O86:O94" si="17">(F86+H86+J86)/540</f>
        <v>0.66666666666666663</v>
      </c>
      <c r="P86" s="24">
        <f t="shared" ref="P86:P94" si="18">(540-(F86+H86+J86))/540</f>
        <v>0.33333333333333331</v>
      </c>
      <c r="Q86" s="25">
        <f t="shared" si="13"/>
        <v>1</v>
      </c>
      <c r="R86" s="28">
        <f t="shared" si="14"/>
        <v>0.11499999999999999</v>
      </c>
    </row>
    <row r="87" spans="1:18" ht="24.75" customHeight="1" x14ac:dyDescent="0.3">
      <c r="A87" s="12">
        <v>46029</v>
      </c>
      <c r="B87" s="5" t="s">
        <v>19</v>
      </c>
      <c r="C87" s="5">
        <v>520</v>
      </c>
      <c r="D87" s="5">
        <v>893</v>
      </c>
      <c r="E87" s="5" t="s">
        <v>24</v>
      </c>
      <c r="F87" s="5">
        <v>15</v>
      </c>
      <c r="G87" s="5" t="s">
        <v>23</v>
      </c>
      <c r="H87" s="5">
        <v>15</v>
      </c>
      <c r="I87" s="5" t="s">
        <v>25</v>
      </c>
      <c r="J87" s="5">
        <v>180</v>
      </c>
      <c r="K87" s="5" t="s">
        <v>27</v>
      </c>
      <c r="L87" s="5"/>
      <c r="M87" s="5"/>
      <c r="N87" s="24">
        <f>C87/VLOOKUP(B87,AYAR!C5:D7,2,0)</f>
        <v>0.26</v>
      </c>
      <c r="O87" s="24">
        <f t="shared" si="17"/>
        <v>0.3888888888888889</v>
      </c>
      <c r="P87" s="24">
        <f t="shared" si="18"/>
        <v>0.61111111111111116</v>
      </c>
      <c r="Q87" s="25">
        <f t="shared" si="13"/>
        <v>1</v>
      </c>
      <c r="R87" s="28">
        <f t="shared" si="14"/>
        <v>0.15888888888888891</v>
      </c>
    </row>
    <row r="88" spans="1:18" ht="24.75" customHeight="1" x14ac:dyDescent="0.3">
      <c r="A88" s="12">
        <v>46029</v>
      </c>
      <c r="B88" s="5" t="s">
        <v>22</v>
      </c>
      <c r="C88" s="5">
        <v>997</v>
      </c>
      <c r="D88" s="20">
        <v>0</v>
      </c>
      <c r="E88" s="5" t="s">
        <v>24</v>
      </c>
      <c r="F88" s="5">
        <v>15</v>
      </c>
      <c r="G88" s="5" t="s">
        <v>23</v>
      </c>
      <c r="H88" s="5">
        <v>15</v>
      </c>
      <c r="I88" s="5" t="s">
        <v>25</v>
      </c>
      <c r="J88" s="5">
        <v>60</v>
      </c>
      <c r="K88" s="5" t="s">
        <v>27</v>
      </c>
      <c r="L88" s="5"/>
      <c r="M88" s="5"/>
      <c r="N88" s="24">
        <f>C88/VLOOKUP(B88,AYAR!C5:D7,2,0)</f>
        <v>0.60424242424242425</v>
      </c>
      <c r="O88" s="24">
        <f t="shared" si="17"/>
        <v>0.16666666666666666</v>
      </c>
      <c r="P88" s="24">
        <f t="shared" si="18"/>
        <v>0.83333333333333337</v>
      </c>
      <c r="Q88" s="25">
        <f>IF(AND(B88="TURANLAR",D88=0),1,IF(D88=0,0,IF(L88=0,1,1-(L88/D88))))</f>
        <v>1</v>
      </c>
      <c r="R88" s="28">
        <f t="shared" si="14"/>
        <v>0.50353535353535361</v>
      </c>
    </row>
    <row r="89" spans="1:18" ht="24.75" customHeight="1" x14ac:dyDescent="0.3">
      <c r="A89" s="12">
        <v>46028</v>
      </c>
      <c r="B89" s="5" t="s">
        <v>20</v>
      </c>
      <c r="C89" s="5">
        <v>1874</v>
      </c>
      <c r="D89" s="5">
        <v>1424</v>
      </c>
      <c r="E89" s="5" t="s">
        <v>24</v>
      </c>
      <c r="F89" s="5">
        <v>15</v>
      </c>
      <c r="G89" s="5" t="s">
        <v>23</v>
      </c>
      <c r="H89" s="5">
        <v>15</v>
      </c>
      <c r="I89" s="5" t="s">
        <v>25</v>
      </c>
      <c r="J89" s="5">
        <v>330</v>
      </c>
      <c r="K89" s="5" t="s">
        <v>27</v>
      </c>
      <c r="L89" s="5"/>
      <c r="M89" s="5"/>
      <c r="N89" s="24">
        <f>C89/VLOOKUP(B89,AYAR!C5:D7,2,0)</f>
        <v>0.46850000000000003</v>
      </c>
      <c r="O89" s="24">
        <f t="shared" si="17"/>
        <v>0.66666666666666663</v>
      </c>
      <c r="P89" s="24">
        <f t="shared" si="18"/>
        <v>0.33333333333333331</v>
      </c>
      <c r="Q89" s="25">
        <f t="shared" si="13"/>
        <v>1</v>
      </c>
      <c r="R89" s="28">
        <f t="shared" si="14"/>
        <v>0.15616666666666668</v>
      </c>
    </row>
    <row r="90" spans="1:18" ht="24.75" customHeight="1" x14ac:dyDescent="0.3">
      <c r="A90" s="12">
        <v>46028</v>
      </c>
      <c r="B90" s="5" t="s">
        <v>19</v>
      </c>
      <c r="C90" s="5">
        <v>503</v>
      </c>
      <c r="D90" s="5">
        <v>900</v>
      </c>
      <c r="E90" s="5" t="s">
        <v>24</v>
      </c>
      <c r="F90" s="5">
        <v>15</v>
      </c>
      <c r="G90" s="5" t="s">
        <v>23</v>
      </c>
      <c r="H90" s="5">
        <v>15</v>
      </c>
      <c r="I90" s="5" t="s">
        <v>25</v>
      </c>
      <c r="J90" s="5">
        <v>230</v>
      </c>
      <c r="K90" s="5" t="s">
        <v>27</v>
      </c>
      <c r="L90" s="5"/>
      <c r="M90" s="5"/>
      <c r="N90" s="24">
        <f>C90/VLOOKUP(B90,AYAR!C5:D7,2,0)</f>
        <v>0.2515</v>
      </c>
      <c r="O90" s="24">
        <f t="shared" si="17"/>
        <v>0.48148148148148145</v>
      </c>
      <c r="P90" s="24">
        <f t="shared" si="18"/>
        <v>0.51851851851851849</v>
      </c>
      <c r="Q90" s="25">
        <f t="shared" si="13"/>
        <v>1</v>
      </c>
      <c r="R90" s="28">
        <f t="shared" si="14"/>
        <v>0.13040740740740739</v>
      </c>
    </row>
    <row r="91" spans="1:18" ht="24.75" customHeight="1" x14ac:dyDescent="0.3">
      <c r="A91" s="12">
        <v>46028</v>
      </c>
      <c r="B91" s="5" t="s">
        <v>22</v>
      </c>
      <c r="C91" s="5">
        <v>1099</v>
      </c>
      <c r="D91" s="20">
        <v>0</v>
      </c>
      <c r="E91" s="5" t="s">
        <v>24</v>
      </c>
      <c r="F91" s="5">
        <v>15</v>
      </c>
      <c r="G91" s="5" t="s">
        <v>23</v>
      </c>
      <c r="H91" s="5">
        <v>15</v>
      </c>
      <c r="I91" s="5" t="s">
        <v>25</v>
      </c>
      <c r="J91" s="5">
        <v>45</v>
      </c>
      <c r="K91" s="5" t="s">
        <v>29</v>
      </c>
      <c r="L91" s="5"/>
      <c r="M91" s="5" t="s">
        <v>31</v>
      </c>
      <c r="N91" s="24">
        <f>C91/VLOOKUP(B91,AYAR!C5:D7,2,0)</f>
        <v>0.66606060606060602</v>
      </c>
      <c r="O91" s="24">
        <f t="shared" si="17"/>
        <v>0.1388888888888889</v>
      </c>
      <c r="P91" s="24">
        <f t="shared" si="18"/>
        <v>0.86111111111111116</v>
      </c>
      <c r="Q91" s="25">
        <f>IF(AND(B91="TURANLAR",D91=0),1,IF(D91=0,0,IF(L91=0,1,1-(L91/D91))))</f>
        <v>1</v>
      </c>
      <c r="R91" s="28">
        <f t="shared" si="14"/>
        <v>0.57355218855218859</v>
      </c>
    </row>
    <row r="92" spans="1:18" ht="24.75" customHeight="1" x14ac:dyDescent="0.3">
      <c r="A92" s="12">
        <v>46027</v>
      </c>
      <c r="B92" s="5" t="s">
        <v>19</v>
      </c>
      <c r="C92" s="5">
        <v>143</v>
      </c>
      <c r="D92" s="5">
        <v>225</v>
      </c>
      <c r="E92" s="5" t="s">
        <v>24</v>
      </c>
      <c r="F92" s="5">
        <v>15</v>
      </c>
      <c r="G92" s="5" t="s">
        <v>23</v>
      </c>
      <c r="H92" s="5">
        <v>15</v>
      </c>
      <c r="I92" s="5" t="s">
        <v>25</v>
      </c>
      <c r="J92" s="5">
        <v>450</v>
      </c>
      <c r="K92" s="5" t="s">
        <v>27</v>
      </c>
      <c r="L92" s="5"/>
      <c r="M92" s="5"/>
      <c r="N92" s="24">
        <f>C92/VLOOKUP(B92,AYAR!C5:D7,2,0)</f>
        <v>7.1499999999999994E-2</v>
      </c>
      <c r="O92" s="24">
        <f t="shared" si="17"/>
        <v>0.88888888888888884</v>
      </c>
      <c r="P92" s="24">
        <f t="shared" si="18"/>
        <v>0.1111111111111111</v>
      </c>
      <c r="Q92" s="25">
        <f t="shared" si="13"/>
        <v>1</v>
      </c>
      <c r="R92" s="28">
        <f t="shared" si="14"/>
        <v>7.9444444444444432E-3</v>
      </c>
    </row>
    <row r="93" spans="1:18" ht="24.75" customHeight="1" x14ac:dyDescent="0.3">
      <c r="A93" s="12">
        <v>46027</v>
      </c>
      <c r="B93" s="5" t="s">
        <v>22</v>
      </c>
      <c r="C93" s="5"/>
      <c r="D93" s="20">
        <v>0</v>
      </c>
      <c r="E93" s="5"/>
      <c r="F93" s="5"/>
      <c r="G93" s="5"/>
      <c r="H93" s="5"/>
      <c r="I93" s="5"/>
      <c r="J93" s="5">
        <v>540</v>
      </c>
      <c r="K93" s="5" t="s">
        <v>27</v>
      </c>
      <c r="L93" s="5"/>
      <c r="M93" s="5" t="s">
        <v>28</v>
      </c>
      <c r="N93" s="24">
        <f>C93/VLOOKUP(B93,AYAR!C5:D7,2,0)</f>
        <v>0</v>
      </c>
      <c r="O93" s="24">
        <f t="shared" si="17"/>
        <v>1</v>
      </c>
      <c r="P93" s="24">
        <f t="shared" si="18"/>
        <v>0</v>
      </c>
      <c r="Q93" s="25">
        <f t="shared" si="13"/>
        <v>0</v>
      </c>
      <c r="R93" s="28">
        <f t="shared" si="14"/>
        <v>0</v>
      </c>
    </row>
    <row r="94" spans="1:18" ht="24.75" customHeight="1" x14ac:dyDescent="0.3">
      <c r="A94" s="12">
        <v>46027</v>
      </c>
      <c r="B94" s="5" t="s">
        <v>20</v>
      </c>
      <c r="C94" s="5">
        <v>3192</v>
      </c>
      <c r="D94" s="5">
        <v>2511</v>
      </c>
      <c r="E94" s="5" t="s">
        <v>24</v>
      </c>
      <c r="F94" s="5">
        <v>15</v>
      </c>
      <c r="G94" s="5" t="s">
        <v>23</v>
      </c>
      <c r="H94" s="5">
        <v>15</v>
      </c>
      <c r="I94" s="5" t="s">
        <v>25</v>
      </c>
      <c r="J94" s="5">
        <v>60</v>
      </c>
      <c r="K94" s="5" t="s">
        <v>30</v>
      </c>
      <c r="L94" s="5"/>
      <c r="M94" s="5"/>
      <c r="N94" s="24">
        <f>C94/VLOOKUP(B94,AYAR!C5:D7,2,0)</f>
        <v>0.79800000000000004</v>
      </c>
      <c r="O94" s="24">
        <f t="shared" si="17"/>
        <v>0.16666666666666666</v>
      </c>
      <c r="P94" s="24">
        <f t="shared" si="18"/>
        <v>0.83333333333333337</v>
      </c>
      <c r="Q94" s="25">
        <f t="shared" si="13"/>
        <v>1</v>
      </c>
      <c r="R94" s="28">
        <f t="shared" si="14"/>
        <v>0.66500000000000004</v>
      </c>
    </row>
    <row r="95" spans="1:18" ht="30" customHeight="1" x14ac:dyDescent="0.3">
      <c r="A95" s="12"/>
      <c r="B95" s="5"/>
      <c r="C95" s="10"/>
      <c r="D95" s="10"/>
      <c r="E95" s="8"/>
      <c r="F95" s="10"/>
      <c r="G95" s="5"/>
      <c r="H95" s="10"/>
      <c r="I95" s="5"/>
      <c r="J95" s="10"/>
      <c r="K95" s="5"/>
      <c r="L95" s="5"/>
      <c r="M95" s="8"/>
      <c r="N95" s="24"/>
      <c r="O95" s="24"/>
      <c r="P95" s="24"/>
      <c r="Q95" s="26"/>
      <c r="R95" s="28"/>
    </row>
    <row r="96" spans="1:18" ht="30" customHeight="1" x14ac:dyDescent="0.3">
      <c r="A96" s="12"/>
      <c r="B96" s="5"/>
      <c r="C96" s="10"/>
      <c r="D96" s="10"/>
      <c r="E96" s="8"/>
      <c r="F96" s="10"/>
      <c r="G96" s="5"/>
      <c r="H96" s="10"/>
      <c r="I96" s="5"/>
      <c r="J96" s="10"/>
      <c r="K96" s="5"/>
      <c r="L96" s="5"/>
      <c r="M96" s="8"/>
      <c r="N96" s="24"/>
      <c r="O96" s="24"/>
      <c r="P96" s="24"/>
      <c r="Q96" s="26"/>
      <c r="R96" s="28"/>
    </row>
    <row r="97" spans="1:16" ht="30" customHeight="1" x14ac:dyDescent="0.3">
      <c r="A97" s="12"/>
      <c r="B97" s="5"/>
      <c r="C97" s="10"/>
      <c r="D97" s="10"/>
      <c r="E97" s="8"/>
      <c r="F97" s="10"/>
      <c r="G97" s="5"/>
      <c r="H97" s="10"/>
      <c r="I97" s="5"/>
      <c r="J97" s="10"/>
      <c r="K97" s="5"/>
      <c r="L97" s="5"/>
      <c r="M97" s="8"/>
      <c r="N97" s="24"/>
      <c r="O97" s="24"/>
      <c r="P97" s="24"/>
    </row>
    <row r="98" spans="1:16" ht="30" customHeight="1" x14ac:dyDescent="0.3">
      <c r="A98" s="12"/>
      <c r="B98" s="5"/>
      <c r="C98" s="10"/>
      <c r="D98" s="10"/>
      <c r="E98" s="8"/>
      <c r="F98" s="10"/>
      <c r="G98" s="5"/>
      <c r="H98" s="10"/>
      <c r="I98" s="5"/>
      <c r="J98" s="10"/>
      <c r="K98" s="5"/>
      <c r="L98" s="5"/>
      <c r="M98" s="8"/>
      <c r="N98" s="24"/>
      <c r="O98" s="24"/>
      <c r="P98" s="24"/>
    </row>
    <row r="99" spans="1:16" ht="30" customHeight="1" x14ac:dyDescent="0.3">
      <c r="A99" s="12"/>
      <c r="B99" s="5"/>
      <c r="C99" s="10"/>
      <c r="D99" s="10"/>
      <c r="E99" s="8"/>
      <c r="F99" s="10"/>
      <c r="G99" s="5"/>
      <c r="H99" s="10"/>
      <c r="I99" s="5"/>
      <c r="J99" s="10"/>
      <c r="K99" s="5"/>
      <c r="L99" s="5"/>
      <c r="M99" s="5"/>
      <c r="N99" s="24"/>
      <c r="O99" s="24"/>
      <c r="P99" s="24"/>
    </row>
    <row r="100" spans="1:16" ht="30" customHeight="1" x14ac:dyDescent="0.3">
      <c r="A100" s="12"/>
      <c r="B100" s="5"/>
      <c r="C100" s="10"/>
      <c r="D100" s="10"/>
      <c r="E100" s="8"/>
      <c r="F100" s="10"/>
      <c r="G100" s="5"/>
      <c r="H100" s="10"/>
      <c r="I100" s="5"/>
      <c r="J100" s="10"/>
      <c r="K100" s="5"/>
      <c r="L100" s="5"/>
      <c r="M100" s="5"/>
      <c r="N100" s="24"/>
      <c r="O100" s="24"/>
      <c r="P100" s="24"/>
    </row>
    <row r="101" spans="1:16" ht="30" customHeight="1" x14ac:dyDescent="0.3">
      <c r="A101" s="12"/>
      <c r="B101" s="5"/>
      <c r="C101" s="10"/>
      <c r="D101" s="10"/>
      <c r="E101" s="8"/>
      <c r="F101" s="10"/>
      <c r="G101" s="5"/>
      <c r="H101" s="10"/>
      <c r="I101" s="5"/>
      <c r="J101" s="10"/>
      <c r="K101" s="5"/>
      <c r="L101" s="5"/>
      <c r="M101" s="5"/>
      <c r="N101" s="24"/>
      <c r="O101" s="24"/>
      <c r="P101" s="24"/>
    </row>
    <row r="102" spans="1:16" ht="30" customHeight="1" x14ac:dyDescent="0.3">
      <c r="A102" s="12"/>
      <c r="B102" s="5"/>
      <c r="C102" s="10"/>
      <c r="D102" s="10"/>
      <c r="E102" s="8"/>
      <c r="F102" s="10"/>
      <c r="G102" s="5"/>
      <c r="H102" s="10"/>
      <c r="I102" s="5"/>
      <c r="J102" s="10"/>
      <c r="K102" s="5"/>
      <c r="L102" s="5"/>
      <c r="M102" s="5"/>
      <c r="N102" s="24"/>
      <c r="O102" s="24"/>
      <c r="P102" s="24"/>
    </row>
    <row r="103" spans="1:16" ht="30" customHeight="1" x14ac:dyDescent="0.3">
      <c r="A103" s="12"/>
      <c r="B103" s="5"/>
      <c r="C103" s="10"/>
      <c r="D103" s="10"/>
      <c r="E103" s="7"/>
      <c r="F103" s="10"/>
      <c r="G103" s="5"/>
      <c r="H103" s="10"/>
      <c r="I103" s="5"/>
      <c r="J103" s="10"/>
      <c r="K103" s="5"/>
      <c r="L103" s="5"/>
      <c r="M103" s="5"/>
      <c r="N103" s="24"/>
      <c r="O103" s="24"/>
      <c r="P103" s="24"/>
    </row>
    <row r="104" spans="1:16" ht="30" customHeight="1" x14ac:dyDescent="0.3">
      <c r="A104" s="12"/>
      <c r="B104" s="5"/>
      <c r="C104" s="10"/>
      <c r="D104" s="10"/>
      <c r="E104" s="7"/>
      <c r="F104" s="10"/>
      <c r="G104" s="5"/>
      <c r="H104" s="10"/>
      <c r="I104" s="5"/>
      <c r="J104" s="10"/>
      <c r="K104" s="5"/>
      <c r="L104" s="5"/>
      <c r="M104" s="5"/>
      <c r="N104" s="24"/>
      <c r="O104" s="24"/>
      <c r="P104" s="24"/>
    </row>
    <row r="105" spans="1:16" ht="30" customHeight="1" x14ac:dyDescent="0.3">
      <c r="A105" s="12"/>
      <c r="B105" s="5"/>
      <c r="C105" s="10"/>
      <c r="D105" s="10"/>
      <c r="E105" s="7"/>
      <c r="F105" s="10"/>
      <c r="G105" s="5"/>
      <c r="H105" s="10"/>
      <c r="I105" s="5"/>
      <c r="J105" s="10"/>
      <c r="K105" s="5"/>
      <c r="L105" s="5"/>
      <c r="M105" s="5"/>
      <c r="N105" s="24"/>
      <c r="O105" s="24"/>
      <c r="P105" s="24"/>
    </row>
    <row r="106" spans="1:16" ht="30" customHeight="1" x14ac:dyDescent="0.3">
      <c r="A106" s="12"/>
      <c r="B106" s="5"/>
      <c r="C106" s="10"/>
      <c r="D106" s="10"/>
      <c r="E106" s="7"/>
      <c r="F106" s="10"/>
      <c r="G106" s="5"/>
      <c r="H106" s="10"/>
      <c r="I106" s="5"/>
      <c r="J106" s="10"/>
      <c r="K106" s="5"/>
      <c r="L106" s="5"/>
      <c r="M106" s="5"/>
      <c r="N106" s="24"/>
      <c r="O106" s="24"/>
      <c r="P106" s="24"/>
    </row>
    <row r="107" spans="1:16" ht="30" customHeight="1" x14ac:dyDescent="0.3">
      <c r="A107" s="12"/>
      <c r="B107" s="5"/>
      <c r="C107" s="10"/>
      <c r="D107" s="10"/>
      <c r="E107" s="7"/>
      <c r="F107" s="10"/>
      <c r="G107" s="5"/>
      <c r="H107" s="10"/>
      <c r="I107" s="5"/>
      <c r="J107" s="10"/>
      <c r="K107" s="5"/>
      <c r="L107" s="5"/>
      <c r="M107" s="5"/>
      <c r="N107" s="24"/>
      <c r="O107" s="24"/>
      <c r="P107" s="24"/>
    </row>
    <row r="108" spans="1:16" ht="30" customHeight="1" x14ac:dyDescent="0.3">
      <c r="A108" s="12"/>
      <c r="B108" s="5"/>
      <c r="C108" s="10"/>
      <c r="D108" s="10"/>
      <c r="E108" s="7"/>
      <c r="F108" s="10"/>
      <c r="G108" s="5"/>
      <c r="H108" s="10"/>
      <c r="I108" s="5"/>
      <c r="J108" s="10"/>
      <c r="K108" s="5"/>
      <c r="L108" s="5"/>
      <c r="M108" s="5"/>
      <c r="N108" s="24"/>
      <c r="O108" s="24"/>
      <c r="P108" s="24"/>
    </row>
    <row r="109" spans="1:16" ht="30" customHeight="1" x14ac:dyDescent="0.3">
      <c r="A109" s="12"/>
      <c r="B109" s="5"/>
      <c r="C109" s="10"/>
      <c r="D109" s="10"/>
      <c r="E109" s="7"/>
      <c r="F109" s="10"/>
      <c r="G109" s="5"/>
      <c r="H109" s="10"/>
      <c r="I109" s="5"/>
      <c r="J109" s="10"/>
      <c r="K109" s="5"/>
      <c r="L109" s="5"/>
      <c r="M109" s="5"/>
      <c r="N109" s="24"/>
      <c r="O109" s="24"/>
      <c r="P109" s="24"/>
    </row>
    <row r="110" spans="1:16" ht="30" customHeight="1" x14ac:dyDescent="0.3">
      <c r="A110" s="12"/>
      <c r="B110" s="5"/>
      <c r="C110" s="10"/>
      <c r="D110" s="10"/>
      <c r="E110" s="7"/>
      <c r="F110" s="10"/>
      <c r="G110" s="5"/>
      <c r="H110" s="10"/>
      <c r="I110" s="5"/>
      <c r="J110" s="10"/>
      <c r="K110" s="5"/>
      <c r="L110" s="5"/>
      <c r="M110" s="5"/>
      <c r="N110" s="24"/>
      <c r="O110" s="24"/>
      <c r="P110" s="24"/>
    </row>
    <row r="111" spans="1:16" ht="30" customHeight="1" x14ac:dyDescent="0.3">
      <c r="A111" s="12"/>
      <c r="B111" s="5"/>
      <c r="C111" s="10"/>
      <c r="D111" s="10"/>
      <c r="E111" s="7"/>
      <c r="F111" s="10"/>
      <c r="G111" s="5"/>
      <c r="H111" s="10"/>
      <c r="I111" s="5"/>
      <c r="J111" s="10"/>
      <c r="K111" s="5"/>
      <c r="L111" s="5"/>
      <c r="M111" s="5"/>
      <c r="N111" s="24"/>
      <c r="O111" s="24"/>
      <c r="P111" s="24"/>
    </row>
    <row r="112" spans="1:16" ht="30" customHeight="1" x14ac:dyDescent="0.3">
      <c r="A112" s="12"/>
      <c r="B112" s="5"/>
      <c r="C112" s="10"/>
      <c r="D112" s="10"/>
      <c r="E112" s="7"/>
      <c r="F112" s="10"/>
      <c r="G112" s="5"/>
      <c r="H112" s="10"/>
      <c r="I112" s="5"/>
      <c r="J112" s="10"/>
      <c r="K112" s="5"/>
      <c r="L112" s="5"/>
      <c r="M112" s="5"/>
      <c r="N112" s="24"/>
      <c r="O112" s="24"/>
      <c r="P112" s="24"/>
    </row>
    <row r="113" spans="1:16" ht="30" customHeight="1" x14ac:dyDescent="0.3">
      <c r="A113" s="12"/>
      <c r="B113" s="5"/>
      <c r="C113" s="10"/>
      <c r="D113" s="10"/>
      <c r="E113" s="6"/>
      <c r="F113" s="10"/>
      <c r="G113" s="5"/>
      <c r="H113" s="10"/>
      <c r="I113" s="5"/>
      <c r="J113" s="10"/>
      <c r="K113" s="6"/>
      <c r="L113" s="6"/>
      <c r="M113" s="6"/>
      <c r="N113" s="24"/>
      <c r="O113" s="24"/>
      <c r="P113" s="24"/>
    </row>
    <row r="114" spans="1:16" ht="30" customHeight="1" x14ac:dyDescent="0.3">
      <c r="A114" s="12"/>
      <c r="B114" s="5"/>
      <c r="C114" s="10"/>
      <c r="D114" s="10"/>
      <c r="E114" s="6"/>
      <c r="F114" s="10"/>
      <c r="G114" s="5"/>
      <c r="H114" s="10"/>
      <c r="I114" s="5"/>
      <c r="J114" s="10"/>
      <c r="K114" s="6"/>
      <c r="L114" s="6"/>
      <c r="M114" s="6"/>
      <c r="N114" s="24"/>
      <c r="O114" s="24"/>
      <c r="P114" s="24"/>
    </row>
    <row r="115" spans="1:16" ht="30" customHeight="1" x14ac:dyDescent="0.3">
      <c r="A115" s="12"/>
      <c r="B115" s="5"/>
      <c r="C115" s="10"/>
      <c r="D115" s="10"/>
      <c r="E115" s="6"/>
      <c r="F115" s="10"/>
      <c r="G115" s="5"/>
      <c r="H115" s="10"/>
      <c r="I115" s="5"/>
      <c r="J115" s="10"/>
      <c r="K115" s="6"/>
      <c r="L115" s="6"/>
      <c r="M115" s="6"/>
      <c r="N115" s="24"/>
      <c r="O115" s="24"/>
      <c r="P115" s="24"/>
    </row>
    <row r="116" spans="1:16" ht="30" customHeight="1" x14ac:dyDescent="0.3">
      <c r="A116" s="12"/>
      <c r="B116" s="5"/>
      <c r="C116" s="10"/>
      <c r="D116" s="10"/>
      <c r="E116" s="6"/>
      <c r="F116" s="10"/>
      <c r="G116" s="5"/>
      <c r="H116" s="10"/>
      <c r="I116" s="5"/>
      <c r="J116" s="10"/>
      <c r="K116" s="6"/>
      <c r="L116" s="6"/>
      <c r="M116" s="6"/>
      <c r="N116" s="24"/>
      <c r="O116" s="24"/>
      <c r="P116" s="24"/>
    </row>
    <row r="117" spans="1:16" ht="30" customHeight="1" x14ac:dyDescent="0.3">
      <c r="B117" s="5"/>
      <c r="F117" s="10"/>
    </row>
    <row r="118" spans="1:16" ht="30" customHeight="1" x14ac:dyDescent="0.3">
      <c r="B118" s="5"/>
      <c r="F118" s="10"/>
    </row>
    <row r="119" spans="1:16" ht="30" customHeight="1" x14ac:dyDescent="0.3">
      <c r="B119" s="5"/>
      <c r="F119" s="10"/>
    </row>
    <row r="120" spans="1:16" ht="30" customHeight="1" x14ac:dyDescent="0.3">
      <c r="B120" s="5"/>
      <c r="F120" s="10"/>
    </row>
  </sheetData>
  <autoFilter ref="A1:P94" xr:uid="{00000000-0009-0000-0000-000001000000}">
    <sortState xmlns:xlrd2="http://schemas.microsoft.com/office/spreadsheetml/2017/richdata2" ref="A2:P85">
      <sortCondition descending="1" ref="A1:A85"/>
    </sortState>
  </autoFilter>
  <sortState xmlns:xlrd2="http://schemas.microsoft.com/office/spreadsheetml/2017/richdata2" ref="A4:P11">
    <sortCondition descending="1" ref="A1:A11"/>
  </sortState>
  <dataValidations count="3">
    <dataValidation type="list" allowBlank="1" showInputMessage="1" showErrorMessage="1" sqref="I86:I94 G86:G94 K86:L94" xr:uid="{00000000-0002-0000-0100-000000000000}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86:E94" xr:uid="{00000000-0002-0000-0100-000001000000}">
      <formula1>"NORMAL MESAİ,FAZLA MESAİ,VARDİYA"</formula1>
    </dataValidation>
    <dataValidation type="list" allowBlank="1" showInputMessage="1" showErrorMessage="1" sqref="B86:B94" xr:uid="{00000000-0002-0000-0100-000002000000}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5:D7"/>
  <sheetViews>
    <sheetView workbookViewId="0">
      <selection activeCell="D8" sqref="D8"/>
    </sheetView>
  </sheetViews>
  <sheetFormatPr defaultRowHeight="14.4" x14ac:dyDescent="0.3"/>
  <cols>
    <col min="3" max="3" width="10.44140625" bestFit="1" customWidth="1"/>
    <col min="4" max="4" width="5" bestFit="1" customWidth="1"/>
  </cols>
  <sheetData>
    <row r="5" spans="3:4" x14ac:dyDescent="0.3">
      <c r="C5" s="8" t="s">
        <v>19</v>
      </c>
      <c r="D5" s="9">
        <v>2000</v>
      </c>
    </row>
    <row r="6" spans="3:4" x14ac:dyDescent="0.3">
      <c r="C6" s="8" t="s">
        <v>20</v>
      </c>
      <c r="D6" s="9">
        <v>4000</v>
      </c>
    </row>
    <row r="7" spans="3:4" x14ac:dyDescent="0.3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dcterms:created xsi:type="dcterms:W3CDTF">2015-06-05T18:19:34Z</dcterms:created>
  <dcterms:modified xsi:type="dcterms:W3CDTF">2026-02-17T15:14:14Z</dcterms:modified>
</cp:coreProperties>
</file>