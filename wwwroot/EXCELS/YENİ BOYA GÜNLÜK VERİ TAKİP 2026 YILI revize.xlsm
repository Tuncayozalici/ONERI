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BOYA\"/>
    </mc:Choice>
  </mc:AlternateContent>
  <xr:revisionPtr revIDLastSave="0" documentId="13_ncr:1_{D9696EDB-6A56-4FEF-A1E2-16F94FEEFE2F}" xr6:coauthVersionLast="47" xr6:coauthVersionMax="47" xr10:uidLastSave="{00000000-0000-0000-0000-000000000000}"/>
  <bookViews>
    <workbookView xWindow="-108" yWindow="-108" windowWidth="23256" windowHeight="12576" tabRatio="721" activeTab="1" xr2:uid="{00000000-000D-0000-FFFF-FFFF00000000}"/>
  </bookViews>
  <sheets>
    <sheet name="VERİ GİRİŞİ" sheetId="1" r:id="rId1"/>
    <sheet name="VERİ KAYIT" sheetId="3" r:id="rId2"/>
    <sheet name="TANIMLAR" sheetId="11" state="hidden" r:id="rId3"/>
    <sheet name="BOYA VERİ KAYIT CIKTI" sheetId="7" r:id="rId4"/>
    <sheet name="ATIL Boya   Formu " sheetId="10" r:id="rId5"/>
    <sheet name="ATIL Boya  DEĞERLENDİRME FORM" sheetId="12" r:id="rId6"/>
    <sheet name="Sayfa1" sheetId="8" state="hidden" r:id="rId7"/>
  </sheets>
  <definedNames>
    <definedName name="_xlnm._FilterDatabase" localSheetId="1" hidden="1">'VERİ KAYIT'!$A$1:$Z$1144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W2" i="3" s="1"/>
  <c r="Z2" i="3" s="1"/>
  <c r="Y2" i="3"/>
  <c r="U2" i="3"/>
  <c r="X2" i="3" s="1"/>
  <c r="V3" i="3" l="1"/>
  <c r="W3" i="3" s="1"/>
  <c r="Z3" i="3" s="1"/>
  <c r="Y3" i="3"/>
  <c r="U3" i="3"/>
  <c r="X3" i="3" s="1"/>
  <c r="C2" i="1"/>
  <c r="V4" i="3" l="1"/>
  <c r="W4" i="3" s="1"/>
  <c r="Z4" i="3" s="1"/>
  <c r="Y4" i="3"/>
  <c r="U4" i="3"/>
  <c r="X4" i="3" s="1"/>
  <c r="V5" i="3" l="1"/>
  <c r="Y5" i="3"/>
  <c r="W5" i="3"/>
  <c r="U5" i="3"/>
  <c r="X5" i="3" s="1"/>
  <c r="Z5" i="3" s="1"/>
  <c r="V6" i="3"/>
  <c r="Y6" i="3"/>
  <c r="W6" i="3"/>
  <c r="U6" i="3"/>
  <c r="X6" i="3" s="1"/>
  <c r="Z6" i="3" s="1"/>
  <c r="V7" i="3"/>
  <c r="W7" i="3" s="1"/>
  <c r="V8" i="3"/>
  <c r="V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Y7" i="3"/>
  <c r="U7" i="3"/>
  <c r="X7" i="3" s="1"/>
  <c r="Z7" i="3" l="1"/>
  <c r="W8" i="3"/>
  <c r="Y8" i="3"/>
  <c r="U8" i="3"/>
  <c r="X8" i="3" s="1"/>
  <c r="W9" i="3"/>
  <c r="Y9" i="3"/>
  <c r="U9" i="3"/>
  <c r="X9" i="3" s="1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U47" i="3"/>
  <c r="X47" i="3" s="1"/>
  <c r="Z8" i="3" l="1"/>
  <c r="Z9" i="3"/>
  <c r="U10" i="3"/>
  <c r="X10" i="3" s="1"/>
  <c r="U11" i="3"/>
  <c r="X11" i="3" s="1"/>
  <c r="U12" i="3"/>
  <c r="X12" i="3" s="1"/>
  <c r="U13" i="3"/>
  <c r="X13" i="3" s="1"/>
  <c r="U14" i="3"/>
  <c r="X14" i="3" s="1"/>
  <c r="U15" i="3"/>
  <c r="X15" i="3" s="1"/>
  <c r="U16" i="3"/>
  <c r="X16" i="3" s="1"/>
  <c r="U17" i="3"/>
  <c r="X17" i="3" s="1"/>
  <c r="U18" i="3"/>
  <c r="X18" i="3" s="1"/>
  <c r="U19" i="3"/>
  <c r="X19" i="3" s="1"/>
  <c r="U20" i="3"/>
  <c r="X20" i="3" s="1"/>
  <c r="U21" i="3"/>
  <c r="X21" i="3" s="1"/>
  <c r="U22" i="3"/>
  <c r="X22" i="3" s="1"/>
  <c r="U23" i="3"/>
  <c r="X23" i="3" s="1"/>
  <c r="U24" i="3"/>
  <c r="X24" i="3" s="1"/>
  <c r="U25" i="3"/>
  <c r="X25" i="3" s="1"/>
  <c r="U26" i="3"/>
  <c r="X26" i="3" s="1"/>
  <c r="U27" i="3"/>
  <c r="X27" i="3" s="1"/>
  <c r="U28" i="3"/>
  <c r="X28" i="3" s="1"/>
  <c r="U29" i="3"/>
  <c r="X29" i="3" s="1"/>
  <c r="U30" i="3"/>
  <c r="X30" i="3" s="1"/>
  <c r="U32" i="3"/>
  <c r="X32" i="3" s="1"/>
  <c r="U33" i="3"/>
  <c r="X33" i="3" s="1"/>
  <c r="U34" i="3"/>
  <c r="X34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U43" i="3"/>
  <c r="X43" i="3" s="1"/>
  <c r="U44" i="3"/>
  <c r="X44" i="3" s="1"/>
  <c r="U45" i="3"/>
  <c r="X45" i="3" s="1"/>
  <c r="U46" i="3"/>
  <c r="X46" i="3" s="1"/>
  <c r="E31" i="3"/>
  <c r="U31" i="3" s="1"/>
  <c r="X31" i="3" s="1"/>
  <c r="Z47" i="3" l="1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Z10" i="3" l="1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31" i="3"/>
</calcChain>
</file>

<file path=xl/sharedStrings.xml><?xml version="1.0" encoding="utf-8"?>
<sst xmlns="http://schemas.openxmlformats.org/spreadsheetml/2006/main" count="274" uniqueCount="118">
  <si>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</si>
  <si>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</si>
  <si>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</si>
  <si>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</si>
  <si>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</si>
  <si>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</si>
  <si>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</si>
  <si>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</si>
  <si>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</si>
  <si>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</si>
  <si>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</si>
  <si>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</si>
  <si>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</si>
  <si>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</si>
  <si>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</si>
  <si>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</si>
  <si>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</si>
  <si>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</si>
  <si>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</si>
  <si>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</si>
  <si>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</si>
  <si>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</si>
  <si>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</si>
  <si>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</si>
  <si>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</si>
  <si>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</si>
  <si>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</si>
  <si>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</si>
  <si>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</si>
  <si>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</si>
  <si>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</si>
  <si>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</si>
  <si>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</si>
  <si>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</si>
  <si>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</si>
  <si>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</si>
  <si>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</si>
  <si>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</si>
  <si>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</si>
  <si>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</si>
  <si>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</si>
  <si>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</si>
  <si>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</si>
  <si>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</si>
  <si>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</si>
  <si>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</si>
  <si>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</si>
  <si>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</si>
  <si>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</si>
  <si>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</si>
  <si>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</si>
  <si>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</si>
  <si>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</si>
  <si>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</si>
  <si>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</si>
  <si>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</si>
  <si>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</si>
  <si>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</si>
  <si>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</si>
  <si>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</si>
  <si>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</si>
  <si>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</si>
  <si>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</si>
  <si>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</si>
  <si>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</si>
  <si>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</si>
  <si>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</si>
  <si>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</si>
  <si>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</si>
  <si>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</si>
  <si>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</si>
  <si>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</si>
  <si>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</si>
  <si>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</si>
  <si>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</si>
  <si>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</si>
  <si>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</si>
  <si>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</si>
  <si>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</si>
  <si>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</si>
  <si>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</si>
  <si>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</si>
  <si>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</si>
  <si>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</si>
  <si>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</si>
  <si>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</si>
  <si>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</si>
  <si>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</si>
  <si>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</si>
  <si>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</si>
  <si>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</si>
  <si>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</si>
  <si>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</si>
  <si>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</si>
  <si>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</si>
  <si>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</si>
  <si>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</si>
  <si>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</si>
  <si>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</si>
  <si>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</si>
  <si>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</si>
  <si>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</si>
  <si>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</si>
  <si>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</si>
  <si>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</si>
  <si>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</si>
  <si>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</si>
  <si>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</si>
  <si>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</si>
  <si>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</si>
  <si>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</si>
  <si>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</si>
  <si>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</si>
  <si>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</si>
  <si>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</si>
  <si>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</si>
  <si>
    <t xml:space="preserve">ATIL BOYA  FORMU </t>
  </si>
  <si>
    <t>kullanıma hazır olan boya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</si>
</sst>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1" fontId="0" fillId="2" borderId="37" xfId="0" applyNumberForma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38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7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60960</xdr:rowOff>
        </xdr:from>
        <xdr:to>
          <xdr:col>2</xdr:col>
          <xdr:colOff>1356360</xdr:colOff>
          <xdr:row>21</xdr:row>
          <xdr:rowOff>441960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J72"/>
  <sheetViews>
    <sheetView showGridLines="0" topLeftCell="A5" zoomScaleNormal="100" workbookViewId="0">
      <selection activeCell="D11" sqref="D11"/>
    </sheetView>
  </sheetViews>
  <sheetFormatPr defaultColWidth="8.77734375" defaultRowHeight="14.4" x14ac:dyDescent="0.3"/>
  <cols>
    <col min="1" max="1" width="14.6640625" style="1" customWidth="1"/>
    <col min="2" max="2" width="12.6640625" customWidth="1"/>
    <col min="3" max="3" width="25.33203125" bestFit="1" customWidth="1"/>
    <col min="4" max="4" width="14.6640625" customWidth="1"/>
    <col min="5" max="5" width="11.44140625" customWidth="1"/>
    <col min="6" max="6" width="16.44140625" hidden="1" customWidth="1"/>
    <col min="9" max="9" width="8.77734375" customWidth="1"/>
  </cols>
  <sheetData>
    <row r="1" spans="1:10" ht="46.5" customHeight="1" thickBot="1" x14ac:dyDescent="0.35">
      <c r="A1" s="2"/>
      <c r="B1" s="58" t="s">
        <v>31</v>
      </c>
      <c r="C1" s="59"/>
    </row>
    <row r="2" spans="1:10" ht="24" customHeight="1" x14ac:dyDescent="0.3">
      <c r="A2" s="60" t="s">
        <v>0</v>
      </c>
      <c r="B2" s="60"/>
      <c r="C2" s="5">
        <f ca="1">TODAY()</f>
        <v>46092</v>
      </c>
      <c r="G2" s="68" t="s">
        <v>115</v>
      </c>
      <c r="H2" s="69"/>
      <c r="I2" s="72" t="s">
        <v>107</v>
      </c>
      <c r="J2" s="73"/>
    </row>
    <row r="3" spans="1:10" ht="24" customHeight="1" thickBot="1" x14ac:dyDescent="0.35">
      <c r="A3" s="63" t="s">
        <v>33</v>
      </c>
      <c r="B3" s="64"/>
      <c r="C3" s="4"/>
      <c r="F3" t="s">
        <v>35</v>
      </c>
      <c r="G3" s="70"/>
      <c r="H3" s="71"/>
      <c r="I3" s="74"/>
      <c r="J3" s="75"/>
    </row>
    <row r="4" spans="1:10" ht="24" customHeight="1" thickBot="1" x14ac:dyDescent="0.35">
      <c r="A4" s="67" t="s">
        <v>34</v>
      </c>
      <c r="B4" s="67"/>
      <c r="C4" s="4"/>
      <c r="F4" t="s">
        <v>36</v>
      </c>
      <c r="G4" s="76" t="s">
        <v>106</v>
      </c>
      <c r="H4" s="77"/>
      <c r="I4" s="78" t="s">
        <v>114</v>
      </c>
      <c r="J4" s="79"/>
    </row>
    <row r="5" spans="1:10" ht="24" customHeight="1" x14ac:dyDescent="0.3">
      <c r="A5" s="63" t="s">
        <v>95</v>
      </c>
      <c r="B5" s="64"/>
      <c r="C5" s="22"/>
      <c r="G5" s="76" t="s">
        <v>105</v>
      </c>
      <c r="H5" s="77"/>
      <c r="I5" s="80"/>
      <c r="J5" s="80"/>
    </row>
    <row r="6" spans="1:10" ht="24" customHeight="1" x14ac:dyDescent="0.3">
      <c r="A6" s="61" t="s">
        <v>29</v>
      </c>
      <c r="B6" s="62"/>
      <c r="C6" s="4"/>
      <c r="G6" s="76" t="s">
        <v>108</v>
      </c>
      <c r="H6" s="77"/>
      <c r="I6" s="80"/>
      <c r="J6" s="80"/>
    </row>
    <row r="7" spans="1:10" ht="24" customHeight="1" x14ac:dyDescent="0.3">
      <c r="A7" s="63" t="s">
        <v>97</v>
      </c>
      <c r="B7" s="64"/>
      <c r="C7" s="22"/>
      <c r="G7" s="76" t="s">
        <v>109</v>
      </c>
      <c r="H7" s="77"/>
      <c r="I7" s="80"/>
      <c r="J7" s="80"/>
    </row>
    <row r="8" spans="1:10" ht="24" customHeight="1" x14ac:dyDescent="0.3">
      <c r="A8" s="63" t="s">
        <v>38</v>
      </c>
      <c r="B8" s="64"/>
      <c r="C8" s="4"/>
      <c r="G8" s="76" t="s">
        <v>110</v>
      </c>
      <c r="H8" s="77"/>
      <c r="I8" s="80"/>
      <c r="J8" s="80"/>
    </row>
    <row r="9" spans="1:10" ht="24" customHeight="1" x14ac:dyDescent="0.3">
      <c r="A9" s="61" t="s">
        <v>30</v>
      </c>
      <c r="B9" s="62"/>
      <c r="C9" s="4"/>
      <c r="G9" s="76" t="s">
        <v>111</v>
      </c>
      <c r="H9" s="77"/>
      <c r="I9" s="80"/>
      <c r="J9" s="80"/>
    </row>
    <row r="10" spans="1:10" ht="24" customHeight="1" x14ac:dyDescent="0.3">
      <c r="A10" s="63" t="s">
        <v>40</v>
      </c>
      <c r="B10" s="64"/>
      <c r="C10" s="4"/>
      <c r="G10" s="76" t="s">
        <v>112</v>
      </c>
      <c r="H10" s="77"/>
      <c r="I10" s="80"/>
      <c r="J10" s="80"/>
    </row>
    <row r="11" spans="1:10" ht="24" customHeight="1" thickBot="1" x14ac:dyDescent="0.35">
      <c r="A11" s="63" t="s">
        <v>39</v>
      </c>
      <c r="B11" s="64"/>
      <c r="C11" s="4"/>
      <c r="G11" s="81" t="s">
        <v>113</v>
      </c>
      <c r="H11" s="82"/>
      <c r="I11" s="80"/>
      <c r="J11" s="80"/>
    </row>
    <row r="12" spans="1:10" ht="24" customHeight="1" x14ac:dyDescent="0.3">
      <c r="A12" s="63" t="s">
        <v>55</v>
      </c>
      <c r="B12" s="64"/>
      <c r="C12" s="22"/>
      <c r="G12" s="80"/>
      <c r="H12" s="80"/>
      <c r="I12" s="80"/>
      <c r="J12" s="80"/>
    </row>
    <row r="13" spans="1:10" ht="24" customHeight="1" x14ac:dyDescent="0.3">
      <c r="A13" s="63" t="s">
        <v>56</v>
      </c>
      <c r="B13" s="64"/>
      <c r="C13" s="22"/>
    </row>
    <row r="14" spans="1:10" ht="24" customHeight="1" x14ac:dyDescent="0.3">
      <c r="A14" s="63" t="s">
        <v>96</v>
      </c>
      <c r="B14" s="64"/>
      <c r="C14" s="22"/>
    </row>
    <row r="15" spans="1:10" ht="24" customHeight="1" x14ac:dyDescent="0.3">
      <c r="A15" s="63" t="s">
        <v>94</v>
      </c>
      <c r="B15" s="64"/>
      <c r="C15" s="22"/>
    </row>
    <row r="16" spans="1:10" ht="24" customHeight="1" x14ac:dyDescent="0.3">
      <c r="A16" s="63" t="s">
        <v>64</v>
      </c>
      <c r="B16" s="64"/>
      <c r="C16" s="22"/>
    </row>
    <row r="17" spans="1:3" ht="24" customHeight="1" x14ac:dyDescent="0.3">
      <c r="A17" s="63" t="s">
        <v>67</v>
      </c>
      <c r="B17" s="64"/>
      <c r="C17" s="22"/>
    </row>
    <row r="18" spans="1:3" ht="24" customHeight="1" x14ac:dyDescent="0.3">
      <c r="A18" s="63" t="s">
        <v>65</v>
      </c>
      <c r="B18" s="64"/>
      <c r="C18" s="22"/>
    </row>
    <row r="19" spans="1:3" ht="24" customHeight="1" x14ac:dyDescent="0.3">
      <c r="A19" s="63" t="s">
        <v>68</v>
      </c>
      <c r="B19" s="64"/>
      <c r="C19" s="22"/>
    </row>
    <row r="20" spans="1:3" ht="24" customHeight="1" x14ac:dyDescent="0.3">
      <c r="A20" s="63" t="s">
        <v>66</v>
      </c>
      <c r="B20" s="64"/>
      <c r="C20" s="22"/>
    </row>
    <row r="21" spans="1:3" ht="24" customHeight="1" x14ac:dyDescent="0.3">
      <c r="A21" s="63" t="s">
        <v>69</v>
      </c>
      <c r="B21" s="64"/>
      <c r="C21" s="22"/>
    </row>
    <row r="22" spans="1:3" ht="45" customHeight="1" x14ac:dyDescent="0.3">
      <c r="A22" s="65"/>
      <c r="B22" s="66"/>
      <c r="C22" s="3"/>
    </row>
    <row r="71" spans="7:7" x14ac:dyDescent="0.3">
      <c r="G71" t="s">
        <v>41</v>
      </c>
    </row>
    <row r="72" spans="7:7" x14ac:dyDescent="0.3">
      <c r="G72" t="s">
        <v>44</v>
      </c>
    </row>
  </sheetData>
  <mergeCells count="42">
    <mergeCell ref="I10:J10"/>
    <mergeCell ref="G11:H11"/>
    <mergeCell ref="G12:H12"/>
    <mergeCell ref="I11:J11"/>
    <mergeCell ref="I12:J12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B1:C1"/>
    <mergeCell ref="A2:B2"/>
    <mergeCell ref="A6:B6"/>
    <mergeCell ref="A9:B9"/>
    <mergeCell ref="A3:B3"/>
    <mergeCell ref="A7:B7"/>
    <mergeCell ref="A8:B8"/>
  </mergeCells>
  <dataValidations count="4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10" xr:uid="{00000000-0002-0000-0000-000001000000}">
      <formula1>$G$71:$G$72</formula1>
    </dataValidation>
    <dataValidation type="list" allowBlank="1" showInputMessage="1" showErrorMessage="1" sqref="C12" xr:uid="{00000000-0002-0000-0000-000002000000}">
      <formula1>"KULP VB."</formula1>
    </dataValidation>
    <dataValidation type="list" allowBlank="1" showInputMessage="1" showErrorMessage="1" sqref="C7" xr:uid="{00000000-0002-0000-0000-000003000000}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60960</xdr:rowOff>
                  </from>
                  <to>
                    <xdr:col>2</xdr:col>
                    <xdr:colOff>1356360</xdr:colOff>
                    <xdr:row>21</xdr:row>
                    <xdr:rowOff>441960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Sayfa1!$A$1:$A$12</xm:f>
          </x14:formula1>
          <xm:sqref>C16 C18 C20</xm:sqref>
        </x14:dataValidation>
        <x14:dataValidation type="list" allowBlank="1" showInputMessage="1" showErrorMessage="1" xr:uid="{00000000-0002-0000-0000-000005000000}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Z1144"/>
  <sheetViews>
    <sheetView showGridLines="0" tabSelected="1" zoomScale="90" zoomScaleNormal="90" workbookViewId="0">
      <selection activeCell="G10" sqref="G10"/>
    </sheetView>
  </sheetViews>
  <sheetFormatPr defaultColWidth="8.77734375" defaultRowHeight="30" customHeight="1" x14ac:dyDescent="0.3"/>
  <cols>
    <col min="1" max="1" width="14.6640625" style="18" bestFit="1" customWidth="1"/>
    <col min="2" max="2" width="19.109375" style="3" bestFit="1" customWidth="1"/>
    <col min="3" max="3" width="21" style="3" customWidth="1"/>
    <col min="4" max="4" width="21" style="24" customWidth="1"/>
    <col min="5" max="5" width="31.6640625" style="3" bestFit="1" customWidth="1"/>
    <col min="6" max="6" width="31.6640625" style="24" customWidth="1"/>
    <col min="7" max="7" width="56.5546875" style="40" customWidth="1"/>
    <col min="8" max="8" width="34.6640625" style="3" bestFit="1" customWidth="1"/>
    <col min="9" max="9" width="21" customWidth="1"/>
    <col min="10" max="10" width="21.44140625" customWidth="1"/>
    <col min="11" max="11" width="19.44140625" customWidth="1"/>
    <col min="12" max="12" width="22.6640625" customWidth="1"/>
    <col min="13" max="13" width="29.44140625" bestFit="1" customWidth="1"/>
    <col min="14" max="14" width="22.6640625" customWidth="1"/>
    <col min="15" max="15" width="28.44140625" bestFit="1" customWidth="1"/>
    <col min="16" max="16" width="32.44140625" style="32" customWidth="1"/>
    <col min="17" max="17" width="20.33203125" bestFit="1" customWidth="1"/>
    <col min="18" max="18" width="22.44140625" bestFit="1" customWidth="1"/>
    <col min="19" max="19" width="20.33203125" bestFit="1" customWidth="1"/>
    <col min="20" max="20" width="28.44140625" customWidth="1"/>
    <col min="21" max="21" width="10.44140625" style="34" customWidth="1"/>
    <col min="22" max="22" width="24.6640625" style="34" customWidth="1"/>
    <col min="23" max="23" width="11.6640625" style="44" customWidth="1"/>
    <col min="24" max="24" width="8.77734375" style="45"/>
    <col min="25" max="25" width="13.6640625" style="45" bestFit="1" customWidth="1"/>
    <col min="26" max="26" width="8.77734375" style="45"/>
  </cols>
  <sheetData>
    <row r="1" spans="1:26" ht="32.25" customHeight="1" x14ac:dyDescent="0.3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ht="32.25" customHeight="1" x14ac:dyDescent="0.3">
      <c r="A2" s="46">
        <v>46091</v>
      </c>
      <c r="B2" s="47">
        <v>6</v>
      </c>
      <c r="C2" s="47" t="s">
        <v>36</v>
      </c>
      <c r="D2" s="47">
        <v>1.2</v>
      </c>
      <c r="E2" s="47">
        <v>952</v>
      </c>
      <c r="F2" s="47" t="s">
        <v>99</v>
      </c>
      <c r="G2" s="48"/>
      <c r="H2" s="47"/>
      <c r="I2" s="47" t="s">
        <v>41</v>
      </c>
      <c r="J2" s="47">
        <v>12</v>
      </c>
      <c r="K2" s="47"/>
      <c r="L2" s="47"/>
      <c r="M2" s="47">
        <v>150</v>
      </c>
      <c r="N2" s="47">
        <v>6</v>
      </c>
      <c r="O2" s="47" t="s">
        <v>77</v>
      </c>
      <c r="P2" s="51">
        <v>30</v>
      </c>
      <c r="Q2" s="47" t="s">
        <v>81</v>
      </c>
      <c r="R2" s="47">
        <v>20</v>
      </c>
      <c r="S2" s="47"/>
      <c r="T2" s="47"/>
      <c r="U2" s="49">
        <f>E2+H2+M2+J2+L2</f>
        <v>1114</v>
      </c>
      <c r="V2" s="56">
        <f>E2+H2+M2+J2*6+L2/90*5</f>
        <v>1174</v>
      </c>
      <c r="W2" s="44">
        <f>V2/1750</f>
        <v>0.67085714285714282</v>
      </c>
      <c r="X2" s="44">
        <f>1-(N2/U2)</f>
        <v>0.99461400359066432</v>
      </c>
      <c r="Y2" s="44">
        <f>(510-(P2+R2+T2+B2*10))/510</f>
        <v>0.78431372549019607</v>
      </c>
      <c r="Z2" s="44">
        <f>Y2*W2*X2</f>
        <v>0.52332855583885263</v>
      </c>
    </row>
    <row r="3" spans="1:26" ht="32.25" customHeight="1" x14ac:dyDescent="0.3">
      <c r="A3" s="46">
        <v>46090</v>
      </c>
      <c r="B3" s="47">
        <v>9</v>
      </c>
      <c r="C3" s="47" t="s">
        <v>36</v>
      </c>
      <c r="D3" s="47">
        <v>1.2</v>
      </c>
      <c r="E3" s="47">
        <v>770</v>
      </c>
      <c r="F3" s="47" t="s">
        <v>99</v>
      </c>
      <c r="G3" s="48"/>
      <c r="H3" s="47">
        <v>58</v>
      </c>
      <c r="I3" s="47" t="s">
        <v>41</v>
      </c>
      <c r="J3" s="47">
        <v>19</v>
      </c>
      <c r="K3" s="47" t="s">
        <v>59</v>
      </c>
      <c r="L3" s="47">
        <v>50</v>
      </c>
      <c r="M3" s="47">
        <v>224</v>
      </c>
      <c r="N3" s="47">
        <v>6</v>
      </c>
      <c r="O3" s="47" t="s">
        <v>77</v>
      </c>
      <c r="P3" s="51">
        <v>30</v>
      </c>
      <c r="Q3" s="47" t="s">
        <v>79</v>
      </c>
      <c r="R3" s="47">
        <v>20</v>
      </c>
      <c r="S3" s="47" t="s">
        <v>81</v>
      </c>
      <c r="T3" s="47">
        <v>20</v>
      </c>
      <c r="U3" s="49">
        <f>E3+H3+M3+J3+L3</f>
        <v>1121</v>
      </c>
      <c r="V3" s="56">
        <f>E3+H3+M3+J3*6+L3/90*5</f>
        <v>1168.7777777777778</v>
      </c>
      <c r="W3" s="44">
        <f>V3/1750</f>
        <v>0.66787301587301595</v>
      </c>
      <c r="X3" s="44">
        <f t="shared" ref="X3:X8" si="0">1-(N3/U3)</f>
        <v>0.99464763603925066</v>
      </c>
      <c r="Y3" s="44">
        <f>(510-(P3+R3+T3+B3*10))/510</f>
        <v>0.68627450980392157</v>
      </c>
      <c r="Z3" s="44">
        <f>Y3*W3*X3</f>
        <v>0.45589100145955896</v>
      </c>
    </row>
    <row r="4" spans="1:26" ht="32.25" customHeight="1" x14ac:dyDescent="0.3">
      <c r="A4" s="46">
        <v>46087</v>
      </c>
      <c r="B4" s="47">
        <v>8</v>
      </c>
      <c r="C4" s="47" t="s">
        <v>36</v>
      </c>
      <c r="D4" s="47">
        <v>1.2</v>
      </c>
      <c r="E4" s="47">
        <v>938</v>
      </c>
      <c r="F4" s="47"/>
      <c r="G4" s="48"/>
      <c r="H4" s="47">
        <v>124</v>
      </c>
      <c r="I4" s="47" t="s">
        <v>41</v>
      </c>
      <c r="J4" s="47">
        <v>13</v>
      </c>
      <c r="K4" s="47"/>
      <c r="L4" s="47"/>
      <c r="M4" s="47"/>
      <c r="N4" s="47">
        <v>80</v>
      </c>
      <c r="O4" s="47" t="s">
        <v>77</v>
      </c>
      <c r="P4" s="51">
        <v>30</v>
      </c>
      <c r="Q4" s="47" t="s">
        <v>79</v>
      </c>
      <c r="R4" s="47">
        <v>45</v>
      </c>
      <c r="S4" s="47" t="s">
        <v>81</v>
      </c>
      <c r="T4" s="47">
        <v>20</v>
      </c>
      <c r="U4" s="49">
        <f t="shared" ref="U4:U9" si="1">E4+H4+M4+J4+L4</f>
        <v>1075</v>
      </c>
      <c r="V4" s="56">
        <f>E4+H4+M4+J4*6+L4/90*5</f>
        <v>1140</v>
      </c>
      <c r="W4" s="44">
        <f>V4/1750</f>
        <v>0.65142857142857147</v>
      </c>
      <c r="X4" s="44">
        <f t="shared" si="0"/>
        <v>0.92558139534883721</v>
      </c>
      <c r="Y4" s="44">
        <f t="shared" ref="Y4:Y9" si="2">(510-(P4+R4+T4+B4*10))/510</f>
        <v>0.65686274509803921</v>
      </c>
      <c r="Z4" s="44">
        <f t="shared" ref="Z4:Z9" si="3">Y4*W4*X4</f>
        <v>0.39605550127027556</v>
      </c>
    </row>
    <row r="5" spans="1:26" ht="32.25" customHeight="1" x14ac:dyDescent="0.3">
      <c r="A5" s="46">
        <v>46086</v>
      </c>
      <c r="B5" s="47">
        <v>9</v>
      </c>
      <c r="C5" s="47" t="s">
        <v>36</v>
      </c>
      <c r="D5" s="47">
        <v>1.2</v>
      </c>
      <c r="E5" s="47">
        <v>711</v>
      </c>
      <c r="F5" s="47" t="s">
        <v>99</v>
      </c>
      <c r="G5" s="48"/>
      <c r="H5" s="47">
        <v>91</v>
      </c>
      <c r="I5" s="47" t="s">
        <v>41</v>
      </c>
      <c r="J5" s="47">
        <v>57</v>
      </c>
      <c r="K5" s="47"/>
      <c r="L5" s="47"/>
      <c r="M5" s="47"/>
      <c r="N5" s="47"/>
      <c r="O5" s="47" t="s">
        <v>77</v>
      </c>
      <c r="P5" s="51">
        <v>30</v>
      </c>
      <c r="Q5" s="47" t="s">
        <v>81</v>
      </c>
      <c r="R5" s="47">
        <v>20</v>
      </c>
      <c r="S5" s="47"/>
      <c r="T5" s="47"/>
      <c r="U5" s="49">
        <f t="shared" si="1"/>
        <v>859</v>
      </c>
      <c r="V5" s="56">
        <f>E5+H5+M5+J5*6+L5/90*5</f>
        <v>1144</v>
      </c>
      <c r="W5" s="44">
        <f>V5/1750</f>
        <v>0.65371428571428569</v>
      </c>
      <c r="X5" s="44">
        <f t="shared" si="0"/>
        <v>1</v>
      </c>
      <c r="Y5" s="44">
        <f t="shared" si="2"/>
        <v>0.72549019607843135</v>
      </c>
      <c r="Z5" s="44">
        <f t="shared" si="3"/>
        <v>0.47426330532212885</v>
      </c>
    </row>
    <row r="6" spans="1:26" ht="32.25" customHeight="1" x14ac:dyDescent="0.3">
      <c r="A6" s="46">
        <v>46085</v>
      </c>
      <c r="B6" s="47">
        <v>8</v>
      </c>
      <c r="C6" s="47" t="s">
        <v>36</v>
      </c>
      <c r="D6" s="47">
        <v>1.2</v>
      </c>
      <c r="E6" s="47">
        <v>798</v>
      </c>
      <c r="F6" s="47" t="s">
        <v>99</v>
      </c>
      <c r="G6" s="48"/>
      <c r="H6" s="47">
        <v>55</v>
      </c>
      <c r="I6" s="47" t="s">
        <v>41</v>
      </c>
      <c r="J6" s="47">
        <v>9</v>
      </c>
      <c r="K6" s="47"/>
      <c r="L6" s="47"/>
      <c r="M6" s="47">
        <v>27</v>
      </c>
      <c r="N6" s="47">
        <v>3</v>
      </c>
      <c r="O6" s="47" t="s">
        <v>77</v>
      </c>
      <c r="P6" s="51">
        <v>30</v>
      </c>
      <c r="Q6" s="47" t="s">
        <v>79</v>
      </c>
      <c r="R6" s="47">
        <v>10</v>
      </c>
      <c r="S6" s="47" t="s">
        <v>81</v>
      </c>
      <c r="T6" s="47">
        <v>20</v>
      </c>
      <c r="U6" s="49">
        <f t="shared" si="1"/>
        <v>889</v>
      </c>
      <c r="V6" s="56">
        <f>E6+H6+M6+J6*6+L6/90*5</f>
        <v>934</v>
      </c>
      <c r="W6" s="44">
        <f>V6/1750</f>
        <v>0.5337142857142857</v>
      </c>
      <c r="X6" s="44">
        <f t="shared" si="0"/>
        <v>0.99662542182227221</v>
      </c>
      <c r="Y6" s="44">
        <f t="shared" si="2"/>
        <v>0.72549019607843135</v>
      </c>
      <c r="Z6" s="44">
        <f t="shared" si="3"/>
        <v>0.38589782999814093</v>
      </c>
    </row>
    <row r="7" spans="1:26" ht="32.25" customHeight="1" x14ac:dyDescent="0.3">
      <c r="A7" s="46">
        <v>46084</v>
      </c>
      <c r="B7" s="47">
        <v>11</v>
      </c>
      <c r="C7" s="47" t="s">
        <v>36</v>
      </c>
      <c r="D7" s="47">
        <v>1.1000000000000001</v>
      </c>
      <c r="E7" s="47">
        <v>738</v>
      </c>
      <c r="F7" s="47" t="s">
        <v>99</v>
      </c>
      <c r="G7" s="48"/>
      <c r="H7" s="47">
        <v>60</v>
      </c>
      <c r="I7" s="47" t="s">
        <v>41</v>
      </c>
      <c r="J7" s="47">
        <v>12</v>
      </c>
      <c r="K7" s="47"/>
      <c r="L7" s="47"/>
      <c r="M7" s="47"/>
      <c r="N7" s="47">
        <v>6</v>
      </c>
      <c r="O7" s="47" t="s">
        <v>79</v>
      </c>
      <c r="P7" s="51">
        <v>10</v>
      </c>
      <c r="Q7" s="47" t="s">
        <v>81</v>
      </c>
      <c r="R7" s="47">
        <v>20</v>
      </c>
      <c r="S7" s="47" t="s">
        <v>77</v>
      </c>
      <c r="T7" s="47">
        <v>30</v>
      </c>
      <c r="U7" s="49">
        <f t="shared" si="1"/>
        <v>810</v>
      </c>
      <c r="V7" s="54">
        <f t="shared" ref="V7:V9" si="4">E7+H7+M7+J7*6+L7/90*5</f>
        <v>870</v>
      </c>
      <c r="W7" s="44">
        <f t="shared" ref="W7:W47" si="5">V7/1750</f>
        <v>0.49714285714285716</v>
      </c>
      <c r="X7" s="44">
        <f t="shared" si="0"/>
        <v>0.99259259259259258</v>
      </c>
      <c r="Y7" s="44">
        <f t="shared" si="2"/>
        <v>0.66666666666666663</v>
      </c>
      <c r="Z7" s="44">
        <f t="shared" si="3"/>
        <v>0.32897354497354497</v>
      </c>
    </row>
    <row r="8" spans="1:26" ht="32.25" customHeight="1" x14ac:dyDescent="0.3">
      <c r="A8" s="46">
        <v>46084</v>
      </c>
      <c r="B8" s="47">
        <v>1</v>
      </c>
      <c r="C8" s="47" t="s">
        <v>35</v>
      </c>
      <c r="D8" s="47"/>
      <c r="E8" s="47"/>
      <c r="F8" s="47"/>
      <c r="G8" s="48"/>
      <c r="H8" s="47"/>
      <c r="I8" s="47"/>
      <c r="J8" s="47"/>
      <c r="K8" s="47" t="s">
        <v>59</v>
      </c>
      <c r="L8" s="47">
        <v>840</v>
      </c>
      <c r="M8" s="47"/>
      <c r="N8" s="47"/>
      <c r="O8" s="47"/>
      <c r="P8" s="51"/>
      <c r="Q8" s="47"/>
      <c r="R8" s="47"/>
      <c r="S8" s="47"/>
      <c r="T8" s="47"/>
      <c r="U8" s="49">
        <f t="shared" si="1"/>
        <v>840</v>
      </c>
      <c r="V8" s="54">
        <f t="shared" si="4"/>
        <v>46.666666666666671</v>
      </c>
      <c r="W8" s="44">
        <f t="shared" si="5"/>
        <v>2.6666666666666668E-2</v>
      </c>
      <c r="X8" s="44">
        <f t="shared" si="0"/>
        <v>1</v>
      </c>
      <c r="Y8" s="44">
        <f t="shared" si="2"/>
        <v>0.98039215686274506</v>
      </c>
      <c r="Z8" s="44">
        <f t="shared" si="3"/>
        <v>2.6143790849673203E-2</v>
      </c>
    </row>
    <row r="9" spans="1:26" ht="31.2" customHeight="1" x14ac:dyDescent="0.3">
      <c r="A9" s="46">
        <v>46083</v>
      </c>
      <c r="B9" s="47">
        <v>6</v>
      </c>
      <c r="C9" s="47" t="s">
        <v>36</v>
      </c>
      <c r="D9" s="47">
        <v>1.2</v>
      </c>
      <c r="E9" s="47">
        <v>717</v>
      </c>
      <c r="F9" s="47" t="s">
        <v>99</v>
      </c>
      <c r="G9" s="48"/>
      <c r="H9" s="47">
        <v>140</v>
      </c>
      <c r="I9" s="47" t="s">
        <v>44</v>
      </c>
      <c r="J9" s="47">
        <v>117</v>
      </c>
      <c r="K9" s="22" t="s">
        <v>59</v>
      </c>
      <c r="L9" s="47"/>
      <c r="M9" s="47">
        <v>177</v>
      </c>
      <c r="N9" s="47">
        <v>3</v>
      </c>
      <c r="O9" s="47" t="s">
        <v>77</v>
      </c>
      <c r="P9" s="52">
        <v>30</v>
      </c>
      <c r="Q9" s="47" t="s">
        <v>81</v>
      </c>
      <c r="R9" s="47">
        <v>20</v>
      </c>
      <c r="S9" s="47"/>
      <c r="T9" s="47"/>
      <c r="U9" s="49">
        <f t="shared" si="1"/>
        <v>1151</v>
      </c>
      <c r="V9" s="54">
        <f t="shared" si="4"/>
        <v>1736</v>
      </c>
      <c r="W9" s="44">
        <f t="shared" si="5"/>
        <v>0.99199999999999999</v>
      </c>
      <c r="X9" s="44">
        <f t="shared" ref="X9:X47" si="6">1-(N9/U9)</f>
        <v>0.99739357080799307</v>
      </c>
      <c r="Y9" s="44">
        <f t="shared" si="2"/>
        <v>0.78431372549019607</v>
      </c>
      <c r="Z9" s="44">
        <f t="shared" si="3"/>
        <v>0.77601131156198366</v>
      </c>
    </row>
    <row r="10" spans="1:26" ht="32.25" customHeight="1" x14ac:dyDescent="0.3">
      <c r="A10" s="23">
        <v>46080</v>
      </c>
      <c r="B10" s="22">
        <v>8</v>
      </c>
      <c r="C10" s="22" t="s">
        <v>36</v>
      </c>
      <c r="D10" s="22"/>
      <c r="E10" s="22">
        <v>538</v>
      </c>
      <c r="F10" s="22"/>
      <c r="G10" s="37"/>
      <c r="H10" s="22">
        <v>243</v>
      </c>
      <c r="I10" s="22" t="s">
        <v>41</v>
      </c>
      <c r="J10" s="22">
        <v>2</v>
      </c>
      <c r="K10" s="22" t="s">
        <v>59</v>
      </c>
      <c r="L10" s="22">
        <v>20</v>
      </c>
      <c r="M10" s="22"/>
      <c r="N10" s="22"/>
      <c r="O10" s="22"/>
      <c r="P10" s="22"/>
      <c r="Q10" s="22"/>
      <c r="R10" s="22"/>
      <c r="S10" s="22"/>
      <c r="T10" s="22"/>
      <c r="U10" s="42">
        <f t="shared" ref="U10:U47" si="7">E10+H10+J10+L10+M10</f>
        <v>803</v>
      </c>
      <c r="V10" s="55"/>
      <c r="W10" s="44">
        <f t="shared" si="5"/>
        <v>0</v>
      </c>
      <c r="X10" s="44">
        <f t="shared" si="6"/>
        <v>1</v>
      </c>
      <c r="Y10" s="44">
        <f t="shared" ref="Y10:Y47" si="8">(510-(P10+R10+T10))/510</f>
        <v>1</v>
      </c>
      <c r="Z10" s="44">
        <f t="shared" ref="Z10:Z47" si="9">W10*X10*Y10</f>
        <v>0</v>
      </c>
    </row>
    <row r="11" spans="1:26" ht="32.25" customHeight="1" x14ac:dyDescent="0.3">
      <c r="A11" s="23">
        <v>46079</v>
      </c>
      <c r="B11" s="22">
        <v>8</v>
      </c>
      <c r="C11" s="22" t="s">
        <v>36</v>
      </c>
      <c r="D11" s="22"/>
      <c r="E11" s="22">
        <v>766</v>
      </c>
      <c r="F11" s="22"/>
      <c r="G11" s="37"/>
      <c r="H11" s="22">
        <v>48</v>
      </c>
      <c r="I11" s="22" t="s">
        <v>41</v>
      </c>
      <c r="J11" s="22">
        <v>20</v>
      </c>
      <c r="K11" s="22" t="s">
        <v>59</v>
      </c>
      <c r="L11" s="22">
        <v>200</v>
      </c>
      <c r="M11" s="22"/>
      <c r="N11" s="22"/>
      <c r="O11" s="22"/>
      <c r="P11" s="22"/>
      <c r="Q11" s="22"/>
      <c r="R11" s="22"/>
      <c r="T11" s="22"/>
      <c r="U11" s="42">
        <f t="shared" si="7"/>
        <v>1034</v>
      </c>
      <c r="V11" s="55"/>
      <c r="W11" s="44">
        <f t="shared" si="5"/>
        <v>0</v>
      </c>
      <c r="X11" s="44">
        <f t="shared" si="6"/>
        <v>1</v>
      </c>
      <c r="Y11" s="44">
        <f t="shared" si="8"/>
        <v>1</v>
      </c>
      <c r="Z11" s="44">
        <f t="shared" si="9"/>
        <v>0</v>
      </c>
    </row>
    <row r="12" spans="1:26" ht="32.25" customHeight="1" x14ac:dyDescent="0.3">
      <c r="A12" s="23">
        <v>46078</v>
      </c>
      <c r="B12" s="22">
        <v>7</v>
      </c>
      <c r="C12" s="22" t="s">
        <v>36</v>
      </c>
      <c r="D12" s="22"/>
      <c r="E12" s="22">
        <v>552</v>
      </c>
      <c r="F12" s="22"/>
      <c r="G12" s="37"/>
      <c r="H12" s="22">
        <v>21</v>
      </c>
      <c r="I12" s="22" t="s">
        <v>41</v>
      </c>
      <c r="J12" s="22">
        <v>166</v>
      </c>
      <c r="K12" s="22" t="s">
        <v>59</v>
      </c>
      <c r="L12" s="22">
        <v>270</v>
      </c>
      <c r="M12" s="22"/>
      <c r="N12" s="22"/>
      <c r="O12" s="22"/>
      <c r="P12" s="22"/>
      <c r="Q12" s="22"/>
      <c r="R12" s="22"/>
      <c r="S12" s="22"/>
      <c r="T12" s="22"/>
      <c r="U12" s="42">
        <f t="shared" si="7"/>
        <v>1009</v>
      </c>
      <c r="V12" s="42"/>
      <c r="W12" s="44">
        <f t="shared" si="5"/>
        <v>0</v>
      </c>
      <c r="X12" s="44">
        <f t="shared" si="6"/>
        <v>1</v>
      </c>
      <c r="Y12" s="44">
        <f t="shared" si="8"/>
        <v>1</v>
      </c>
      <c r="Z12" s="44">
        <f t="shared" si="9"/>
        <v>0</v>
      </c>
    </row>
    <row r="13" spans="1:26" ht="32.25" customHeight="1" x14ac:dyDescent="0.3">
      <c r="A13" s="23">
        <v>46077</v>
      </c>
      <c r="B13" s="22">
        <v>7</v>
      </c>
      <c r="C13" s="22" t="s">
        <v>36</v>
      </c>
      <c r="D13" s="22"/>
      <c r="E13" s="22">
        <v>792</v>
      </c>
      <c r="F13" s="22"/>
      <c r="G13" s="37"/>
      <c r="H13" s="22">
        <v>97</v>
      </c>
      <c r="I13" s="22" t="s">
        <v>44</v>
      </c>
      <c r="J13" s="22">
        <v>97</v>
      </c>
      <c r="K13" s="22" t="s">
        <v>59</v>
      </c>
      <c r="L13" s="22">
        <v>180</v>
      </c>
      <c r="M13" s="22"/>
      <c r="N13" s="22"/>
      <c r="O13" s="22" t="s">
        <v>79</v>
      </c>
      <c r="P13" s="22">
        <v>30</v>
      </c>
      <c r="Q13" s="22"/>
      <c r="R13" s="22"/>
      <c r="S13" s="22"/>
      <c r="T13" s="22"/>
      <c r="U13" s="42">
        <f t="shared" si="7"/>
        <v>1166</v>
      </c>
      <c r="V13" s="42"/>
      <c r="W13" s="44">
        <f t="shared" si="5"/>
        <v>0</v>
      </c>
      <c r="X13" s="44">
        <f t="shared" si="6"/>
        <v>1</v>
      </c>
      <c r="Y13" s="44">
        <f t="shared" si="8"/>
        <v>0.94117647058823528</v>
      </c>
      <c r="Z13" s="44">
        <f t="shared" si="9"/>
        <v>0</v>
      </c>
    </row>
    <row r="14" spans="1:26" ht="32.25" customHeight="1" x14ac:dyDescent="0.3">
      <c r="A14" s="23">
        <v>46076</v>
      </c>
      <c r="B14" s="22">
        <v>8</v>
      </c>
      <c r="C14" s="22" t="s">
        <v>36</v>
      </c>
      <c r="D14" s="22"/>
      <c r="E14" s="22">
        <v>717</v>
      </c>
      <c r="F14" s="22"/>
      <c r="G14" s="37"/>
      <c r="H14" s="22">
        <v>53</v>
      </c>
      <c r="I14" s="22" t="s">
        <v>41</v>
      </c>
      <c r="J14" s="22">
        <v>192</v>
      </c>
      <c r="K14" s="22" t="s">
        <v>59</v>
      </c>
      <c r="L14" s="22">
        <v>97</v>
      </c>
      <c r="M14" s="22"/>
      <c r="N14" s="22"/>
      <c r="O14" s="22"/>
      <c r="P14" s="22"/>
      <c r="Q14" s="22"/>
      <c r="R14" s="22"/>
      <c r="S14" s="22"/>
      <c r="T14" s="22"/>
      <c r="U14" s="42">
        <f t="shared" si="7"/>
        <v>1059</v>
      </c>
      <c r="V14" s="42"/>
      <c r="W14" s="44">
        <f t="shared" si="5"/>
        <v>0</v>
      </c>
      <c r="X14" s="44">
        <f t="shared" si="6"/>
        <v>1</v>
      </c>
      <c r="Y14" s="44">
        <f t="shared" si="8"/>
        <v>1</v>
      </c>
      <c r="Z14" s="44">
        <f t="shared" si="9"/>
        <v>0</v>
      </c>
    </row>
    <row r="15" spans="1:26" ht="32.25" customHeight="1" x14ac:dyDescent="0.3">
      <c r="A15" s="23">
        <v>46073</v>
      </c>
      <c r="B15" s="22">
        <v>6</v>
      </c>
      <c r="C15" s="22" t="s">
        <v>36</v>
      </c>
      <c r="D15" s="22"/>
      <c r="E15" s="22">
        <v>887</v>
      </c>
      <c r="F15" s="22"/>
      <c r="G15" s="37"/>
      <c r="H15" s="22">
        <v>138</v>
      </c>
      <c r="I15" s="22" t="s">
        <v>41</v>
      </c>
      <c r="J15" s="22">
        <v>135</v>
      </c>
      <c r="K15" s="22" t="s">
        <v>59</v>
      </c>
      <c r="L15" s="22">
        <v>130</v>
      </c>
      <c r="M15" s="22"/>
      <c r="N15" s="22"/>
      <c r="O15" s="22"/>
      <c r="P15" s="22"/>
      <c r="Q15" s="22"/>
      <c r="R15" s="22"/>
      <c r="S15" s="22"/>
      <c r="T15" s="22"/>
      <c r="U15" s="42">
        <f t="shared" si="7"/>
        <v>1290</v>
      </c>
      <c r="V15" s="42"/>
      <c r="W15" s="44">
        <f t="shared" si="5"/>
        <v>0</v>
      </c>
      <c r="X15" s="44">
        <f t="shared" si="6"/>
        <v>1</v>
      </c>
      <c r="Y15" s="44">
        <f t="shared" si="8"/>
        <v>1</v>
      </c>
      <c r="Z15" s="44">
        <f t="shared" si="9"/>
        <v>0</v>
      </c>
    </row>
    <row r="16" spans="1:26" ht="32.25" customHeight="1" x14ac:dyDescent="0.3">
      <c r="A16" s="23">
        <v>46072</v>
      </c>
      <c r="B16" s="22">
        <v>6</v>
      </c>
      <c r="C16" s="22" t="s">
        <v>36</v>
      </c>
      <c r="D16" s="22"/>
      <c r="E16" s="22">
        <v>847</v>
      </c>
      <c r="F16" s="22"/>
      <c r="G16" s="37"/>
      <c r="H16" s="22">
        <v>75</v>
      </c>
      <c r="I16" s="22" t="s">
        <v>41</v>
      </c>
      <c r="J16" s="22">
        <v>141</v>
      </c>
      <c r="K16" s="22" t="s">
        <v>59</v>
      </c>
      <c r="L16" s="22">
        <v>96</v>
      </c>
      <c r="M16" s="22"/>
      <c r="N16" s="22"/>
      <c r="O16" s="22"/>
      <c r="P16" s="22"/>
      <c r="Q16" s="22"/>
      <c r="R16" s="22"/>
      <c r="S16" s="22"/>
      <c r="T16" s="22"/>
      <c r="U16" s="42">
        <f t="shared" si="7"/>
        <v>1159</v>
      </c>
      <c r="V16" s="42"/>
      <c r="W16" s="44">
        <f t="shared" si="5"/>
        <v>0</v>
      </c>
      <c r="X16" s="44">
        <f t="shared" si="6"/>
        <v>1</v>
      </c>
      <c r="Y16" s="44">
        <f t="shared" si="8"/>
        <v>1</v>
      </c>
      <c r="Z16" s="44">
        <f t="shared" si="9"/>
        <v>0</v>
      </c>
    </row>
    <row r="17" spans="1:26" ht="32.25" customHeight="1" x14ac:dyDescent="0.3">
      <c r="A17" s="23">
        <v>46071</v>
      </c>
      <c r="B17" s="22">
        <v>8</v>
      </c>
      <c r="C17" s="22" t="s">
        <v>36</v>
      </c>
      <c r="D17" s="22"/>
      <c r="E17" s="22">
        <v>830</v>
      </c>
      <c r="F17" s="22"/>
      <c r="G17" s="37"/>
      <c r="H17" s="22">
        <v>54</v>
      </c>
      <c r="I17" s="22" t="s">
        <v>41</v>
      </c>
      <c r="J17" s="22">
        <v>163</v>
      </c>
      <c r="K17" s="22" t="s">
        <v>59</v>
      </c>
      <c r="L17" s="22">
        <v>47</v>
      </c>
      <c r="M17" s="22"/>
      <c r="N17" s="22"/>
      <c r="O17" s="22"/>
      <c r="P17" s="22"/>
      <c r="Q17" s="22"/>
      <c r="R17" s="22"/>
      <c r="S17" s="22"/>
      <c r="T17" s="22"/>
      <c r="U17" s="42">
        <f t="shared" si="7"/>
        <v>1094</v>
      </c>
      <c r="V17" s="42"/>
      <c r="W17" s="44">
        <f t="shared" si="5"/>
        <v>0</v>
      </c>
      <c r="X17" s="44">
        <f t="shared" si="6"/>
        <v>1</v>
      </c>
      <c r="Y17" s="44">
        <f t="shared" si="8"/>
        <v>1</v>
      </c>
      <c r="Z17" s="44">
        <f t="shared" si="9"/>
        <v>0</v>
      </c>
    </row>
    <row r="18" spans="1:26" ht="32.25" customHeight="1" x14ac:dyDescent="0.3">
      <c r="A18" s="23">
        <v>46070</v>
      </c>
      <c r="B18" s="22">
        <v>10</v>
      </c>
      <c r="C18" s="22" t="s">
        <v>36</v>
      </c>
      <c r="D18" s="22"/>
      <c r="E18" s="22">
        <v>1694</v>
      </c>
      <c r="F18" s="22"/>
      <c r="G18" s="37" t="s">
        <v>93</v>
      </c>
      <c r="H18" s="22">
        <v>71</v>
      </c>
      <c r="I18" s="22" t="s">
        <v>41</v>
      </c>
      <c r="J18" s="22">
        <v>159</v>
      </c>
      <c r="K18" s="22" t="s">
        <v>59</v>
      </c>
      <c r="L18" s="22">
        <v>70</v>
      </c>
      <c r="M18" s="22"/>
      <c r="N18" s="22"/>
      <c r="O18" s="22"/>
      <c r="P18" s="22"/>
      <c r="Q18" s="22"/>
      <c r="R18" s="22"/>
      <c r="S18" s="22"/>
      <c r="T18" s="22"/>
      <c r="U18" s="42">
        <f t="shared" si="7"/>
        <v>1994</v>
      </c>
      <c r="V18" s="42"/>
      <c r="W18" s="44">
        <f t="shared" si="5"/>
        <v>0</v>
      </c>
      <c r="X18" s="44">
        <f t="shared" si="6"/>
        <v>1</v>
      </c>
      <c r="Y18" s="44">
        <f t="shared" si="8"/>
        <v>1</v>
      </c>
      <c r="Z18" s="44">
        <f t="shared" si="9"/>
        <v>0</v>
      </c>
    </row>
    <row r="19" spans="1:26" ht="32.25" customHeight="1" x14ac:dyDescent="0.3">
      <c r="A19" s="23">
        <v>46069</v>
      </c>
      <c r="B19" s="22">
        <v>7</v>
      </c>
      <c r="C19" s="22" t="s">
        <v>36</v>
      </c>
      <c r="D19" s="22"/>
      <c r="E19" s="22">
        <v>719</v>
      </c>
      <c r="F19" s="22"/>
      <c r="G19" s="37" t="s">
        <v>92</v>
      </c>
      <c r="H19" s="22">
        <v>73</v>
      </c>
      <c r="I19" s="22" t="s">
        <v>41</v>
      </c>
      <c r="J19" s="22">
        <v>168</v>
      </c>
      <c r="K19" s="22" t="s">
        <v>59</v>
      </c>
      <c r="L19" s="22">
        <v>700</v>
      </c>
      <c r="M19" s="22"/>
      <c r="N19" s="22"/>
      <c r="O19" s="22" t="s">
        <v>79</v>
      </c>
      <c r="P19" s="22">
        <v>200</v>
      </c>
      <c r="Q19" s="22"/>
      <c r="R19" s="22"/>
      <c r="S19" s="22"/>
      <c r="T19" s="22"/>
      <c r="U19" s="42">
        <f t="shared" si="7"/>
        <v>1660</v>
      </c>
      <c r="V19" s="42"/>
      <c r="W19" s="44">
        <f t="shared" si="5"/>
        <v>0</v>
      </c>
      <c r="X19" s="44">
        <f t="shared" si="6"/>
        <v>1</v>
      </c>
      <c r="Y19" s="44">
        <f t="shared" si="8"/>
        <v>0.60784313725490191</v>
      </c>
      <c r="Z19" s="44">
        <f t="shared" si="9"/>
        <v>0</v>
      </c>
    </row>
    <row r="20" spans="1:26" ht="32.25" customHeight="1" x14ac:dyDescent="0.3">
      <c r="A20" s="23">
        <v>46066</v>
      </c>
      <c r="B20" s="22">
        <v>5</v>
      </c>
      <c r="C20" s="22" t="s">
        <v>36</v>
      </c>
      <c r="D20" s="22"/>
      <c r="E20" s="22">
        <v>633</v>
      </c>
      <c r="F20" s="22"/>
      <c r="G20" s="37"/>
      <c r="H20" s="22">
        <v>30</v>
      </c>
      <c r="I20" s="22" t="s">
        <v>41</v>
      </c>
      <c r="J20" s="22">
        <v>117</v>
      </c>
      <c r="K20" s="22" t="s">
        <v>59</v>
      </c>
      <c r="L20" s="22">
        <v>100</v>
      </c>
      <c r="M20" s="22"/>
      <c r="N20" s="22"/>
      <c r="O20" s="22" t="s">
        <v>79</v>
      </c>
      <c r="P20" s="28">
        <v>150</v>
      </c>
      <c r="Q20" s="22"/>
      <c r="R20" s="22"/>
      <c r="S20" s="22"/>
      <c r="T20" s="22"/>
      <c r="U20" s="42">
        <f t="shared" si="7"/>
        <v>880</v>
      </c>
      <c r="V20" s="42"/>
      <c r="W20" s="44">
        <f t="shared" si="5"/>
        <v>0</v>
      </c>
      <c r="X20" s="44">
        <f t="shared" si="6"/>
        <v>1</v>
      </c>
      <c r="Y20" s="44">
        <f t="shared" si="8"/>
        <v>0.70588235294117652</v>
      </c>
      <c r="Z20" s="44">
        <f t="shared" si="9"/>
        <v>0</v>
      </c>
    </row>
    <row r="21" spans="1:26" ht="32.25" customHeight="1" x14ac:dyDescent="0.3">
      <c r="A21" s="23">
        <v>46065</v>
      </c>
      <c r="B21" s="22">
        <v>12</v>
      </c>
      <c r="C21" s="22" t="s">
        <v>36</v>
      </c>
      <c r="D21" s="22"/>
      <c r="E21" s="22">
        <v>835</v>
      </c>
      <c r="F21" s="22"/>
      <c r="G21" s="37"/>
      <c r="H21" s="22">
        <v>133</v>
      </c>
      <c r="I21" s="22" t="s">
        <v>41</v>
      </c>
      <c r="J21" s="22">
        <v>116</v>
      </c>
      <c r="K21" s="22" t="s">
        <v>59</v>
      </c>
      <c r="L21" s="22">
        <v>200</v>
      </c>
      <c r="M21" s="22"/>
      <c r="N21" s="22"/>
      <c r="O21" s="22"/>
      <c r="P21" s="28"/>
      <c r="Q21" s="24"/>
      <c r="R21" s="22"/>
      <c r="S21" s="22"/>
      <c r="T21" s="22"/>
      <c r="U21" s="42">
        <f t="shared" si="7"/>
        <v>1284</v>
      </c>
      <c r="V21" s="42"/>
      <c r="W21" s="44">
        <f t="shared" si="5"/>
        <v>0</v>
      </c>
      <c r="X21" s="44">
        <f t="shared" si="6"/>
        <v>1</v>
      </c>
      <c r="Y21" s="44">
        <f t="shared" si="8"/>
        <v>1</v>
      </c>
      <c r="Z21" s="44">
        <f t="shared" si="9"/>
        <v>0</v>
      </c>
    </row>
    <row r="22" spans="1:26" ht="32.25" customHeight="1" x14ac:dyDescent="0.3">
      <c r="A22" s="23">
        <v>46064</v>
      </c>
      <c r="B22" s="22">
        <v>8</v>
      </c>
      <c r="C22" s="22" t="s">
        <v>36</v>
      </c>
      <c r="D22" s="22"/>
      <c r="E22" s="22">
        <v>913</v>
      </c>
      <c r="F22" s="22"/>
      <c r="G22" s="37" t="s">
        <v>88</v>
      </c>
      <c r="H22" s="22">
        <v>96</v>
      </c>
      <c r="I22" s="22" t="s">
        <v>41</v>
      </c>
      <c r="J22" s="22">
        <v>139</v>
      </c>
      <c r="K22" s="22" t="s">
        <v>59</v>
      </c>
      <c r="L22" s="22">
        <v>90</v>
      </c>
      <c r="M22" s="22"/>
      <c r="N22" s="22"/>
      <c r="O22" s="22"/>
      <c r="P22" s="28"/>
      <c r="Q22" s="34"/>
      <c r="R22" s="22"/>
      <c r="S22" s="22"/>
      <c r="T22" s="22"/>
      <c r="U22" s="42">
        <f t="shared" si="7"/>
        <v>1238</v>
      </c>
      <c r="V22" s="42"/>
      <c r="W22" s="44">
        <f t="shared" si="5"/>
        <v>0</v>
      </c>
      <c r="X22" s="44">
        <f t="shared" si="6"/>
        <v>1</v>
      </c>
      <c r="Y22" s="44">
        <f t="shared" si="8"/>
        <v>1</v>
      </c>
      <c r="Z22" s="44">
        <f t="shared" si="9"/>
        <v>0</v>
      </c>
    </row>
    <row r="23" spans="1:26" ht="32.25" customHeight="1" x14ac:dyDescent="0.3">
      <c r="A23" s="23">
        <v>46063</v>
      </c>
      <c r="B23" s="22">
        <v>10</v>
      </c>
      <c r="C23" s="22" t="s">
        <v>36</v>
      </c>
      <c r="D23" s="22"/>
      <c r="E23" s="22">
        <v>1033</v>
      </c>
      <c r="F23" s="22"/>
      <c r="G23" s="37" t="s">
        <v>87</v>
      </c>
      <c r="H23" s="22">
        <v>97</v>
      </c>
      <c r="I23" s="22" t="s">
        <v>41</v>
      </c>
      <c r="J23" s="22">
        <v>168</v>
      </c>
      <c r="K23" s="22" t="s">
        <v>59</v>
      </c>
      <c r="L23" s="22">
        <v>150</v>
      </c>
      <c r="M23" s="22"/>
      <c r="N23" s="22"/>
      <c r="O23" s="22" t="s">
        <v>79</v>
      </c>
      <c r="P23" s="28">
        <v>30</v>
      </c>
      <c r="Q23" s="22"/>
      <c r="R23" s="22"/>
      <c r="S23" s="22"/>
      <c r="T23" s="22"/>
      <c r="U23" s="42">
        <f t="shared" si="7"/>
        <v>1448</v>
      </c>
      <c r="V23" s="42"/>
      <c r="W23" s="44">
        <f t="shared" si="5"/>
        <v>0</v>
      </c>
      <c r="X23" s="44">
        <f t="shared" si="6"/>
        <v>1</v>
      </c>
      <c r="Y23" s="44">
        <f t="shared" si="8"/>
        <v>0.94117647058823528</v>
      </c>
      <c r="Z23" s="44">
        <f t="shared" si="9"/>
        <v>0</v>
      </c>
    </row>
    <row r="24" spans="1:26" ht="32.25" customHeight="1" x14ac:dyDescent="0.3">
      <c r="A24" s="23">
        <v>46062</v>
      </c>
      <c r="B24" s="22">
        <v>9</v>
      </c>
      <c r="C24" s="22" t="s">
        <v>36</v>
      </c>
      <c r="D24" s="22"/>
      <c r="E24" s="22">
        <v>625</v>
      </c>
      <c r="F24" s="22"/>
      <c r="G24" s="37" t="s">
        <v>86</v>
      </c>
      <c r="H24" s="22">
        <v>306</v>
      </c>
      <c r="I24" s="22" t="s">
        <v>41</v>
      </c>
      <c r="J24" s="22">
        <v>156</v>
      </c>
      <c r="K24" s="22" t="s">
        <v>59</v>
      </c>
      <c r="L24" s="22">
        <v>90</v>
      </c>
      <c r="M24" s="22"/>
      <c r="N24" s="22"/>
      <c r="O24" s="22"/>
      <c r="P24" s="28"/>
      <c r="Q24" s="22"/>
      <c r="R24" s="22"/>
      <c r="S24" s="22"/>
      <c r="T24" s="22"/>
      <c r="U24" s="42">
        <f t="shared" si="7"/>
        <v>1177</v>
      </c>
      <c r="V24" s="42"/>
      <c r="W24" s="44">
        <f t="shared" si="5"/>
        <v>0</v>
      </c>
      <c r="X24" s="44">
        <f t="shared" si="6"/>
        <v>1</v>
      </c>
      <c r="Y24" s="44">
        <f t="shared" si="8"/>
        <v>1</v>
      </c>
      <c r="Z24" s="44">
        <f t="shared" si="9"/>
        <v>0</v>
      </c>
    </row>
    <row r="25" spans="1:26" ht="32.25" customHeight="1" x14ac:dyDescent="0.3">
      <c r="A25" s="23">
        <v>46058</v>
      </c>
      <c r="B25" s="22">
        <v>2</v>
      </c>
      <c r="C25" s="22" t="s">
        <v>36</v>
      </c>
      <c r="D25" s="22"/>
      <c r="E25" s="22">
        <v>232</v>
      </c>
      <c r="F25" s="22"/>
      <c r="G25" s="37"/>
      <c r="H25" s="22">
        <v>12</v>
      </c>
      <c r="I25" s="22" t="s">
        <v>41</v>
      </c>
      <c r="J25" s="22">
        <v>186</v>
      </c>
      <c r="K25" s="22" t="s">
        <v>59</v>
      </c>
      <c r="L25" s="22">
        <v>180</v>
      </c>
      <c r="M25" s="22"/>
      <c r="N25" s="22"/>
      <c r="O25" s="22"/>
      <c r="P25" s="28"/>
      <c r="Q25" s="22"/>
      <c r="R25" s="22"/>
      <c r="S25" s="22"/>
      <c r="T25" s="22"/>
      <c r="U25" s="42">
        <f t="shared" si="7"/>
        <v>610</v>
      </c>
      <c r="V25" s="42"/>
      <c r="W25" s="44">
        <f t="shared" si="5"/>
        <v>0</v>
      </c>
      <c r="X25" s="44">
        <f t="shared" si="6"/>
        <v>1</v>
      </c>
      <c r="Y25" s="44">
        <f t="shared" si="8"/>
        <v>1</v>
      </c>
      <c r="Z25" s="44">
        <f t="shared" si="9"/>
        <v>0</v>
      </c>
    </row>
    <row r="26" spans="1:26" ht="32.25" customHeight="1" x14ac:dyDescent="0.3">
      <c r="A26" s="23">
        <v>46057</v>
      </c>
      <c r="B26" s="22">
        <v>13</v>
      </c>
      <c r="C26" s="22" t="s">
        <v>36</v>
      </c>
      <c r="D26" s="22"/>
      <c r="E26" s="22">
        <v>715</v>
      </c>
      <c r="F26" s="22"/>
      <c r="G26" s="37" t="s">
        <v>85</v>
      </c>
      <c r="H26" s="22">
        <v>102</v>
      </c>
      <c r="I26" s="22" t="s">
        <v>44</v>
      </c>
      <c r="J26" s="22">
        <v>93</v>
      </c>
      <c r="K26" s="22"/>
      <c r="L26" s="22"/>
      <c r="M26" s="22"/>
      <c r="N26" s="22"/>
      <c r="O26" s="22"/>
      <c r="P26" s="28"/>
      <c r="Q26" s="22"/>
      <c r="R26" s="22"/>
      <c r="S26" s="22"/>
      <c r="T26" s="22"/>
      <c r="U26" s="42">
        <f t="shared" si="7"/>
        <v>910</v>
      </c>
      <c r="V26" s="42"/>
      <c r="W26" s="44">
        <f t="shared" si="5"/>
        <v>0</v>
      </c>
      <c r="X26" s="44">
        <f t="shared" si="6"/>
        <v>1</v>
      </c>
      <c r="Y26" s="44">
        <f t="shared" si="8"/>
        <v>1</v>
      </c>
      <c r="Z26" s="44">
        <f t="shared" si="9"/>
        <v>0</v>
      </c>
    </row>
    <row r="27" spans="1:26" ht="32.25" customHeight="1" x14ac:dyDescent="0.3">
      <c r="A27" s="23">
        <v>46056</v>
      </c>
      <c r="B27" s="22">
        <v>8</v>
      </c>
      <c r="C27" s="22" t="s">
        <v>36</v>
      </c>
      <c r="D27" s="22"/>
      <c r="E27" s="22">
        <v>783</v>
      </c>
      <c r="F27" s="22"/>
      <c r="G27" s="37"/>
      <c r="H27" s="22">
        <v>32</v>
      </c>
      <c r="I27" s="22" t="s">
        <v>41</v>
      </c>
      <c r="J27" s="22">
        <v>90</v>
      </c>
      <c r="K27" s="22" t="s">
        <v>59</v>
      </c>
      <c r="L27" s="22">
        <v>44</v>
      </c>
      <c r="M27" s="22"/>
      <c r="N27" s="22"/>
      <c r="O27" s="22"/>
      <c r="P27" s="28"/>
      <c r="Q27" s="22"/>
      <c r="R27" s="22"/>
      <c r="S27" s="22"/>
      <c r="T27" s="22"/>
      <c r="U27" s="42">
        <f t="shared" si="7"/>
        <v>949</v>
      </c>
      <c r="V27" s="42"/>
      <c r="W27" s="44">
        <f t="shared" si="5"/>
        <v>0</v>
      </c>
      <c r="X27" s="44">
        <f t="shared" si="6"/>
        <v>1</v>
      </c>
      <c r="Y27" s="44">
        <f t="shared" si="8"/>
        <v>1</v>
      </c>
      <c r="Z27" s="44">
        <f t="shared" si="9"/>
        <v>0</v>
      </c>
    </row>
    <row r="28" spans="1:26" ht="32.25" customHeight="1" x14ac:dyDescent="0.3">
      <c r="A28" s="23">
        <v>46055</v>
      </c>
      <c r="B28" s="22">
        <v>5</v>
      </c>
      <c r="C28" s="22" t="s">
        <v>36</v>
      </c>
      <c r="D28" s="22"/>
      <c r="E28" s="22">
        <v>989</v>
      </c>
      <c r="F28" s="22"/>
      <c r="G28" s="37" t="s">
        <v>63</v>
      </c>
      <c r="H28" s="22">
        <v>48</v>
      </c>
      <c r="I28" s="22" t="s">
        <v>44</v>
      </c>
      <c r="J28" s="22">
        <v>119</v>
      </c>
      <c r="K28" s="22" t="s">
        <v>59</v>
      </c>
      <c r="L28" s="22">
        <v>664</v>
      </c>
      <c r="M28" s="22"/>
      <c r="N28" s="22"/>
      <c r="O28" s="22"/>
      <c r="P28" s="28"/>
      <c r="Q28" s="22"/>
      <c r="R28" s="22"/>
      <c r="S28" s="22"/>
      <c r="T28" s="22"/>
      <c r="U28" s="42">
        <f t="shared" si="7"/>
        <v>1820</v>
      </c>
      <c r="V28" s="42"/>
      <c r="W28" s="44">
        <f t="shared" si="5"/>
        <v>0</v>
      </c>
      <c r="X28" s="44">
        <f t="shared" si="6"/>
        <v>1</v>
      </c>
      <c r="Y28" s="44">
        <f t="shared" si="8"/>
        <v>1</v>
      </c>
      <c r="Z28" s="44">
        <f t="shared" si="9"/>
        <v>0</v>
      </c>
    </row>
    <row r="29" spans="1:26" ht="32.25" customHeight="1" x14ac:dyDescent="0.3">
      <c r="A29" s="23">
        <v>46052</v>
      </c>
      <c r="B29" s="22">
        <v>7</v>
      </c>
      <c r="C29" s="22" t="s">
        <v>36</v>
      </c>
      <c r="D29" s="22"/>
      <c r="E29" s="22">
        <v>1037</v>
      </c>
      <c r="F29" s="22"/>
      <c r="G29" s="37"/>
      <c r="H29" s="22">
        <v>150</v>
      </c>
      <c r="I29" s="22" t="s">
        <v>44</v>
      </c>
      <c r="J29" s="22">
        <v>147</v>
      </c>
      <c r="K29" s="22" t="s">
        <v>59</v>
      </c>
      <c r="L29" s="22">
        <v>890</v>
      </c>
      <c r="M29" s="22"/>
      <c r="N29" s="22"/>
      <c r="O29" s="22"/>
      <c r="P29" s="28"/>
      <c r="Q29" s="22"/>
      <c r="R29" s="22"/>
      <c r="S29" s="22"/>
      <c r="T29" s="22"/>
      <c r="U29" s="42">
        <f t="shared" si="7"/>
        <v>2224</v>
      </c>
      <c r="V29" s="42"/>
      <c r="W29" s="44">
        <f t="shared" si="5"/>
        <v>0</v>
      </c>
      <c r="X29" s="44">
        <f t="shared" si="6"/>
        <v>1</v>
      </c>
      <c r="Y29" s="44">
        <f t="shared" si="8"/>
        <v>1</v>
      </c>
      <c r="Z29" s="44">
        <f t="shared" si="9"/>
        <v>0</v>
      </c>
    </row>
    <row r="30" spans="1:26" ht="32.25" customHeight="1" x14ac:dyDescent="0.3">
      <c r="A30" s="23">
        <v>46051</v>
      </c>
      <c r="B30" s="22">
        <v>11</v>
      </c>
      <c r="C30" s="22" t="s">
        <v>36</v>
      </c>
      <c r="D30" s="22"/>
      <c r="E30" s="22">
        <v>918</v>
      </c>
      <c r="F30" s="22"/>
      <c r="G30" s="37" t="s">
        <v>62</v>
      </c>
      <c r="H30" s="22">
        <v>70</v>
      </c>
      <c r="I30" s="22" t="s">
        <v>44</v>
      </c>
      <c r="J30" s="22">
        <v>50</v>
      </c>
      <c r="K30" s="22" t="s">
        <v>59</v>
      </c>
      <c r="L30" s="22">
        <v>200</v>
      </c>
      <c r="M30" s="22"/>
      <c r="N30" s="22"/>
      <c r="O30" s="22"/>
      <c r="P30" s="28"/>
      <c r="Q30" s="22"/>
      <c r="R30" s="22"/>
      <c r="S30" s="22"/>
      <c r="T30" s="22"/>
      <c r="U30" s="42">
        <f t="shared" si="7"/>
        <v>1238</v>
      </c>
      <c r="V30" s="42"/>
      <c r="W30" s="44">
        <f t="shared" si="5"/>
        <v>0</v>
      </c>
      <c r="X30" s="44">
        <f t="shared" si="6"/>
        <v>1</v>
      </c>
      <c r="Y30" s="44">
        <f t="shared" si="8"/>
        <v>1</v>
      </c>
      <c r="Z30" s="44">
        <f t="shared" si="9"/>
        <v>0</v>
      </c>
    </row>
    <row r="31" spans="1:26" ht="32.25" customHeight="1" x14ac:dyDescent="0.3">
      <c r="A31" s="23">
        <v>46050</v>
      </c>
      <c r="B31" s="22">
        <v>12</v>
      </c>
      <c r="C31" s="22" t="s">
        <v>36</v>
      </c>
      <c r="D31" s="22"/>
      <c r="E31" s="22">
        <f>619+417</f>
        <v>1036</v>
      </c>
      <c r="F31" s="22"/>
      <c r="G31" s="37" t="s">
        <v>61</v>
      </c>
      <c r="H31" s="22">
        <v>29</v>
      </c>
      <c r="I31" s="22" t="s">
        <v>41</v>
      </c>
      <c r="J31" s="22">
        <v>218</v>
      </c>
      <c r="K31" s="22" t="s">
        <v>59</v>
      </c>
      <c r="L31" s="22">
        <v>710</v>
      </c>
      <c r="M31" s="22"/>
      <c r="N31" s="22"/>
      <c r="O31" s="22"/>
      <c r="P31" s="28"/>
      <c r="Q31" s="22"/>
      <c r="R31" s="22"/>
      <c r="S31" s="22"/>
      <c r="T31" s="22"/>
      <c r="U31" s="42">
        <f t="shared" si="7"/>
        <v>1993</v>
      </c>
      <c r="V31" s="42"/>
      <c r="W31" s="44">
        <f t="shared" si="5"/>
        <v>0</v>
      </c>
      <c r="X31" s="44">
        <f t="shared" si="6"/>
        <v>1</v>
      </c>
      <c r="Y31" s="44">
        <f t="shared" si="8"/>
        <v>1</v>
      </c>
      <c r="Z31" s="44">
        <f t="shared" si="9"/>
        <v>0</v>
      </c>
    </row>
    <row r="32" spans="1:26" ht="32.25" customHeight="1" x14ac:dyDescent="0.3">
      <c r="A32" s="23">
        <v>46049</v>
      </c>
      <c r="B32" s="22">
        <v>11</v>
      </c>
      <c r="C32" s="22" t="s">
        <v>36</v>
      </c>
      <c r="D32" s="22"/>
      <c r="E32" s="22">
        <v>938</v>
      </c>
      <c r="F32" s="22"/>
      <c r="G32" s="37" t="s">
        <v>60</v>
      </c>
      <c r="H32" s="22">
        <v>95</v>
      </c>
      <c r="I32" s="22" t="s">
        <v>41</v>
      </c>
      <c r="J32" s="22">
        <v>110</v>
      </c>
      <c r="K32" s="22" t="s">
        <v>59</v>
      </c>
      <c r="L32" s="22">
        <v>417</v>
      </c>
      <c r="M32" s="22"/>
      <c r="N32" s="22"/>
      <c r="O32" s="22"/>
      <c r="P32" s="28"/>
      <c r="Q32" s="22"/>
      <c r="R32" s="22"/>
      <c r="S32" s="22"/>
      <c r="T32" s="22"/>
      <c r="U32" s="42">
        <f t="shared" si="7"/>
        <v>1560</v>
      </c>
      <c r="V32" s="42"/>
      <c r="W32" s="44">
        <f t="shared" si="5"/>
        <v>0</v>
      </c>
      <c r="X32" s="44">
        <f t="shared" si="6"/>
        <v>1</v>
      </c>
      <c r="Y32" s="44">
        <f t="shared" si="8"/>
        <v>1</v>
      </c>
      <c r="Z32" s="44">
        <f t="shared" si="9"/>
        <v>0</v>
      </c>
    </row>
    <row r="33" spans="1:26" ht="32.25" customHeight="1" x14ac:dyDescent="0.3">
      <c r="A33" s="23">
        <v>46048</v>
      </c>
      <c r="B33" s="22">
        <v>10</v>
      </c>
      <c r="C33" s="22" t="s">
        <v>36</v>
      </c>
      <c r="D33" s="22"/>
      <c r="E33" s="22">
        <v>767</v>
      </c>
      <c r="F33" s="22"/>
      <c r="G33" s="37" t="s">
        <v>54</v>
      </c>
      <c r="H33" s="22">
        <v>20</v>
      </c>
      <c r="I33" s="22" t="s">
        <v>41</v>
      </c>
      <c r="J33" s="22">
        <v>9</v>
      </c>
      <c r="K33" s="22" t="s">
        <v>59</v>
      </c>
      <c r="L33" s="22">
        <v>146</v>
      </c>
      <c r="M33" s="22"/>
      <c r="N33" s="22"/>
      <c r="O33" s="22"/>
      <c r="P33" s="28"/>
      <c r="Q33" s="22"/>
      <c r="R33" s="22"/>
      <c r="S33" s="22"/>
      <c r="T33" s="22"/>
      <c r="U33" s="42">
        <f t="shared" si="7"/>
        <v>942</v>
      </c>
      <c r="V33" s="42"/>
      <c r="W33" s="44">
        <f t="shared" si="5"/>
        <v>0</v>
      </c>
      <c r="X33" s="44">
        <f t="shared" si="6"/>
        <v>1</v>
      </c>
      <c r="Y33" s="44">
        <f t="shared" si="8"/>
        <v>1</v>
      </c>
      <c r="Z33" s="44">
        <f t="shared" si="9"/>
        <v>0</v>
      </c>
    </row>
    <row r="34" spans="1:26" ht="32.25" customHeight="1" x14ac:dyDescent="0.3">
      <c r="A34" s="23">
        <v>46043</v>
      </c>
      <c r="B34" s="22">
        <v>12</v>
      </c>
      <c r="C34" s="22" t="s">
        <v>36</v>
      </c>
      <c r="D34" s="22"/>
      <c r="E34" s="22">
        <v>691</v>
      </c>
      <c r="F34" s="22"/>
      <c r="G34" s="37" t="s">
        <v>53</v>
      </c>
      <c r="H34" s="22">
        <v>86</v>
      </c>
      <c r="I34" s="22" t="s">
        <v>44</v>
      </c>
      <c r="J34" s="22">
        <v>40</v>
      </c>
      <c r="K34" s="22"/>
      <c r="L34" s="22"/>
      <c r="M34" s="22"/>
      <c r="N34" s="22"/>
      <c r="O34" s="22"/>
      <c r="P34" s="28"/>
      <c r="Q34" s="22"/>
      <c r="R34" s="22"/>
      <c r="S34" s="22"/>
      <c r="T34" s="22"/>
      <c r="U34" s="42">
        <f t="shared" si="7"/>
        <v>817</v>
      </c>
      <c r="V34" s="42"/>
      <c r="W34" s="44">
        <f t="shared" si="5"/>
        <v>0</v>
      </c>
      <c r="X34" s="44">
        <f t="shared" si="6"/>
        <v>1</v>
      </c>
      <c r="Y34" s="44">
        <f t="shared" si="8"/>
        <v>1</v>
      </c>
      <c r="Z34" s="44">
        <f t="shared" si="9"/>
        <v>0</v>
      </c>
    </row>
    <row r="35" spans="1:26" ht="32.25" customHeight="1" x14ac:dyDescent="0.3">
      <c r="A35" s="23">
        <v>46042</v>
      </c>
      <c r="B35" s="22">
        <v>6</v>
      </c>
      <c r="C35" s="22" t="s">
        <v>36</v>
      </c>
      <c r="D35" s="22"/>
      <c r="E35" s="22">
        <v>852</v>
      </c>
      <c r="F35" s="22"/>
      <c r="G35" s="37" t="s">
        <v>52</v>
      </c>
      <c r="H35" s="22"/>
      <c r="I35" s="22" t="s">
        <v>41</v>
      </c>
      <c r="J35" s="22">
        <v>20</v>
      </c>
      <c r="K35" s="22"/>
      <c r="L35" s="22"/>
      <c r="M35" s="22"/>
      <c r="N35" s="22"/>
      <c r="O35" s="22"/>
      <c r="P35" s="28"/>
      <c r="Q35" s="22"/>
      <c r="R35" s="22"/>
      <c r="S35" s="22"/>
      <c r="T35" s="22"/>
      <c r="U35" s="42">
        <f t="shared" si="7"/>
        <v>872</v>
      </c>
      <c r="V35" s="42"/>
      <c r="W35" s="44">
        <f t="shared" si="5"/>
        <v>0</v>
      </c>
      <c r="X35" s="44">
        <f t="shared" si="6"/>
        <v>1</v>
      </c>
      <c r="Y35" s="44">
        <f t="shared" si="8"/>
        <v>1</v>
      </c>
      <c r="Z35" s="44">
        <f t="shared" si="9"/>
        <v>0</v>
      </c>
    </row>
    <row r="36" spans="1:26" ht="32.25" customHeight="1" x14ac:dyDescent="0.3">
      <c r="A36" s="23">
        <v>46041</v>
      </c>
      <c r="B36" s="22">
        <v>7</v>
      </c>
      <c r="C36" s="22" t="s">
        <v>36</v>
      </c>
      <c r="D36" s="22"/>
      <c r="E36" s="22">
        <v>885</v>
      </c>
      <c r="F36" s="22"/>
      <c r="G36" s="37" t="s">
        <v>51</v>
      </c>
      <c r="H36" s="22">
        <v>63</v>
      </c>
      <c r="I36" s="22" t="s">
        <v>41</v>
      </c>
      <c r="J36" s="22">
        <v>112</v>
      </c>
      <c r="K36" s="22"/>
      <c r="L36" s="22"/>
      <c r="M36" s="22"/>
      <c r="N36" s="22"/>
      <c r="O36" s="22"/>
      <c r="P36" s="28"/>
      <c r="Q36" s="22"/>
      <c r="R36" s="22"/>
      <c r="S36" s="22"/>
      <c r="T36" s="22"/>
      <c r="U36" s="42">
        <f t="shared" si="7"/>
        <v>1060</v>
      </c>
      <c r="V36" s="42"/>
      <c r="W36" s="44">
        <f t="shared" si="5"/>
        <v>0</v>
      </c>
      <c r="X36" s="44">
        <f t="shared" si="6"/>
        <v>1</v>
      </c>
      <c r="Y36" s="44">
        <f t="shared" si="8"/>
        <v>1</v>
      </c>
      <c r="Z36" s="44">
        <f t="shared" si="9"/>
        <v>0</v>
      </c>
    </row>
    <row r="37" spans="1:26" ht="32.25" customHeight="1" x14ac:dyDescent="0.3">
      <c r="A37" s="23">
        <v>46038</v>
      </c>
      <c r="B37" s="22">
        <v>8</v>
      </c>
      <c r="C37" s="22" t="s">
        <v>36</v>
      </c>
      <c r="D37" s="22"/>
      <c r="E37" s="22">
        <v>935</v>
      </c>
      <c r="F37" s="22"/>
      <c r="G37" s="37" t="s">
        <v>50</v>
      </c>
      <c r="H37" s="22">
        <v>124</v>
      </c>
      <c r="I37" s="22" t="s">
        <v>41</v>
      </c>
      <c r="J37" s="22">
        <v>21</v>
      </c>
      <c r="K37" s="22"/>
      <c r="L37" s="22"/>
      <c r="M37" s="22"/>
      <c r="N37" s="22"/>
      <c r="O37" s="22"/>
      <c r="P37" s="28"/>
      <c r="Q37" s="22"/>
      <c r="R37" s="22"/>
      <c r="S37" s="22"/>
      <c r="T37" s="22"/>
      <c r="U37" s="42">
        <f t="shared" si="7"/>
        <v>1080</v>
      </c>
      <c r="V37" s="42"/>
      <c r="W37" s="44">
        <f t="shared" si="5"/>
        <v>0</v>
      </c>
      <c r="X37" s="44">
        <f t="shared" si="6"/>
        <v>1</v>
      </c>
      <c r="Y37" s="44">
        <f t="shared" si="8"/>
        <v>1</v>
      </c>
      <c r="Z37" s="44">
        <f t="shared" si="9"/>
        <v>0</v>
      </c>
    </row>
    <row r="38" spans="1:26" ht="32.25" customHeight="1" x14ac:dyDescent="0.3">
      <c r="A38" s="23">
        <v>46038</v>
      </c>
      <c r="B38" s="22">
        <v>10</v>
      </c>
      <c r="C38" s="22" t="s">
        <v>36</v>
      </c>
      <c r="D38" s="22"/>
      <c r="E38" s="22">
        <v>1084</v>
      </c>
      <c r="F38" s="22"/>
      <c r="G38" s="37"/>
      <c r="H38" s="22">
        <v>71</v>
      </c>
      <c r="I38" s="22" t="s">
        <v>41</v>
      </c>
      <c r="J38" s="22">
        <v>33</v>
      </c>
      <c r="K38" s="22"/>
      <c r="L38" s="22"/>
      <c r="M38" s="22"/>
      <c r="N38" s="22"/>
      <c r="O38" s="22"/>
      <c r="P38" s="28"/>
      <c r="Q38" s="22"/>
      <c r="R38" s="22"/>
      <c r="S38" s="22"/>
      <c r="T38" s="22"/>
      <c r="U38" s="42">
        <f t="shared" si="7"/>
        <v>1188</v>
      </c>
      <c r="V38" s="42"/>
      <c r="W38" s="44">
        <f t="shared" si="5"/>
        <v>0</v>
      </c>
      <c r="X38" s="44">
        <f t="shared" si="6"/>
        <v>1</v>
      </c>
      <c r="Y38" s="44">
        <f t="shared" si="8"/>
        <v>1</v>
      </c>
      <c r="Z38" s="44">
        <f t="shared" si="9"/>
        <v>0</v>
      </c>
    </row>
    <row r="39" spans="1:26" ht="32.25" customHeight="1" x14ac:dyDescent="0.3">
      <c r="A39" s="23">
        <v>46037</v>
      </c>
      <c r="B39" s="22">
        <v>9</v>
      </c>
      <c r="C39" s="22" t="s">
        <v>36</v>
      </c>
      <c r="D39" s="22"/>
      <c r="E39" s="22">
        <v>1402</v>
      </c>
      <c r="F39" s="22"/>
      <c r="G39" s="37" t="s">
        <v>49</v>
      </c>
      <c r="H39" s="22">
        <v>74</v>
      </c>
      <c r="I39" s="22"/>
      <c r="J39" s="22">
        <v>1155</v>
      </c>
      <c r="K39" s="22"/>
      <c r="L39" s="22"/>
      <c r="M39" s="22"/>
      <c r="N39" s="22"/>
      <c r="O39" s="22"/>
      <c r="P39" s="28"/>
      <c r="Q39" s="22"/>
      <c r="R39" s="22"/>
      <c r="S39" s="22"/>
      <c r="T39" s="22"/>
      <c r="U39" s="42">
        <f t="shared" si="7"/>
        <v>2631</v>
      </c>
      <c r="V39" s="42"/>
      <c r="W39" s="44">
        <f t="shared" si="5"/>
        <v>0</v>
      </c>
      <c r="X39" s="44">
        <f t="shared" si="6"/>
        <v>1</v>
      </c>
      <c r="Y39" s="44">
        <f t="shared" si="8"/>
        <v>1</v>
      </c>
      <c r="Z39" s="44">
        <f t="shared" si="9"/>
        <v>0</v>
      </c>
    </row>
    <row r="40" spans="1:26" ht="32.25" customHeight="1" x14ac:dyDescent="0.3">
      <c r="A40" s="23">
        <v>46036</v>
      </c>
      <c r="B40" s="22">
        <v>12</v>
      </c>
      <c r="C40" s="22" t="s">
        <v>36</v>
      </c>
      <c r="D40" s="22"/>
      <c r="E40" s="22">
        <v>1628</v>
      </c>
      <c r="F40" s="22"/>
      <c r="G40" s="37" t="s">
        <v>48</v>
      </c>
      <c r="H40" s="22">
        <v>326</v>
      </c>
      <c r="I40" s="22" t="s">
        <v>41</v>
      </c>
      <c r="J40" s="22">
        <v>25</v>
      </c>
      <c r="K40" s="22"/>
      <c r="L40" s="22"/>
      <c r="M40" s="22"/>
      <c r="N40" s="22"/>
      <c r="O40" s="22"/>
      <c r="P40" s="28"/>
      <c r="Q40" s="22"/>
      <c r="R40" s="22"/>
      <c r="S40" s="22"/>
      <c r="T40" s="22"/>
      <c r="U40" s="42">
        <f t="shared" si="7"/>
        <v>1979</v>
      </c>
      <c r="V40" s="42"/>
      <c r="W40" s="44">
        <f t="shared" si="5"/>
        <v>0</v>
      </c>
      <c r="X40" s="44">
        <f t="shared" si="6"/>
        <v>1</v>
      </c>
      <c r="Y40" s="44">
        <f t="shared" si="8"/>
        <v>1</v>
      </c>
      <c r="Z40" s="44">
        <f t="shared" si="9"/>
        <v>0</v>
      </c>
    </row>
    <row r="41" spans="1:26" ht="32.25" customHeight="1" x14ac:dyDescent="0.3">
      <c r="A41" s="23">
        <v>46035</v>
      </c>
      <c r="B41" s="22">
        <v>11</v>
      </c>
      <c r="C41" s="22" t="s">
        <v>36</v>
      </c>
      <c r="D41" s="22"/>
      <c r="E41" s="22">
        <v>1423</v>
      </c>
      <c r="F41" s="22"/>
      <c r="G41" s="37" t="s">
        <v>47</v>
      </c>
      <c r="H41" s="22">
        <v>209</v>
      </c>
      <c r="I41" s="22" t="s">
        <v>41</v>
      </c>
      <c r="J41" s="22">
        <v>33</v>
      </c>
      <c r="K41" s="22"/>
      <c r="L41" s="22"/>
      <c r="M41" s="22"/>
      <c r="N41" s="22"/>
      <c r="O41" s="22"/>
      <c r="P41" s="28"/>
      <c r="Q41" s="22"/>
      <c r="R41" s="22"/>
      <c r="S41" s="22"/>
      <c r="T41" s="22"/>
      <c r="U41" s="42">
        <f t="shared" si="7"/>
        <v>1665</v>
      </c>
      <c r="V41" s="42"/>
      <c r="W41" s="44">
        <f t="shared" si="5"/>
        <v>0</v>
      </c>
      <c r="X41" s="44">
        <f t="shared" si="6"/>
        <v>1</v>
      </c>
      <c r="Y41" s="44">
        <f t="shared" si="8"/>
        <v>1</v>
      </c>
      <c r="Z41" s="44">
        <f t="shared" si="9"/>
        <v>0</v>
      </c>
    </row>
    <row r="42" spans="1:26" ht="32.25" customHeight="1" x14ac:dyDescent="0.3">
      <c r="A42" s="23">
        <v>46034</v>
      </c>
      <c r="B42" s="22">
        <v>9</v>
      </c>
      <c r="C42" s="22" t="s">
        <v>36</v>
      </c>
      <c r="D42" s="22"/>
      <c r="E42" s="22">
        <v>1255</v>
      </c>
      <c r="F42" s="22"/>
      <c r="G42" s="37" t="s">
        <v>46</v>
      </c>
      <c r="H42" s="22">
        <v>211</v>
      </c>
      <c r="I42" s="22" t="s">
        <v>41</v>
      </c>
      <c r="J42" s="22">
        <v>49</v>
      </c>
      <c r="K42" s="22"/>
      <c r="L42" s="22"/>
      <c r="M42" s="22"/>
      <c r="N42" s="22"/>
      <c r="O42" s="22"/>
      <c r="P42" s="28"/>
      <c r="Q42" s="22"/>
      <c r="R42" s="22"/>
      <c r="S42" s="22"/>
      <c r="T42" s="22"/>
      <c r="U42" s="42">
        <f t="shared" si="7"/>
        <v>1515</v>
      </c>
      <c r="V42" s="42"/>
      <c r="W42" s="44">
        <f t="shared" si="5"/>
        <v>0</v>
      </c>
      <c r="X42" s="44">
        <f t="shared" si="6"/>
        <v>1</v>
      </c>
      <c r="Y42" s="44">
        <f t="shared" si="8"/>
        <v>1</v>
      </c>
      <c r="Z42" s="44">
        <f t="shared" si="9"/>
        <v>0</v>
      </c>
    </row>
    <row r="43" spans="1:26" ht="32.25" customHeight="1" x14ac:dyDescent="0.3">
      <c r="A43" s="33">
        <v>46031</v>
      </c>
      <c r="B43" s="20">
        <v>7</v>
      </c>
      <c r="C43" s="20" t="s">
        <v>36</v>
      </c>
      <c r="D43" s="20"/>
      <c r="E43" s="20">
        <v>1511</v>
      </c>
      <c r="F43" s="20"/>
      <c r="G43" s="38" t="s">
        <v>45</v>
      </c>
      <c r="H43" s="20">
        <v>178</v>
      </c>
      <c r="I43" s="20" t="s">
        <v>41</v>
      </c>
      <c r="J43" s="20">
        <v>41</v>
      </c>
      <c r="K43" s="20"/>
      <c r="L43" s="20"/>
      <c r="M43" s="20"/>
      <c r="N43" s="20"/>
      <c r="O43" s="20"/>
      <c r="P43" s="30"/>
      <c r="Q43" s="20"/>
      <c r="R43" s="20"/>
      <c r="S43" s="20"/>
      <c r="T43" s="20"/>
      <c r="U43" s="42">
        <f t="shared" si="7"/>
        <v>1730</v>
      </c>
      <c r="V43" s="42"/>
      <c r="W43" s="44">
        <f t="shared" si="5"/>
        <v>0</v>
      </c>
      <c r="X43" s="44">
        <f t="shared" si="6"/>
        <v>1</v>
      </c>
      <c r="Y43" s="44">
        <f t="shared" si="8"/>
        <v>1</v>
      </c>
      <c r="Z43" s="44">
        <f t="shared" si="9"/>
        <v>0</v>
      </c>
    </row>
    <row r="44" spans="1:26" ht="32.25" customHeight="1" x14ac:dyDescent="0.3">
      <c r="A44" s="21">
        <v>46030</v>
      </c>
      <c r="B44" s="4">
        <v>11</v>
      </c>
      <c r="C44" s="4" t="s">
        <v>36</v>
      </c>
      <c r="D44" s="22"/>
      <c r="E44" s="4">
        <v>1308</v>
      </c>
      <c r="F44" s="22"/>
      <c r="G44" s="39"/>
      <c r="H44" s="4">
        <v>169</v>
      </c>
      <c r="I44" s="4" t="s">
        <v>41</v>
      </c>
      <c r="J44" s="4"/>
      <c r="K44" s="22"/>
      <c r="L44" s="22"/>
      <c r="M44" s="22"/>
      <c r="N44" s="22"/>
      <c r="O44" s="22"/>
      <c r="P44" s="28"/>
      <c r="Q44" s="22"/>
      <c r="R44" s="22"/>
      <c r="S44" s="22"/>
      <c r="T44" s="22"/>
      <c r="U44" s="42">
        <f t="shared" si="7"/>
        <v>1477</v>
      </c>
      <c r="V44" s="42"/>
      <c r="W44" s="44">
        <f t="shared" si="5"/>
        <v>0</v>
      </c>
      <c r="X44" s="44">
        <f t="shared" si="6"/>
        <v>1</v>
      </c>
      <c r="Y44" s="44">
        <f t="shared" si="8"/>
        <v>1</v>
      </c>
      <c r="Z44" s="44">
        <f t="shared" si="9"/>
        <v>0</v>
      </c>
    </row>
    <row r="45" spans="1:26" ht="32.25" customHeight="1" x14ac:dyDescent="0.3">
      <c r="A45" s="17">
        <v>46029</v>
      </c>
      <c r="B45" s="4">
        <v>8</v>
      </c>
      <c r="C45" s="4" t="s">
        <v>36</v>
      </c>
      <c r="D45" s="22"/>
      <c r="E45" s="4">
        <v>1306</v>
      </c>
      <c r="F45" s="22"/>
      <c r="G45" s="39"/>
      <c r="H45" s="4">
        <v>129</v>
      </c>
      <c r="I45" s="4" t="s">
        <v>41</v>
      </c>
      <c r="J45" s="4">
        <v>15</v>
      </c>
      <c r="K45" s="22"/>
      <c r="L45" s="22"/>
      <c r="M45" s="22"/>
      <c r="N45" s="22"/>
      <c r="O45" s="22"/>
      <c r="P45" s="28"/>
      <c r="Q45" s="22"/>
      <c r="R45" s="22"/>
      <c r="S45" s="22"/>
      <c r="T45" s="22"/>
      <c r="U45" s="42">
        <f t="shared" si="7"/>
        <v>1450</v>
      </c>
      <c r="V45" s="42"/>
      <c r="W45" s="44">
        <f t="shared" si="5"/>
        <v>0</v>
      </c>
      <c r="X45" s="44">
        <f t="shared" si="6"/>
        <v>1</v>
      </c>
      <c r="Y45" s="44">
        <f t="shared" si="8"/>
        <v>1</v>
      </c>
      <c r="Z45" s="44">
        <f t="shared" si="9"/>
        <v>0</v>
      </c>
    </row>
    <row r="46" spans="1:26" ht="32.25" customHeight="1" x14ac:dyDescent="0.3">
      <c r="A46" s="17">
        <v>46028</v>
      </c>
      <c r="B46" s="4">
        <v>8</v>
      </c>
      <c r="C46" s="4" t="s">
        <v>36</v>
      </c>
      <c r="D46" s="22"/>
      <c r="E46" s="4">
        <v>1350</v>
      </c>
      <c r="F46" s="22"/>
      <c r="G46" s="39"/>
      <c r="H46" s="4">
        <v>185</v>
      </c>
      <c r="I46" s="4"/>
      <c r="J46" s="4"/>
      <c r="K46" s="22"/>
      <c r="L46" s="22"/>
      <c r="M46" s="22"/>
      <c r="N46" s="22"/>
      <c r="O46" s="22"/>
      <c r="P46" s="28"/>
      <c r="Q46" s="22"/>
      <c r="R46" s="22"/>
      <c r="S46" s="22"/>
      <c r="T46" s="22"/>
      <c r="U46" s="42">
        <f t="shared" si="7"/>
        <v>1535</v>
      </c>
      <c r="V46" s="42"/>
      <c r="W46" s="44">
        <f t="shared" si="5"/>
        <v>0</v>
      </c>
      <c r="X46" s="44">
        <f t="shared" si="6"/>
        <v>1</v>
      </c>
      <c r="Y46" s="44">
        <f t="shared" si="8"/>
        <v>1</v>
      </c>
      <c r="Z46" s="44">
        <f t="shared" si="9"/>
        <v>0</v>
      </c>
    </row>
    <row r="47" spans="1:26" ht="43.95" customHeight="1" x14ac:dyDescent="0.3">
      <c r="A47" s="19">
        <v>46027</v>
      </c>
      <c r="B47" s="20">
        <v>8</v>
      </c>
      <c r="C47" s="20" t="s">
        <v>36</v>
      </c>
      <c r="D47" s="20"/>
      <c r="E47" s="20">
        <v>706</v>
      </c>
      <c r="F47" s="20"/>
      <c r="G47" s="38"/>
      <c r="H47" s="20">
        <v>88</v>
      </c>
      <c r="I47" s="20"/>
      <c r="J47" s="20"/>
      <c r="K47" s="20"/>
      <c r="L47" s="20"/>
      <c r="M47" s="20"/>
      <c r="N47" s="20"/>
      <c r="O47" s="20"/>
      <c r="P47" s="30"/>
      <c r="Q47" s="20"/>
      <c r="R47" s="20"/>
      <c r="S47" s="20"/>
      <c r="T47" s="20"/>
      <c r="U47" s="42">
        <f t="shared" si="7"/>
        <v>794</v>
      </c>
      <c r="V47" s="42"/>
      <c r="W47" s="44">
        <f t="shared" si="5"/>
        <v>0</v>
      </c>
      <c r="X47" s="44">
        <f t="shared" si="6"/>
        <v>1</v>
      </c>
      <c r="Y47" s="44">
        <f t="shared" si="8"/>
        <v>1</v>
      </c>
      <c r="Z47" s="44">
        <f t="shared" si="9"/>
        <v>0</v>
      </c>
    </row>
    <row r="48" spans="1:26" ht="43.95" customHeight="1" x14ac:dyDescent="0.3">
      <c r="A48" s="17"/>
      <c r="B48" s="5"/>
      <c r="C48" s="4"/>
      <c r="D48" s="22"/>
      <c r="E48" s="4"/>
      <c r="F48" s="22"/>
      <c r="G48" s="4"/>
      <c r="H48" s="4"/>
      <c r="I48" s="4"/>
      <c r="J48" s="4"/>
      <c r="K48" s="22"/>
      <c r="L48" s="22"/>
      <c r="M48" s="22"/>
      <c r="N48" s="22"/>
      <c r="O48" s="22"/>
      <c r="P48" s="28"/>
      <c r="Q48" s="22"/>
      <c r="R48" s="22"/>
      <c r="S48" s="22"/>
      <c r="T48" s="22"/>
      <c r="U48" s="4">
        <f t="shared" ref="U48:U92" si="10">E48+H48</f>
        <v>0</v>
      </c>
      <c r="W48"/>
      <c r="X48" s="53"/>
      <c r="Y48"/>
      <c r="Z48" s="53"/>
    </row>
    <row r="49" spans="1:26" ht="43.95" customHeight="1" x14ac:dyDescent="0.3">
      <c r="A49" s="17"/>
      <c r="B49" s="5"/>
      <c r="C49" s="4"/>
      <c r="D49" s="22"/>
      <c r="E49" s="4"/>
      <c r="F49" s="22"/>
      <c r="G49" s="4"/>
      <c r="H49" s="4"/>
      <c r="I49" s="4"/>
      <c r="J49" s="4"/>
      <c r="K49" s="22"/>
      <c r="L49" s="22"/>
      <c r="M49" s="22"/>
      <c r="N49" s="22"/>
      <c r="O49" s="22"/>
      <c r="P49" s="28"/>
      <c r="Q49" s="22"/>
      <c r="R49" s="22"/>
      <c r="S49" s="22"/>
      <c r="T49" s="22"/>
      <c r="U49" s="4">
        <f t="shared" si="10"/>
        <v>0</v>
      </c>
      <c r="W49"/>
      <c r="X49" s="53"/>
      <c r="Y49"/>
      <c r="Z49" s="53"/>
    </row>
    <row r="50" spans="1:26" ht="43.95" customHeight="1" x14ac:dyDescent="0.3">
      <c r="A50" s="17"/>
      <c r="B50" s="5"/>
      <c r="C50" s="4"/>
      <c r="D50" s="22"/>
      <c r="E50" s="4"/>
      <c r="F50" s="22"/>
      <c r="G50" s="4"/>
      <c r="H50" s="4"/>
      <c r="I50" s="4"/>
      <c r="J50" s="4"/>
      <c r="K50" s="22"/>
      <c r="L50" s="22"/>
      <c r="M50" s="22"/>
      <c r="N50" s="22"/>
      <c r="O50" s="22"/>
      <c r="P50" s="28"/>
      <c r="Q50" s="22"/>
      <c r="R50" s="22"/>
      <c r="S50" s="22"/>
      <c r="T50" s="22"/>
      <c r="U50" s="4">
        <f t="shared" si="10"/>
        <v>0</v>
      </c>
      <c r="W50"/>
      <c r="X50" s="53"/>
      <c r="Y50"/>
      <c r="Z50" s="53"/>
    </row>
    <row r="51" spans="1:26" ht="43.95" customHeight="1" x14ac:dyDescent="0.3">
      <c r="A51" s="17"/>
      <c r="B51" s="5"/>
      <c r="C51" s="4"/>
      <c r="D51" s="22"/>
      <c r="E51" s="4"/>
      <c r="F51" s="22"/>
      <c r="G51" s="4"/>
      <c r="H51" s="4"/>
      <c r="I51" s="4"/>
      <c r="J51" s="4"/>
      <c r="K51" s="22"/>
      <c r="L51" s="22"/>
      <c r="M51" s="22"/>
      <c r="N51" s="22"/>
      <c r="O51" s="22"/>
      <c r="P51" s="28"/>
      <c r="Q51" s="22"/>
      <c r="R51" s="22"/>
      <c r="S51" s="22"/>
      <c r="T51" s="22"/>
      <c r="U51" s="4">
        <f t="shared" si="10"/>
        <v>0</v>
      </c>
      <c r="W51"/>
      <c r="X51" s="53"/>
      <c r="Y51"/>
      <c r="Z51" s="53"/>
    </row>
    <row r="52" spans="1:26" ht="43.95" customHeight="1" x14ac:dyDescent="0.3">
      <c r="A52" s="17"/>
      <c r="B52" s="5"/>
      <c r="C52" s="4"/>
      <c r="D52" s="22"/>
      <c r="E52" s="4"/>
      <c r="F52" s="22"/>
      <c r="G52" s="4"/>
      <c r="H52" s="4"/>
      <c r="I52" s="4"/>
      <c r="J52" s="4"/>
      <c r="K52" s="22"/>
      <c r="L52" s="22"/>
      <c r="M52" s="22"/>
      <c r="N52" s="22"/>
      <c r="O52" s="22"/>
      <c r="P52" s="28"/>
      <c r="Q52" s="22"/>
      <c r="R52" s="22"/>
      <c r="S52" s="22"/>
      <c r="T52" s="22"/>
      <c r="U52" s="4">
        <f t="shared" si="10"/>
        <v>0</v>
      </c>
      <c r="W52"/>
      <c r="X52" s="53"/>
      <c r="Y52"/>
      <c r="Z52" s="53"/>
    </row>
    <row r="53" spans="1:26" ht="43.95" customHeight="1" x14ac:dyDescent="0.3">
      <c r="A53" s="17"/>
      <c r="B53" s="5"/>
      <c r="C53" s="4"/>
      <c r="D53" s="22"/>
      <c r="E53" s="4"/>
      <c r="F53" s="22"/>
      <c r="G53" s="4"/>
      <c r="H53" s="4"/>
      <c r="I53" s="4"/>
      <c r="J53" s="4"/>
      <c r="K53" s="22"/>
      <c r="L53" s="22"/>
      <c r="M53" s="22"/>
      <c r="N53" s="22"/>
      <c r="O53" s="22"/>
      <c r="P53" s="28"/>
      <c r="Q53" s="22"/>
      <c r="R53" s="22"/>
      <c r="S53" s="22"/>
      <c r="T53" s="22"/>
      <c r="U53" s="4">
        <f t="shared" si="10"/>
        <v>0</v>
      </c>
      <c r="W53"/>
      <c r="X53" s="53"/>
      <c r="Y53"/>
      <c r="Z53" s="53"/>
    </row>
    <row r="54" spans="1:26" ht="43.95" customHeight="1" x14ac:dyDescent="0.3">
      <c r="A54" s="17"/>
      <c r="B54" s="5"/>
      <c r="C54" s="4"/>
      <c r="D54" s="22"/>
      <c r="E54" s="4"/>
      <c r="F54" s="22"/>
      <c r="G54" s="4"/>
      <c r="H54" s="4"/>
      <c r="I54" s="4"/>
      <c r="J54" s="4"/>
      <c r="K54" s="22"/>
      <c r="L54" s="22"/>
      <c r="M54" s="22"/>
      <c r="N54" s="22"/>
      <c r="O54" s="22"/>
      <c r="P54" s="28"/>
      <c r="Q54" s="22"/>
      <c r="R54" s="22"/>
      <c r="S54" s="22"/>
      <c r="T54" s="22"/>
      <c r="U54" s="4">
        <f t="shared" si="10"/>
        <v>0</v>
      </c>
      <c r="W54"/>
      <c r="X54" s="53"/>
      <c r="Y54"/>
      <c r="Z54" s="53"/>
    </row>
    <row r="55" spans="1:26" ht="43.95" customHeight="1" x14ac:dyDescent="0.3">
      <c r="A55" s="17"/>
      <c r="B55" s="5"/>
      <c r="C55" s="4"/>
      <c r="D55" s="22"/>
      <c r="E55" s="4"/>
      <c r="F55" s="22"/>
      <c r="G55" s="4"/>
      <c r="H55" s="4"/>
      <c r="I55" s="4"/>
      <c r="J55" s="4"/>
      <c r="K55" s="22"/>
      <c r="L55" s="22"/>
      <c r="M55" s="22"/>
      <c r="N55" s="22"/>
      <c r="O55" s="22"/>
      <c r="P55" s="28"/>
      <c r="Q55" s="22"/>
      <c r="R55" s="22"/>
      <c r="S55" s="22"/>
      <c r="T55" s="22"/>
      <c r="U55" s="4">
        <f t="shared" si="10"/>
        <v>0</v>
      </c>
      <c r="W55"/>
      <c r="X55" s="53"/>
      <c r="Y55"/>
      <c r="Z55" s="53"/>
    </row>
    <row r="56" spans="1:26" ht="43.95" customHeight="1" x14ac:dyDescent="0.3">
      <c r="A56" s="17"/>
      <c r="B56" s="5"/>
      <c r="C56" s="4"/>
      <c r="D56" s="22"/>
      <c r="E56" s="4"/>
      <c r="F56" s="22"/>
      <c r="G56" s="4"/>
      <c r="H56" s="4"/>
      <c r="I56" s="4"/>
      <c r="J56" s="4"/>
      <c r="K56" s="22"/>
      <c r="L56" s="22"/>
      <c r="M56" s="22"/>
      <c r="N56" s="22"/>
      <c r="O56" s="22"/>
      <c r="P56" s="28"/>
      <c r="Q56" s="22"/>
      <c r="R56" s="22"/>
      <c r="S56" s="22"/>
      <c r="T56" s="22"/>
      <c r="U56" s="4">
        <f t="shared" si="10"/>
        <v>0</v>
      </c>
      <c r="W56"/>
      <c r="X56" s="53"/>
      <c r="Y56"/>
      <c r="Z56" s="53"/>
    </row>
    <row r="57" spans="1:26" ht="43.95" customHeight="1" x14ac:dyDescent="0.3">
      <c r="A57" s="17"/>
      <c r="B57" s="5"/>
      <c r="C57" s="4"/>
      <c r="D57" s="22"/>
      <c r="E57" s="4"/>
      <c r="F57" s="22"/>
      <c r="G57" s="4"/>
      <c r="H57" s="4"/>
      <c r="I57" s="4"/>
      <c r="J57" s="4"/>
      <c r="K57" s="22"/>
      <c r="L57" s="22"/>
      <c r="M57" s="22"/>
      <c r="N57" s="22"/>
      <c r="O57" s="22"/>
      <c r="P57" s="28"/>
      <c r="Q57" s="22"/>
      <c r="R57" s="22"/>
      <c r="S57" s="22"/>
      <c r="T57" s="22"/>
      <c r="U57" s="4">
        <f t="shared" si="10"/>
        <v>0</v>
      </c>
      <c r="W57"/>
      <c r="X57" s="53"/>
      <c r="Y57"/>
      <c r="Z57" s="53"/>
    </row>
    <row r="58" spans="1:26" ht="43.95" customHeight="1" x14ac:dyDescent="0.3">
      <c r="A58" s="17"/>
      <c r="B58" s="5"/>
      <c r="C58" s="4"/>
      <c r="D58" s="22"/>
      <c r="E58" s="4"/>
      <c r="F58" s="22"/>
      <c r="G58" s="4"/>
      <c r="H58" s="4"/>
      <c r="I58" s="4"/>
      <c r="J58" s="4"/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">
        <f t="shared" si="10"/>
        <v>0</v>
      </c>
      <c r="W58"/>
      <c r="X58" s="53"/>
      <c r="Y58"/>
      <c r="Z58" s="53"/>
    </row>
    <row r="59" spans="1:26" ht="43.95" customHeight="1" x14ac:dyDescent="0.3">
      <c r="A59" s="17"/>
      <c r="B59" s="5"/>
      <c r="C59" s="4"/>
      <c r="D59" s="22"/>
      <c r="E59" s="4"/>
      <c r="F59" s="22"/>
      <c r="G59" s="4"/>
      <c r="H59" s="4"/>
      <c r="I59" s="4"/>
      <c r="J59" s="4"/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">
        <f t="shared" si="10"/>
        <v>0</v>
      </c>
      <c r="W59"/>
      <c r="X59" s="53"/>
      <c r="Y59"/>
      <c r="Z59" s="53"/>
    </row>
    <row r="60" spans="1:26" ht="43.95" customHeight="1" x14ac:dyDescent="0.3">
      <c r="A60" s="17"/>
      <c r="B60" s="5"/>
      <c r="C60" s="4"/>
      <c r="D60" s="22"/>
      <c r="E60" s="4"/>
      <c r="F60" s="22"/>
      <c r="G60" s="4"/>
      <c r="H60" s="4"/>
      <c r="I60" s="4"/>
      <c r="J60" s="4"/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">
        <f t="shared" si="10"/>
        <v>0</v>
      </c>
      <c r="W60"/>
      <c r="X60" s="53"/>
      <c r="Y60"/>
      <c r="Z60" s="53"/>
    </row>
    <row r="61" spans="1:26" ht="43.95" customHeight="1" x14ac:dyDescent="0.3">
      <c r="A61" s="17"/>
      <c r="B61" s="5"/>
      <c r="C61" s="4"/>
      <c r="D61" s="22"/>
      <c r="E61" s="4"/>
      <c r="F61" s="22"/>
      <c r="G61" s="4"/>
      <c r="H61" s="4"/>
      <c r="I61" s="4"/>
      <c r="J61" s="4"/>
      <c r="K61" s="22"/>
      <c r="L61" s="22"/>
      <c r="M61" s="22"/>
      <c r="N61" s="22"/>
      <c r="O61" s="22"/>
      <c r="P61" s="28"/>
      <c r="Q61" s="22"/>
      <c r="R61" s="22"/>
      <c r="S61" s="22"/>
      <c r="T61" s="22"/>
      <c r="U61" s="4">
        <f t="shared" si="10"/>
        <v>0</v>
      </c>
      <c r="W61"/>
      <c r="X61" s="53"/>
      <c r="Y61"/>
      <c r="Z61" s="53"/>
    </row>
    <row r="62" spans="1:26" ht="43.95" customHeight="1" x14ac:dyDescent="0.3">
      <c r="A62" s="17"/>
      <c r="B62" s="5"/>
      <c r="C62" s="4"/>
      <c r="D62" s="22"/>
      <c r="E62" s="4"/>
      <c r="F62" s="22"/>
      <c r="G62" s="4"/>
      <c r="H62" s="4"/>
      <c r="I62" s="4"/>
      <c r="J62" s="4"/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">
        <f t="shared" si="10"/>
        <v>0</v>
      </c>
      <c r="W62"/>
      <c r="X62" s="53"/>
      <c r="Y62"/>
      <c r="Z62" s="53"/>
    </row>
    <row r="63" spans="1:26" ht="43.95" customHeight="1" x14ac:dyDescent="0.3">
      <c r="A63" s="17"/>
      <c r="B63" s="5"/>
      <c r="C63" s="4"/>
      <c r="D63" s="22"/>
      <c r="E63" s="4"/>
      <c r="F63" s="22"/>
      <c r="G63" s="4"/>
      <c r="H63" s="4"/>
      <c r="I63" s="4"/>
      <c r="J63" s="4"/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">
        <f t="shared" si="10"/>
        <v>0</v>
      </c>
      <c r="W63"/>
      <c r="X63" s="53"/>
      <c r="Y63"/>
      <c r="Z63" s="53"/>
    </row>
    <row r="64" spans="1:26" ht="43.95" customHeight="1" x14ac:dyDescent="0.3">
      <c r="A64" s="17"/>
      <c r="B64" s="5"/>
      <c r="C64" s="4"/>
      <c r="D64" s="22"/>
      <c r="E64" s="4"/>
      <c r="F64" s="22"/>
      <c r="G64" s="4"/>
      <c r="H64" s="4"/>
      <c r="I64" s="4"/>
      <c r="J64" s="4"/>
      <c r="K64" s="22"/>
      <c r="L64" s="22"/>
      <c r="M64" s="22"/>
      <c r="N64" s="22"/>
      <c r="O64" s="22"/>
      <c r="P64" s="28"/>
      <c r="Q64" s="22"/>
      <c r="R64" s="22"/>
      <c r="S64" s="22"/>
      <c r="T64" s="22"/>
      <c r="U64" s="4">
        <f t="shared" si="10"/>
        <v>0</v>
      </c>
      <c r="W64"/>
      <c r="X64" s="53"/>
      <c r="Y64"/>
      <c r="Z64" s="53"/>
    </row>
    <row r="65" spans="1:26" ht="43.95" customHeight="1" x14ac:dyDescent="0.3">
      <c r="A65" s="17"/>
      <c r="B65" s="5"/>
      <c r="C65" s="4"/>
      <c r="D65" s="22"/>
      <c r="E65" s="4"/>
      <c r="F65" s="22"/>
      <c r="G65" s="4"/>
      <c r="H65" s="4"/>
      <c r="I65" s="4"/>
      <c r="J65" s="4"/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">
        <f t="shared" si="10"/>
        <v>0</v>
      </c>
      <c r="W65"/>
      <c r="X65" s="53"/>
      <c r="Y65"/>
      <c r="Z65" s="53"/>
    </row>
    <row r="66" spans="1:26" ht="43.95" customHeight="1" x14ac:dyDescent="0.3">
      <c r="A66" s="17"/>
      <c r="B66" s="5"/>
      <c r="C66" s="4"/>
      <c r="D66" s="22"/>
      <c r="E66" s="4"/>
      <c r="F66" s="22"/>
      <c r="G66" s="4"/>
      <c r="H66" s="4"/>
      <c r="I66" s="4"/>
      <c r="J66" s="4"/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">
        <f t="shared" si="10"/>
        <v>0</v>
      </c>
      <c r="W66"/>
      <c r="X66" s="53"/>
      <c r="Y66"/>
      <c r="Z66" s="53"/>
    </row>
    <row r="67" spans="1:26" ht="43.95" customHeight="1" x14ac:dyDescent="0.3">
      <c r="A67" s="17"/>
      <c r="B67" s="5"/>
      <c r="C67" s="4"/>
      <c r="D67" s="22"/>
      <c r="E67" s="4"/>
      <c r="F67" s="22"/>
      <c r="G67" s="4"/>
      <c r="H67" s="4"/>
      <c r="I67" s="4"/>
      <c r="J67" s="4"/>
      <c r="K67" s="22"/>
      <c r="L67" s="22"/>
      <c r="M67" s="22"/>
      <c r="N67" s="22"/>
      <c r="O67" s="22"/>
      <c r="P67" s="28"/>
      <c r="Q67" s="22"/>
      <c r="R67" s="22"/>
      <c r="S67" s="22"/>
      <c r="T67" s="22"/>
      <c r="U67" s="4">
        <f t="shared" si="10"/>
        <v>0</v>
      </c>
      <c r="W67"/>
      <c r="X67" s="53"/>
      <c r="Y67"/>
      <c r="Z67" s="53"/>
    </row>
    <row r="68" spans="1:26" ht="43.95" customHeight="1" x14ac:dyDescent="0.3">
      <c r="A68" s="17"/>
      <c r="B68" s="5"/>
      <c r="C68" s="4"/>
      <c r="D68" s="22"/>
      <c r="E68" s="4"/>
      <c r="F68" s="22"/>
      <c r="G68" s="4"/>
      <c r="H68" s="4"/>
      <c r="I68" s="4"/>
      <c r="J68" s="4"/>
      <c r="K68" s="22"/>
      <c r="L68" s="22"/>
      <c r="M68" s="22"/>
      <c r="N68" s="22"/>
      <c r="O68" s="22"/>
      <c r="P68" s="28"/>
      <c r="Q68" s="22"/>
      <c r="R68" s="22"/>
      <c r="S68" s="22"/>
      <c r="T68" s="22"/>
      <c r="U68" s="4">
        <f t="shared" si="10"/>
        <v>0</v>
      </c>
      <c r="W68"/>
      <c r="X68" s="53"/>
      <c r="Y68"/>
      <c r="Z68" s="53"/>
    </row>
    <row r="69" spans="1:26" ht="43.95" customHeight="1" x14ac:dyDescent="0.3">
      <c r="A69" s="17"/>
      <c r="B69" s="5"/>
      <c r="C69" s="4"/>
      <c r="D69" s="22"/>
      <c r="E69" s="4"/>
      <c r="F69" s="22"/>
      <c r="G69" s="4"/>
      <c r="H69" s="4"/>
      <c r="I69" s="4"/>
      <c r="J69" s="4"/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">
        <f t="shared" si="10"/>
        <v>0</v>
      </c>
      <c r="W69"/>
      <c r="X69" s="53"/>
      <c r="Y69"/>
      <c r="Z69" s="53"/>
    </row>
    <row r="70" spans="1:26" ht="43.95" customHeight="1" x14ac:dyDescent="0.3">
      <c r="A70" s="17"/>
      <c r="B70" s="5"/>
      <c r="C70" s="4"/>
      <c r="D70" s="22"/>
      <c r="E70" s="4"/>
      <c r="F70" s="22"/>
      <c r="G70" s="4"/>
      <c r="H70" s="4"/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">
        <f t="shared" si="10"/>
        <v>0</v>
      </c>
      <c r="W70"/>
      <c r="X70" s="53"/>
      <c r="Y70"/>
      <c r="Z70" s="53"/>
    </row>
    <row r="71" spans="1:26" ht="43.95" customHeight="1" x14ac:dyDescent="0.3">
      <c r="A71" s="17"/>
      <c r="B71" s="5"/>
      <c r="C71" s="4"/>
      <c r="D71" s="22"/>
      <c r="E71" s="4"/>
      <c r="F71" s="22"/>
      <c r="G71" s="4"/>
      <c r="H71" s="4"/>
      <c r="I71" s="4"/>
      <c r="J71" s="4"/>
      <c r="K71" s="22"/>
      <c r="L71" s="22"/>
      <c r="M71" s="22"/>
      <c r="N71" s="22"/>
      <c r="O71" s="22"/>
      <c r="P71" s="28"/>
      <c r="Q71" s="22"/>
      <c r="R71" s="22"/>
      <c r="S71" s="22"/>
      <c r="T71" s="22"/>
      <c r="U71" s="4">
        <f t="shared" si="10"/>
        <v>0</v>
      </c>
      <c r="W71"/>
      <c r="X71" s="53"/>
      <c r="Y71"/>
      <c r="Z71" s="53"/>
    </row>
    <row r="72" spans="1:26" ht="43.95" customHeight="1" x14ac:dyDescent="0.3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si="10"/>
        <v>0</v>
      </c>
      <c r="W72"/>
      <c r="X72" s="53"/>
      <c r="Y72"/>
      <c r="Z72" s="53"/>
    </row>
    <row r="73" spans="1:26" ht="43.95" customHeight="1" x14ac:dyDescent="0.3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10"/>
        <v>0</v>
      </c>
      <c r="W73"/>
      <c r="X73" s="53"/>
      <c r="Y73"/>
      <c r="Z73" s="53"/>
    </row>
    <row r="74" spans="1:26" ht="43.95" customHeight="1" x14ac:dyDescent="0.3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10"/>
        <v>0</v>
      </c>
      <c r="W74"/>
      <c r="X74" s="53"/>
      <c r="Y74"/>
      <c r="Z74" s="53"/>
    </row>
    <row r="75" spans="1:26" ht="43.95" customHeight="1" x14ac:dyDescent="0.3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10"/>
        <v>0</v>
      </c>
      <c r="W75"/>
      <c r="X75" s="53"/>
      <c r="Y75"/>
      <c r="Z75" s="53"/>
    </row>
    <row r="76" spans="1:26" ht="30" customHeight="1" x14ac:dyDescent="0.3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10"/>
        <v>0</v>
      </c>
      <c r="W76"/>
      <c r="X76" s="53"/>
      <c r="Y76"/>
      <c r="Z76" s="53"/>
    </row>
    <row r="77" spans="1:26" ht="30" customHeight="1" x14ac:dyDescent="0.3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10"/>
        <v>0</v>
      </c>
      <c r="W77"/>
      <c r="X77" s="53"/>
      <c r="Y77"/>
      <c r="Z77" s="53"/>
    </row>
    <row r="78" spans="1:26" ht="30" customHeight="1" x14ac:dyDescent="0.3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10"/>
        <v>0</v>
      </c>
      <c r="W78"/>
      <c r="X78" s="53"/>
      <c r="Y78"/>
      <c r="Z78" s="53"/>
    </row>
    <row r="79" spans="1:26" ht="30" customHeight="1" x14ac:dyDescent="0.3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10"/>
        <v>0</v>
      </c>
      <c r="W79"/>
      <c r="X79" s="53"/>
      <c r="Y79"/>
      <c r="Z79" s="53"/>
    </row>
    <row r="80" spans="1:26" ht="30" customHeight="1" x14ac:dyDescent="0.3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10"/>
        <v>0</v>
      </c>
      <c r="W80"/>
      <c r="X80" s="53"/>
      <c r="Y80"/>
      <c r="Z80" s="53"/>
    </row>
    <row r="81" spans="1:26" ht="30" customHeight="1" x14ac:dyDescent="0.3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10"/>
        <v>0</v>
      </c>
      <c r="W81"/>
      <c r="X81" s="53"/>
      <c r="Y81"/>
      <c r="Z81" s="53"/>
    </row>
    <row r="82" spans="1:26" ht="30" customHeight="1" x14ac:dyDescent="0.3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10"/>
        <v>0</v>
      </c>
      <c r="W82"/>
      <c r="X82" s="53"/>
      <c r="Y82"/>
      <c r="Z82" s="53"/>
    </row>
    <row r="83" spans="1:26" ht="30" customHeight="1" x14ac:dyDescent="0.3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10"/>
        <v>0</v>
      </c>
      <c r="W83"/>
      <c r="X83" s="53"/>
      <c r="Y83"/>
      <c r="Z83" s="53"/>
    </row>
    <row r="84" spans="1:26" ht="30" customHeight="1" x14ac:dyDescent="0.3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10"/>
        <v>0</v>
      </c>
      <c r="W84"/>
      <c r="X84" s="53"/>
      <c r="Y84"/>
      <c r="Z84" s="53"/>
    </row>
    <row r="85" spans="1:26" ht="30" customHeight="1" x14ac:dyDescent="0.3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10"/>
        <v>0</v>
      </c>
      <c r="W85"/>
      <c r="X85" s="53"/>
      <c r="Y85"/>
      <c r="Z85" s="53"/>
    </row>
    <row r="86" spans="1:26" ht="30" customHeight="1" x14ac:dyDescent="0.3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10"/>
        <v>0</v>
      </c>
      <c r="W86"/>
      <c r="X86" s="53"/>
      <c r="Y86"/>
      <c r="Z86" s="53"/>
    </row>
    <row r="87" spans="1:26" ht="30" customHeight="1" x14ac:dyDescent="0.3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10"/>
        <v>0</v>
      </c>
      <c r="W87"/>
      <c r="X87" s="53"/>
      <c r="Y87"/>
      <c r="Z87" s="53"/>
    </row>
    <row r="88" spans="1:26" ht="30" customHeight="1" x14ac:dyDescent="0.3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10"/>
        <v>0</v>
      </c>
      <c r="W88"/>
      <c r="X88" s="53"/>
      <c r="Y88"/>
      <c r="Z88" s="53"/>
    </row>
    <row r="89" spans="1:26" ht="30" customHeight="1" x14ac:dyDescent="0.3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si="10"/>
        <v>0</v>
      </c>
      <c r="W89"/>
      <c r="X89" s="53"/>
      <c r="Y89"/>
      <c r="Z89" s="53"/>
    </row>
    <row r="90" spans="1:26" ht="30" customHeight="1" x14ac:dyDescent="0.3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si="10"/>
        <v>0</v>
      </c>
      <c r="W90"/>
      <c r="X90" s="53"/>
      <c r="Y90"/>
      <c r="Z90" s="53"/>
    </row>
    <row r="91" spans="1:26" ht="30" customHeight="1" x14ac:dyDescent="0.3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10"/>
        <v>0</v>
      </c>
      <c r="W91"/>
      <c r="X91" s="53"/>
      <c r="Y91"/>
      <c r="Z91" s="53"/>
    </row>
    <row r="92" spans="1:26" ht="30" customHeight="1" x14ac:dyDescent="0.3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10"/>
        <v>0</v>
      </c>
      <c r="W92"/>
      <c r="X92" s="53"/>
      <c r="Y92"/>
      <c r="Z92" s="53"/>
    </row>
    <row r="93" spans="1:26" ht="30" customHeight="1" x14ac:dyDescent="0.3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ref="U93:U156" si="11">E93+H93</f>
        <v>0</v>
      </c>
      <c r="W93"/>
      <c r="X93" s="53"/>
      <c r="Y93"/>
      <c r="Z93" s="53"/>
    </row>
    <row r="94" spans="1:26" ht="30" customHeight="1" x14ac:dyDescent="0.3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11"/>
        <v>0</v>
      </c>
      <c r="W94"/>
      <c r="X94" s="53"/>
      <c r="Y94"/>
      <c r="Z94" s="53"/>
    </row>
    <row r="95" spans="1:26" ht="30" customHeight="1" x14ac:dyDescent="0.3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11"/>
        <v>0</v>
      </c>
      <c r="W95"/>
      <c r="X95" s="53"/>
      <c r="Y95"/>
      <c r="Z95" s="53"/>
    </row>
    <row r="96" spans="1:26" ht="30" customHeight="1" x14ac:dyDescent="0.3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11"/>
        <v>0</v>
      </c>
      <c r="W96"/>
      <c r="X96" s="53"/>
      <c r="Y96"/>
      <c r="Z96" s="53"/>
    </row>
    <row r="97" spans="1:26" ht="30" customHeight="1" x14ac:dyDescent="0.3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11"/>
        <v>0</v>
      </c>
      <c r="W97"/>
      <c r="X97" s="53"/>
      <c r="Y97"/>
      <c r="Z97" s="53"/>
    </row>
    <row r="98" spans="1:26" ht="30" customHeight="1" x14ac:dyDescent="0.3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11"/>
        <v>0</v>
      </c>
      <c r="W98"/>
      <c r="X98" s="53"/>
      <c r="Y98"/>
      <c r="Z98" s="53"/>
    </row>
    <row r="99" spans="1:26" ht="30" customHeight="1" x14ac:dyDescent="0.3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11"/>
        <v>0</v>
      </c>
      <c r="W99"/>
      <c r="X99" s="53"/>
      <c r="Y99"/>
      <c r="Z99" s="53"/>
    </row>
    <row r="100" spans="1:26" ht="30" customHeight="1" x14ac:dyDescent="0.3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11"/>
        <v>0</v>
      </c>
      <c r="W100"/>
      <c r="X100" s="53"/>
      <c r="Y100"/>
      <c r="Z100" s="53"/>
    </row>
    <row r="101" spans="1:26" ht="30" customHeight="1" x14ac:dyDescent="0.3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11"/>
        <v>0</v>
      </c>
      <c r="W101"/>
      <c r="X101" s="53"/>
      <c r="Y101"/>
      <c r="Z101" s="53"/>
    </row>
    <row r="102" spans="1:26" ht="30" customHeight="1" x14ac:dyDescent="0.3">
      <c r="A102" s="17"/>
      <c r="B102" s="5"/>
      <c r="C102" s="4"/>
      <c r="D102" s="22"/>
      <c r="E102" s="4"/>
      <c r="F102" s="22"/>
      <c r="G102" s="4"/>
      <c r="H102" s="4"/>
      <c r="I102" s="4"/>
      <c r="J102" s="4"/>
      <c r="K102" s="22"/>
      <c r="L102" s="22"/>
      <c r="M102" s="22"/>
      <c r="N102" s="22"/>
      <c r="O102" s="22"/>
      <c r="P102" s="28"/>
      <c r="Q102" s="22"/>
      <c r="R102" s="22"/>
      <c r="S102" s="22"/>
      <c r="T102" s="22"/>
      <c r="U102" s="4">
        <f t="shared" si="11"/>
        <v>0</v>
      </c>
      <c r="W102"/>
      <c r="X102" s="53"/>
      <c r="Y102"/>
      <c r="Z102" s="53"/>
    </row>
    <row r="103" spans="1:26" ht="30" customHeight="1" x14ac:dyDescent="0.3">
      <c r="A103" s="17"/>
      <c r="B103" s="5"/>
      <c r="C103" s="4"/>
      <c r="D103" s="22"/>
      <c r="E103" s="4"/>
      <c r="F103" s="22"/>
      <c r="G103" s="4"/>
      <c r="H103" s="4"/>
      <c r="I103" s="4"/>
      <c r="J103" s="4"/>
      <c r="K103" s="22"/>
      <c r="L103" s="22"/>
      <c r="M103" s="22"/>
      <c r="N103" s="22"/>
      <c r="O103" s="22"/>
      <c r="P103" s="28"/>
      <c r="Q103" s="22"/>
      <c r="R103" s="22"/>
      <c r="S103" s="22"/>
      <c r="T103" s="22"/>
      <c r="U103" s="4">
        <f t="shared" si="11"/>
        <v>0</v>
      </c>
      <c r="W103"/>
      <c r="X103" s="53"/>
      <c r="Y103"/>
      <c r="Z103" s="53"/>
    </row>
    <row r="104" spans="1:26" ht="30" customHeight="1" x14ac:dyDescent="0.3">
      <c r="A104" s="17"/>
      <c r="B104" s="5"/>
      <c r="C104" s="4"/>
      <c r="D104" s="22"/>
      <c r="E104" s="4"/>
      <c r="F104" s="22"/>
      <c r="G104" s="4"/>
      <c r="H104" s="4"/>
      <c r="I104" s="4"/>
      <c r="J104" s="4"/>
      <c r="K104" s="22"/>
      <c r="L104" s="22"/>
      <c r="M104" s="22"/>
      <c r="N104" s="22"/>
      <c r="O104" s="22"/>
      <c r="P104" s="28"/>
      <c r="Q104" s="22"/>
      <c r="R104" s="22"/>
      <c r="S104" s="22"/>
      <c r="T104" s="22"/>
      <c r="U104" s="4">
        <f t="shared" si="11"/>
        <v>0</v>
      </c>
      <c r="W104"/>
      <c r="X104" s="53"/>
      <c r="Y104"/>
      <c r="Z104" s="53"/>
    </row>
    <row r="105" spans="1:26" ht="30" customHeight="1" x14ac:dyDescent="0.3">
      <c r="A105" s="17"/>
      <c r="B105" s="5"/>
      <c r="C105" s="4"/>
      <c r="D105" s="22"/>
      <c r="E105" s="4"/>
      <c r="F105" s="22"/>
      <c r="G105" s="4"/>
      <c r="H105" s="4"/>
      <c r="I105" s="4"/>
      <c r="J105" s="4"/>
      <c r="K105" s="22"/>
      <c r="L105" s="22"/>
      <c r="M105" s="22"/>
      <c r="N105" s="22"/>
      <c r="O105" s="22"/>
      <c r="P105" s="28"/>
      <c r="Q105" s="22"/>
      <c r="R105" s="22"/>
      <c r="S105" s="22"/>
      <c r="T105" s="22"/>
      <c r="U105" s="4">
        <f t="shared" si="11"/>
        <v>0</v>
      </c>
      <c r="W105"/>
      <c r="X105" s="53"/>
      <c r="Y105"/>
      <c r="Z105" s="53"/>
    </row>
    <row r="106" spans="1:26" ht="30" customHeight="1" x14ac:dyDescent="0.3">
      <c r="G106" s="3"/>
      <c r="I106" s="3"/>
      <c r="J106" s="3"/>
      <c r="K106" s="24"/>
      <c r="L106" s="24"/>
      <c r="M106" s="24"/>
      <c r="N106" s="24"/>
      <c r="O106" s="24"/>
      <c r="P106" s="31"/>
      <c r="Q106" s="24"/>
      <c r="R106" s="24"/>
      <c r="S106" s="24"/>
      <c r="T106" s="24"/>
      <c r="U106" s="4">
        <f t="shared" si="11"/>
        <v>0</v>
      </c>
      <c r="W106"/>
      <c r="X106" s="53"/>
      <c r="Y106"/>
      <c r="Z106" s="53"/>
    </row>
    <row r="107" spans="1:26" ht="30" customHeight="1" x14ac:dyDescent="0.3">
      <c r="G107" s="3"/>
      <c r="I107" s="3"/>
      <c r="J107" s="3"/>
      <c r="K107" s="24"/>
      <c r="L107" s="24"/>
      <c r="M107" s="24"/>
      <c r="N107" s="24"/>
      <c r="O107" s="24"/>
      <c r="P107" s="31"/>
      <c r="Q107" s="24"/>
      <c r="R107" s="24"/>
      <c r="S107" s="24"/>
      <c r="T107" s="24"/>
      <c r="U107" s="4">
        <f t="shared" si="11"/>
        <v>0</v>
      </c>
      <c r="W107"/>
      <c r="X107" s="53"/>
      <c r="Y107"/>
      <c r="Z107" s="53"/>
    </row>
    <row r="108" spans="1:26" ht="30" customHeight="1" x14ac:dyDescent="0.3">
      <c r="G108" s="3"/>
      <c r="I108" s="3"/>
      <c r="J108" s="3"/>
      <c r="K108" s="24"/>
      <c r="L108" s="24"/>
      <c r="M108" s="24"/>
      <c r="N108" s="24"/>
      <c r="O108" s="24"/>
      <c r="P108" s="31"/>
      <c r="Q108" s="24"/>
      <c r="R108" s="24"/>
      <c r="S108" s="24"/>
      <c r="T108" s="24"/>
      <c r="U108" s="4">
        <f t="shared" si="11"/>
        <v>0</v>
      </c>
      <c r="W108"/>
      <c r="X108" s="53"/>
      <c r="Y108"/>
      <c r="Z108" s="53"/>
    </row>
    <row r="109" spans="1:26" ht="30" customHeight="1" x14ac:dyDescent="0.3">
      <c r="G109" s="3"/>
      <c r="I109" s="3"/>
      <c r="J109" s="3"/>
      <c r="K109" s="24"/>
      <c r="L109" s="24"/>
      <c r="M109" s="24"/>
      <c r="N109" s="24"/>
      <c r="O109" s="24"/>
      <c r="P109" s="31"/>
      <c r="Q109" s="24"/>
      <c r="R109" s="24"/>
      <c r="S109" s="24"/>
      <c r="T109" s="24"/>
      <c r="U109" s="4">
        <f t="shared" si="11"/>
        <v>0</v>
      </c>
      <c r="W109"/>
      <c r="X109" s="53"/>
      <c r="Y109"/>
      <c r="Z109" s="53"/>
    </row>
    <row r="110" spans="1:26" ht="30" customHeight="1" x14ac:dyDescent="0.3">
      <c r="G110" s="3"/>
      <c r="I110" s="3"/>
      <c r="J110" s="3"/>
      <c r="K110" s="24"/>
      <c r="L110" s="24"/>
      <c r="M110" s="24"/>
      <c r="N110" s="24"/>
      <c r="O110" s="24"/>
      <c r="P110" s="31"/>
      <c r="Q110" s="24"/>
      <c r="R110" s="24"/>
      <c r="S110" s="24"/>
      <c r="T110" s="24"/>
      <c r="U110" s="4">
        <f t="shared" si="11"/>
        <v>0</v>
      </c>
      <c r="W110"/>
      <c r="X110" s="53"/>
      <c r="Y110"/>
      <c r="Z110" s="53"/>
    </row>
    <row r="111" spans="1:26" ht="30" customHeight="1" x14ac:dyDescent="0.3">
      <c r="G111" s="3"/>
      <c r="I111" s="3"/>
      <c r="J111" s="3"/>
      <c r="K111" s="24"/>
      <c r="L111" s="24"/>
      <c r="M111" s="24"/>
      <c r="N111" s="24"/>
      <c r="O111" s="24"/>
      <c r="P111" s="31"/>
      <c r="Q111" s="24"/>
      <c r="R111" s="24"/>
      <c r="S111" s="24"/>
      <c r="T111" s="24"/>
      <c r="U111" s="4">
        <f t="shared" si="11"/>
        <v>0</v>
      </c>
      <c r="W111"/>
      <c r="X111" s="53"/>
      <c r="Y111"/>
      <c r="Z111" s="53"/>
    </row>
    <row r="112" spans="1:26" ht="30" customHeight="1" x14ac:dyDescent="0.3">
      <c r="G112" s="3"/>
      <c r="I112" s="3"/>
      <c r="J112" s="3"/>
      <c r="K112" s="24"/>
      <c r="L112" s="24"/>
      <c r="M112" s="24"/>
      <c r="N112" s="24"/>
      <c r="O112" s="24"/>
      <c r="P112" s="31"/>
      <c r="Q112" s="24"/>
      <c r="R112" s="24"/>
      <c r="S112" s="24"/>
      <c r="T112" s="24"/>
      <c r="U112" s="4">
        <f t="shared" si="11"/>
        <v>0</v>
      </c>
      <c r="W112"/>
      <c r="X112" s="53"/>
      <c r="Y112"/>
      <c r="Z112" s="53"/>
    </row>
    <row r="113" spans="7:26" ht="30" customHeight="1" x14ac:dyDescent="0.3">
      <c r="G113" s="3"/>
      <c r="I113" s="3"/>
      <c r="J113" s="3"/>
      <c r="K113" s="24"/>
      <c r="L113" s="24"/>
      <c r="M113" s="24"/>
      <c r="N113" s="24"/>
      <c r="O113" s="24"/>
      <c r="P113" s="31"/>
      <c r="Q113" s="24"/>
      <c r="R113" s="24"/>
      <c r="S113" s="24"/>
      <c r="T113" s="24"/>
      <c r="U113" s="4">
        <f t="shared" si="11"/>
        <v>0</v>
      </c>
      <c r="W113"/>
      <c r="X113" s="53"/>
      <c r="Y113"/>
      <c r="Z113" s="53"/>
    </row>
    <row r="114" spans="7:26" ht="30" customHeight="1" x14ac:dyDescent="0.3">
      <c r="G114" s="3"/>
      <c r="I114" s="3"/>
      <c r="J114" s="3"/>
      <c r="K114" s="24"/>
      <c r="L114" s="24"/>
      <c r="M114" s="24"/>
      <c r="N114" s="24"/>
      <c r="O114" s="24"/>
      <c r="P114" s="31"/>
      <c r="Q114" s="24"/>
      <c r="R114" s="24"/>
      <c r="S114" s="24"/>
      <c r="T114" s="24"/>
      <c r="U114" s="4">
        <f t="shared" si="11"/>
        <v>0</v>
      </c>
      <c r="W114"/>
      <c r="X114" s="53"/>
      <c r="Y114"/>
      <c r="Z114" s="53"/>
    </row>
    <row r="115" spans="7:26" ht="30" customHeight="1" x14ac:dyDescent="0.3">
      <c r="G115" s="3"/>
      <c r="I115" s="3"/>
      <c r="J115" s="3"/>
      <c r="K115" s="24"/>
      <c r="L115" s="24"/>
      <c r="M115" s="24"/>
      <c r="N115" s="24"/>
      <c r="O115" s="24"/>
      <c r="P115" s="31"/>
      <c r="Q115" s="24"/>
      <c r="R115" s="24"/>
      <c r="S115" s="24"/>
      <c r="T115" s="24"/>
      <c r="U115" s="4">
        <f t="shared" si="11"/>
        <v>0</v>
      </c>
      <c r="W115"/>
      <c r="X115" s="53"/>
      <c r="Y115"/>
      <c r="Z115" s="53"/>
    </row>
    <row r="116" spans="7:26" ht="30" customHeight="1" x14ac:dyDescent="0.3">
      <c r="G116" s="3"/>
      <c r="I116" s="3"/>
      <c r="J116" s="3"/>
      <c r="K116" s="24"/>
      <c r="L116" s="24"/>
      <c r="M116" s="24"/>
      <c r="N116" s="24"/>
      <c r="O116" s="24"/>
      <c r="P116" s="31"/>
      <c r="Q116" s="24"/>
      <c r="R116" s="24"/>
      <c r="S116" s="24"/>
      <c r="T116" s="24"/>
      <c r="U116" s="4">
        <f t="shared" si="11"/>
        <v>0</v>
      </c>
      <c r="W116"/>
      <c r="X116" s="53"/>
      <c r="Y116"/>
      <c r="Z116" s="53"/>
    </row>
    <row r="117" spans="7:26" ht="30" customHeight="1" x14ac:dyDescent="0.3">
      <c r="G117" s="3"/>
      <c r="I117" s="3"/>
      <c r="J117" s="3"/>
      <c r="K117" s="24"/>
      <c r="L117" s="24"/>
      <c r="M117" s="24"/>
      <c r="N117" s="24"/>
      <c r="O117" s="24"/>
      <c r="P117" s="31"/>
      <c r="Q117" s="24"/>
      <c r="R117" s="24"/>
      <c r="S117" s="24"/>
      <c r="T117" s="24"/>
      <c r="U117" s="4">
        <f t="shared" si="11"/>
        <v>0</v>
      </c>
      <c r="W117"/>
      <c r="X117" s="53"/>
      <c r="Y117"/>
      <c r="Z117" s="53"/>
    </row>
    <row r="118" spans="7:26" ht="30" customHeight="1" x14ac:dyDescent="0.3">
      <c r="G118" s="3"/>
      <c r="I118" s="3"/>
      <c r="J118" s="3"/>
      <c r="K118" s="24"/>
      <c r="L118" s="24"/>
      <c r="M118" s="24"/>
      <c r="N118" s="24"/>
      <c r="O118" s="24"/>
      <c r="P118" s="31"/>
      <c r="Q118" s="24"/>
      <c r="R118" s="24"/>
      <c r="S118" s="24"/>
      <c r="T118" s="24"/>
      <c r="U118" s="4">
        <f t="shared" si="11"/>
        <v>0</v>
      </c>
      <c r="W118"/>
      <c r="X118" s="53"/>
      <c r="Y118"/>
      <c r="Z118" s="53"/>
    </row>
    <row r="119" spans="7:26" ht="30" customHeight="1" x14ac:dyDescent="0.3">
      <c r="G119" s="3"/>
      <c r="I119" s="3"/>
      <c r="J119" s="3"/>
      <c r="K119" s="24"/>
      <c r="L119" s="24"/>
      <c r="M119" s="24"/>
      <c r="N119" s="24"/>
      <c r="O119" s="24"/>
      <c r="P119" s="31"/>
      <c r="Q119" s="24"/>
      <c r="R119" s="24"/>
      <c r="S119" s="24"/>
      <c r="T119" s="24"/>
      <c r="U119" s="4">
        <f t="shared" si="11"/>
        <v>0</v>
      </c>
      <c r="W119"/>
      <c r="X119" s="53"/>
      <c r="Y119"/>
      <c r="Z119" s="53"/>
    </row>
    <row r="120" spans="7:26" ht="30" customHeight="1" x14ac:dyDescent="0.3">
      <c r="G120" s="3"/>
      <c r="I120" s="3"/>
      <c r="J120" s="3"/>
      <c r="K120" s="24"/>
      <c r="L120" s="24"/>
      <c r="M120" s="24"/>
      <c r="N120" s="24"/>
      <c r="O120" s="24"/>
      <c r="P120" s="31"/>
      <c r="Q120" s="24"/>
      <c r="R120" s="24"/>
      <c r="S120" s="24"/>
      <c r="T120" s="24"/>
      <c r="U120" s="4">
        <f t="shared" si="11"/>
        <v>0</v>
      </c>
      <c r="W120"/>
      <c r="X120" s="53"/>
      <c r="Y120"/>
      <c r="Z120" s="53"/>
    </row>
    <row r="121" spans="7:26" ht="30" customHeight="1" x14ac:dyDescent="0.3">
      <c r="G121" s="3"/>
      <c r="I121" s="3"/>
      <c r="J121" s="3"/>
      <c r="K121" s="24"/>
      <c r="L121" s="24"/>
      <c r="M121" s="24"/>
      <c r="N121" s="24"/>
      <c r="O121" s="24"/>
      <c r="P121" s="31"/>
      <c r="Q121" s="24"/>
      <c r="R121" s="24"/>
      <c r="S121" s="24"/>
      <c r="T121" s="24"/>
      <c r="U121" s="4">
        <f t="shared" si="11"/>
        <v>0</v>
      </c>
      <c r="W121"/>
      <c r="X121" s="53"/>
      <c r="Y121"/>
      <c r="Z121" s="53"/>
    </row>
    <row r="122" spans="7:26" ht="30" customHeight="1" x14ac:dyDescent="0.3">
      <c r="G122" s="3"/>
      <c r="I122" s="3"/>
      <c r="J122" s="3"/>
      <c r="K122" s="24"/>
      <c r="L122" s="24"/>
      <c r="M122" s="24"/>
      <c r="N122" s="24"/>
      <c r="O122" s="24"/>
      <c r="P122" s="31"/>
      <c r="Q122" s="24"/>
      <c r="R122" s="24"/>
      <c r="S122" s="24"/>
      <c r="T122" s="24"/>
      <c r="U122" s="4">
        <f t="shared" si="11"/>
        <v>0</v>
      </c>
      <c r="W122"/>
      <c r="X122" s="53"/>
      <c r="Y122"/>
      <c r="Z122" s="53"/>
    </row>
    <row r="123" spans="7:26" ht="30" customHeight="1" x14ac:dyDescent="0.3">
      <c r="G123" s="3"/>
      <c r="I123" s="3"/>
      <c r="J123" s="3"/>
      <c r="K123" s="24"/>
      <c r="L123" s="24"/>
      <c r="M123" s="24"/>
      <c r="N123" s="24"/>
      <c r="O123" s="24"/>
      <c r="P123" s="31"/>
      <c r="Q123" s="24"/>
      <c r="R123" s="24"/>
      <c r="S123" s="24"/>
      <c r="T123" s="24"/>
      <c r="U123" s="4">
        <f t="shared" si="11"/>
        <v>0</v>
      </c>
      <c r="W123"/>
      <c r="X123" s="53"/>
      <c r="Y123"/>
      <c r="Z123" s="53"/>
    </row>
    <row r="124" spans="7:26" ht="30" customHeight="1" x14ac:dyDescent="0.3">
      <c r="G124" s="3"/>
      <c r="I124" s="3"/>
      <c r="J124" s="3"/>
      <c r="K124" s="24"/>
      <c r="L124" s="24"/>
      <c r="M124" s="24"/>
      <c r="N124" s="24"/>
      <c r="O124" s="24"/>
      <c r="P124" s="31"/>
      <c r="Q124" s="24"/>
      <c r="R124" s="24"/>
      <c r="S124" s="24"/>
      <c r="T124" s="24"/>
      <c r="U124" s="4">
        <f t="shared" si="11"/>
        <v>0</v>
      </c>
      <c r="W124"/>
      <c r="X124" s="53"/>
      <c r="Y124"/>
      <c r="Z124" s="53"/>
    </row>
    <row r="125" spans="7:26" ht="30" customHeight="1" x14ac:dyDescent="0.3">
      <c r="G125" s="3"/>
      <c r="I125" s="3"/>
      <c r="J125" s="3"/>
      <c r="K125" s="24"/>
      <c r="L125" s="24"/>
      <c r="M125" s="24"/>
      <c r="N125" s="24"/>
      <c r="O125" s="24"/>
      <c r="P125" s="31"/>
      <c r="Q125" s="24"/>
      <c r="R125" s="24"/>
      <c r="S125" s="24"/>
      <c r="T125" s="24"/>
      <c r="U125" s="4">
        <f t="shared" si="11"/>
        <v>0</v>
      </c>
      <c r="W125"/>
      <c r="X125" s="53"/>
      <c r="Y125"/>
      <c r="Z125" s="53"/>
    </row>
    <row r="126" spans="7:26" ht="30" customHeight="1" x14ac:dyDescent="0.3">
      <c r="G126" s="3"/>
      <c r="I126" s="3"/>
      <c r="J126" s="3"/>
      <c r="K126" s="24"/>
      <c r="L126" s="24"/>
      <c r="M126" s="24"/>
      <c r="N126" s="24"/>
      <c r="O126" s="24"/>
      <c r="P126" s="31"/>
      <c r="Q126" s="24"/>
      <c r="R126" s="24"/>
      <c r="S126" s="24"/>
      <c r="T126" s="24"/>
      <c r="U126" s="4">
        <f t="shared" si="11"/>
        <v>0</v>
      </c>
      <c r="W126"/>
      <c r="X126" s="53"/>
      <c r="Y126"/>
      <c r="Z126" s="53"/>
    </row>
    <row r="127" spans="7:26" ht="30" customHeight="1" x14ac:dyDescent="0.3">
      <c r="G127" s="3"/>
      <c r="I127" s="3"/>
      <c r="J127" s="3"/>
      <c r="K127" s="24"/>
      <c r="L127" s="24"/>
      <c r="M127" s="24"/>
      <c r="N127" s="24"/>
      <c r="O127" s="24"/>
      <c r="P127" s="31"/>
      <c r="Q127" s="24"/>
      <c r="R127" s="24"/>
      <c r="S127" s="24"/>
      <c r="T127" s="24"/>
      <c r="U127" s="4">
        <f t="shared" si="11"/>
        <v>0</v>
      </c>
      <c r="W127"/>
      <c r="X127" s="53"/>
      <c r="Y127"/>
      <c r="Z127" s="53"/>
    </row>
    <row r="128" spans="7:26" ht="30" customHeight="1" x14ac:dyDescent="0.3">
      <c r="G128" s="3"/>
      <c r="I128" s="3"/>
      <c r="J128" s="3"/>
      <c r="K128" s="24"/>
      <c r="L128" s="24"/>
      <c r="M128" s="24"/>
      <c r="N128" s="24"/>
      <c r="O128" s="24"/>
      <c r="P128" s="31"/>
      <c r="Q128" s="24"/>
      <c r="R128" s="24"/>
      <c r="S128" s="24"/>
      <c r="T128" s="24"/>
      <c r="U128" s="4">
        <f t="shared" si="11"/>
        <v>0</v>
      </c>
      <c r="W128"/>
      <c r="X128" s="53"/>
      <c r="Y128"/>
      <c r="Z128" s="53"/>
    </row>
    <row r="129" spans="7:26" ht="30" customHeight="1" x14ac:dyDescent="0.3">
      <c r="G129" s="3"/>
      <c r="I129" s="3"/>
      <c r="J129" s="3"/>
      <c r="K129" s="24"/>
      <c r="L129" s="24"/>
      <c r="M129" s="24"/>
      <c r="N129" s="24"/>
      <c r="O129" s="24"/>
      <c r="P129" s="31"/>
      <c r="Q129" s="24"/>
      <c r="R129" s="24"/>
      <c r="S129" s="24"/>
      <c r="T129" s="24"/>
      <c r="U129" s="4">
        <f t="shared" si="11"/>
        <v>0</v>
      </c>
      <c r="W129"/>
      <c r="X129" s="53"/>
      <c r="Y129"/>
      <c r="Z129" s="53"/>
    </row>
    <row r="130" spans="7:26" ht="30" customHeight="1" x14ac:dyDescent="0.3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11"/>
        <v>0</v>
      </c>
      <c r="W130"/>
      <c r="X130" s="53"/>
      <c r="Y130"/>
      <c r="Z130" s="53"/>
    </row>
    <row r="131" spans="7:26" ht="30" customHeight="1" x14ac:dyDescent="0.3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11"/>
        <v>0</v>
      </c>
      <c r="W131"/>
      <c r="X131" s="53"/>
      <c r="Y131"/>
      <c r="Z131" s="53"/>
    </row>
    <row r="132" spans="7:26" ht="30" customHeight="1" x14ac:dyDescent="0.3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11"/>
        <v>0</v>
      </c>
      <c r="W132"/>
      <c r="X132" s="53"/>
      <c r="Y132"/>
      <c r="Z132" s="53"/>
    </row>
    <row r="133" spans="7:26" ht="30" customHeight="1" x14ac:dyDescent="0.3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11"/>
        <v>0</v>
      </c>
      <c r="W133"/>
      <c r="X133" s="53"/>
      <c r="Y133"/>
      <c r="Z133" s="53"/>
    </row>
    <row r="134" spans="7:26" ht="30" customHeight="1" x14ac:dyDescent="0.3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11"/>
        <v>0</v>
      </c>
      <c r="W134"/>
      <c r="X134" s="53"/>
      <c r="Y134"/>
      <c r="Z134" s="53"/>
    </row>
    <row r="135" spans="7:26" ht="30" customHeight="1" x14ac:dyDescent="0.3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11"/>
        <v>0</v>
      </c>
      <c r="W135"/>
      <c r="X135" s="53"/>
      <c r="Y135"/>
      <c r="Z135" s="53"/>
    </row>
    <row r="136" spans="7:26" ht="30" customHeight="1" x14ac:dyDescent="0.3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11"/>
        <v>0</v>
      </c>
      <c r="W136"/>
      <c r="X136" s="53"/>
      <c r="Y136"/>
      <c r="Z136" s="53"/>
    </row>
    <row r="137" spans="7:26" ht="30" customHeight="1" x14ac:dyDescent="0.3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11"/>
        <v>0</v>
      </c>
      <c r="W137"/>
      <c r="X137" s="53"/>
      <c r="Y137"/>
      <c r="Z137" s="53"/>
    </row>
    <row r="138" spans="7:26" ht="30" customHeight="1" x14ac:dyDescent="0.3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11"/>
        <v>0</v>
      </c>
      <c r="W138"/>
      <c r="X138" s="53"/>
      <c r="Y138"/>
      <c r="Z138" s="53"/>
    </row>
    <row r="139" spans="7:26" ht="30" customHeight="1" x14ac:dyDescent="0.3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11"/>
        <v>0</v>
      </c>
      <c r="W139"/>
      <c r="X139" s="53"/>
      <c r="Y139"/>
      <c r="Z139" s="53"/>
    </row>
    <row r="140" spans="7:26" ht="30" customHeight="1" x14ac:dyDescent="0.3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11"/>
        <v>0</v>
      </c>
      <c r="W140"/>
      <c r="X140" s="53"/>
      <c r="Y140"/>
      <c r="Z140" s="53"/>
    </row>
    <row r="141" spans="7:26" ht="30" customHeight="1" x14ac:dyDescent="0.3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11"/>
        <v>0</v>
      </c>
      <c r="W141"/>
      <c r="X141" s="53"/>
      <c r="Y141"/>
      <c r="Z141" s="53"/>
    </row>
    <row r="142" spans="7:26" ht="30" customHeight="1" x14ac:dyDescent="0.3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11"/>
        <v>0</v>
      </c>
      <c r="W142"/>
      <c r="X142" s="53"/>
      <c r="Y142"/>
      <c r="Z142" s="53"/>
    </row>
    <row r="143" spans="7:26" ht="30" customHeight="1" x14ac:dyDescent="0.3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11"/>
        <v>0</v>
      </c>
      <c r="W143"/>
      <c r="X143" s="53"/>
      <c r="Y143"/>
      <c r="Z143" s="53"/>
    </row>
    <row r="144" spans="7:26" ht="30" customHeight="1" x14ac:dyDescent="0.3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11"/>
        <v>0</v>
      </c>
      <c r="W144"/>
      <c r="X144" s="53"/>
      <c r="Y144"/>
      <c r="Z144" s="53"/>
    </row>
    <row r="145" spans="7:26" ht="30" customHeight="1" x14ac:dyDescent="0.3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11"/>
        <v>0</v>
      </c>
      <c r="W145"/>
      <c r="X145" s="53"/>
      <c r="Y145"/>
      <c r="Z145" s="53"/>
    </row>
    <row r="146" spans="7:26" ht="30" customHeight="1" x14ac:dyDescent="0.3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11"/>
        <v>0</v>
      </c>
      <c r="W146"/>
      <c r="X146" s="53"/>
      <c r="Y146"/>
      <c r="Z146" s="53"/>
    </row>
    <row r="147" spans="7:26" ht="30" customHeight="1" x14ac:dyDescent="0.3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11"/>
        <v>0</v>
      </c>
      <c r="W147"/>
      <c r="X147" s="53"/>
      <c r="Y147"/>
      <c r="Z147" s="53"/>
    </row>
    <row r="148" spans="7:26" ht="30" customHeight="1" x14ac:dyDescent="0.3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11"/>
        <v>0</v>
      </c>
      <c r="W148"/>
      <c r="X148" s="53"/>
      <c r="Y148"/>
      <c r="Z148" s="53"/>
    </row>
    <row r="149" spans="7:26" ht="30" customHeight="1" x14ac:dyDescent="0.3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11"/>
        <v>0</v>
      </c>
      <c r="W149"/>
      <c r="X149" s="53"/>
      <c r="Y149"/>
      <c r="Z149" s="53"/>
    </row>
    <row r="150" spans="7:26" ht="30" customHeight="1" x14ac:dyDescent="0.3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11"/>
        <v>0</v>
      </c>
      <c r="W150"/>
      <c r="X150" s="53"/>
      <c r="Y150"/>
      <c r="Z150" s="53"/>
    </row>
    <row r="151" spans="7:26" ht="30" customHeight="1" x14ac:dyDescent="0.3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11"/>
        <v>0</v>
      </c>
      <c r="W151"/>
      <c r="X151" s="53"/>
      <c r="Y151"/>
      <c r="Z151" s="53"/>
    </row>
    <row r="152" spans="7:26" ht="30" customHeight="1" x14ac:dyDescent="0.3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11"/>
        <v>0</v>
      </c>
      <c r="W152"/>
      <c r="X152" s="53"/>
      <c r="Y152"/>
      <c r="Z152" s="53"/>
    </row>
    <row r="153" spans="7:26" ht="30" customHeight="1" x14ac:dyDescent="0.3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si="11"/>
        <v>0</v>
      </c>
      <c r="W153"/>
      <c r="X153" s="53"/>
      <c r="Y153"/>
      <c r="Z153" s="53"/>
    </row>
    <row r="154" spans="7:26" ht="30" customHeight="1" x14ac:dyDescent="0.3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si="11"/>
        <v>0</v>
      </c>
      <c r="W154"/>
      <c r="X154" s="53"/>
      <c r="Y154"/>
      <c r="Z154" s="53"/>
    </row>
    <row r="155" spans="7:26" ht="30" customHeight="1" x14ac:dyDescent="0.3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11"/>
        <v>0</v>
      </c>
      <c r="W155"/>
      <c r="X155" s="53"/>
      <c r="Y155"/>
      <c r="Z155" s="53"/>
    </row>
    <row r="156" spans="7:26" ht="30" customHeight="1" x14ac:dyDescent="0.3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11"/>
        <v>0</v>
      </c>
      <c r="W156"/>
      <c r="X156" s="53"/>
      <c r="Y156"/>
      <c r="Z156" s="53"/>
    </row>
    <row r="157" spans="7:26" ht="30" customHeight="1" x14ac:dyDescent="0.3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ref="U157:U220" si="12">E157+H157</f>
        <v>0</v>
      </c>
      <c r="W157"/>
      <c r="X157" s="53"/>
      <c r="Y157"/>
      <c r="Z157" s="53"/>
    </row>
    <row r="158" spans="7:26" ht="30" customHeight="1" x14ac:dyDescent="0.3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12"/>
        <v>0</v>
      </c>
      <c r="W158"/>
      <c r="X158" s="53"/>
      <c r="Y158"/>
      <c r="Z158" s="53"/>
    </row>
    <row r="159" spans="7:26" ht="30" customHeight="1" x14ac:dyDescent="0.3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12"/>
        <v>0</v>
      </c>
      <c r="W159"/>
      <c r="X159" s="53"/>
      <c r="Y159"/>
      <c r="Z159" s="53"/>
    </row>
    <row r="160" spans="7:26" ht="30" customHeight="1" x14ac:dyDescent="0.3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12"/>
        <v>0</v>
      </c>
      <c r="W160"/>
      <c r="X160" s="53"/>
      <c r="Y160"/>
      <c r="Z160" s="53"/>
    </row>
    <row r="161" spans="7:26" ht="30" customHeight="1" x14ac:dyDescent="0.3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12"/>
        <v>0</v>
      </c>
      <c r="W161"/>
      <c r="X161" s="53"/>
      <c r="Y161"/>
      <c r="Z161" s="53"/>
    </row>
    <row r="162" spans="7:26" ht="30" customHeight="1" x14ac:dyDescent="0.3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12"/>
        <v>0</v>
      </c>
      <c r="W162"/>
      <c r="X162" s="53"/>
      <c r="Y162"/>
      <c r="Z162" s="53"/>
    </row>
    <row r="163" spans="7:26" ht="30" customHeight="1" x14ac:dyDescent="0.3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12"/>
        <v>0</v>
      </c>
      <c r="W163"/>
      <c r="X163" s="53"/>
      <c r="Y163"/>
      <c r="Z163" s="53"/>
    </row>
    <row r="164" spans="7:26" ht="30" customHeight="1" x14ac:dyDescent="0.3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12"/>
        <v>0</v>
      </c>
      <c r="W164"/>
      <c r="X164" s="53"/>
      <c r="Y164"/>
      <c r="Z164" s="53"/>
    </row>
    <row r="165" spans="7:26" ht="30" customHeight="1" x14ac:dyDescent="0.3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12"/>
        <v>0</v>
      </c>
      <c r="W165"/>
      <c r="X165" s="53"/>
      <c r="Y165"/>
      <c r="Z165" s="53"/>
    </row>
    <row r="166" spans="7:26" ht="30" customHeight="1" x14ac:dyDescent="0.3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12"/>
        <v>0</v>
      </c>
      <c r="W166"/>
      <c r="X166" s="53"/>
      <c r="Y166"/>
      <c r="Z166" s="53"/>
    </row>
    <row r="167" spans="7:26" ht="30" customHeight="1" x14ac:dyDescent="0.3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12"/>
        <v>0</v>
      </c>
      <c r="W167"/>
      <c r="X167" s="53"/>
      <c r="Y167"/>
      <c r="Z167" s="53"/>
    </row>
    <row r="168" spans="7:26" ht="30" customHeight="1" x14ac:dyDescent="0.3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12"/>
        <v>0</v>
      </c>
      <c r="W168"/>
      <c r="X168" s="53"/>
      <c r="Y168"/>
      <c r="Z168" s="53"/>
    </row>
    <row r="169" spans="7:26" ht="30" customHeight="1" x14ac:dyDescent="0.3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12"/>
        <v>0</v>
      </c>
      <c r="W169"/>
      <c r="X169" s="53"/>
      <c r="Y169"/>
      <c r="Z169" s="53"/>
    </row>
    <row r="170" spans="7:26" ht="30" customHeight="1" x14ac:dyDescent="0.3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12"/>
        <v>0</v>
      </c>
      <c r="W170"/>
      <c r="X170" s="53"/>
      <c r="Y170"/>
      <c r="Z170" s="53"/>
    </row>
    <row r="171" spans="7:26" ht="30" customHeight="1" x14ac:dyDescent="0.3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si="12"/>
        <v>0</v>
      </c>
      <c r="W171"/>
      <c r="X171" s="53"/>
      <c r="Y171"/>
      <c r="Z171" s="53"/>
    </row>
    <row r="172" spans="7:26" ht="30" customHeight="1" x14ac:dyDescent="0.3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12"/>
        <v>0</v>
      </c>
      <c r="W172"/>
      <c r="X172" s="53"/>
      <c r="Y172"/>
      <c r="Z172" s="53"/>
    </row>
    <row r="173" spans="7:26" ht="30" customHeight="1" x14ac:dyDescent="0.3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12"/>
        <v>0</v>
      </c>
      <c r="W173"/>
      <c r="X173" s="53"/>
      <c r="Y173"/>
      <c r="Z173" s="53"/>
    </row>
    <row r="174" spans="7:26" ht="30" customHeight="1" x14ac:dyDescent="0.3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12"/>
        <v>0</v>
      </c>
      <c r="W174"/>
      <c r="X174" s="53"/>
      <c r="Y174"/>
      <c r="Z174" s="53"/>
    </row>
    <row r="175" spans="7:26" ht="30" customHeight="1" x14ac:dyDescent="0.3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12"/>
        <v>0</v>
      </c>
      <c r="W175"/>
      <c r="X175" s="53"/>
      <c r="Y175"/>
      <c r="Z175" s="53"/>
    </row>
    <row r="176" spans="7:26" ht="30" customHeight="1" x14ac:dyDescent="0.3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12"/>
        <v>0</v>
      </c>
      <c r="W176"/>
      <c r="X176" s="53"/>
      <c r="Y176"/>
      <c r="Z176" s="53"/>
    </row>
    <row r="177" spans="7:26" ht="30" customHeight="1" x14ac:dyDescent="0.3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12"/>
        <v>0</v>
      </c>
      <c r="W177"/>
      <c r="X177" s="53"/>
      <c r="Y177"/>
      <c r="Z177" s="53"/>
    </row>
    <row r="178" spans="7:26" ht="30" customHeight="1" x14ac:dyDescent="0.3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si="12"/>
        <v>0</v>
      </c>
      <c r="W178"/>
      <c r="X178" s="53"/>
      <c r="Y178"/>
      <c r="Z178" s="53"/>
    </row>
    <row r="179" spans="7:26" ht="30" customHeight="1" x14ac:dyDescent="0.3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12"/>
        <v>0</v>
      </c>
      <c r="W179"/>
      <c r="X179" s="53"/>
      <c r="Y179"/>
      <c r="Z179" s="53"/>
    </row>
    <row r="180" spans="7:26" ht="30" customHeight="1" x14ac:dyDescent="0.3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12"/>
        <v>0</v>
      </c>
      <c r="W180"/>
      <c r="X180" s="53"/>
      <c r="Y180"/>
      <c r="Z180" s="53"/>
    </row>
    <row r="181" spans="7:26" ht="30" customHeight="1" x14ac:dyDescent="0.3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si="12"/>
        <v>0</v>
      </c>
      <c r="W181"/>
      <c r="X181" s="53"/>
      <c r="Y181"/>
      <c r="Z181" s="53"/>
    </row>
    <row r="182" spans="7:26" ht="30" customHeight="1" x14ac:dyDescent="0.3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12"/>
        <v>0</v>
      </c>
      <c r="W182"/>
      <c r="X182" s="53"/>
      <c r="Y182"/>
      <c r="Z182" s="53"/>
    </row>
    <row r="183" spans="7:26" ht="30" customHeight="1" x14ac:dyDescent="0.3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12"/>
        <v>0</v>
      </c>
      <c r="W183"/>
      <c r="X183" s="53"/>
      <c r="Y183"/>
      <c r="Z183" s="53"/>
    </row>
    <row r="184" spans="7:26" ht="30" customHeight="1" x14ac:dyDescent="0.3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12"/>
        <v>0</v>
      </c>
      <c r="W184"/>
      <c r="X184" s="53"/>
      <c r="Y184"/>
      <c r="Z184" s="53"/>
    </row>
    <row r="185" spans="7:26" ht="30" customHeight="1" x14ac:dyDescent="0.3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12"/>
        <v>0</v>
      </c>
      <c r="W185"/>
      <c r="X185" s="53"/>
      <c r="Y185"/>
      <c r="Z185" s="53"/>
    </row>
    <row r="186" spans="7:26" ht="30" customHeight="1" x14ac:dyDescent="0.3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12"/>
        <v>0</v>
      </c>
      <c r="W186"/>
      <c r="X186" s="53"/>
      <c r="Y186"/>
      <c r="Z186" s="53"/>
    </row>
    <row r="187" spans="7:26" ht="30" customHeight="1" x14ac:dyDescent="0.3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12"/>
        <v>0</v>
      </c>
      <c r="W187"/>
      <c r="X187" s="53"/>
      <c r="Y187"/>
      <c r="Z187" s="53"/>
    </row>
    <row r="188" spans="7:26" ht="30" customHeight="1" x14ac:dyDescent="0.3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12"/>
        <v>0</v>
      </c>
      <c r="W188"/>
      <c r="X188" s="53"/>
      <c r="Y188"/>
      <c r="Z188" s="53"/>
    </row>
    <row r="189" spans="7:26" ht="30" customHeight="1" x14ac:dyDescent="0.3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12"/>
        <v>0</v>
      </c>
      <c r="W189"/>
      <c r="X189" s="53"/>
      <c r="Y189"/>
      <c r="Z189" s="53"/>
    </row>
    <row r="190" spans="7:26" ht="30" customHeight="1" x14ac:dyDescent="0.3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12"/>
        <v>0</v>
      </c>
      <c r="W190"/>
      <c r="X190" s="53"/>
      <c r="Y190"/>
      <c r="Z190" s="53"/>
    </row>
    <row r="191" spans="7:26" ht="30" customHeight="1" x14ac:dyDescent="0.3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12"/>
        <v>0</v>
      </c>
      <c r="W191"/>
      <c r="X191" s="53"/>
      <c r="Y191"/>
      <c r="Z191" s="53"/>
    </row>
    <row r="192" spans="7:26" ht="30" customHeight="1" x14ac:dyDescent="0.3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12"/>
        <v>0</v>
      </c>
      <c r="W192"/>
      <c r="X192" s="53"/>
      <c r="Y192"/>
      <c r="Z192" s="53"/>
    </row>
    <row r="193" spans="7:26" ht="30" customHeight="1" x14ac:dyDescent="0.3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12"/>
        <v>0</v>
      </c>
      <c r="W193"/>
      <c r="X193" s="53"/>
      <c r="Y193"/>
      <c r="Z193" s="53"/>
    </row>
    <row r="194" spans="7:26" ht="30" customHeight="1" x14ac:dyDescent="0.3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12"/>
        <v>0</v>
      </c>
      <c r="W194"/>
      <c r="X194" s="53"/>
      <c r="Y194"/>
      <c r="Z194" s="53"/>
    </row>
    <row r="195" spans="7:26" ht="30" customHeight="1" x14ac:dyDescent="0.3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12"/>
        <v>0</v>
      </c>
      <c r="W195"/>
      <c r="X195" s="53"/>
      <c r="Y195"/>
      <c r="Z195" s="53"/>
    </row>
    <row r="196" spans="7:26" ht="30" customHeight="1" x14ac:dyDescent="0.3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12"/>
        <v>0</v>
      </c>
      <c r="W196"/>
      <c r="X196" s="53"/>
      <c r="Y196"/>
      <c r="Z196" s="53"/>
    </row>
    <row r="197" spans="7:26" ht="30" customHeight="1" x14ac:dyDescent="0.3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12"/>
        <v>0</v>
      </c>
      <c r="W197"/>
      <c r="X197" s="53"/>
      <c r="Y197"/>
      <c r="Z197" s="53"/>
    </row>
    <row r="198" spans="7:26" ht="30" customHeight="1" x14ac:dyDescent="0.3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12"/>
        <v>0</v>
      </c>
      <c r="W198"/>
      <c r="X198" s="53"/>
      <c r="Y198"/>
      <c r="Z198" s="53"/>
    </row>
    <row r="199" spans="7:26" ht="30" customHeight="1" x14ac:dyDescent="0.3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12"/>
        <v>0</v>
      </c>
      <c r="W199"/>
      <c r="X199" s="53"/>
      <c r="Y199"/>
      <c r="Z199" s="53"/>
    </row>
    <row r="200" spans="7:26" ht="30" customHeight="1" x14ac:dyDescent="0.3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12"/>
        <v>0</v>
      </c>
      <c r="W200"/>
      <c r="X200" s="53"/>
      <c r="Y200"/>
      <c r="Z200" s="53"/>
    </row>
    <row r="201" spans="7:26" ht="30" customHeight="1" x14ac:dyDescent="0.3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12"/>
        <v>0</v>
      </c>
      <c r="W201"/>
      <c r="X201" s="53"/>
      <c r="Y201"/>
      <c r="Z201" s="53"/>
    </row>
    <row r="202" spans="7:26" ht="30" customHeight="1" x14ac:dyDescent="0.3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12"/>
        <v>0</v>
      </c>
      <c r="W202"/>
      <c r="X202" s="53"/>
      <c r="Y202"/>
      <c r="Z202" s="53"/>
    </row>
    <row r="203" spans="7:26" ht="30" customHeight="1" x14ac:dyDescent="0.3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12"/>
        <v>0</v>
      </c>
      <c r="W203"/>
      <c r="X203" s="53"/>
      <c r="Y203"/>
      <c r="Z203" s="53"/>
    </row>
    <row r="204" spans="7:26" ht="30" customHeight="1" x14ac:dyDescent="0.3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12"/>
        <v>0</v>
      </c>
      <c r="W204"/>
      <c r="X204" s="53"/>
      <c r="Y204"/>
      <c r="Z204" s="53"/>
    </row>
    <row r="205" spans="7:26" ht="30" customHeight="1" x14ac:dyDescent="0.3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12"/>
        <v>0</v>
      </c>
      <c r="W205"/>
      <c r="X205" s="53"/>
      <c r="Y205"/>
      <c r="Z205" s="53"/>
    </row>
    <row r="206" spans="7:26" ht="30" customHeight="1" x14ac:dyDescent="0.3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12"/>
        <v>0</v>
      </c>
      <c r="W206"/>
      <c r="X206" s="53"/>
      <c r="Y206"/>
      <c r="Z206" s="53"/>
    </row>
    <row r="207" spans="7:26" ht="30" customHeight="1" x14ac:dyDescent="0.3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12"/>
        <v>0</v>
      </c>
      <c r="W207"/>
      <c r="X207" s="53"/>
      <c r="Y207"/>
      <c r="Z207" s="53"/>
    </row>
    <row r="208" spans="7:26" ht="30" customHeight="1" x14ac:dyDescent="0.3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12"/>
        <v>0</v>
      </c>
      <c r="W208"/>
      <c r="X208" s="53"/>
      <c r="Y208"/>
      <c r="Z208" s="53"/>
    </row>
    <row r="209" spans="7:26" ht="30" customHeight="1" x14ac:dyDescent="0.3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12"/>
        <v>0</v>
      </c>
      <c r="W209"/>
      <c r="X209" s="53"/>
      <c r="Y209"/>
      <c r="Z209" s="53"/>
    </row>
    <row r="210" spans="7:26" ht="30" customHeight="1" x14ac:dyDescent="0.3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12"/>
        <v>0</v>
      </c>
      <c r="W210"/>
      <c r="X210" s="53"/>
      <c r="Y210"/>
      <c r="Z210" s="53"/>
    </row>
    <row r="211" spans="7:26" ht="30" customHeight="1" x14ac:dyDescent="0.3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12"/>
        <v>0</v>
      </c>
      <c r="W211"/>
      <c r="X211" s="53"/>
      <c r="Y211"/>
      <c r="Z211" s="53"/>
    </row>
    <row r="212" spans="7:26" ht="30" customHeight="1" x14ac:dyDescent="0.3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12"/>
        <v>0</v>
      </c>
      <c r="W212"/>
      <c r="X212" s="53"/>
      <c r="Y212"/>
      <c r="Z212" s="53"/>
    </row>
    <row r="213" spans="7:26" ht="30" customHeight="1" x14ac:dyDescent="0.3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12"/>
        <v>0</v>
      </c>
      <c r="W213"/>
      <c r="X213" s="53"/>
      <c r="Y213"/>
      <c r="Z213" s="53"/>
    </row>
    <row r="214" spans="7:26" ht="30" customHeight="1" x14ac:dyDescent="0.3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12"/>
        <v>0</v>
      </c>
      <c r="W214"/>
      <c r="X214" s="53"/>
      <c r="Y214"/>
      <c r="Z214" s="53"/>
    </row>
    <row r="215" spans="7:26" ht="30" customHeight="1" x14ac:dyDescent="0.3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12"/>
        <v>0</v>
      </c>
      <c r="W215"/>
      <c r="X215" s="53"/>
      <c r="Y215"/>
      <c r="Z215" s="53"/>
    </row>
    <row r="216" spans="7:26" ht="30" customHeight="1" x14ac:dyDescent="0.3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12"/>
        <v>0</v>
      </c>
      <c r="W216"/>
      <c r="X216" s="53"/>
      <c r="Y216"/>
      <c r="Z216" s="53"/>
    </row>
    <row r="217" spans="7:26" ht="30" customHeight="1" x14ac:dyDescent="0.3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si="12"/>
        <v>0</v>
      </c>
      <c r="W217"/>
      <c r="X217" s="53"/>
      <c r="Y217"/>
      <c r="Z217" s="53"/>
    </row>
    <row r="218" spans="7:26" ht="30" customHeight="1" x14ac:dyDescent="0.3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si="12"/>
        <v>0</v>
      </c>
      <c r="W218"/>
      <c r="X218" s="53"/>
      <c r="Y218"/>
      <c r="Z218" s="53"/>
    </row>
    <row r="219" spans="7:26" ht="30" customHeight="1" x14ac:dyDescent="0.3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12"/>
        <v>0</v>
      </c>
      <c r="W219"/>
      <c r="X219" s="53"/>
      <c r="Y219"/>
      <c r="Z219" s="53"/>
    </row>
    <row r="220" spans="7:26" ht="30" customHeight="1" x14ac:dyDescent="0.3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12"/>
        <v>0</v>
      </c>
      <c r="W220"/>
      <c r="X220" s="53"/>
      <c r="Y220"/>
      <c r="Z220" s="53"/>
    </row>
    <row r="221" spans="7:26" ht="30" customHeight="1" x14ac:dyDescent="0.3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ref="U221:U284" si="13">E221+H221</f>
        <v>0</v>
      </c>
      <c r="W221"/>
      <c r="X221" s="53"/>
      <c r="Y221"/>
      <c r="Z221" s="53"/>
    </row>
    <row r="222" spans="7:26" ht="30" customHeight="1" x14ac:dyDescent="0.3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13"/>
        <v>0</v>
      </c>
      <c r="W222"/>
      <c r="X222" s="53"/>
      <c r="Y222"/>
      <c r="Z222" s="53"/>
    </row>
    <row r="223" spans="7:26" ht="30" customHeight="1" x14ac:dyDescent="0.3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13"/>
        <v>0</v>
      </c>
      <c r="W223"/>
      <c r="X223" s="53"/>
      <c r="Y223"/>
      <c r="Z223" s="53"/>
    </row>
    <row r="224" spans="7:26" ht="30" customHeight="1" x14ac:dyDescent="0.3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13"/>
        <v>0</v>
      </c>
      <c r="W224"/>
      <c r="X224" s="53"/>
      <c r="Y224"/>
      <c r="Z224" s="53"/>
    </row>
    <row r="225" spans="7:26" ht="30" customHeight="1" x14ac:dyDescent="0.3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13"/>
        <v>0</v>
      </c>
      <c r="W225"/>
      <c r="X225" s="53"/>
      <c r="Y225"/>
      <c r="Z225" s="53"/>
    </row>
    <row r="226" spans="7:26" ht="30" customHeight="1" x14ac:dyDescent="0.3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13"/>
        <v>0</v>
      </c>
      <c r="W226"/>
      <c r="X226" s="53"/>
      <c r="Y226"/>
      <c r="Z226" s="53"/>
    </row>
    <row r="227" spans="7:26" ht="30" customHeight="1" x14ac:dyDescent="0.3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13"/>
        <v>0</v>
      </c>
      <c r="W227"/>
      <c r="X227" s="53"/>
      <c r="Y227"/>
      <c r="Z227" s="53"/>
    </row>
    <row r="228" spans="7:26" ht="30" customHeight="1" x14ac:dyDescent="0.3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13"/>
        <v>0</v>
      </c>
      <c r="W228"/>
      <c r="X228" s="53"/>
      <c r="Y228"/>
      <c r="Z228" s="53"/>
    </row>
    <row r="229" spans="7:26" ht="30" customHeight="1" x14ac:dyDescent="0.3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13"/>
        <v>0</v>
      </c>
      <c r="W229"/>
      <c r="X229" s="53"/>
      <c r="Y229"/>
      <c r="Z229" s="53"/>
    </row>
    <row r="230" spans="7:26" ht="30" customHeight="1" x14ac:dyDescent="0.3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13"/>
        <v>0</v>
      </c>
      <c r="W230"/>
      <c r="X230" s="53"/>
      <c r="Y230"/>
      <c r="Z230" s="53"/>
    </row>
    <row r="231" spans="7:26" ht="30" customHeight="1" x14ac:dyDescent="0.3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13"/>
        <v>0</v>
      </c>
      <c r="W231"/>
      <c r="X231" s="53"/>
      <c r="Y231"/>
      <c r="Z231" s="53"/>
    </row>
    <row r="232" spans="7:26" ht="30" customHeight="1" x14ac:dyDescent="0.3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13"/>
        <v>0</v>
      </c>
      <c r="W232"/>
      <c r="X232" s="53"/>
      <c r="Y232"/>
      <c r="Z232" s="53"/>
    </row>
    <row r="233" spans="7:26" ht="30" customHeight="1" x14ac:dyDescent="0.3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13"/>
        <v>0</v>
      </c>
      <c r="W233"/>
      <c r="X233" s="53"/>
      <c r="Y233"/>
      <c r="Z233" s="53"/>
    </row>
    <row r="234" spans="7:26" ht="30" customHeight="1" x14ac:dyDescent="0.3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13"/>
        <v>0</v>
      </c>
      <c r="W234"/>
      <c r="X234" s="53"/>
      <c r="Y234"/>
      <c r="Z234" s="53"/>
    </row>
    <row r="235" spans="7:26" ht="30" customHeight="1" x14ac:dyDescent="0.3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si="13"/>
        <v>0</v>
      </c>
      <c r="W235"/>
      <c r="X235" s="53"/>
      <c r="Y235"/>
      <c r="Z235" s="53"/>
    </row>
    <row r="236" spans="7:26" ht="30" customHeight="1" x14ac:dyDescent="0.3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13"/>
        <v>0</v>
      </c>
      <c r="W236"/>
      <c r="X236" s="53"/>
      <c r="Y236"/>
      <c r="Z236" s="53"/>
    </row>
    <row r="237" spans="7:26" ht="30" customHeight="1" x14ac:dyDescent="0.3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13"/>
        <v>0</v>
      </c>
      <c r="W237"/>
      <c r="X237" s="53"/>
      <c r="Y237"/>
      <c r="Z237" s="53"/>
    </row>
    <row r="238" spans="7:26" ht="30" customHeight="1" x14ac:dyDescent="0.3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13"/>
        <v>0</v>
      </c>
      <c r="W238"/>
      <c r="X238" s="53"/>
      <c r="Y238"/>
      <c r="Z238" s="53"/>
    </row>
    <row r="239" spans="7:26" ht="30" customHeight="1" x14ac:dyDescent="0.3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13"/>
        <v>0</v>
      </c>
      <c r="W239"/>
      <c r="X239" s="53"/>
      <c r="Y239"/>
      <c r="Z239" s="53"/>
    </row>
    <row r="240" spans="7:26" ht="30" customHeight="1" x14ac:dyDescent="0.3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13"/>
        <v>0</v>
      </c>
      <c r="W240"/>
      <c r="X240" s="53"/>
      <c r="Y240"/>
      <c r="Z240" s="53"/>
    </row>
    <row r="241" spans="7:26" ht="30" customHeight="1" x14ac:dyDescent="0.3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13"/>
        <v>0</v>
      </c>
      <c r="W241"/>
      <c r="X241" s="53"/>
      <c r="Y241"/>
      <c r="Z241" s="53"/>
    </row>
    <row r="242" spans="7:26" ht="30" customHeight="1" x14ac:dyDescent="0.3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si="13"/>
        <v>0</v>
      </c>
      <c r="W242"/>
      <c r="X242" s="53"/>
      <c r="Y242"/>
      <c r="Z242" s="53"/>
    </row>
    <row r="243" spans="7:26" ht="30" customHeight="1" x14ac:dyDescent="0.3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13"/>
        <v>0</v>
      </c>
      <c r="W243"/>
      <c r="X243" s="53"/>
      <c r="Y243"/>
      <c r="Z243" s="53"/>
    </row>
    <row r="244" spans="7:26" ht="30" customHeight="1" x14ac:dyDescent="0.3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13"/>
        <v>0</v>
      </c>
      <c r="W244"/>
      <c r="X244" s="53"/>
      <c r="Y244"/>
      <c r="Z244" s="53"/>
    </row>
    <row r="245" spans="7:26" ht="30" customHeight="1" x14ac:dyDescent="0.3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si="13"/>
        <v>0</v>
      </c>
      <c r="W245"/>
      <c r="X245" s="53"/>
      <c r="Y245"/>
      <c r="Z245" s="53"/>
    </row>
    <row r="246" spans="7:26" ht="30" customHeight="1" x14ac:dyDescent="0.3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13"/>
        <v>0</v>
      </c>
      <c r="W246"/>
      <c r="X246" s="53"/>
      <c r="Y246"/>
      <c r="Z246" s="53"/>
    </row>
    <row r="247" spans="7:26" ht="30" customHeight="1" x14ac:dyDescent="0.3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13"/>
        <v>0</v>
      </c>
      <c r="W247"/>
      <c r="X247" s="53"/>
      <c r="Y247"/>
      <c r="Z247" s="53"/>
    </row>
    <row r="248" spans="7:26" ht="30" customHeight="1" x14ac:dyDescent="0.3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13"/>
        <v>0</v>
      </c>
      <c r="W248"/>
      <c r="X248" s="53"/>
      <c r="Y248"/>
      <c r="Z248" s="53"/>
    </row>
    <row r="249" spans="7:26" ht="30" customHeight="1" x14ac:dyDescent="0.3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13"/>
        <v>0</v>
      </c>
      <c r="W249"/>
      <c r="X249" s="53"/>
      <c r="Y249"/>
      <c r="Z249" s="53"/>
    </row>
    <row r="250" spans="7:26" ht="30" customHeight="1" x14ac:dyDescent="0.3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13"/>
        <v>0</v>
      </c>
      <c r="W250"/>
      <c r="X250" s="53"/>
      <c r="Y250"/>
      <c r="Z250" s="53"/>
    </row>
    <row r="251" spans="7:26" ht="30" customHeight="1" x14ac:dyDescent="0.3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13"/>
        <v>0</v>
      </c>
      <c r="W251"/>
      <c r="X251" s="53"/>
      <c r="Y251"/>
      <c r="Z251" s="53"/>
    </row>
    <row r="252" spans="7:26" ht="30" customHeight="1" x14ac:dyDescent="0.3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13"/>
        <v>0</v>
      </c>
      <c r="W252"/>
      <c r="X252" s="53"/>
      <c r="Y252"/>
      <c r="Z252" s="53"/>
    </row>
    <row r="253" spans="7:26" ht="30" customHeight="1" x14ac:dyDescent="0.3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13"/>
        <v>0</v>
      </c>
      <c r="W253"/>
      <c r="X253" s="53"/>
      <c r="Y253"/>
      <c r="Z253" s="53"/>
    </row>
    <row r="254" spans="7:26" ht="30" customHeight="1" x14ac:dyDescent="0.3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13"/>
        <v>0</v>
      </c>
      <c r="W254"/>
      <c r="X254" s="53"/>
      <c r="Y254"/>
      <c r="Z254" s="53"/>
    </row>
    <row r="255" spans="7:26" ht="30" customHeight="1" x14ac:dyDescent="0.3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13"/>
        <v>0</v>
      </c>
      <c r="W255"/>
      <c r="X255" s="53"/>
      <c r="Y255"/>
      <c r="Z255" s="53"/>
    </row>
    <row r="256" spans="7:26" ht="30" customHeight="1" x14ac:dyDescent="0.3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13"/>
        <v>0</v>
      </c>
      <c r="W256"/>
      <c r="X256" s="53"/>
      <c r="Y256"/>
      <c r="Z256" s="53"/>
    </row>
    <row r="257" spans="7:26" ht="30" customHeight="1" x14ac:dyDescent="0.3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13"/>
        <v>0</v>
      </c>
      <c r="W257"/>
      <c r="X257" s="53"/>
      <c r="Y257"/>
      <c r="Z257" s="53"/>
    </row>
    <row r="258" spans="7:26" ht="30" customHeight="1" x14ac:dyDescent="0.3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13"/>
        <v>0</v>
      </c>
      <c r="W258"/>
      <c r="X258" s="53"/>
      <c r="Y258"/>
      <c r="Z258" s="53"/>
    </row>
    <row r="259" spans="7:26" ht="30" customHeight="1" x14ac:dyDescent="0.3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13"/>
        <v>0</v>
      </c>
      <c r="W259"/>
      <c r="X259" s="53"/>
      <c r="Y259"/>
      <c r="Z259" s="53"/>
    </row>
    <row r="260" spans="7:26" ht="30" customHeight="1" x14ac:dyDescent="0.3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13"/>
        <v>0</v>
      </c>
      <c r="W260"/>
      <c r="X260" s="53"/>
      <c r="Y260"/>
      <c r="Z260" s="53"/>
    </row>
    <row r="261" spans="7:26" ht="30" customHeight="1" x14ac:dyDescent="0.3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13"/>
        <v>0</v>
      </c>
      <c r="W261"/>
      <c r="X261" s="53"/>
      <c r="Y261"/>
      <c r="Z261" s="53"/>
    </row>
    <row r="262" spans="7:26" ht="30" customHeight="1" x14ac:dyDescent="0.3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13"/>
        <v>0</v>
      </c>
      <c r="W262"/>
      <c r="X262" s="53"/>
      <c r="Y262"/>
      <c r="Z262" s="53"/>
    </row>
    <row r="263" spans="7:26" ht="30" customHeight="1" x14ac:dyDescent="0.3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13"/>
        <v>0</v>
      </c>
      <c r="W263"/>
      <c r="X263" s="53"/>
      <c r="Y263"/>
      <c r="Z263" s="53"/>
    </row>
    <row r="264" spans="7:26" ht="30" customHeight="1" x14ac:dyDescent="0.3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13"/>
        <v>0</v>
      </c>
      <c r="W264"/>
      <c r="X264" s="53"/>
      <c r="Y264"/>
      <c r="Z264" s="53"/>
    </row>
    <row r="265" spans="7:26" ht="30" customHeight="1" x14ac:dyDescent="0.3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13"/>
        <v>0</v>
      </c>
      <c r="W265"/>
      <c r="X265" s="53"/>
      <c r="Y265"/>
      <c r="Z265" s="53"/>
    </row>
    <row r="266" spans="7:26" ht="30" customHeight="1" x14ac:dyDescent="0.3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13"/>
        <v>0</v>
      </c>
      <c r="W266"/>
      <c r="X266" s="53"/>
      <c r="Y266"/>
      <c r="Z266" s="53"/>
    </row>
    <row r="267" spans="7:26" ht="30" customHeight="1" x14ac:dyDescent="0.3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13"/>
        <v>0</v>
      </c>
      <c r="W267"/>
      <c r="X267" s="53"/>
      <c r="Y267"/>
      <c r="Z267" s="53"/>
    </row>
    <row r="268" spans="7:26" ht="30" customHeight="1" x14ac:dyDescent="0.3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13"/>
        <v>0</v>
      </c>
      <c r="W268"/>
      <c r="X268" s="53"/>
      <c r="Y268"/>
      <c r="Z268" s="53"/>
    </row>
    <row r="269" spans="7:26" ht="30" customHeight="1" x14ac:dyDescent="0.3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13"/>
        <v>0</v>
      </c>
      <c r="W269"/>
      <c r="X269" s="53"/>
      <c r="Y269"/>
      <c r="Z269" s="53"/>
    </row>
    <row r="270" spans="7:26" ht="30" customHeight="1" x14ac:dyDescent="0.3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13"/>
        <v>0</v>
      </c>
      <c r="W270"/>
      <c r="X270" s="53"/>
      <c r="Y270"/>
      <c r="Z270" s="53"/>
    </row>
    <row r="271" spans="7:26" ht="30" customHeight="1" x14ac:dyDescent="0.3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13"/>
        <v>0</v>
      </c>
      <c r="W271"/>
      <c r="X271" s="53"/>
      <c r="Y271"/>
      <c r="Z271" s="53"/>
    </row>
    <row r="272" spans="7:26" ht="30" customHeight="1" x14ac:dyDescent="0.3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13"/>
        <v>0</v>
      </c>
      <c r="W272"/>
      <c r="X272" s="53"/>
      <c r="Y272"/>
      <c r="Z272" s="53"/>
    </row>
    <row r="273" spans="7:26" ht="30" customHeight="1" x14ac:dyDescent="0.3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13"/>
        <v>0</v>
      </c>
      <c r="W273"/>
      <c r="X273" s="53"/>
      <c r="Y273"/>
      <c r="Z273" s="53"/>
    </row>
    <row r="274" spans="7:26" ht="30" customHeight="1" x14ac:dyDescent="0.3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13"/>
        <v>0</v>
      </c>
      <c r="W274"/>
      <c r="X274" s="53"/>
      <c r="Y274"/>
      <c r="Z274" s="53"/>
    </row>
    <row r="275" spans="7:26" ht="30" customHeight="1" x14ac:dyDescent="0.3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13"/>
        <v>0</v>
      </c>
      <c r="W275"/>
      <c r="X275" s="53"/>
      <c r="Y275"/>
      <c r="Z275" s="53"/>
    </row>
    <row r="276" spans="7:26" ht="30" customHeight="1" x14ac:dyDescent="0.3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13"/>
        <v>0</v>
      </c>
      <c r="W276"/>
      <c r="X276" s="53"/>
      <c r="Y276"/>
      <c r="Z276" s="53"/>
    </row>
    <row r="277" spans="7:26" ht="30" customHeight="1" x14ac:dyDescent="0.3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13"/>
        <v>0</v>
      </c>
      <c r="W277"/>
      <c r="X277" s="53"/>
      <c r="Y277"/>
      <c r="Z277" s="53"/>
    </row>
    <row r="278" spans="7:26" ht="30" customHeight="1" x14ac:dyDescent="0.3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13"/>
        <v>0</v>
      </c>
      <c r="W278"/>
      <c r="X278" s="53"/>
      <c r="Y278"/>
      <c r="Z278" s="53"/>
    </row>
    <row r="279" spans="7:26" ht="30" customHeight="1" x14ac:dyDescent="0.3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13"/>
        <v>0</v>
      </c>
      <c r="W279"/>
      <c r="X279" s="53"/>
      <c r="Y279"/>
      <c r="Z279" s="53"/>
    </row>
    <row r="280" spans="7:26" ht="30" customHeight="1" x14ac:dyDescent="0.3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13"/>
        <v>0</v>
      </c>
      <c r="W280"/>
      <c r="X280" s="53"/>
      <c r="Y280"/>
      <c r="Z280" s="53"/>
    </row>
    <row r="281" spans="7:26" ht="30" customHeight="1" x14ac:dyDescent="0.3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si="13"/>
        <v>0</v>
      </c>
      <c r="W281"/>
      <c r="X281" s="53"/>
      <c r="Y281"/>
      <c r="Z281" s="53"/>
    </row>
    <row r="282" spans="7:26" ht="30" customHeight="1" x14ac:dyDescent="0.3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si="13"/>
        <v>0</v>
      </c>
      <c r="W282"/>
      <c r="X282" s="53"/>
      <c r="Y282"/>
      <c r="Z282" s="53"/>
    </row>
    <row r="283" spans="7:26" ht="30" customHeight="1" x14ac:dyDescent="0.3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13"/>
        <v>0</v>
      </c>
      <c r="W283"/>
      <c r="X283" s="53"/>
      <c r="Y283"/>
      <c r="Z283" s="53"/>
    </row>
    <row r="284" spans="7:26" ht="30" customHeight="1" x14ac:dyDescent="0.3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13"/>
        <v>0</v>
      </c>
      <c r="W284"/>
      <c r="X284" s="53"/>
      <c r="Y284"/>
      <c r="Z284" s="53"/>
    </row>
    <row r="285" spans="7:26" ht="30" customHeight="1" x14ac:dyDescent="0.3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ref="U285:U348" si="14">E285+H285</f>
        <v>0</v>
      </c>
      <c r="W285"/>
      <c r="X285" s="53"/>
      <c r="Y285"/>
      <c r="Z285" s="53"/>
    </row>
    <row r="286" spans="7:26" ht="30" customHeight="1" x14ac:dyDescent="0.3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14"/>
        <v>0</v>
      </c>
      <c r="W286"/>
      <c r="X286" s="53"/>
      <c r="Y286"/>
      <c r="Z286" s="53"/>
    </row>
    <row r="287" spans="7:26" ht="30" customHeight="1" x14ac:dyDescent="0.3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14"/>
        <v>0</v>
      </c>
      <c r="W287"/>
      <c r="X287" s="53"/>
      <c r="Y287"/>
      <c r="Z287" s="53"/>
    </row>
    <row r="288" spans="7:26" ht="30" customHeight="1" x14ac:dyDescent="0.3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14"/>
        <v>0</v>
      </c>
      <c r="W288"/>
      <c r="X288" s="53"/>
      <c r="Y288"/>
      <c r="Z288" s="53"/>
    </row>
    <row r="289" spans="7:26" ht="30" customHeight="1" x14ac:dyDescent="0.3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14"/>
        <v>0</v>
      </c>
      <c r="W289"/>
      <c r="X289" s="53"/>
      <c r="Y289"/>
      <c r="Z289" s="53"/>
    </row>
    <row r="290" spans="7:26" ht="30" customHeight="1" x14ac:dyDescent="0.3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14"/>
        <v>0</v>
      </c>
      <c r="W290"/>
      <c r="X290" s="53"/>
      <c r="Y290"/>
      <c r="Z290" s="53"/>
    </row>
    <row r="291" spans="7:26" ht="30" customHeight="1" x14ac:dyDescent="0.3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14"/>
        <v>0</v>
      </c>
      <c r="W291"/>
      <c r="X291" s="53"/>
      <c r="Y291"/>
      <c r="Z291" s="53"/>
    </row>
    <row r="292" spans="7:26" ht="30" customHeight="1" x14ac:dyDescent="0.3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14"/>
        <v>0</v>
      </c>
      <c r="W292"/>
      <c r="X292" s="53"/>
      <c r="Y292"/>
      <c r="Z292" s="53"/>
    </row>
    <row r="293" spans="7:26" ht="30" customHeight="1" x14ac:dyDescent="0.3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14"/>
        <v>0</v>
      </c>
      <c r="W293"/>
      <c r="X293" s="53"/>
      <c r="Y293"/>
      <c r="Z293" s="53"/>
    </row>
    <row r="294" spans="7:26" ht="30" customHeight="1" x14ac:dyDescent="0.3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14"/>
        <v>0</v>
      </c>
      <c r="W294"/>
      <c r="X294" s="53"/>
      <c r="Y294"/>
      <c r="Z294" s="53"/>
    </row>
    <row r="295" spans="7:26" ht="30" customHeight="1" x14ac:dyDescent="0.3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14"/>
        <v>0</v>
      </c>
      <c r="W295"/>
      <c r="X295" s="53"/>
      <c r="Y295"/>
      <c r="Z295" s="53"/>
    </row>
    <row r="296" spans="7:26" ht="30" customHeight="1" x14ac:dyDescent="0.3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14"/>
        <v>0</v>
      </c>
      <c r="W296"/>
      <c r="X296" s="53"/>
      <c r="Y296"/>
      <c r="Z296" s="53"/>
    </row>
    <row r="297" spans="7:26" ht="30" customHeight="1" x14ac:dyDescent="0.3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14"/>
        <v>0</v>
      </c>
      <c r="W297"/>
      <c r="X297" s="53"/>
      <c r="Y297"/>
      <c r="Z297" s="53"/>
    </row>
    <row r="298" spans="7:26" ht="30" customHeight="1" x14ac:dyDescent="0.3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14"/>
        <v>0</v>
      </c>
      <c r="W298"/>
      <c r="X298" s="53"/>
      <c r="Y298"/>
      <c r="Z298" s="53"/>
    </row>
    <row r="299" spans="7:26" ht="30" customHeight="1" x14ac:dyDescent="0.3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si="14"/>
        <v>0</v>
      </c>
      <c r="W299"/>
      <c r="X299" s="53"/>
      <c r="Y299"/>
      <c r="Z299" s="53"/>
    </row>
    <row r="300" spans="7:26" ht="30" customHeight="1" x14ac:dyDescent="0.3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14"/>
        <v>0</v>
      </c>
      <c r="W300"/>
      <c r="X300" s="53"/>
      <c r="Y300"/>
      <c r="Z300" s="53"/>
    </row>
    <row r="301" spans="7:26" ht="30" customHeight="1" x14ac:dyDescent="0.3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14"/>
        <v>0</v>
      </c>
      <c r="W301"/>
      <c r="X301" s="53"/>
      <c r="Y301"/>
      <c r="Z301" s="53"/>
    </row>
    <row r="302" spans="7:26" ht="30" customHeight="1" x14ac:dyDescent="0.3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14"/>
        <v>0</v>
      </c>
      <c r="W302"/>
      <c r="X302" s="53"/>
      <c r="Y302"/>
      <c r="Z302" s="53"/>
    </row>
    <row r="303" spans="7:26" ht="30" customHeight="1" x14ac:dyDescent="0.3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14"/>
        <v>0</v>
      </c>
      <c r="W303"/>
      <c r="X303" s="53"/>
      <c r="Y303"/>
      <c r="Z303" s="53"/>
    </row>
    <row r="304" spans="7:26" ht="30" customHeight="1" x14ac:dyDescent="0.3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14"/>
        <v>0</v>
      </c>
      <c r="W304"/>
      <c r="X304" s="53"/>
      <c r="Y304"/>
      <c r="Z304" s="53"/>
    </row>
    <row r="305" spans="7:26" ht="30" customHeight="1" x14ac:dyDescent="0.3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14"/>
        <v>0</v>
      </c>
      <c r="W305"/>
      <c r="X305" s="53"/>
      <c r="Y305"/>
      <c r="Z305" s="53"/>
    </row>
    <row r="306" spans="7:26" ht="30" customHeight="1" x14ac:dyDescent="0.3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si="14"/>
        <v>0</v>
      </c>
      <c r="W306"/>
      <c r="X306" s="53"/>
      <c r="Y306"/>
      <c r="Z306" s="53"/>
    </row>
    <row r="307" spans="7:26" ht="30" customHeight="1" x14ac:dyDescent="0.3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14"/>
        <v>0</v>
      </c>
      <c r="W307"/>
      <c r="X307" s="53"/>
      <c r="Y307"/>
      <c r="Z307" s="53"/>
    </row>
    <row r="308" spans="7:26" ht="30" customHeight="1" x14ac:dyDescent="0.3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14"/>
        <v>0</v>
      </c>
      <c r="W308"/>
      <c r="X308" s="53"/>
      <c r="Y308"/>
      <c r="Z308" s="53"/>
    </row>
    <row r="309" spans="7:26" ht="30" customHeight="1" x14ac:dyDescent="0.3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si="14"/>
        <v>0</v>
      </c>
      <c r="W309"/>
      <c r="X309" s="53"/>
      <c r="Y309"/>
      <c r="Z309" s="53"/>
    </row>
    <row r="310" spans="7:26" ht="30" customHeight="1" x14ac:dyDescent="0.3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14"/>
        <v>0</v>
      </c>
      <c r="W310"/>
      <c r="X310" s="53"/>
      <c r="Y310"/>
      <c r="Z310" s="53"/>
    </row>
    <row r="311" spans="7:26" ht="30" customHeight="1" x14ac:dyDescent="0.3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14"/>
        <v>0</v>
      </c>
      <c r="W311"/>
      <c r="X311" s="53"/>
      <c r="Y311"/>
      <c r="Z311" s="53"/>
    </row>
    <row r="312" spans="7:26" ht="30" customHeight="1" x14ac:dyDescent="0.3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14"/>
        <v>0</v>
      </c>
      <c r="W312"/>
      <c r="X312" s="53"/>
      <c r="Y312"/>
      <c r="Z312" s="53"/>
    </row>
    <row r="313" spans="7:26" ht="30" customHeight="1" x14ac:dyDescent="0.3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14"/>
        <v>0</v>
      </c>
      <c r="W313"/>
      <c r="X313" s="53"/>
      <c r="Y313"/>
      <c r="Z313" s="53"/>
    </row>
    <row r="314" spans="7:26" ht="30" customHeight="1" x14ac:dyDescent="0.3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14"/>
        <v>0</v>
      </c>
      <c r="W314"/>
      <c r="X314" s="53"/>
      <c r="Y314"/>
      <c r="Z314" s="53"/>
    </row>
    <row r="315" spans="7:26" ht="30" customHeight="1" x14ac:dyDescent="0.3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14"/>
        <v>0</v>
      </c>
      <c r="W315"/>
      <c r="X315" s="53"/>
      <c r="Y315"/>
      <c r="Z315" s="53"/>
    </row>
    <row r="316" spans="7:26" ht="30" customHeight="1" x14ac:dyDescent="0.3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14"/>
        <v>0</v>
      </c>
      <c r="W316"/>
      <c r="X316" s="53"/>
      <c r="Y316"/>
      <c r="Z316" s="53"/>
    </row>
    <row r="317" spans="7:26" ht="30" customHeight="1" x14ac:dyDescent="0.3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14"/>
        <v>0</v>
      </c>
      <c r="W317"/>
      <c r="X317" s="53"/>
      <c r="Y317"/>
      <c r="Z317" s="53"/>
    </row>
    <row r="318" spans="7:26" ht="30" customHeight="1" x14ac:dyDescent="0.3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14"/>
        <v>0</v>
      </c>
      <c r="W318"/>
      <c r="X318" s="53"/>
      <c r="Y318"/>
      <c r="Z318" s="53"/>
    </row>
    <row r="319" spans="7:26" ht="30" customHeight="1" x14ac:dyDescent="0.3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14"/>
        <v>0</v>
      </c>
      <c r="W319"/>
      <c r="X319" s="53"/>
      <c r="Y319"/>
      <c r="Z319" s="53"/>
    </row>
    <row r="320" spans="7:26" ht="30" customHeight="1" x14ac:dyDescent="0.3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14"/>
        <v>0</v>
      </c>
      <c r="W320"/>
      <c r="X320" s="53"/>
      <c r="Y320"/>
      <c r="Z320" s="53"/>
    </row>
    <row r="321" spans="7:26" ht="30" customHeight="1" x14ac:dyDescent="0.3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14"/>
        <v>0</v>
      </c>
      <c r="W321"/>
      <c r="X321" s="53"/>
      <c r="Y321"/>
      <c r="Z321" s="53"/>
    </row>
    <row r="322" spans="7:26" ht="30" customHeight="1" x14ac:dyDescent="0.3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14"/>
        <v>0</v>
      </c>
      <c r="W322"/>
      <c r="X322" s="53"/>
      <c r="Y322"/>
      <c r="Z322" s="53"/>
    </row>
    <row r="323" spans="7:26" ht="30" customHeight="1" x14ac:dyDescent="0.3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14"/>
        <v>0</v>
      </c>
      <c r="W323"/>
      <c r="X323" s="53"/>
      <c r="Y323"/>
      <c r="Z323" s="53"/>
    </row>
    <row r="324" spans="7:26" ht="30" customHeight="1" x14ac:dyDescent="0.3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14"/>
        <v>0</v>
      </c>
      <c r="W324"/>
      <c r="X324" s="53"/>
      <c r="Y324"/>
      <c r="Z324" s="53"/>
    </row>
    <row r="325" spans="7:26" ht="30" customHeight="1" x14ac:dyDescent="0.3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14"/>
        <v>0</v>
      </c>
      <c r="W325"/>
      <c r="X325" s="53"/>
      <c r="Y325"/>
      <c r="Z325" s="53"/>
    </row>
    <row r="326" spans="7:26" ht="30" customHeight="1" x14ac:dyDescent="0.3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14"/>
        <v>0</v>
      </c>
      <c r="W326"/>
      <c r="X326" s="53"/>
      <c r="Y326"/>
      <c r="Z326" s="53"/>
    </row>
    <row r="327" spans="7:26" ht="30" customHeight="1" x14ac:dyDescent="0.3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14"/>
        <v>0</v>
      </c>
      <c r="W327"/>
      <c r="X327" s="53"/>
      <c r="Y327"/>
      <c r="Z327" s="53"/>
    </row>
    <row r="328" spans="7:26" ht="30" customHeight="1" x14ac:dyDescent="0.3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14"/>
        <v>0</v>
      </c>
      <c r="W328"/>
      <c r="X328" s="53"/>
      <c r="Y328"/>
      <c r="Z328" s="53"/>
    </row>
    <row r="329" spans="7:26" ht="30" customHeight="1" x14ac:dyDescent="0.3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14"/>
        <v>0</v>
      </c>
      <c r="W329"/>
      <c r="X329" s="53"/>
      <c r="Y329"/>
      <c r="Z329" s="53"/>
    </row>
    <row r="330" spans="7:26" ht="30" customHeight="1" x14ac:dyDescent="0.3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14"/>
        <v>0</v>
      </c>
      <c r="W330"/>
      <c r="X330" s="53"/>
      <c r="Y330"/>
      <c r="Z330" s="53"/>
    </row>
    <row r="331" spans="7:26" ht="30" customHeight="1" x14ac:dyDescent="0.3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14"/>
        <v>0</v>
      </c>
      <c r="W331"/>
      <c r="X331" s="53"/>
      <c r="Y331"/>
      <c r="Z331" s="53"/>
    </row>
    <row r="332" spans="7:26" ht="30" customHeight="1" x14ac:dyDescent="0.3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14"/>
        <v>0</v>
      </c>
      <c r="W332"/>
      <c r="X332" s="53"/>
      <c r="Y332"/>
      <c r="Z332" s="53"/>
    </row>
    <row r="333" spans="7:26" ht="30" customHeight="1" x14ac:dyDescent="0.3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14"/>
        <v>0</v>
      </c>
      <c r="W333"/>
      <c r="X333" s="53"/>
      <c r="Y333"/>
      <c r="Z333" s="53"/>
    </row>
    <row r="334" spans="7:26" ht="30" customHeight="1" x14ac:dyDescent="0.3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14"/>
        <v>0</v>
      </c>
      <c r="W334"/>
      <c r="X334" s="53"/>
      <c r="Y334"/>
      <c r="Z334" s="53"/>
    </row>
    <row r="335" spans="7:26" ht="30" customHeight="1" x14ac:dyDescent="0.3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14"/>
        <v>0</v>
      </c>
      <c r="W335"/>
      <c r="X335" s="53"/>
      <c r="Y335"/>
      <c r="Z335" s="53"/>
    </row>
    <row r="336" spans="7:26" ht="30" customHeight="1" x14ac:dyDescent="0.3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14"/>
        <v>0</v>
      </c>
      <c r="W336"/>
      <c r="X336" s="53"/>
      <c r="Y336"/>
      <c r="Z336" s="53"/>
    </row>
    <row r="337" spans="7:26" ht="30" customHeight="1" x14ac:dyDescent="0.3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14"/>
        <v>0</v>
      </c>
      <c r="W337"/>
      <c r="X337" s="53"/>
      <c r="Y337"/>
      <c r="Z337" s="53"/>
    </row>
    <row r="338" spans="7:26" ht="30" customHeight="1" x14ac:dyDescent="0.3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14"/>
        <v>0</v>
      </c>
      <c r="W338"/>
      <c r="X338" s="53"/>
      <c r="Y338"/>
      <c r="Z338" s="53"/>
    </row>
    <row r="339" spans="7:26" ht="30" customHeight="1" x14ac:dyDescent="0.3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14"/>
        <v>0</v>
      </c>
      <c r="W339"/>
      <c r="X339" s="53"/>
      <c r="Y339"/>
      <c r="Z339" s="53"/>
    </row>
    <row r="340" spans="7:26" ht="30" customHeight="1" x14ac:dyDescent="0.3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14"/>
        <v>0</v>
      </c>
      <c r="W340"/>
      <c r="X340" s="53"/>
      <c r="Y340"/>
      <c r="Z340" s="53"/>
    </row>
    <row r="341" spans="7:26" ht="30" customHeight="1" x14ac:dyDescent="0.3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14"/>
        <v>0</v>
      </c>
      <c r="W341"/>
      <c r="X341" s="53"/>
      <c r="Y341"/>
      <c r="Z341" s="53"/>
    </row>
    <row r="342" spans="7:26" ht="30" customHeight="1" x14ac:dyDescent="0.3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14"/>
        <v>0</v>
      </c>
      <c r="W342"/>
      <c r="X342" s="53"/>
      <c r="Y342"/>
      <c r="Z342" s="53"/>
    </row>
    <row r="343" spans="7:26" ht="30" customHeight="1" x14ac:dyDescent="0.3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14"/>
        <v>0</v>
      </c>
      <c r="W343"/>
      <c r="X343" s="53"/>
      <c r="Y343"/>
      <c r="Z343" s="53"/>
    </row>
    <row r="344" spans="7:26" ht="30" customHeight="1" x14ac:dyDescent="0.3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14"/>
        <v>0</v>
      </c>
      <c r="W344"/>
      <c r="X344" s="53"/>
      <c r="Y344"/>
      <c r="Z344" s="53"/>
    </row>
    <row r="345" spans="7:26" ht="30" customHeight="1" x14ac:dyDescent="0.3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si="14"/>
        <v>0</v>
      </c>
      <c r="W345"/>
      <c r="X345" s="53"/>
      <c r="Y345"/>
      <c r="Z345" s="53"/>
    </row>
    <row r="346" spans="7:26" ht="30" customHeight="1" x14ac:dyDescent="0.3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si="14"/>
        <v>0</v>
      </c>
      <c r="W346"/>
      <c r="X346" s="53"/>
      <c r="Y346"/>
      <c r="Z346" s="53"/>
    </row>
    <row r="347" spans="7:26" ht="30" customHeight="1" x14ac:dyDescent="0.3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14"/>
        <v>0</v>
      </c>
      <c r="W347"/>
      <c r="X347" s="53"/>
      <c r="Y347"/>
      <c r="Z347" s="53"/>
    </row>
    <row r="348" spans="7:26" ht="30" customHeight="1" x14ac:dyDescent="0.3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14"/>
        <v>0</v>
      </c>
      <c r="W348"/>
      <c r="X348" s="53"/>
      <c r="Y348"/>
      <c r="Z348" s="53"/>
    </row>
    <row r="349" spans="7:26" ht="30" customHeight="1" x14ac:dyDescent="0.3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ref="U349:U412" si="15">E349+H349</f>
        <v>0</v>
      </c>
      <c r="W349"/>
      <c r="X349" s="53"/>
      <c r="Y349"/>
      <c r="Z349" s="53"/>
    </row>
    <row r="350" spans="7:26" ht="30" customHeight="1" x14ac:dyDescent="0.3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15"/>
        <v>0</v>
      </c>
      <c r="W350"/>
      <c r="X350" s="53"/>
      <c r="Y350"/>
      <c r="Z350" s="53"/>
    </row>
    <row r="351" spans="7:26" ht="30" customHeight="1" x14ac:dyDescent="0.3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15"/>
        <v>0</v>
      </c>
      <c r="W351"/>
      <c r="X351" s="53"/>
      <c r="Y351"/>
      <c r="Z351" s="53"/>
    </row>
    <row r="352" spans="7:26" ht="30" customHeight="1" x14ac:dyDescent="0.3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15"/>
        <v>0</v>
      </c>
      <c r="W352"/>
      <c r="X352" s="53"/>
      <c r="Y352"/>
      <c r="Z352" s="53"/>
    </row>
    <row r="353" spans="7:26" ht="30" customHeight="1" x14ac:dyDescent="0.3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15"/>
        <v>0</v>
      </c>
      <c r="W353"/>
      <c r="X353" s="53"/>
      <c r="Y353"/>
      <c r="Z353" s="53"/>
    </row>
    <row r="354" spans="7:26" ht="30" customHeight="1" x14ac:dyDescent="0.3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15"/>
        <v>0</v>
      </c>
      <c r="W354"/>
      <c r="X354" s="53"/>
      <c r="Y354"/>
      <c r="Z354" s="53"/>
    </row>
    <row r="355" spans="7:26" ht="30" customHeight="1" x14ac:dyDescent="0.3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15"/>
        <v>0</v>
      </c>
      <c r="W355"/>
      <c r="X355" s="53"/>
      <c r="Y355"/>
      <c r="Z355" s="53"/>
    </row>
    <row r="356" spans="7:26" ht="30" customHeight="1" x14ac:dyDescent="0.3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15"/>
        <v>0</v>
      </c>
      <c r="W356"/>
      <c r="X356" s="53"/>
      <c r="Y356"/>
      <c r="Z356" s="53"/>
    </row>
    <row r="357" spans="7:26" ht="30" customHeight="1" x14ac:dyDescent="0.3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15"/>
        <v>0</v>
      </c>
      <c r="W357"/>
      <c r="X357" s="53"/>
      <c r="Y357"/>
      <c r="Z357" s="53"/>
    </row>
    <row r="358" spans="7:26" ht="30" customHeight="1" x14ac:dyDescent="0.3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15"/>
        <v>0</v>
      </c>
      <c r="W358"/>
      <c r="X358" s="53"/>
      <c r="Y358"/>
      <c r="Z358" s="53"/>
    </row>
    <row r="359" spans="7:26" ht="30" customHeight="1" x14ac:dyDescent="0.3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15"/>
        <v>0</v>
      </c>
      <c r="W359"/>
      <c r="X359" s="53"/>
      <c r="Y359"/>
      <c r="Z359" s="53"/>
    </row>
    <row r="360" spans="7:26" ht="30" customHeight="1" x14ac:dyDescent="0.3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15"/>
        <v>0</v>
      </c>
      <c r="W360"/>
      <c r="X360" s="53"/>
      <c r="Y360"/>
      <c r="Z360" s="53"/>
    </row>
    <row r="361" spans="7:26" ht="30" customHeight="1" x14ac:dyDescent="0.3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15"/>
        <v>0</v>
      </c>
      <c r="W361"/>
      <c r="X361" s="53"/>
      <c r="Y361"/>
      <c r="Z361" s="53"/>
    </row>
    <row r="362" spans="7:26" ht="30" customHeight="1" x14ac:dyDescent="0.3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15"/>
        <v>0</v>
      </c>
      <c r="W362"/>
      <c r="X362" s="53"/>
      <c r="Y362"/>
      <c r="Z362" s="53"/>
    </row>
    <row r="363" spans="7:26" ht="30" customHeight="1" x14ac:dyDescent="0.3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si="15"/>
        <v>0</v>
      </c>
      <c r="W363"/>
      <c r="X363" s="53"/>
      <c r="Y363"/>
      <c r="Z363" s="53"/>
    </row>
    <row r="364" spans="7:26" ht="30" customHeight="1" x14ac:dyDescent="0.3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15"/>
        <v>0</v>
      </c>
      <c r="W364"/>
      <c r="X364" s="53"/>
      <c r="Y364"/>
      <c r="Z364" s="53"/>
    </row>
    <row r="365" spans="7:26" ht="30" customHeight="1" x14ac:dyDescent="0.3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15"/>
        <v>0</v>
      </c>
      <c r="W365"/>
      <c r="X365" s="53"/>
      <c r="Y365"/>
      <c r="Z365" s="53"/>
    </row>
    <row r="366" spans="7:26" ht="30" customHeight="1" x14ac:dyDescent="0.3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15"/>
        <v>0</v>
      </c>
      <c r="W366"/>
      <c r="X366" s="53"/>
      <c r="Y366"/>
      <c r="Z366" s="53"/>
    </row>
    <row r="367" spans="7:26" ht="30" customHeight="1" x14ac:dyDescent="0.3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15"/>
        <v>0</v>
      </c>
      <c r="W367"/>
      <c r="X367" s="53"/>
      <c r="Y367"/>
      <c r="Z367" s="53"/>
    </row>
    <row r="368" spans="7:26" ht="30" customHeight="1" x14ac:dyDescent="0.3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15"/>
        <v>0</v>
      </c>
      <c r="W368"/>
      <c r="X368" s="53"/>
      <c r="Y368"/>
      <c r="Z368" s="53"/>
    </row>
    <row r="369" spans="7:26" ht="30" customHeight="1" x14ac:dyDescent="0.3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15"/>
        <v>0</v>
      </c>
      <c r="W369"/>
      <c r="X369" s="53"/>
      <c r="Y369"/>
      <c r="Z369" s="53"/>
    </row>
    <row r="370" spans="7:26" ht="30" customHeight="1" x14ac:dyDescent="0.3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si="15"/>
        <v>0</v>
      </c>
      <c r="W370"/>
      <c r="X370" s="53"/>
      <c r="Y370"/>
      <c r="Z370" s="53"/>
    </row>
    <row r="371" spans="7:26" ht="30" customHeight="1" x14ac:dyDescent="0.3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15"/>
        <v>0</v>
      </c>
      <c r="W371"/>
      <c r="X371" s="53"/>
      <c r="Y371"/>
      <c r="Z371" s="53"/>
    </row>
    <row r="372" spans="7:26" ht="30" customHeight="1" x14ac:dyDescent="0.3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15"/>
        <v>0</v>
      </c>
      <c r="W372"/>
      <c r="X372" s="53"/>
      <c r="Y372"/>
      <c r="Z372" s="53"/>
    </row>
    <row r="373" spans="7:26" ht="30" customHeight="1" x14ac:dyDescent="0.3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si="15"/>
        <v>0</v>
      </c>
      <c r="W373"/>
      <c r="X373" s="53"/>
      <c r="Y373"/>
      <c r="Z373" s="53"/>
    </row>
    <row r="374" spans="7:26" ht="30" customHeight="1" x14ac:dyDescent="0.3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15"/>
        <v>0</v>
      </c>
      <c r="W374"/>
      <c r="X374" s="53"/>
      <c r="Y374"/>
      <c r="Z374" s="53"/>
    </row>
    <row r="375" spans="7:26" ht="30" customHeight="1" x14ac:dyDescent="0.3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15"/>
        <v>0</v>
      </c>
      <c r="W375"/>
      <c r="X375" s="53"/>
      <c r="Y375"/>
      <c r="Z375" s="53"/>
    </row>
    <row r="376" spans="7:26" ht="30" customHeight="1" x14ac:dyDescent="0.3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15"/>
        <v>0</v>
      </c>
      <c r="W376"/>
      <c r="X376" s="53"/>
      <c r="Y376"/>
      <c r="Z376" s="53"/>
    </row>
    <row r="377" spans="7:26" ht="30" customHeight="1" x14ac:dyDescent="0.3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15"/>
        <v>0</v>
      </c>
      <c r="W377"/>
      <c r="X377" s="53"/>
      <c r="Y377"/>
      <c r="Z377" s="53"/>
    </row>
    <row r="378" spans="7:26" ht="30" customHeight="1" x14ac:dyDescent="0.3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15"/>
        <v>0</v>
      </c>
      <c r="W378"/>
      <c r="X378" s="53"/>
      <c r="Y378"/>
      <c r="Z378" s="53"/>
    </row>
    <row r="379" spans="7:26" ht="30" customHeight="1" x14ac:dyDescent="0.3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15"/>
        <v>0</v>
      </c>
      <c r="W379"/>
      <c r="X379" s="53"/>
      <c r="Y379"/>
      <c r="Z379" s="53"/>
    </row>
    <row r="380" spans="7:26" ht="30" customHeight="1" x14ac:dyDescent="0.3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15"/>
        <v>0</v>
      </c>
      <c r="W380"/>
      <c r="X380" s="53"/>
      <c r="Y380"/>
      <c r="Z380" s="53"/>
    </row>
    <row r="381" spans="7:26" ht="30" customHeight="1" x14ac:dyDescent="0.3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15"/>
        <v>0</v>
      </c>
      <c r="W381"/>
      <c r="X381" s="53"/>
      <c r="Y381"/>
      <c r="Z381" s="53"/>
    </row>
    <row r="382" spans="7:26" ht="30" customHeight="1" x14ac:dyDescent="0.3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15"/>
        <v>0</v>
      </c>
      <c r="W382"/>
      <c r="X382" s="53"/>
      <c r="Y382"/>
      <c r="Z382" s="53"/>
    </row>
    <row r="383" spans="7:26" ht="30" customHeight="1" x14ac:dyDescent="0.3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15"/>
        <v>0</v>
      </c>
      <c r="W383"/>
      <c r="X383" s="53"/>
      <c r="Y383"/>
      <c r="Z383" s="53"/>
    </row>
    <row r="384" spans="7:26" ht="30" customHeight="1" x14ac:dyDescent="0.3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15"/>
        <v>0</v>
      </c>
      <c r="W384"/>
      <c r="X384" s="53"/>
      <c r="Y384"/>
      <c r="Z384" s="53"/>
    </row>
    <row r="385" spans="7:26" ht="30" customHeight="1" x14ac:dyDescent="0.3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15"/>
        <v>0</v>
      </c>
      <c r="W385"/>
      <c r="X385" s="53"/>
      <c r="Y385"/>
      <c r="Z385" s="53"/>
    </row>
    <row r="386" spans="7:26" ht="30" customHeight="1" x14ac:dyDescent="0.3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15"/>
        <v>0</v>
      </c>
      <c r="W386"/>
      <c r="X386" s="53"/>
      <c r="Y386"/>
      <c r="Z386" s="53"/>
    </row>
    <row r="387" spans="7:26" ht="30" customHeight="1" x14ac:dyDescent="0.3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15"/>
        <v>0</v>
      </c>
      <c r="W387"/>
      <c r="X387" s="53"/>
      <c r="Y387"/>
      <c r="Z387" s="53"/>
    </row>
    <row r="388" spans="7:26" ht="30" customHeight="1" x14ac:dyDescent="0.3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15"/>
        <v>0</v>
      </c>
      <c r="W388"/>
      <c r="X388" s="53"/>
      <c r="Y388"/>
      <c r="Z388" s="53"/>
    </row>
    <row r="389" spans="7:26" ht="30" customHeight="1" x14ac:dyDescent="0.3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15"/>
        <v>0</v>
      </c>
      <c r="W389"/>
      <c r="X389" s="53"/>
      <c r="Y389"/>
      <c r="Z389" s="53"/>
    </row>
    <row r="390" spans="7:26" ht="30" customHeight="1" x14ac:dyDescent="0.3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15"/>
        <v>0</v>
      </c>
      <c r="W390"/>
      <c r="X390" s="53"/>
      <c r="Y390"/>
      <c r="Z390" s="53"/>
    </row>
    <row r="391" spans="7:26" ht="30" customHeight="1" x14ac:dyDescent="0.3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15"/>
        <v>0</v>
      </c>
      <c r="W391"/>
      <c r="X391" s="53"/>
      <c r="Y391"/>
      <c r="Z391" s="53"/>
    </row>
    <row r="392" spans="7:26" ht="30" customHeight="1" x14ac:dyDescent="0.3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15"/>
        <v>0</v>
      </c>
      <c r="W392"/>
      <c r="X392" s="53"/>
      <c r="Y392"/>
      <c r="Z392" s="53"/>
    </row>
    <row r="393" spans="7:26" ht="30" customHeight="1" x14ac:dyDescent="0.3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15"/>
        <v>0</v>
      </c>
      <c r="W393"/>
      <c r="X393" s="53"/>
      <c r="Y393"/>
      <c r="Z393" s="53"/>
    </row>
    <row r="394" spans="7:26" ht="30" customHeight="1" x14ac:dyDescent="0.3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15"/>
        <v>0</v>
      </c>
      <c r="W394"/>
      <c r="X394" s="53"/>
      <c r="Y394"/>
      <c r="Z394" s="53"/>
    </row>
    <row r="395" spans="7:26" ht="30" customHeight="1" x14ac:dyDescent="0.3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15"/>
        <v>0</v>
      </c>
      <c r="W395"/>
      <c r="X395" s="53"/>
      <c r="Y395"/>
      <c r="Z395" s="53"/>
    </row>
    <row r="396" spans="7:26" ht="30" customHeight="1" x14ac:dyDescent="0.3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15"/>
        <v>0</v>
      </c>
      <c r="W396"/>
      <c r="X396" s="53"/>
      <c r="Y396"/>
      <c r="Z396" s="53"/>
    </row>
    <row r="397" spans="7:26" ht="30" customHeight="1" x14ac:dyDescent="0.3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15"/>
        <v>0</v>
      </c>
      <c r="W397"/>
      <c r="X397" s="53"/>
      <c r="Y397"/>
      <c r="Z397" s="53"/>
    </row>
    <row r="398" spans="7:26" ht="30" customHeight="1" x14ac:dyDescent="0.3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15"/>
        <v>0</v>
      </c>
      <c r="W398"/>
      <c r="X398" s="53"/>
      <c r="Y398"/>
      <c r="Z398" s="53"/>
    </row>
    <row r="399" spans="7:26" ht="30" customHeight="1" x14ac:dyDescent="0.3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15"/>
        <v>0</v>
      </c>
      <c r="W399"/>
      <c r="X399" s="53"/>
      <c r="Y399"/>
      <c r="Z399" s="53"/>
    </row>
    <row r="400" spans="7:26" ht="30" customHeight="1" x14ac:dyDescent="0.3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15"/>
        <v>0</v>
      </c>
      <c r="W400"/>
      <c r="X400" s="53"/>
      <c r="Y400"/>
      <c r="Z400" s="53"/>
    </row>
    <row r="401" spans="7:26" ht="30" customHeight="1" x14ac:dyDescent="0.3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15"/>
        <v>0</v>
      </c>
      <c r="W401"/>
      <c r="X401" s="53"/>
      <c r="Y401"/>
      <c r="Z401" s="53"/>
    </row>
    <row r="402" spans="7:26" ht="30" customHeight="1" x14ac:dyDescent="0.3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15"/>
        <v>0</v>
      </c>
      <c r="W402"/>
      <c r="X402" s="53"/>
      <c r="Y402"/>
      <c r="Z402" s="53"/>
    </row>
    <row r="403" spans="7:26" ht="30" customHeight="1" x14ac:dyDescent="0.3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15"/>
        <v>0</v>
      </c>
      <c r="W403"/>
      <c r="X403" s="53"/>
      <c r="Y403"/>
      <c r="Z403" s="53"/>
    </row>
    <row r="404" spans="7:26" ht="30" customHeight="1" x14ac:dyDescent="0.3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15"/>
        <v>0</v>
      </c>
      <c r="W404"/>
      <c r="X404" s="53"/>
      <c r="Y404"/>
      <c r="Z404" s="53"/>
    </row>
    <row r="405" spans="7:26" ht="30" customHeight="1" x14ac:dyDescent="0.3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15"/>
        <v>0</v>
      </c>
      <c r="W405"/>
      <c r="X405" s="53"/>
      <c r="Y405"/>
      <c r="Z405" s="53"/>
    </row>
    <row r="406" spans="7:26" ht="30" customHeight="1" x14ac:dyDescent="0.3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15"/>
        <v>0</v>
      </c>
      <c r="W406"/>
      <c r="X406" s="53"/>
      <c r="Y406"/>
      <c r="Z406" s="53"/>
    </row>
    <row r="407" spans="7:26" ht="30" customHeight="1" x14ac:dyDescent="0.3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15"/>
        <v>0</v>
      </c>
      <c r="W407"/>
      <c r="X407" s="53"/>
      <c r="Y407"/>
      <c r="Z407" s="53"/>
    </row>
    <row r="408" spans="7:26" ht="30" customHeight="1" x14ac:dyDescent="0.3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15"/>
        <v>0</v>
      </c>
      <c r="W408"/>
      <c r="X408" s="53"/>
      <c r="Y408"/>
      <c r="Z408" s="53"/>
    </row>
    <row r="409" spans="7:26" ht="30" customHeight="1" x14ac:dyDescent="0.3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si="15"/>
        <v>0</v>
      </c>
      <c r="W409"/>
      <c r="X409" s="53"/>
      <c r="Y409"/>
      <c r="Z409" s="53"/>
    </row>
    <row r="410" spans="7:26" ht="30" customHeight="1" x14ac:dyDescent="0.3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si="15"/>
        <v>0</v>
      </c>
      <c r="W410"/>
      <c r="X410" s="53"/>
      <c r="Y410"/>
      <c r="Z410" s="53"/>
    </row>
    <row r="411" spans="7:26" ht="30" customHeight="1" x14ac:dyDescent="0.3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15"/>
        <v>0</v>
      </c>
      <c r="W411"/>
      <c r="X411" s="53"/>
      <c r="Y411"/>
      <c r="Z411" s="53"/>
    </row>
    <row r="412" spans="7:26" ht="30" customHeight="1" x14ac:dyDescent="0.3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15"/>
        <v>0</v>
      </c>
      <c r="W412"/>
      <c r="X412" s="53"/>
      <c r="Y412"/>
      <c r="Z412" s="53"/>
    </row>
    <row r="413" spans="7:26" ht="30" customHeight="1" x14ac:dyDescent="0.3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ref="U413:U476" si="16">E413+H413</f>
        <v>0</v>
      </c>
      <c r="W413"/>
      <c r="X413" s="53"/>
      <c r="Y413"/>
      <c r="Z413" s="53"/>
    </row>
    <row r="414" spans="7:26" ht="30" customHeight="1" x14ac:dyDescent="0.3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16"/>
        <v>0</v>
      </c>
      <c r="W414"/>
      <c r="X414" s="53"/>
      <c r="Y414"/>
      <c r="Z414" s="53"/>
    </row>
    <row r="415" spans="7:26" ht="30" customHeight="1" x14ac:dyDescent="0.3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16"/>
        <v>0</v>
      </c>
      <c r="W415"/>
      <c r="X415" s="53"/>
      <c r="Y415"/>
      <c r="Z415" s="53"/>
    </row>
    <row r="416" spans="7:26" ht="30" customHeight="1" x14ac:dyDescent="0.3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16"/>
        <v>0</v>
      </c>
      <c r="W416"/>
      <c r="X416" s="53"/>
      <c r="Y416"/>
      <c r="Z416" s="53"/>
    </row>
    <row r="417" spans="7:26" ht="30" customHeight="1" x14ac:dyDescent="0.3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16"/>
        <v>0</v>
      </c>
      <c r="W417"/>
      <c r="X417" s="53"/>
      <c r="Y417"/>
      <c r="Z417" s="53"/>
    </row>
    <row r="418" spans="7:26" ht="30" customHeight="1" x14ac:dyDescent="0.3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16"/>
        <v>0</v>
      </c>
      <c r="W418"/>
      <c r="X418" s="53"/>
      <c r="Y418"/>
      <c r="Z418" s="53"/>
    </row>
    <row r="419" spans="7:26" ht="30" customHeight="1" x14ac:dyDescent="0.3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16"/>
        <v>0</v>
      </c>
      <c r="W419"/>
      <c r="X419" s="53"/>
      <c r="Y419"/>
      <c r="Z419" s="53"/>
    </row>
    <row r="420" spans="7:26" ht="30" customHeight="1" x14ac:dyDescent="0.3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16"/>
        <v>0</v>
      </c>
      <c r="W420"/>
      <c r="X420" s="53"/>
      <c r="Y420"/>
      <c r="Z420" s="53"/>
    </row>
    <row r="421" spans="7:26" ht="30" customHeight="1" x14ac:dyDescent="0.3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16"/>
        <v>0</v>
      </c>
      <c r="W421"/>
      <c r="X421" s="53"/>
      <c r="Y421"/>
      <c r="Z421" s="53"/>
    </row>
    <row r="422" spans="7:26" ht="30" customHeight="1" x14ac:dyDescent="0.3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16"/>
        <v>0</v>
      </c>
      <c r="W422"/>
      <c r="X422" s="53"/>
      <c r="Y422"/>
      <c r="Z422" s="53"/>
    </row>
    <row r="423" spans="7:26" ht="30" customHeight="1" x14ac:dyDescent="0.3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16"/>
        <v>0</v>
      </c>
      <c r="W423"/>
      <c r="X423" s="53"/>
      <c r="Y423"/>
      <c r="Z423" s="53"/>
    </row>
    <row r="424" spans="7:26" ht="30" customHeight="1" x14ac:dyDescent="0.3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16"/>
        <v>0</v>
      </c>
      <c r="W424"/>
      <c r="X424" s="53"/>
      <c r="Y424"/>
      <c r="Z424" s="53"/>
    </row>
    <row r="425" spans="7:26" ht="30" customHeight="1" x14ac:dyDescent="0.3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16"/>
        <v>0</v>
      </c>
      <c r="W425"/>
      <c r="X425" s="53"/>
      <c r="Y425"/>
      <c r="Z425" s="53"/>
    </row>
    <row r="426" spans="7:26" ht="30" customHeight="1" x14ac:dyDescent="0.3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16"/>
        <v>0</v>
      </c>
      <c r="W426"/>
      <c r="X426" s="53"/>
      <c r="Y426"/>
      <c r="Z426" s="53"/>
    </row>
    <row r="427" spans="7:26" ht="30" customHeight="1" x14ac:dyDescent="0.3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si="16"/>
        <v>0</v>
      </c>
      <c r="W427"/>
      <c r="X427" s="53"/>
      <c r="Y427"/>
      <c r="Z427" s="53"/>
    </row>
    <row r="428" spans="7:26" ht="30" customHeight="1" x14ac:dyDescent="0.3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16"/>
        <v>0</v>
      </c>
      <c r="W428"/>
      <c r="X428" s="53"/>
      <c r="Y428"/>
      <c r="Z428" s="53"/>
    </row>
    <row r="429" spans="7:26" ht="30" customHeight="1" x14ac:dyDescent="0.3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16"/>
        <v>0</v>
      </c>
      <c r="W429"/>
      <c r="X429" s="53"/>
      <c r="Y429"/>
      <c r="Z429" s="53"/>
    </row>
    <row r="430" spans="7:26" ht="30" customHeight="1" x14ac:dyDescent="0.3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16"/>
        <v>0</v>
      </c>
      <c r="W430"/>
      <c r="X430" s="53"/>
      <c r="Y430"/>
      <c r="Z430" s="53"/>
    </row>
    <row r="431" spans="7:26" ht="30" customHeight="1" x14ac:dyDescent="0.3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16"/>
        <v>0</v>
      </c>
      <c r="W431"/>
      <c r="X431" s="53"/>
      <c r="Y431"/>
      <c r="Z431" s="53"/>
    </row>
    <row r="432" spans="7:26" ht="30" customHeight="1" x14ac:dyDescent="0.3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16"/>
        <v>0</v>
      </c>
      <c r="W432"/>
      <c r="X432" s="53"/>
      <c r="Y432"/>
      <c r="Z432" s="53"/>
    </row>
    <row r="433" spans="7:26" ht="30" customHeight="1" x14ac:dyDescent="0.3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16"/>
        <v>0</v>
      </c>
      <c r="W433"/>
      <c r="X433" s="53"/>
      <c r="Y433"/>
      <c r="Z433" s="53"/>
    </row>
    <row r="434" spans="7:26" ht="30" customHeight="1" x14ac:dyDescent="0.3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si="16"/>
        <v>0</v>
      </c>
      <c r="W434"/>
      <c r="X434" s="53"/>
      <c r="Y434"/>
      <c r="Z434" s="53"/>
    </row>
    <row r="435" spans="7:26" ht="30" customHeight="1" x14ac:dyDescent="0.3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16"/>
        <v>0</v>
      </c>
      <c r="W435"/>
      <c r="X435" s="53"/>
      <c r="Y435"/>
      <c r="Z435" s="53"/>
    </row>
    <row r="436" spans="7:26" ht="30" customHeight="1" x14ac:dyDescent="0.3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16"/>
        <v>0</v>
      </c>
      <c r="W436"/>
      <c r="X436" s="53"/>
      <c r="Y436"/>
      <c r="Z436" s="53"/>
    </row>
    <row r="437" spans="7:26" ht="30" customHeight="1" x14ac:dyDescent="0.3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si="16"/>
        <v>0</v>
      </c>
      <c r="W437"/>
      <c r="X437" s="53"/>
      <c r="Y437"/>
      <c r="Z437" s="53"/>
    </row>
    <row r="438" spans="7:26" ht="30" customHeight="1" x14ac:dyDescent="0.3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16"/>
        <v>0</v>
      </c>
      <c r="W438"/>
      <c r="X438" s="53"/>
      <c r="Y438"/>
      <c r="Z438" s="53"/>
    </row>
    <row r="439" spans="7:26" ht="30" customHeight="1" x14ac:dyDescent="0.3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16"/>
        <v>0</v>
      </c>
      <c r="W439"/>
      <c r="X439" s="53"/>
      <c r="Y439"/>
      <c r="Z439" s="53"/>
    </row>
    <row r="440" spans="7:26" ht="30" customHeight="1" x14ac:dyDescent="0.3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16"/>
        <v>0</v>
      </c>
      <c r="W440"/>
      <c r="X440" s="53"/>
      <c r="Y440"/>
      <c r="Z440" s="53"/>
    </row>
    <row r="441" spans="7:26" ht="30" customHeight="1" x14ac:dyDescent="0.3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16"/>
        <v>0</v>
      </c>
      <c r="W441"/>
      <c r="X441" s="53"/>
      <c r="Y441"/>
      <c r="Z441" s="53"/>
    </row>
    <row r="442" spans="7:26" ht="30" customHeight="1" x14ac:dyDescent="0.3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16"/>
        <v>0</v>
      </c>
      <c r="W442"/>
      <c r="X442" s="53"/>
      <c r="Y442"/>
      <c r="Z442" s="53"/>
    </row>
    <row r="443" spans="7:26" ht="30" customHeight="1" x14ac:dyDescent="0.3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16"/>
        <v>0</v>
      </c>
      <c r="W443"/>
      <c r="X443" s="53"/>
      <c r="Y443"/>
      <c r="Z443" s="53"/>
    </row>
    <row r="444" spans="7:26" ht="30" customHeight="1" x14ac:dyDescent="0.3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16"/>
        <v>0</v>
      </c>
      <c r="W444"/>
      <c r="X444" s="53"/>
      <c r="Y444"/>
      <c r="Z444" s="53"/>
    </row>
    <row r="445" spans="7:26" ht="30" customHeight="1" x14ac:dyDescent="0.3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16"/>
        <v>0</v>
      </c>
      <c r="W445"/>
      <c r="X445" s="53"/>
      <c r="Y445"/>
      <c r="Z445" s="53"/>
    </row>
    <row r="446" spans="7:26" ht="30" customHeight="1" x14ac:dyDescent="0.3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16"/>
        <v>0</v>
      </c>
      <c r="W446"/>
      <c r="X446" s="53"/>
      <c r="Y446"/>
      <c r="Z446" s="53"/>
    </row>
    <row r="447" spans="7:26" ht="30" customHeight="1" x14ac:dyDescent="0.3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16"/>
        <v>0</v>
      </c>
      <c r="W447"/>
      <c r="X447" s="53"/>
      <c r="Y447"/>
      <c r="Z447" s="53"/>
    </row>
    <row r="448" spans="7:26" ht="30" customHeight="1" x14ac:dyDescent="0.3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16"/>
        <v>0</v>
      </c>
      <c r="W448"/>
      <c r="X448" s="53"/>
      <c r="Y448"/>
      <c r="Z448" s="53"/>
    </row>
    <row r="449" spans="7:26" ht="30" customHeight="1" x14ac:dyDescent="0.3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16"/>
        <v>0</v>
      </c>
      <c r="W449"/>
      <c r="X449" s="53"/>
      <c r="Y449"/>
      <c r="Z449" s="53"/>
    </row>
    <row r="450" spans="7:26" ht="30" customHeight="1" x14ac:dyDescent="0.3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16"/>
        <v>0</v>
      </c>
      <c r="W450"/>
      <c r="X450" s="53"/>
      <c r="Y450"/>
      <c r="Z450" s="53"/>
    </row>
    <row r="451" spans="7:26" ht="30" customHeight="1" x14ac:dyDescent="0.3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16"/>
        <v>0</v>
      </c>
      <c r="W451"/>
      <c r="X451" s="53"/>
      <c r="Y451"/>
      <c r="Z451" s="53"/>
    </row>
    <row r="452" spans="7:26" ht="30" customHeight="1" x14ac:dyDescent="0.3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16"/>
        <v>0</v>
      </c>
      <c r="W452"/>
      <c r="X452" s="53"/>
      <c r="Y452"/>
      <c r="Z452" s="53"/>
    </row>
    <row r="453" spans="7:26" ht="30" customHeight="1" x14ac:dyDescent="0.3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16"/>
        <v>0</v>
      </c>
      <c r="W453"/>
      <c r="X453" s="53"/>
      <c r="Y453"/>
      <c r="Z453" s="53"/>
    </row>
    <row r="454" spans="7:26" ht="30" customHeight="1" x14ac:dyDescent="0.3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16"/>
        <v>0</v>
      </c>
      <c r="W454"/>
      <c r="X454" s="53"/>
      <c r="Y454"/>
      <c r="Z454" s="53"/>
    </row>
    <row r="455" spans="7:26" ht="30" customHeight="1" x14ac:dyDescent="0.3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16"/>
        <v>0</v>
      </c>
      <c r="W455"/>
      <c r="X455" s="53"/>
      <c r="Y455"/>
      <c r="Z455" s="53"/>
    </row>
    <row r="456" spans="7:26" ht="30" customHeight="1" x14ac:dyDescent="0.3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16"/>
        <v>0</v>
      </c>
      <c r="W456"/>
      <c r="X456" s="53"/>
      <c r="Y456"/>
      <c r="Z456" s="53"/>
    </row>
    <row r="457" spans="7:26" ht="30" customHeight="1" x14ac:dyDescent="0.3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16"/>
        <v>0</v>
      </c>
      <c r="W457"/>
      <c r="X457" s="53"/>
      <c r="Y457"/>
      <c r="Z457" s="53"/>
    </row>
    <row r="458" spans="7:26" ht="30" customHeight="1" x14ac:dyDescent="0.3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16"/>
        <v>0</v>
      </c>
      <c r="W458"/>
      <c r="X458" s="53"/>
      <c r="Y458"/>
      <c r="Z458" s="53"/>
    </row>
    <row r="459" spans="7:26" ht="30" customHeight="1" x14ac:dyDescent="0.3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16"/>
        <v>0</v>
      </c>
      <c r="W459"/>
      <c r="X459" s="53"/>
      <c r="Y459"/>
      <c r="Z459" s="53"/>
    </row>
    <row r="460" spans="7:26" ht="30" customHeight="1" x14ac:dyDescent="0.3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16"/>
        <v>0</v>
      </c>
      <c r="W460"/>
      <c r="X460" s="53"/>
      <c r="Y460"/>
      <c r="Z460" s="53"/>
    </row>
    <row r="461" spans="7:26" ht="30" customHeight="1" x14ac:dyDescent="0.3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16"/>
        <v>0</v>
      </c>
      <c r="W461"/>
      <c r="X461" s="53"/>
      <c r="Y461"/>
      <c r="Z461" s="53"/>
    </row>
    <row r="462" spans="7:26" ht="30" customHeight="1" x14ac:dyDescent="0.3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16"/>
        <v>0</v>
      </c>
      <c r="W462"/>
      <c r="X462" s="53"/>
      <c r="Y462"/>
      <c r="Z462" s="53"/>
    </row>
    <row r="463" spans="7:26" ht="30" customHeight="1" x14ac:dyDescent="0.3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16"/>
        <v>0</v>
      </c>
      <c r="W463"/>
      <c r="X463" s="53"/>
      <c r="Y463"/>
      <c r="Z463" s="53"/>
    </row>
    <row r="464" spans="7:26" ht="30" customHeight="1" x14ac:dyDescent="0.3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16"/>
        <v>0</v>
      </c>
      <c r="W464"/>
      <c r="X464" s="53"/>
      <c r="Y464"/>
      <c r="Z464" s="53"/>
    </row>
    <row r="465" spans="7:26" ht="30" customHeight="1" x14ac:dyDescent="0.3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16"/>
        <v>0</v>
      </c>
      <c r="W465"/>
      <c r="X465" s="53"/>
      <c r="Y465"/>
      <c r="Z465" s="53"/>
    </row>
    <row r="466" spans="7:26" ht="30" customHeight="1" x14ac:dyDescent="0.3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16"/>
        <v>0</v>
      </c>
      <c r="W466"/>
      <c r="X466" s="53"/>
      <c r="Y466"/>
      <c r="Z466" s="53"/>
    </row>
    <row r="467" spans="7:26" ht="30" customHeight="1" x14ac:dyDescent="0.3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16"/>
        <v>0</v>
      </c>
      <c r="W467"/>
      <c r="X467" s="53"/>
      <c r="Y467"/>
      <c r="Z467" s="53"/>
    </row>
    <row r="468" spans="7:26" ht="30" customHeight="1" x14ac:dyDescent="0.3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16"/>
        <v>0</v>
      </c>
      <c r="W468"/>
      <c r="X468" s="53"/>
      <c r="Y468"/>
      <c r="Z468" s="53"/>
    </row>
    <row r="469" spans="7:26" ht="30" customHeight="1" x14ac:dyDescent="0.3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16"/>
        <v>0</v>
      </c>
      <c r="W469"/>
      <c r="X469" s="53"/>
      <c r="Y469"/>
      <c r="Z469" s="53"/>
    </row>
    <row r="470" spans="7:26" ht="30" customHeight="1" x14ac:dyDescent="0.3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16"/>
        <v>0</v>
      </c>
      <c r="W470"/>
      <c r="X470" s="53"/>
      <c r="Y470"/>
      <c r="Z470" s="53"/>
    </row>
    <row r="471" spans="7:26" ht="30" customHeight="1" x14ac:dyDescent="0.3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16"/>
        <v>0</v>
      </c>
      <c r="W471"/>
      <c r="X471" s="53"/>
      <c r="Y471"/>
      <c r="Z471" s="53"/>
    </row>
    <row r="472" spans="7:26" ht="30" customHeight="1" x14ac:dyDescent="0.3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16"/>
        <v>0</v>
      </c>
      <c r="W472"/>
      <c r="X472" s="53"/>
      <c r="Y472"/>
      <c r="Z472" s="53"/>
    </row>
    <row r="473" spans="7:26" ht="30" customHeight="1" x14ac:dyDescent="0.3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si="16"/>
        <v>0</v>
      </c>
      <c r="W473"/>
      <c r="X473" s="53"/>
      <c r="Y473"/>
      <c r="Z473" s="53"/>
    </row>
    <row r="474" spans="7:26" ht="30" customHeight="1" x14ac:dyDescent="0.3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si="16"/>
        <v>0</v>
      </c>
      <c r="W474"/>
      <c r="X474" s="53"/>
      <c r="Y474"/>
      <c r="Z474" s="53"/>
    </row>
    <row r="475" spans="7:26" ht="30" customHeight="1" x14ac:dyDescent="0.3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16"/>
        <v>0</v>
      </c>
      <c r="W475"/>
      <c r="X475" s="53"/>
      <c r="Y475"/>
      <c r="Z475" s="53"/>
    </row>
    <row r="476" spans="7:26" ht="30" customHeight="1" x14ac:dyDescent="0.3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16"/>
        <v>0</v>
      </c>
      <c r="W476"/>
      <c r="X476" s="53"/>
      <c r="Y476"/>
      <c r="Z476" s="53"/>
    </row>
    <row r="477" spans="7:26" ht="30" customHeight="1" x14ac:dyDescent="0.3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ref="U477:U540" si="17">E477+H477</f>
        <v>0</v>
      </c>
      <c r="W477"/>
      <c r="X477" s="53"/>
      <c r="Y477"/>
      <c r="Z477" s="53"/>
    </row>
    <row r="478" spans="7:26" ht="30" customHeight="1" x14ac:dyDescent="0.3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17"/>
        <v>0</v>
      </c>
      <c r="W478"/>
      <c r="X478" s="53"/>
      <c r="Y478"/>
      <c r="Z478" s="53"/>
    </row>
    <row r="479" spans="7:26" ht="30" customHeight="1" x14ac:dyDescent="0.3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17"/>
        <v>0</v>
      </c>
      <c r="W479"/>
      <c r="X479" s="53"/>
      <c r="Y479"/>
      <c r="Z479" s="53"/>
    </row>
    <row r="480" spans="7:26" ht="30" customHeight="1" x14ac:dyDescent="0.3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17"/>
        <v>0</v>
      </c>
      <c r="W480"/>
      <c r="X480" s="53"/>
      <c r="Y480"/>
      <c r="Z480" s="53"/>
    </row>
    <row r="481" spans="7:26" ht="30" customHeight="1" x14ac:dyDescent="0.3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17"/>
        <v>0</v>
      </c>
      <c r="W481"/>
      <c r="X481" s="53"/>
      <c r="Y481"/>
      <c r="Z481" s="53"/>
    </row>
    <row r="482" spans="7:26" ht="30" customHeight="1" x14ac:dyDescent="0.3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17"/>
        <v>0</v>
      </c>
      <c r="W482"/>
      <c r="X482" s="53"/>
      <c r="Y482"/>
      <c r="Z482" s="53"/>
    </row>
    <row r="483" spans="7:26" ht="30" customHeight="1" x14ac:dyDescent="0.3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17"/>
        <v>0</v>
      </c>
      <c r="W483"/>
      <c r="X483" s="53"/>
      <c r="Y483"/>
      <c r="Z483" s="53"/>
    </row>
    <row r="484" spans="7:26" ht="30" customHeight="1" x14ac:dyDescent="0.3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17"/>
        <v>0</v>
      </c>
      <c r="W484"/>
      <c r="X484" s="53"/>
      <c r="Y484"/>
      <c r="Z484" s="53"/>
    </row>
    <row r="485" spans="7:26" ht="30" customHeight="1" x14ac:dyDescent="0.3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17"/>
        <v>0</v>
      </c>
      <c r="W485"/>
      <c r="X485" s="53"/>
      <c r="Y485"/>
      <c r="Z485" s="53"/>
    </row>
    <row r="486" spans="7:26" ht="30" customHeight="1" x14ac:dyDescent="0.3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17"/>
        <v>0</v>
      </c>
      <c r="W486"/>
      <c r="X486" s="53"/>
      <c r="Y486"/>
      <c r="Z486" s="53"/>
    </row>
    <row r="487" spans="7:26" ht="30" customHeight="1" x14ac:dyDescent="0.3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17"/>
        <v>0</v>
      </c>
      <c r="W487"/>
      <c r="X487" s="53"/>
      <c r="Y487"/>
      <c r="Z487" s="53"/>
    </row>
    <row r="488" spans="7:26" ht="30" customHeight="1" x14ac:dyDescent="0.3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17"/>
        <v>0</v>
      </c>
      <c r="W488"/>
      <c r="X488" s="53"/>
      <c r="Y488"/>
      <c r="Z488" s="53"/>
    </row>
    <row r="489" spans="7:26" ht="30" customHeight="1" x14ac:dyDescent="0.3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17"/>
        <v>0</v>
      </c>
      <c r="W489"/>
      <c r="X489" s="53"/>
      <c r="Y489"/>
      <c r="Z489" s="53"/>
    </row>
    <row r="490" spans="7:26" ht="30" customHeight="1" x14ac:dyDescent="0.3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17"/>
        <v>0</v>
      </c>
      <c r="W490"/>
      <c r="X490" s="53"/>
      <c r="Y490"/>
      <c r="Z490" s="53"/>
    </row>
    <row r="491" spans="7:26" ht="30" customHeight="1" x14ac:dyDescent="0.3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si="17"/>
        <v>0</v>
      </c>
      <c r="W491"/>
      <c r="X491" s="53"/>
      <c r="Y491"/>
      <c r="Z491" s="53"/>
    </row>
    <row r="492" spans="7:26" ht="30" customHeight="1" x14ac:dyDescent="0.3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17"/>
        <v>0</v>
      </c>
      <c r="W492"/>
      <c r="X492" s="53"/>
      <c r="Y492"/>
      <c r="Z492" s="53"/>
    </row>
    <row r="493" spans="7:26" ht="30" customHeight="1" x14ac:dyDescent="0.3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17"/>
        <v>0</v>
      </c>
      <c r="W493"/>
      <c r="X493" s="53"/>
      <c r="Y493"/>
      <c r="Z493" s="53"/>
    </row>
    <row r="494" spans="7:26" ht="30" customHeight="1" x14ac:dyDescent="0.3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17"/>
        <v>0</v>
      </c>
      <c r="W494"/>
      <c r="X494" s="53"/>
      <c r="Y494"/>
      <c r="Z494" s="53"/>
    </row>
    <row r="495" spans="7:26" ht="30" customHeight="1" x14ac:dyDescent="0.3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17"/>
        <v>0</v>
      </c>
      <c r="W495"/>
      <c r="X495" s="53"/>
      <c r="Y495"/>
      <c r="Z495" s="53"/>
    </row>
    <row r="496" spans="7:26" ht="30" customHeight="1" x14ac:dyDescent="0.3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17"/>
        <v>0</v>
      </c>
      <c r="W496"/>
      <c r="X496" s="53"/>
      <c r="Y496"/>
      <c r="Z496" s="53"/>
    </row>
    <row r="497" spans="7:26" ht="30" customHeight="1" x14ac:dyDescent="0.3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17"/>
        <v>0</v>
      </c>
      <c r="W497"/>
      <c r="X497" s="53"/>
      <c r="Y497"/>
      <c r="Z497" s="53"/>
    </row>
    <row r="498" spans="7:26" ht="30" customHeight="1" x14ac:dyDescent="0.3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si="17"/>
        <v>0</v>
      </c>
      <c r="W498"/>
      <c r="X498" s="53"/>
      <c r="Y498"/>
      <c r="Z498" s="53"/>
    </row>
    <row r="499" spans="7:26" ht="30" customHeight="1" x14ac:dyDescent="0.3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17"/>
        <v>0</v>
      </c>
      <c r="W499"/>
      <c r="X499" s="53"/>
      <c r="Y499"/>
      <c r="Z499" s="53"/>
    </row>
    <row r="500" spans="7:26" ht="30" customHeight="1" x14ac:dyDescent="0.3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17"/>
        <v>0</v>
      </c>
      <c r="W500"/>
      <c r="X500" s="53"/>
      <c r="Y500"/>
      <c r="Z500" s="53"/>
    </row>
    <row r="501" spans="7:26" ht="30" customHeight="1" x14ac:dyDescent="0.3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si="17"/>
        <v>0</v>
      </c>
      <c r="W501"/>
      <c r="X501" s="53"/>
      <c r="Y501"/>
      <c r="Z501" s="53"/>
    </row>
    <row r="502" spans="7:26" ht="30" customHeight="1" x14ac:dyDescent="0.3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17"/>
        <v>0</v>
      </c>
      <c r="W502"/>
      <c r="X502" s="53"/>
      <c r="Y502"/>
      <c r="Z502" s="53"/>
    </row>
    <row r="503" spans="7:26" ht="30" customHeight="1" x14ac:dyDescent="0.3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17"/>
        <v>0</v>
      </c>
      <c r="W503"/>
      <c r="X503" s="53"/>
      <c r="Y503"/>
      <c r="Z503" s="53"/>
    </row>
    <row r="504" spans="7:26" ht="30" customHeight="1" x14ac:dyDescent="0.3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17"/>
        <v>0</v>
      </c>
      <c r="W504"/>
      <c r="X504" s="53"/>
      <c r="Y504"/>
      <c r="Z504" s="53"/>
    </row>
    <row r="505" spans="7:26" ht="30" customHeight="1" x14ac:dyDescent="0.3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17"/>
        <v>0</v>
      </c>
      <c r="W505"/>
      <c r="X505" s="53"/>
      <c r="Y505"/>
      <c r="Z505" s="53"/>
    </row>
    <row r="506" spans="7:26" ht="30" customHeight="1" x14ac:dyDescent="0.3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17"/>
        <v>0</v>
      </c>
      <c r="W506"/>
      <c r="X506" s="53"/>
      <c r="Y506"/>
      <c r="Z506" s="53"/>
    </row>
    <row r="507" spans="7:26" ht="30" customHeight="1" x14ac:dyDescent="0.3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17"/>
        <v>0</v>
      </c>
      <c r="W507"/>
      <c r="X507" s="53"/>
      <c r="Y507"/>
      <c r="Z507" s="53"/>
    </row>
    <row r="508" spans="7:26" ht="30" customHeight="1" x14ac:dyDescent="0.3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17"/>
        <v>0</v>
      </c>
      <c r="W508"/>
      <c r="X508" s="53"/>
      <c r="Y508"/>
      <c r="Z508" s="53"/>
    </row>
    <row r="509" spans="7:26" ht="30" customHeight="1" x14ac:dyDescent="0.3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17"/>
        <v>0</v>
      </c>
      <c r="W509"/>
      <c r="X509" s="53"/>
      <c r="Y509"/>
      <c r="Z509" s="53"/>
    </row>
    <row r="510" spans="7:26" ht="30" customHeight="1" x14ac:dyDescent="0.3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17"/>
        <v>0</v>
      </c>
      <c r="W510"/>
      <c r="X510" s="53"/>
      <c r="Y510"/>
      <c r="Z510" s="53"/>
    </row>
    <row r="511" spans="7:26" ht="30" customHeight="1" x14ac:dyDescent="0.3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17"/>
        <v>0</v>
      </c>
      <c r="W511"/>
      <c r="X511" s="53"/>
      <c r="Y511"/>
      <c r="Z511" s="53"/>
    </row>
    <row r="512" spans="7:26" ht="30" customHeight="1" x14ac:dyDescent="0.3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17"/>
        <v>0</v>
      </c>
      <c r="W512"/>
      <c r="X512" s="53"/>
      <c r="Y512"/>
      <c r="Z512" s="53"/>
    </row>
    <row r="513" spans="7:26" ht="30" customHeight="1" x14ac:dyDescent="0.3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17"/>
        <v>0</v>
      </c>
      <c r="W513"/>
      <c r="X513" s="53"/>
      <c r="Y513"/>
      <c r="Z513" s="53"/>
    </row>
    <row r="514" spans="7:26" ht="30" customHeight="1" x14ac:dyDescent="0.3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17"/>
        <v>0</v>
      </c>
      <c r="W514"/>
      <c r="X514" s="53"/>
      <c r="Y514"/>
      <c r="Z514" s="53"/>
    </row>
    <row r="515" spans="7:26" ht="30" customHeight="1" x14ac:dyDescent="0.3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17"/>
        <v>0</v>
      </c>
      <c r="W515"/>
      <c r="X515" s="53"/>
      <c r="Y515"/>
      <c r="Z515" s="53"/>
    </row>
    <row r="516" spans="7:26" ht="30" customHeight="1" x14ac:dyDescent="0.3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17"/>
        <v>0</v>
      </c>
      <c r="W516"/>
      <c r="X516" s="53"/>
      <c r="Y516"/>
      <c r="Z516" s="53"/>
    </row>
    <row r="517" spans="7:26" ht="30" customHeight="1" x14ac:dyDescent="0.3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17"/>
        <v>0</v>
      </c>
      <c r="W517"/>
      <c r="X517" s="53"/>
      <c r="Y517"/>
      <c r="Z517" s="53"/>
    </row>
    <row r="518" spans="7:26" ht="30" customHeight="1" x14ac:dyDescent="0.3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17"/>
        <v>0</v>
      </c>
      <c r="W518"/>
      <c r="X518" s="53"/>
      <c r="Y518"/>
      <c r="Z518" s="53"/>
    </row>
    <row r="519" spans="7:26" ht="30" customHeight="1" x14ac:dyDescent="0.3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17"/>
        <v>0</v>
      </c>
      <c r="W519"/>
      <c r="X519" s="53"/>
      <c r="Y519"/>
      <c r="Z519" s="53"/>
    </row>
    <row r="520" spans="7:26" ht="30" customHeight="1" x14ac:dyDescent="0.3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17"/>
        <v>0</v>
      </c>
      <c r="W520"/>
      <c r="X520" s="53"/>
      <c r="Y520"/>
      <c r="Z520" s="53"/>
    </row>
    <row r="521" spans="7:26" ht="30" customHeight="1" x14ac:dyDescent="0.3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17"/>
        <v>0</v>
      </c>
      <c r="W521"/>
      <c r="X521" s="53"/>
      <c r="Y521"/>
      <c r="Z521" s="53"/>
    </row>
    <row r="522" spans="7:26" ht="30" customHeight="1" x14ac:dyDescent="0.3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17"/>
        <v>0</v>
      </c>
      <c r="W522"/>
      <c r="X522" s="53"/>
      <c r="Y522"/>
      <c r="Z522" s="53"/>
    </row>
    <row r="523" spans="7:26" ht="30" customHeight="1" x14ac:dyDescent="0.3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17"/>
        <v>0</v>
      </c>
      <c r="W523"/>
      <c r="X523" s="53"/>
      <c r="Y523"/>
      <c r="Z523" s="53"/>
    </row>
    <row r="524" spans="7:26" ht="30" customHeight="1" x14ac:dyDescent="0.3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17"/>
        <v>0</v>
      </c>
      <c r="W524"/>
      <c r="X524" s="53"/>
      <c r="Y524"/>
      <c r="Z524" s="53"/>
    </row>
    <row r="525" spans="7:26" ht="30" customHeight="1" x14ac:dyDescent="0.3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17"/>
        <v>0</v>
      </c>
      <c r="W525"/>
      <c r="X525" s="53"/>
      <c r="Y525"/>
      <c r="Z525" s="53"/>
    </row>
    <row r="526" spans="7:26" ht="30" customHeight="1" x14ac:dyDescent="0.3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17"/>
        <v>0</v>
      </c>
      <c r="W526"/>
      <c r="X526" s="53"/>
      <c r="Y526"/>
      <c r="Z526" s="53"/>
    </row>
    <row r="527" spans="7:26" ht="30" customHeight="1" x14ac:dyDescent="0.3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17"/>
        <v>0</v>
      </c>
      <c r="W527"/>
      <c r="X527" s="53"/>
      <c r="Y527"/>
      <c r="Z527" s="53"/>
    </row>
    <row r="528" spans="7:26" ht="30" customHeight="1" x14ac:dyDescent="0.3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17"/>
        <v>0</v>
      </c>
      <c r="W528"/>
      <c r="X528" s="53"/>
      <c r="Y528"/>
      <c r="Z528" s="53"/>
    </row>
    <row r="529" spans="7:26" ht="30" customHeight="1" x14ac:dyDescent="0.3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17"/>
        <v>0</v>
      </c>
      <c r="W529"/>
      <c r="X529" s="53"/>
      <c r="Y529"/>
      <c r="Z529" s="53"/>
    </row>
    <row r="530" spans="7:26" ht="30" customHeight="1" x14ac:dyDescent="0.3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17"/>
        <v>0</v>
      </c>
      <c r="W530"/>
      <c r="X530" s="53"/>
      <c r="Y530"/>
      <c r="Z530" s="53"/>
    </row>
    <row r="531" spans="7:26" ht="30" customHeight="1" x14ac:dyDescent="0.3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17"/>
        <v>0</v>
      </c>
      <c r="W531"/>
      <c r="X531" s="53"/>
      <c r="Y531"/>
      <c r="Z531" s="53"/>
    </row>
    <row r="532" spans="7:26" ht="30" customHeight="1" x14ac:dyDescent="0.3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17"/>
        <v>0</v>
      </c>
      <c r="W532"/>
      <c r="X532" s="53"/>
      <c r="Y532"/>
      <c r="Z532" s="53"/>
    </row>
    <row r="533" spans="7:26" ht="30" customHeight="1" x14ac:dyDescent="0.3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17"/>
        <v>0</v>
      </c>
      <c r="W533"/>
      <c r="X533" s="53"/>
      <c r="Y533"/>
      <c r="Z533" s="53"/>
    </row>
    <row r="534" spans="7:26" ht="30" customHeight="1" x14ac:dyDescent="0.3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17"/>
        <v>0</v>
      </c>
      <c r="W534"/>
      <c r="X534" s="53"/>
      <c r="Y534"/>
      <c r="Z534" s="53"/>
    </row>
    <row r="535" spans="7:26" ht="30" customHeight="1" x14ac:dyDescent="0.3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17"/>
        <v>0</v>
      </c>
      <c r="W535"/>
      <c r="X535" s="53"/>
      <c r="Y535"/>
      <c r="Z535" s="53"/>
    </row>
    <row r="536" spans="7:26" ht="30" customHeight="1" x14ac:dyDescent="0.3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17"/>
        <v>0</v>
      </c>
      <c r="W536"/>
      <c r="X536" s="53"/>
      <c r="Y536"/>
      <c r="Z536" s="53"/>
    </row>
    <row r="537" spans="7:26" ht="30" customHeight="1" x14ac:dyDescent="0.3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si="17"/>
        <v>0</v>
      </c>
      <c r="W537"/>
      <c r="X537" s="53"/>
      <c r="Y537"/>
      <c r="Z537" s="53"/>
    </row>
    <row r="538" spans="7:26" ht="30" customHeight="1" x14ac:dyDescent="0.3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si="17"/>
        <v>0</v>
      </c>
      <c r="W538"/>
      <c r="X538" s="53"/>
      <c r="Y538"/>
      <c r="Z538" s="53"/>
    </row>
    <row r="539" spans="7:26" ht="30" customHeight="1" x14ac:dyDescent="0.3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17"/>
        <v>0</v>
      </c>
      <c r="W539"/>
      <c r="X539" s="53"/>
      <c r="Y539"/>
      <c r="Z539" s="53"/>
    </row>
    <row r="540" spans="7:26" ht="30" customHeight="1" x14ac:dyDescent="0.3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17"/>
        <v>0</v>
      </c>
      <c r="W540"/>
      <c r="X540" s="53"/>
      <c r="Y540"/>
      <c r="Z540" s="53"/>
    </row>
    <row r="541" spans="7:26" ht="30" customHeight="1" x14ac:dyDescent="0.3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ref="U541:U604" si="18">E541+H541</f>
        <v>0</v>
      </c>
      <c r="W541"/>
      <c r="X541" s="53"/>
      <c r="Y541"/>
      <c r="Z541" s="53"/>
    </row>
    <row r="542" spans="7:26" ht="30" customHeight="1" x14ac:dyDescent="0.3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18"/>
        <v>0</v>
      </c>
      <c r="W542"/>
      <c r="X542" s="53"/>
      <c r="Y542"/>
      <c r="Z542" s="53"/>
    </row>
    <row r="543" spans="7:26" ht="30" customHeight="1" x14ac:dyDescent="0.3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18"/>
        <v>0</v>
      </c>
      <c r="W543"/>
      <c r="X543" s="53"/>
      <c r="Y543"/>
      <c r="Z543" s="53"/>
    </row>
    <row r="544" spans="7:26" ht="30" customHeight="1" x14ac:dyDescent="0.3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18"/>
        <v>0</v>
      </c>
      <c r="W544"/>
      <c r="X544" s="53"/>
      <c r="Y544"/>
      <c r="Z544" s="53"/>
    </row>
    <row r="545" spans="7:26" ht="30" customHeight="1" x14ac:dyDescent="0.3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18"/>
        <v>0</v>
      </c>
      <c r="W545"/>
      <c r="X545" s="53"/>
      <c r="Y545"/>
      <c r="Z545" s="53"/>
    </row>
    <row r="546" spans="7:26" ht="30" customHeight="1" x14ac:dyDescent="0.3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18"/>
        <v>0</v>
      </c>
      <c r="W546"/>
      <c r="X546" s="53"/>
      <c r="Y546"/>
      <c r="Z546" s="53"/>
    </row>
    <row r="547" spans="7:26" ht="30" customHeight="1" x14ac:dyDescent="0.3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18"/>
        <v>0</v>
      </c>
      <c r="W547"/>
      <c r="X547" s="53"/>
      <c r="Y547"/>
      <c r="Z547" s="53"/>
    </row>
    <row r="548" spans="7:26" ht="30" customHeight="1" x14ac:dyDescent="0.3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18"/>
        <v>0</v>
      </c>
      <c r="W548"/>
      <c r="X548" s="53"/>
      <c r="Y548"/>
      <c r="Z548" s="53"/>
    </row>
    <row r="549" spans="7:26" ht="30" customHeight="1" x14ac:dyDescent="0.3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18"/>
        <v>0</v>
      </c>
      <c r="W549"/>
      <c r="X549" s="53"/>
      <c r="Y549"/>
      <c r="Z549" s="53"/>
    </row>
    <row r="550" spans="7:26" ht="30" customHeight="1" x14ac:dyDescent="0.3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18"/>
        <v>0</v>
      </c>
      <c r="W550"/>
      <c r="X550" s="53"/>
      <c r="Y550"/>
      <c r="Z550" s="53"/>
    </row>
    <row r="551" spans="7:26" ht="30" customHeight="1" x14ac:dyDescent="0.3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18"/>
        <v>0</v>
      </c>
      <c r="W551"/>
      <c r="X551" s="53"/>
      <c r="Y551"/>
      <c r="Z551" s="53"/>
    </row>
    <row r="552" spans="7:26" ht="30" customHeight="1" x14ac:dyDescent="0.3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18"/>
        <v>0</v>
      </c>
      <c r="W552"/>
      <c r="X552" s="53"/>
      <c r="Y552"/>
      <c r="Z552" s="53"/>
    </row>
    <row r="553" spans="7:26" ht="30" customHeight="1" x14ac:dyDescent="0.3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18"/>
        <v>0</v>
      </c>
      <c r="W553"/>
      <c r="X553" s="53"/>
      <c r="Y553"/>
      <c r="Z553" s="53"/>
    </row>
    <row r="554" spans="7:26" ht="30" customHeight="1" x14ac:dyDescent="0.3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18"/>
        <v>0</v>
      </c>
      <c r="W554"/>
      <c r="X554" s="53"/>
      <c r="Y554"/>
      <c r="Z554" s="53"/>
    </row>
    <row r="555" spans="7:26" ht="30" customHeight="1" x14ac:dyDescent="0.3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si="18"/>
        <v>0</v>
      </c>
      <c r="W555"/>
      <c r="X555" s="53"/>
      <c r="Y555"/>
      <c r="Z555" s="53"/>
    </row>
    <row r="556" spans="7:26" ht="30" customHeight="1" x14ac:dyDescent="0.3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18"/>
        <v>0</v>
      </c>
      <c r="W556"/>
      <c r="X556" s="53"/>
      <c r="Y556"/>
      <c r="Z556" s="53"/>
    </row>
    <row r="557" spans="7:26" ht="30" customHeight="1" x14ac:dyDescent="0.3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18"/>
        <v>0</v>
      </c>
      <c r="W557"/>
      <c r="X557" s="53"/>
      <c r="Y557"/>
      <c r="Z557" s="53"/>
    </row>
    <row r="558" spans="7:26" ht="30" customHeight="1" x14ac:dyDescent="0.3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18"/>
        <v>0</v>
      </c>
      <c r="W558"/>
      <c r="X558" s="53"/>
      <c r="Y558"/>
      <c r="Z558" s="53"/>
    </row>
    <row r="559" spans="7:26" ht="30" customHeight="1" x14ac:dyDescent="0.3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18"/>
        <v>0</v>
      </c>
      <c r="W559"/>
      <c r="X559" s="53"/>
      <c r="Y559"/>
      <c r="Z559" s="53"/>
    </row>
    <row r="560" spans="7:26" ht="30" customHeight="1" x14ac:dyDescent="0.3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18"/>
        <v>0</v>
      </c>
      <c r="W560"/>
      <c r="X560" s="53"/>
      <c r="Y560"/>
      <c r="Z560" s="53"/>
    </row>
    <row r="561" spans="7:26" ht="30" customHeight="1" x14ac:dyDescent="0.3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18"/>
        <v>0</v>
      </c>
      <c r="W561"/>
      <c r="X561" s="53"/>
      <c r="Y561"/>
      <c r="Z561" s="53"/>
    </row>
    <row r="562" spans="7:26" ht="30" customHeight="1" x14ac:dyDescent="0.3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si="18"/>
        <v>0</v>
      </c>
      <c r="W562"/>
      <c r="X562" s="53"/>
      <c r="Y562"/>
      <c r="Z562" s="53"/>
    </row>
    <row r="563" spans="7:26" ht="30" customHeight="1" x14ac:dyDescent="0.3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18"/>
        <v>0</v>
      </c>
      <c r="W563"/>
      <c r="X563" s="53"/>
      <c r="Y563"/>
      <c r="Z563" s="53"/>
    </row>
    <row r="564" spans="7:26" ht="30" customHeight="1" x14ac:dyDescent="0.3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18"/>
        <v>0</v>
      </c>
      <c r="W564"/>
      <c r="X564" s="53"/>
      <c r="Y564"/>
      <c r="Z564" s="53"/>
    </row>
    <row r="565" spans="7:26" ht="30" customHeight="1" x14ac:dyDescent="0.3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si="18"/>
        <v>0</v>
      </c>
      <c r="W565"/>
      <c r="X565" s="53"/>
      <c r="Y565"/>
      <c r="Z565" s="53"/>
    </row>
    <row r="566" spans="7:26" ht="30" customHeight="1" x14ac:dyDescent="0.3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18"/>
        <v>0</v>
      </c>
      <c r="W566"/>
      <c r="X566" s="53"/>
      <c r="Y566"/>
      <c r="Z566" s="53"/>
    </row>
    <row r="567" spans="7:26" ht="30" customHeight="1" x14ac:dyDescent="0.3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18"/>
        <v>0</v>
      </c>
      <c r="W567"/>
      <c r="X567" s="53"/>
      <c r="Y567"/>
      <c r="Z567" s="53"/>
    </row>
    <row r="568" spans="7:26" ht="30" customHeight="1" x14ac:dyDescent="0.3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18"/>
        <v>0</v>
      </c>
      <c r="W568"/>
      <c r="X568" s="53"/>
      <c r="Y568"/>
      <c r="Z568" s="53"/>
    </row>
    <row r="569" spans="7:26" ht="30" customHeight="1" x14ac:dyDescent="0.3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18"/>
        <v>0</v>
      </c>
      <c r="W569"/>
      <c r="X569" s="53"/>
      <c r="Y569"/>
      <c r="Z569" s="53"/>
    </row>
    <row r="570" spans="7:26" ht="30" customHeight="1" x14ac:dyDescent="0.3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18"/>
        <v>0</v>
      </c>
      <c r="W570"/>
      <c r="X570" s="53"/>
      <c r="Y570"/>
      <c r="Z570" s="53"/>
    </row>
    <row r="571" spans="7:26" ht="30" customHeight="1" x14ac:dyDescent="0.3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18"/>
        <v>0</v>
      </c>
      <c r="W571"/>
      <c r="X571" s="53"/>
      <c r="Y571"/>
      <c r="Z571" s="53"/>
    </row>
    <row r="572" spans="7:26" ht="30" customHeight="1" x14ac:dyDescent="0.3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18"/>
        <v>0</v>
      </c>
      <c r="W572"/>
      <c r="X572" s="53"/>
      <c r="Y572"/>
      <c r="Z572" s="53"/>
    </row>
    <row r="573" spans="7:26" ht="30" customHeight="1" x14ac:dyDescent="0.3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18"/>
        <v>0</v>
      </c>
      <c r="W573"/>
      <c r="X573" s="53"/>
      <c r="Y573"/>
      <c r="Z573" s="53"/>
    </row>
    <row r="574" spans="7:26" ht="30" customHeight="1" x14ac:dyDescent="0.3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18"/>
        <v>0</v>
      </c>
      <c r="W574"/>
      <c r="X574" s="53"/>
      <c r="Y574"/>
      <c r="Z574" s="53"/>
    </row>
    <row r="575" spans="7:26" ht="30" customHeight="1" x14ac:dyDescent="0.3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18"/>
        <v>0</v>
      </c>
      <c r="W575"/>
      <c r="X575" s="53"/>
      <c r="Y575"/>
      <c r="Z575" s="53"/>
    </row>
    <row r="576" spans="7:26" ht="30" customHeight="1" x14ac:dyDescent="0.3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18"/>
        <v>0</v>
      </c>
      <c r="W576"/>
      <c r="X576" s="53"/>
      <c r="Y576"/>
      <c r="Z576" s="53"/>
    </row>
    <row r="577" spans="7:26" ht="30" customHeight="1" x14ac:dyDescent="0.3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18"/>
        <v>0</v>
      </c>
      <c r="W577"/>
      <c r="X577" s="53"/>
      <c r="Y577"/>
      <c r="Z577" s="53"/>
    </row>
    <row r="578" spans="7:26" ht="30" customHeight="1" x14ac:dyDescent="0.3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18"/>
        <v>0</v>
      </c>
      <c r="W578"/>
      <c r="X578" s="53"/>
      <c r="Y578"/>
      <c r="Z578" s="53"/>
    </row>
    <row r="579" spans="7:26" ht="30" customHeight="1" x14ac:dyDescent="0.3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18"/>
        <v>0</v>
      </c>
      <c r="W579"/>
      <c r="X579" s="53"/>
      <c r="Y579"/>
      <c r="Z579" s="53"/>
    </row>
    <row r="580" spans="7:26" ht="30" customHeight="1" x14ac:dyDescent="0.3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18"/>
        <v>0</v>
      </c>
      <c r="W580"/>
      <c r="X580" s="53"/>
      <c r="Y580"/>
      <c r="Z580" s="53"/>
    </row>
    <row r="581" spans="7:26" ht="30" customHeight="1" x14ac:dyDescent="0.3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18"/>
        <v>0</v>
      </c>
      <c r="W581"/>
      <c r="X581" s="53"/>
      <c r="Y581"/>
      <c r="Z581" s="53"/>
    </row>
    <row r="582" spans="7:26" ht="30" customHeight="1" x14ac:dyDescent="0.3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18"/>
        <v>0</v>
      </c>
      <c r="W582"/>
      <c r="X582" s="53"/>
      <c r="Y582"/>
      <c r="Z582" s="53"/>
    </row>
    <row r="583" spans="7:26" ht="30" customHeight="1" x14ac:dyDescent="0.3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18"/>
        <v>0</v>
      </c>
      <c r="W583"/>
      <c r="X583" s="53"/>
      <c r="Y583"/>
      <c r="Z583" s="53"/>
    </row>
    <row r="584" spans="7:26" ht="30" customHeight="1" x14ac:dyDescent="0.3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18"/>
        <v>0</v>
      </c>
      <c r="W584"/>
      <c r="X584" s="53"/>
      <c r="Y584"/>
      <c r="Z584" s="53"/>
    </row>
    <row r="585" spans="7:26" ht="30" customHeight="1" x14ac:dyDescent="0.3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18"/>
        <v>0</v>
      </c>
      <c r="W585"/>
      <c r="X585" s="53"/>
      <c r="Y585"/>
      <c r="Z585" s="53"/>
    </row>
    <row r="586" spans="7:26" ht="30" customHeight="1" x14ac:dyDescent="0.3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18"/>
        <v>0</v>
      </c>
      <c r="W586"/>
      <c r="X586" s="53"/>
      <c r="Y586"/>
      <c r="Z586" s="53"/>
    </row>
    <row r="587" spans="7:26" ht="30" customHeight="1" x14ac:dyDescent="0.3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18"/>
        <v>0</v>
      </c>
      <c r="W587"/>
      <c r="X587" s="53"/>
      <c r="Y587"/>
      <c r="Z587" s="53"/>
    </row>
    <row r="588" spans="7:26" ht="30" customHeight="1" x14ac:dyDescent="0.3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18"/>
        <v>0</v>
      </c>
      <c r="W588"/>
      <c r="X588" s="53"/>
      <c r="Y588"/>
      <c r="Z588" s="53"/>
    </row>
    <row r="589" spans="7:26" ht="30" customHeight="1" x14ac:dyDescent="0.3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18"/>
        <v>0</v>
      </c>
      <c r="W589"/>
      <c r="X589" s="53"/>
      <c r="Y589"/>
      <c r="Z589" s="53"/>
    </row>
    <row r="590" spans="7:26" ht="30" customHeight="1" x14ac:dyDescent="0.3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18"/>
        <v>0</v>
      </c>
      <c r="W590"/>
      <c r="X590" s="53"/>
      <c r="Y590"/>
      <c r="Z590" s="53"/>
    </row>
    <row r="591" spans="7:26" ht="30" customHeight="1" x14ac:dyDescent="0.3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18"/>
        <v>0</v>
      </c>
      <c r="W591"/>
      <c r="X591" s="53"/>
      <c r="Y591"/>
      <c r="Z591" s="53"/>
    </row>
    <row r="592" spans="7:26" ht="30" customHeight="1" x14ac:dyDescent="0.3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18"/>
        <v>0</v>
      </c>
      <c r="W592"/>
      <c r="X592" s="53"/>
      <c r="Y592"/>
      <c r="Z592" s="53"/>
    </row>
    <row r="593" spans="7:26" ht="30" customHeight="1" x14ac:dyDescent="0.3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18"/>
        <v>0</v>
      </c>
      <c r="W593"/>
      <c r="X593" s="53"/>
      <c r="Y593"/>
      <c r="Z593" s="53"/>
    </row>
    <row r="594" spans="7:26" ht="30" customHeight="1" x14ac:dyDescent="0.3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18"/>
        <v>0</v>
      </c>
      <c r="W594"/>
      <c r="X594" s="53"/>
      <c r="Y594"/>
      <c r="Z594" s="53"/>
    </row>
    <row r="595" spans="7:26" ht="30" customHeight="1" x14ac:dyDescent="0.3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18"/>
        <v>0</v>
      </c>
      <c r="W595"/>
      <c r="X595" s="53"/>
      <c r="Y595"/>
      <c r="Z595" s="53"/>
    </row>
    <row r="596" spans="7:26" ht="30" customHeight="1" x14ac:dyDescent="0.3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18"/>
        <v>0</v>
      </c>
      <c r="W596"/>
      <c r="X596" s="53"/>
      <c r="Y596"/>
      <c r="Z596" s="53"/>
    </row>
    <row r="597" spans="7:26" ht="30" customHeight="1" x14ac:dyDescent="0.3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18"/>
        <v>0</v>
      </c>
      <c r="W597"/>
      <c r="X597" s="53"/>
      <c r="Y597"/>
      <c r="Z597" s="53"/>
    </row>
    <row r="598" spans="7:26" ht="30" customHeight="1" x14ac:dyDescent="0.3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18"/>
        <v>0</v>
      </c>
      <c r="W598"/>
      <c r="X598" s="53"/>
      <c r="Y598"/>
      <c r="Z598" s="53"/>
    </row>
    <row r="599" spans="7:26" ht="30" customHeight="1" x14ac:dyDescent="0.3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18"/>
        <v>0</v>
      </c>
      <c r="W599"/>
      <c r="X599" s="53"/>
      <c r="Y599"/>
      <c r="Z599" s="53"/>
    </row>
    <row r="600" spans="7:26" ht="30" customHeight="1" x14ac:dyDescent="0.3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18"/>
        <v>0</v>
      </c>
      <c r="W600"/>
      <c r="X600" s="53"/>
      <c r="Y600"/>
      <c r="Z600" s="53"/>
    </row>
    <row r="601" spans="7:26" ht="30" customHeight="1" x14ac:dyDescent="0.3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si="18"/>
        <v>0</v>
      </c>
      <c r="W601"/>
      <c r="X601" s="53"/>
      <c r="Y601"/>
      <c r="Z601" s="53"/>
    </row>
    <row r="602" spans="7:26" ht="30" customHeight="1" x14ac:dyDescent="0.3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si="18"/>
        <v>0</v>
      </c>
      <c r="W602"/>
      <c r="X602" s="53"/>
      <c r="Y602"/>
      <c r="Z602" s="53"/>
    </row>
    <row r="603" spans="7:26" ht="30" customHeight="1" x14ac:dyDescent="0.3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18"/>
        <v>0</v>
      </c>
      <c r="W603"/>
      <c r="X603" s="53"/>
      <c r="Y603"/>
      <c r="Z603" s="53"/>
    </row>
    <row r="604" spans="7:26" ht="30" customHeight="1" x14ac:dyDescent="0.3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18"/>
        <v>0</v>
      </c>
      <c r="W604"/>
      <c r="X604" s="53"/>
      <c r="Y604"/>
      <c r="Z604" s="53"/>
    </row>
    <row r="605" spans="7:26" ht="30" customHeight="1" x14ac:dyDescent="0.3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ref="U605:U668" si="19">E605+H605</f>
        <v>0</v>
      </c>
      <c r="W605"/>
      <c r="X605" s="53"/>
      <c r="Y605"/>
      <c r="Z605" s="53"/>
    </row>
    <row r="606" spans="7:26" ht="30" customHeight="1" x14ac:dyDescent="0.3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19"/>
        <v>0</v>
      </c>
      <c r="W606"/>
      <c r="X606" s="53"/>
      <c r="Y606"/>
      <c r="Z606" s="53"/>
    </row>
    <row r="607" spans="7:26" ht="30" customHeight="1" x14ac:dyDescent="0.3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19"/>
        <v>0</v>
      </c>
      <c r="W607"/>
      <c r="X607" s="53"/>
      <c r="Y607"/>
      <c r="Z607" s="53"/>
    </row>
    <row r="608" spans="7:26" ht="30" customHeight="1" x14ac:dyDescent="0.3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19"/>
        <v>0</v>
      </c>
      <c r="W608"/>
      <c r="X608" s="53"/>
      <c r="Y608"/>
      <c r="Z608" s="53"/>
    </row>
    <row r="609" spans="7:26" ht="30" customHeight="1" x14ac:dyDescent="0.3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19"/>
        <v>0</v>
      </c>
      <c r="W609"/>
      <c r="X609" s="53"/>
      <c r="Y609"/>
      <c r="Z609" s="53"/>
    </row>
    <row r="610" spans="7:26" ht="30" customHeight="1" x14ac:dyDescent="0.3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19"/>
        <v>0</v>
      </c>
      <c r="W610"/>
      <c r="X610" s="53"/>
      <c r="Y610"/>
      <c r="Z610" s="53"/>
    </row>
    <row r="611" spans="7:26" ht="30" customHeight="1" x14ac:dyDescent="0.3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19"/>
        <v>0</v>
      </c>
      <c r="W611"/>
      <c r="X611" s="53"/>
      <c r="Y611"/>
      <c r="Z611" s="53"/>
    </row>
    <row r="612" spans="7:26" ht="30" customHeight="1" x14ac:dyDescent="0.3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19"/>
        <v>0</v>
      </c>
      <c r="W612"/>
      <c r="X612" s="53"/>
      <c r="Y612"/>
      <c r="Z612" s="53"/>
    </row>
    <row r="613" spans="7:26" ht="30" customHeight="1" x14ac:dyDescent="0.3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19"/>
        <v>0</v>
      </c>
      <c r="W613"/>
      <c r="X613" s="53"/>
      <c r="Y613"/>
      <c r="Z613" s="53"/>
    </row>
    <row r="614" spans="7:26" ht="30" customHeight="1" x14ac:dyDescent="0.3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19"/>
        <v>0</v>
      </c>
      <c r="W614"/>
      <c r="X614" s="53"/>
      <c r="Y614"/>
      <c r="Z614" s="53"/>
    </row>
    <row r="615" spans="7:26" ht="30" customHeight="1" x14ac:dyDescent="0.3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19"/>
        <v>0</v>
      </c>
      <c r="W615"/>
      <c r="X615" s="53"/>
      <c r="Y615"/>
      <c r="Z615" s="53"/>
    </row>
    <row r="616" spans="7:26" ht="30" customHeight="1" x14ac:dyDescent="0.3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19"/>
        <v>0</v>
      </c>
      <c r="W616"/>
      <c r="X616" s="53"/>
      <c r="Y616"/>
      <c r="Z616" s="53"/>
    </row>
    <row r="617" spans="7:26" ht="30" customHeight="1" x14ac:dyDescent="0.3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19"/>
        <v>0</v>
      </c>
      <c r="W617"/>
      <c r="X617" s="53"/>
      <c r="Y617"/>
      <c r="Z617" s="53"/>
    </row>
    <row r="618" spans="7:26" ht="30" customHeight="1" x14ac:dyDescent="0.3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19"/>
        <v>0</v>
      </c>
      <c r="W618"/>
      <c r="X618" s="53"/>
      <c r="Y618"/>
      <c r="Z618" s="53"/>
    </row>
    <row r="619" spans="7:26" ht="30" customHeight="1" x14ac:dyDescent="0.3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si="19"/>
        <v>0</v>
      </c>
      <c r="W619"/>
      <c r="X619" s="53"/>
      <c r="Y619"/>
      <c r="Z619" s="53"/>
    </row>
    <row r="620" spans="7:26" ht="30" customHeight="1" x14ac:dyDescent="0.3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19"/>
        <v>0</v>
      </c>
      <c r="W620"/>
      <c r="X620" s="53"/>
      <c r="Y620"/>
      <c r="Z620" s="53"/>
    </row>
    <row r="621" spans="7:26" ht="30" customHeight="1" x14ac:dyDescent="0.3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19"/>
        <v>0</v>
      </c>
      <c r="W621"/>
      <c r="X621" s="53"/>
      <c r="Y621"/>
      <c r="Z621" s="53"/>
    </row>
    <row r="622" spans="7:26" ht="30" customHeight="1" x14ac:dyDescent="0.3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19"/>
        <v>0</v>
      </c>
      <c r="W622"/>
      <c r="X622" s="53"/>
      <c r="Y622"/>
      <c r="Z622" s="53"/>
    </row>
    <row r="623" spans="7:26" ht="30" customHeight="1" x14ac:dyDescent="0.3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19"/>
        <v>0</v>
      </c>
      <c r="W623"/>
      <c r="X623" s="53"/>
      <c r="Y623"/>
      <c r="Z623" s="53"/>
    </row>
    <row r="624" spans="7:26" ht="30" customHeight="1" x14ac:dyDescent="0.3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19"/>
        <v>0</v>
      </c>
      <c r="W624"/>
      <c r="X624" s="53"/>
      <c r="Y624"/>
      <c r="Z624" s="53"/>
    </row>
    <row r="625" spans="7:26" ht="30" customHeight="1" x14ac:dyDescent="0.3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19"/>
        <v>0</v>
      </c>
      <c r="W625"/>
      <c r="X625" s="53"/>
      <c r="Y625"/>
      <c r="Z625" s="53"/>
    </row>
    <row r="626" spans="7:26" ht="30" customHeight="1" x14ac:dyDescent="0.3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si="19"/>
        <v>0</v>
      </c>
      <c r="W626"/>
      <c r="X626" s="53"/>
      <c r="Y626"/>
      <c r="Z626" s="53"/>
    </row>
    <row r="627" spans="7:26" ht="30" customHeight="1" x14ac:dyDescent="0.3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19"/>
        <v>0</v>
      </c>
      <c r="W627"/>
      <c r="X627" s="53"/>
      <c r="Y627"/>
      <c r="Z627" s="53"/>
    </row>
    <row r="628" spans="7:26" ht="30" customHeight="1" x14ac:dyDescent="0.3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19"/>
        <v>0</v>
      </c>
      <c r="W628"/>
      <c r="X628" s="53"/>
      <c r="Y628"/>
      <c r="Z628" s="53"/>
    </row>
    <row r="629" spans="7:26" ht="30" customHeight="1" x14ac:dyDescent="0.3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si="19"/>
        <v>0</v>
      </c>
      <c r="W629"/>
      <c r="X629" s="53"/>
      <c r="Y629"/>
      <c r="Z629" s="53"/>
    </row>
    <row r="630" spans="7:26" ht="30" customHeight="1" x14ac:dyDescent="0.3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19"/>
        <v>0</v>
      </c>
      <c r="W630"/>
      <c r="X630" s="53"/>
      <c r="Y630"/>
      <c r="Z630" s="53"/>
    </row>
    <row r="631" spans="7:26" ht="30" customHeight="1" x14ac:dyDescent="0.3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19"/>
        <v>0</v>
      </c>
      <c r="W631"/>
      <c r="X631" s="53"/>
      <c r="Y631"/>
      <c r="Z631" s="53"/>
    </row>
    <row r="632" spans="7:26" ht="30" customHeight="1" x14ac:dyDescent="0.3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19"/>
        <v>0</v>
      </c>
      <c r="W632"/>
      <c r="X632" s="53"/>
      <c r="Y632"/>
      <c r="Z632" s="53"/>
    </row>
    <row r="633" spans="7:26" ht="30" customHeight="1" x14ac:dyDescent="0.3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19"/>
        <v>0</v>
      </c>
      <c r="W633"/>
      <c r="X633" s="53"/>
      <c r="Y633"/>
      <c r="Z633" s="53"/>
    </row>
    <row r="634" spans="7:26" ht="30" customHeight="1" x14ac:dyDescent="0.3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19"/>
        <v>0</v>
      </c>
      <c r="W634"/>
      <c r="X634" s="53"/>
      <c r="Y634"/>
      <c r="Z634" s="53"/>
    </row>
    <row r="635" spans="7:26" ht="30" customHeight="1" x14ac:dyDescent="0.3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19"/>
        <v>0</v>
      </c>
      <c r="W635"/>
      <c r="X635" s="53"/>
      <c r="Y635"/>
      <c r="Z635" s="53"/>
    </row>
    <row r="636" spans="7:26" ht="30" customHeight="1" x14ac:dyDescent="0.3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19"/>
        <v>0</v>
      </c>
      <c r="W636"/>
      <c r="X636" s="53"/>
      <c r="Y636"/>
      <c r="Z636" s="53"/>
    </row>
    <row r="637" spans="7:26" ht="30" customHeight="1" x14ac:dyDescent="0.3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19"/>
        <v>0</v>
      </c>
      <c r="W637"/>
      <c r="X637" s="53"/>
      <c r="Y637"/>
      <c r="Z637" s="53"/>
    </row>
    <row r="638" spans="7:26" ht="30" customHeight="1" x14ac:dyDescent="0.3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19"/>
        <v>0</v>
      </c>
      <c r="W638"/>
      <c r="X638" s="53"/>
      <c r="Y638"/>
      <c r="Z638" s="53"/>
    </row>
    <row r="639" spans="7:26" ht="30" customHeight="1" x14ac:dyDescent="0.3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19"/>
        <v>0</v>
      </c>
      <c r="W639"/>
      <c r="X639" s="53"/>
      <c r="Y639"/>
      <c r="Z639" s="53"/>
    </row>
    <row r="640" spans="7:26" ht="30" customHeight="1" x14ac:dyDescent="0.3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19"/>
        <v>0</v>
      </c>
      <c r="W640"/>
      <c r="X640" s="53"/>
      <c r="Y640"/>
      <c r="Z640" s="53"/>
    </row>
    <row r="641" spans="7:26" ht="30" customHeight="1" x14ac:dyDescent="0.3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19"/>
        <v>0</v>
      </c>
      <c r="W641"/>
      <c r="X641" s="53"/>
      <c r="Y641"/>
      <c r="Z641" s="53"/>
    </row>
    <row r="642" spans="7:26" ht="30" customHeight="1" x14ac:dyDescent="0.3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19"/>
        <v>0</v>
      </c>
      <c r="W642"/>
      <c r="X642" s="53"/>
      <c r="Y642"/>
      <c r="Z642" s="53"/>
    </row>
    <row r="643" spans="7:26" ht="30" customHeight="1" x14ac:dyDescent="0.3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19"/>
        <v>0</v>
      </c>
      <c r="W643"/>
      <c r="X643" s="53"/>
      <c r="Y643"/>
      <c r="Z643" s="53"/>
    </row>
    <row r="644" spans="7:26" ht="30" customHeight="1" x14ac:dyDescent="0.3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19"/>
        <v>0</v>
      </c>
      <c r="W644"/>
      <c r="X644" s="53"/>
      <c r="Y644"/>
      <c r="Z644" s="53"/>
    </row>
    <row r="645" spans="7:26" ht="30" customHeight="1" x14ac:dyDescent="0.3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19"/>
        <v>0</v>
      </c>
      <c r="W645"/>
      <c r="X645" s="53"/>
      <c r="Y645"/>
      <c r="Z645" s="53"/>
    </row>
    <row r="646" spans="7:26" ht="30" customHeight="1" x14ac:dyDescent="0.3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19"/>
        <v>0</v>
      </c>
      <c r="W646"/>
      <c r="X646" s="53"/>
      <c r="Y646"/>
      <c r="Z646" s="53"/>
    </row>
    <row r="647" spans="7:26" ht="30" customHeight="1" x14ac:dyDescent="0.3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19"/>
        <v>0</v>
      </c>
      <c r="W647"/>
      <c r="X647" s="53"/>
      <c r="Y647"/>
      <c r="Z647" s="53"/>
    </row>
    <row r="648" spans="7:26" ht="30" customHeight="1" x14ac:dyDescent="0.3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19"/>
        <v>0</v>
      </c>
      <c r="W648"/>
      <c r="X648" s="53"/>
      <c r="Y648"/>
      <c r="Z648" s="53"/>
    </row>
    <row r="649" spans="7:26" ht="30" customHeight="1" x14ac:dyDescent="0.3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19"/>
        <v>0</v>
      </c>
      <c r="W649"/>
      <c r="X649" s="53"/>
      <c r="Y649"/>
      <c r="Z649" s="53"/>
    </row>
    <row r="650" spans="7:26" ht="30" customHeight="1" x14ac:dyDescent="0.3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19"/>
        <v>0</v>
      </c>
      <c r="W650"/>
      <c r="X650" s="53"/>
      <c r="Y650"/>
      <c r="Z650" s="53"/>
    </row>
    <row r="651" spans="7:26" ht="30" customHeight="1" x14ac:dyDescent="0.3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19"/>
        <v>0</v>
      </c>
      <c r="W651"/>
      <c r="X651" s="53"/>
      <c r="Y651"/>
      <c r="Z651" s="53"/>
    </row>
    <row r="652" spans="7:26" ht="30" customHeight="1" x14ac:dyDescent="0.3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19"/>
        <v>0</v>
      </c>
      <c r="W652"/>
      <c r="X652" s="53"/>
      <c r="Y652"/>
      <c r="Z652" s="53"/>
    </row>
    <row r="653" spans="7:26" ht="30" customHeight="1" x14ac:dyDescent="0.3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19"/>
        <v>0</v>
      </c>
      <c r="W653"/>
      <c r="X653" s="53"/>
      <c r="Y653"/>
      <c r="Z653" s="53"/>
    </row>
    <row r="654" spans="7:26" ht="30" customHeight="1" x14ac:dyDescent="0.3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19"/>
        <v>0</v>
      </c>
      <c r="W654"/>
      <c r="X654" s="53"/>
      <c r="Y654"/>
      <c r="Z654" s="53"/>
    </row>
    <row r="655" spans="7:26" ht="30" customHeight="1" x14ac:dyDescent="0.3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19"/>
        <v>0</v>
      </c>
      <c r="W655"/>
      <c r="X655" s="53"/>
      <c r="Y655"/>
      <c r="Z655" s="53"/>
    </row>
    <row r="656" spans="7:26" ht="30" customHeight="1" x14ac:dyDescent="0.3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19"/>
        <v>0</v>
      </c>
      <c r="W656"/>
      <c r="X656" s="53"/>
      <c r="Y656"/>
      <c r="Z656" s="53"/>
    </row>
    <row r="657" spans="7:26" ht="30" customHeight="1" x14ac:dyDescent="0.3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19"/>
        <v>0</v>
      </c>
      <c r="W657"/>
      <c r="X657" s="53"/>
      <c r="Y657"/>
      <c r="Z657" s="53"/>
    </row>
    <row r="658" spans="7:26" ht="30" customHeight="1" x14ac:dyDescent="0.3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19"/>
        <v>0</v>
      </c>
      <c r="W658"/>
      <c r="X658" s="53"/>
      <c r="Y658"/>
      <c r="Z658" s="53"/>
    </row>
    <row r="659" spans="7:26" ht="30" customHeight="1" x14ac:dyDescent="0.3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19"/>
        <v>0</v>
      </c>
      <c r="W659"/>
      <c r="X659" s="53"/>
      <c r="Y659"/>
      <c r="Z659" s="53"/>
    </row>
    <row r="660" spans="7:26" ht="30" customHeight="1" x14ac:dyDescent="0.3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19"/>
        <v>0</v>
      </c>
      <c r="W660"/>
      <c r="X660" s="53"/>
      <c r="Y660"/>
      <c r="Z660" s="53"/>
    </row>
    <row r="661" spans="7:26" ht="30" customHeight="1" x14ac:dyDescent="0.3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19"/>
        <v>0</v>
      </c>
      <c r="W661"/>
      <c r="X661" s="53"/>
      <c r="Y661"/>
      <c r="Z661" s="53"/>
    </row>
    <row r="662" spans="7:26" ht="30" customHeight="1" x14ac:dyDescent="0.3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19"/>
        <v>0</v>
      </c>
      <c r="W662"/>
      <c r="X662" s="53"/>
      <c r="Y662"/>
      <c r="Z662" s="53"/>
    </row>
    <row r="663" spans="7:26" ht="30" customHeight="1" x14ac:dyDescent="0.3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19"/>
        <v>0</v>
      </c>
      <c r="W663"/>
      <c r="X663" s="53"/>
      <c r="Y663"/>
      <c r="Z663" s="53"/>
    </row>
    <row r="664" spans="7:26" ht="30" customHeight="1" x14ac:dyDescent="0.3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19"/>
        <v>0</v>
      </c>
      <c r="W664"/>
      <c r="X664" s="53"/>
      <c r="Y664"/>
      <c r="Z664" s="53"/>
    </row>
    <row r="665" spans="7:26" ht="30" customHeight="1" x14ac:dyDescent="0.3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si="19"/>
        <v>0</v>
      </c>
      <c r="W665"/>
      <c r="X665" s="53"/>
      <c r="Y665"/>
      <c r="Z665" s="53"/>
    </row>
    <row r="666" spans="7:26" ht="30" customHeight="1" x14ac:dyDescent="0.3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si="19"/>
        <v>0</v>
      </c>
      <c r="W666"/>
      <c r="X666" s="53"/>
      <c r="Y666"/>
      <c r="Z666" s="53"/>
    </row>
    <row r="667" spans="7:26" ht="30" customHeight="1" x14ac:dyDescent="0.3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19"/>
        <v>0</v>
      </c>
      <c r="W667"/>
      <c r="X667" s="53"/>
      <c r="Y667"/>
      <c r="Z667" s="53"/>
    </row>
    <row r="668" spans="7:26" ht="30" customHeight="1" x14ac:dyDescent="0.3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19"/>
        <v>0</v>
      </c>
      <c r="W668"/>
      <c r="X668" s="53"/>
      <c r="Y668"/>
      <c r="Z668" s="53"/>
    </row>
    <row r="669" spans="7:26" ht="30" customHeight="1" x14ac:dyDescent="0.3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ref="U669:U732" si="20">E669+H669</f>
        <v>0</v>
      </c>
      <c r="W669"/>
      <c r="X669" s="53"/>
      <c r="Y669"/>
      <c r="Z669" s="53"/>
    </row>
    <row r="670" spans="7:26" ht="30" customHeight="1" x14ac:dyDescent="0.3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20"/>
        <v>0</v>
      </c>
      <c r="W670"/>
      <c r="X670" s="53"/>
      <c r="Y670"/>
      <c r="Z670" s="53"/>
    </row>
    <row r="671" spans="7:26" ht="30" customHeight="1" x14ac:dyDescent="0.3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20"/>
        <v>0</v>
      </c>
      <c r="W671"/>
      <c r="X671" s="53"/>
      <c r="Y671"/>
      <c r="Z671" s="53"/>
    </row>
    <row r="672" spans="7:26" ht="30" customHeight="1" x14ac:dyDescent="0.3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20"/>
        <v>0</v>
      </c>
      <c r="W672"/>
      <c r="X672" s="53"/>
      <c r="Y672"/>
      <c r="Z672" s="53"/>
    </row>
    <row r="673" spans="7:26" ht="30" customHeight="1" x14ac:dyDescent="0.3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20"/>
        <v>0</v>
      </c>
      <c r="W673"/>
      <c r="X673" s="53"/>
      <c r="Y673"/>
      <c r="Z673" s="53"/>
    </row>
    <row r="674" spans="7:26" ht="30" customHeight="1" x14ac:dyDescent="0.3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20"/>
        <v>0</v>
      </c>
      <c r="W674"/>
      <c r="X674" s="53"/>
      <c r="Y674"/>
      <c r="Z674" s="53"/>
    </row>
    <row r="675" spans="7:26" ht="30" customHeight="1" x14ac:dyDescent="0.3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20"/>
        <v>0</v>
      </c>
      <c r="W675"/>
      <c r="X675" s="53"/>
      <c r="Y675"/>
      <c r="Z675" s="53"/>
    </row>
    <row r="676" spans="7:26" ht="30" customHeight="1" x14ac:dyDescent="0.3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20"/>
        <v>0</v>
      </c>
      <c r="W676"/>
      <c r="X676" s="53"/>
      <c r="Y676"/>
      <c r="Z676" s="53"/>
    </row>
    <row r="677" spans="7:26" ht="30" customHeight="1" x14ac:dyDescent="0.3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20"/>
        <v>0</v>
      </c>
      <c r="W677"/>
      <c r="X677" s="53"/>
      <c r="Y677"/>
      <c r="Z677" s="53"/>
    </row>
    <row r="678" spans="7:26" ht="30" customHeight="1" x14ac:dyDescent="0.3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20"/>
        <v>0</v>
      </c>
      <c r="W678"/>
      <c r="X678" s="53"/>
      <c r="Y678"/>
      <c r="Z678" s="53"/>
    </row>
    <row r="679" spans="7:26" ht="30" customHeight="1" x14ac:dyDescent="0.3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20"/>
        <v>0</v>
      </c>
      <c r="W679"/>
      <c r="X679" s="53"/>
      <c r="Y679"/>
      <c r="Z679" s="53"/>
    </row>
    <row r="680" spans="7:26" ht="30" customHeight="1" x14ac:dyDescent="0.3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20"/>
        <v>0</v>
      </c>
      <c r="W680"/>
      <c r="X680" s="53"/>
      <c r="Y680"/>
      <c r="Z680" s="53"/>
    </row>
    <row r="681" spans="7:26" ht="30" customHeight="1" x14ac:dyDescent="0.3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20"/>
        <v>0</v>
      </c>
      <c r="W681"/>
      <c r="X681" s="53"/>
      <c r="Y681"/>
      <c r="Z681" s="53"/>
    </row>
    <row r="682" spans="7:26" ht="30" customHeight="1" x14ac:dyDescent="0.3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20"/>
        <v>0</v>
      </c>
      <c r="W682"/>
      <c r="X682" s="53"/>
      <c r="Y682"/>
      <c r="Z682" s="53"/>
    </row>
    <row r="683" spans="7:26" ht="30" customHeight="1" x14ac:dyDescent="0.3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si="20"/>
        <v>0</v>
      </c>
      <c r="W683"/>
      <c r="X683" s="53"/>
      <c r="Y683"/>
      <c r="Z683" s="53"/>
    </row>
    <row r="684" spans="7:26" ht="30" customHeight="1" x14ac:dyDescent="0.3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20"/>
        <v>0</v>
      </c>
      <c r="W684"/>
      <c r="X684" s="53"/>
      <c r="Y684"/>
      <c r="Z684" s="53"/>
    </row>
    <row r="685" spans="7:26" ht="30" customHeight="1" x14ac:dyDescent="0.3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20"/>
        <v>0</v>
      </c>
      <c r="W685"/>
      <c r="X685" s="53"/>
      <c r="Y685"/>
      <c r="Z685" s="53"/>
    </row>
    <row r="686" spans="7:26" ht="30" customHeight="1" x14ac:dyDescent="0.3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20"/>
        <v>0</v>
      </c>
      <c r="W686"/>
      <c r="X686" s="53"/>
      <c r="Y686"/>
      <c r="Z686" s="53"/>
    </row>
    <row r="687" spans="7:26" ht="30" customHeight="1" x14ac:dyDescent="0.3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20"/>
        <v>0</v>
      </c>
      <c r="W687"/>
      <c r="X687" s="53"/>
      <c r="Y687"/>
      <c r="Z687" s="53"/>
    </row>
    <row r="688" spans="7:26" ht="30" customHeight="1" x14ac:dyDescent="0.3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20"/>
        <v>0</v>
      </c>
      <c r="W688"/>
      <c r="X688" s="53"/>
      <c r="Y688"/>
      <c r="Z688" s="53"/>
    </row>
    <row r="689" spans="7:26" ht="30" customHeight="1" x14ac:dyDescent="0.3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20"/>
        <v>0</v>
      </c>
      <c r="W689"/>
      <c r="X689" s="53"/>
      <c r="Y689"/>
      <c r="Z689" s="53"/>
    </row>
    <row r="690" spans="7:26" ht="30" customHeight="1" x14ac:dyDescent="0.3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si="20"/>
        <v>0</v>
      </c>
      <c r="W690"/>
      <c r="X690" s="53"/>
      <c r="Y690"/>
      <c r="Z690" s="53"/>
    </row>
    <row r="691" spans="7:26" ht="30" customHeight="1" x14ac:dyDescent="0.3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20"/>
        <v>0</v>
      </c>
      <c r="W691"/>
      <c r="X691" s="53"/>
      <c r="Y691"/>
      <c r="Z691" s="53"/>
    </row>
    <row r="692" spans="7:26" ht="30" customHeight="1" x14ac:dyDescent="0.3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20"/>
        <v>0</v>
      </c>
      <c r="W692"/>
      <c r="X692" s="53"/>
      <c r="Y692"/>
      <c r="Z692" s="53"/>
    </row>
    <row r="693" spans="7:26" ht="30" customHeight="1" x14ac:dyDescent="0.3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si="20"/>
        <v>0</v>
      </c>
      <c r="W693"/>
      <c r="X693" s="53"/>
      <c r="Y693"/>
      <c r="Z693" s="53"/>
    </row>
    <row r="694" spans="7:26" ht="30" customHeight="1" x14ac:dyDescent="0.3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20"/>
        <v>0</v>
      </c>
      <c r="W694"/>
      <c r="X694" s="53"/>
      <c r="Y694"/>
      <c r="Z694" s="53"/>
    </row>
    <row r="695" spans="7:26" ht="30" customHeight="1" x14ac:dyDescent="0.3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20"/>
        <v>0</v>
      </c>
      <c r="W695"/>
      <c r="X695" s="53"/>
      <c r="Y695"/>
      <c r="Z695" s="53"/>
    </row>
    <row r="696" spans="7:26" ht="30" customHeight="1" x14ac:dyDescent="0.3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20"/>
        <v>0</v>
      </c>
      <c r="W696"/>
      <c r="X696" s="53"/>
      <c r="Y696"/>
      <c r="Z696" s="53"/>
    </row>
    <row r="697" spans="7:26" ht="30" customHeight="1" x14ac:dyDescent="0.3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20"/>
        <v>0</v>
      </c>
      <c r="W697"/>
      <c r="X697" s="53"/>
      <c r="Y697"/>
      <c r="Z697" s="53"/>
    </row>
    <row r="698" spans="7:26" ht="30" customHeight="1" x14ac:dyDescent="0.3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20"/>
        <v>0</v>
      </c>
      <c r="W698"/>
      <c r="X698" s="53"/>
      <c r="Y698"/>
      <c r="Z698" s="53"/>
    </row>
    <row r="699" spans="7:26" ht="30" customHeight="1" x14ac:dyDescent="0.3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20"/>
        <v>0</v>
      </c>
      <c r="W699"/>
      <c r="X699" s="53"/>
      <c r="Y699"/>
      <c r="Z699" s="53"/>
    </row>
    <row r="700" spans="7:26" ht="30" customHeight="1" x14ac:dyDescent="0.3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20"/>
        <v>0</v>
      </c>
      <c r="W700"/>
      <c r="X700" s="53"/>
      <c r="Y700"/>
      <c r="Z700" s="53"/>
    </row>
    <row r="701" spans="7:26" ht="30" customHeight="1" x14ac:dyDescent="0.3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20"/>
        <v>0</v>
      </c>
      <c r="W701"/>
      <c r="X701" s="53"/>
      <c r="Y701"/>
      <c r="Z701" s="53"/>
    </row>
    <row r="702" spans="7:26" ht="30" customHeight="1" x14ac:dyDescent="0.3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20"/>
        <v>0</v>
      </c>
      <c r="W702"/>
      <c r="X702" s="53"/>
      <c r="Y702"/>
      <c r="Z702" s="53"/>
    </row>
    <row r="703" spans="7:26" ht="30" customHeight="1" x14ac:dyDescent="0.3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20"/>
        <v>0</v>
      </c>
      <c r="W703"/>
      <c r="X703" s="53"/>
      <c r="Y703"/>
      <c r="Z703" s="53"/>
    </row>
    <row r="704" spans="7:26" ht="30" customHeight="1" x14ac:dyDescent="0.3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20"/>
        <v>0</v>
      </c>
      <c r="W704"/>
      <c r="X704" s="53"/>
      <c r="Y704"/>
      <c r="Z704" s="53"/>
    </row>
    <row r="705" spans="7:26" ht="30" customHeight="1" x14ac:dyDescent="0.3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20"/>
        <v>0</v>
      </c>
      <c r="W705"/>
      <c r="X705" s="53"/>
      <c r="Y705"/>
      <c r="Z705" s="53"/>
    </row>
    <row r="706" spans="7:26" ht="30" customHeight="1" x14ac:dyDescent="0.3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20"/>
        <v>0</v>
      </c>
      <c r="W706"/>
      <c r="X706" s="53"/>
      <c r="Y706"/>
      <c r="Z706" s="53"/>
    </row>
    <row r="707" spans="7:26" ht="30" customHeight="1" x14ac:dyDescent="0.3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20"/>
        <v>0</v>
      </c>
      <c r="W707"/>
      <c r="X707" s="53"/>
      <c r="Y707"/>
      <c r="Z707" s="53"/>
    </row>
    <row r="708" spans="7:26" ht="30" customHeight="1" x14ac:dyDescent="0.3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20"/>
        <v>0</v>
      </c>
      <c r="W708"/>
      <c r="X708" s="53"/>
      <c r="Y708"/>
      <c r="Z708" s="53"/>
    </row>
    <row r="709" spans="7:26" ht="30" customHeight="1" x14ac:dyDescent="0.3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20"/>
        <v>0</v>
      </c>
      <c r="W709"/>
      <c r="X709" s="53"/>
      <c r="Y709"/>
      <c r="Z709" s="53"/>
    </row>
    <row r="710" spans="7:26" ht="30" customHeight="1" x14ac:dyDescent="0.3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20"/>
        <v>0</v>
      </c>
      <c r="W710"/>
      <c r="X710" s="53"/>
      <c r="Y710"/>
      <c r="Z710" s="53"/>
    </row>
    <row r="711" spans="7:26" ht="30" customHeight="1" x14ac:dyDescent="0.3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20"/>
        <v>0</v>
      </c>
      <c r="W711"/>
      <c r="X711" s="53"/>
      <c r="Y711"/>
      <c r="Z711" s="53"/>
    </row>
    <row r="712" spans="7:26" ht="30" customHeight="1" x14ac:dyDescent="0.3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20"/>
        <v>0</v>
      </c>
      <c r="W712"/>
      <c r="X712" s="53"/>
      <c r="Y712"/>
      <c r="Z712" s="53"/>
    </row>
    <row r="713" spans="7:26" ht="30" customHeight="1" x14ac:dyDescent="0.3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20"/>
        <v>0</v>
      </c>
      <c r="W713"/>
      <c r="X713" s="53"/>
      <c r="Y713"/>
      <c r="Z713" s="53"/>
    </row>
    <row r="714" spans="7:26" ht="30" customHeight="1" x14ac:dyDescent="0.3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20"/>
        <v>0</v>
      </c>
      <c r="W714"/>
      <c r="X714" s="53"/>
      <c r="Y714"/>
      <c r="Z714" s="53"/>
    </row>
    <row r="715" spans="7:26" ht="30" customHeight="1" x14ac:dyDescent="0.3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20"/>
        <v>0</v>
      </c>
      <c r="W715"/>
      <c r="X715" s="53"/>
      <c r="Y715"/>
      <c r="Z715" s="53"/>
    </row>
    <row r="716" spans="7:26" ht="30" customHeight="1" x14ac:dyDescent="0.3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20"/>
        <v>0</v>
      </c>
      <c r="W716"/>
      <c r="X716" s="53"/>
      <c r="Y716"/>
      <c r="Z716" s="53"/>
    </row>
    <row r="717" spans="7:26" ht="30" customHeight="1" x14ac:dyDescent="0.3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20"/>
        <v>0</v>
      </c>
      <c r="W717"/>
      <c r="X717" s="53"/>
      <c r="Y717"/>
      <c r="Z717" s="53"/>
    </row>
    <row r="718" spans="7:26" ht="30" customHeight="1" x14ac:dyDescent="0.3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20"/>
        <v>0</v>
      </c>
      <c r="W718"/>
      <c r="X718" s="53"/>
      <c r="Y718"/>
      <c r="Z718" s="53"/>
    </row>
    <row r="719" spans="7:26" ht="30" customHeight="1" x14ac:dyDescent="0.3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20"/>
        <v>0</v>
      </c>
      <c r="W719"/>
      <c r="X719" s="53"/>
      <c r="Y719"/>
      <c r="Z719" s="53"/>
    </row>
    <row r="720" spans="7:26" ht="30" customHeight="1" x14ac:dyDescent="0.3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20"/>
        <v>0</v>
      </c>
      <c r="W720"/>
      <c r="X720" s="53"/>
      <c r="Y720"/>
      <c r="Z720" s="53"/>
    </row>
    <row r="721" spans="7:26" ht="30" customHeight="1" x14ac:dyDescent="0.3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20"/>
        <v>0</v>
      </c>
      <c r="W721"/>
      <c r="X721" s="53"/>
      <c r="Y721"/>
      <c r="Z721" s="53"/>
    </row>
    <row r="722" spans="7:26" ht="30" customHeight="1" x14ac:dyDescent="0.3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20"/>
        <v>0</v>
      </c>
      <c r="W722"/>
      <c r="X722" s="53"/>
      <c r="Y722"/>
      <c r="Z722" s="53"/>
    </row>
    <row r="723" spans="7:26" ht="30" customHeight="1" x14ac:dyDescent="0.3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20"/>
        <v>0</v>
      </c>
      <c r="W723"/>
      <c r="X723" s="53"/>
      <c r="Y723"/>
      <c r="Z723" s="53"/>
    </row>
    <row r="724" spans="7:26" ht="30" customHeight="1" x14ac:dyDescent="0.3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20"/>
        <v>0</v>
      </c>
      <c r="W724"/>
      <c r="X724" s="53"/>
      <c r="Y724"/>
      <c r="Z724" s="53"/>
    </row>
    <row r="725" spans="7:26" ht="30" customHeight="1" x14ac:dyDescent="0.3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20"/>
        <v>0</v>
      </c>
      <c r="W725"/>
      <c r="X725" s="53"/>
      <c r="Y725"/>
      <c r="Z725" s="53"/>
    </row>
    <row r="726" spans="7:26" ht="30" customHeight="1" x14ac:dyDescent="0.3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20"/>
        <v>0</v>
      </c>
      <c r="W726"/>
      <c r="X726" s="53"/>
      <c r="Y726"/>
      <c r="Z726" s="53"/>
    </row>
    <row r="727" spans="7:26" ht="30" customHeight="1" x14ac:dyDescent="0.3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20"/>
        <v>0</v>
      </c>
      <c r="W727"/>
      <c r="X727" s="53"/>
      <c r="Y727"/>
      <c r="Z727" s="53"/>
    </row>
    <row r="728" spans="7:26" ht="30" customHeight="1" x14ac:dyDescent="0.3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20"/>
        <v>0</v>
      </c>
      <c r="W728"/>
      <c r="X728" s="53"/>
      <c r="Y728"/>
      <c r="Z728" s="53"/>
    </row>
    <row r="729" spans="7:26" ht="30" customHeight="1" x14ac:dyDescent="0.3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si="20"/>
        <v>0</v>
      </c>
      <c r="W729"/>
      <c r="X729" s="53"/>
      <c r="Y729"/>
      <c r="Z729" s="53"/>
    </row>
    <row r="730" spans="7:26" ht="30" customHeight="1" x14ac:dyDescent="0.3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si="20"/>
        <v>0</v>
      </c>
      <c r="W730"/>
      <c r="X730" s="53"/>
      <c r="Y730"/>
      <c r="Z730" s="53"/>
    </row>
    <row r="731" spans="7:26" ht="30" customHeight="1" x14ac:dyDescent="0.3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20"/>
        <v>0</v>
      </c>
      <c r="W731"/>
      <c r="X731" s="53"/>
      <c r="Y731"/>
      <c r="Z731" s="53"/>
    </row>
    <row r="732" spans="7:26" ht="30" customHeight="1" x14ac:dyDescent="0.3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20"/>
        <v>0</v>
      </c>
      <c r="W732"/>
      <c r="X732" s="53"/>
      <c r="Y732"/>
      <c r="Z732" s="53"/>
    </row>
    <row r="733" spans="7:26" ht="30" customHeight="1" x14ac:dyDescent="0.3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ref="U733:U796" si="21">E733+H733</f>
        <v>0</v>
      </c>
      <c r="W733"/>
      <c r="X733" s="53"/>
      <c r="Y733"/>
      <c r="Z733" s="53"/>
    </row>
    <row r="734" spans="7:26" ht="30" customHeight="1" x14ac:dyDescent="0.3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21"/>
        <v>0</v>
      </c>
      <c r="W734"/>
      <c r="X734" s="53"/>
      <c r="Y734"/>
      <c r="Z734" s="53"/>
    </row>
    <row r="735" spans="7:26" ht="30" customHeight="1" x14ac:dyDescent="0.3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21"/>
        <v>0</v>
      </c>
      <c r="W735"/>
      <c r="X735" s="53"/>
      <c r="Y735"/>
      <c r="Z735" s="53"/>
    </row>
    <row r="736" spans="7:26" ht="30" customHeight="1" x14ac:dyDescent="0.3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21"/>
        <v>0</v>
      </c>
      <c r="W736"/>
      <c r="X736" s="53"/>
      <c r="Y736"/>
      <c r="Z736" s="53"/>
    </row>
    <row r="737" spans="7:26" ht="30" customHeight="1" x14ac:dyDescent="0.3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21"/>
        <v>0</v>
      </c>
      <c r="W737"/>
      <c r="X737" s="53"/>
      <c r="Y737"/>
      <c r="Z737" s="53"/>
    </row>
    <row r="738" spans="7:26" ht="30" customHeight="1" x14ac:dyDescent="0.3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21"/>
        <v>0</v>
      </c>
      <c r="W738"/>
      <c r="X738" s="53"/>
      <c r="Y738"/>
      <c r="Z738" s="53"/>
    </row>
    <row r="739" spans="7:26" ht="30" customHeight="1" x14ac:dyDescent="0.3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21"/>
        <v>0</v>
      </c>
      <c r="W739"/>
      <c r="X739" s="53"/>
      <c r="Y739"/>
      <c r="Z739" s="53"/>
    </row>
    <row r="740" spans="7:26" ht="30" customHeight="1" x14ac:dyDescent="0.3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21"/>
        <v>0</v>
      </c>
      <c r="W740"/>
      <c r="X740" s="53"/>
      <c r="Y740"/>
      <c r="Z740" s="53"/>
    </row>
    <row r="741" spans="7:26" ht="30" customHeight="1" x14ac:dyDescent="0.3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21"/>
        <v>0</v>
      </c>
      <c r="W741"/>
      <c r="X741" s="53"/>
      <c r="Y741"/>
      <c r="Z741" s="53"/>
    </row>
    <row r="742" spans="7:26" ht="30" customHeight="1" x14ac:dyDescent="0.3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21"/>
        <v>0</v>
      </c>
      <c r="W742"/>
      <c r="X742" s="53"/>
      <c r="Y742"/>
      <c r="Z742" s="53"/>
    </row>
    <row r="743" spans="7:26" ht="30" customHeight="1" x14ac:dyDescent="0.3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21"/>
        <v>0</v>
      </c>
      <c r="W743"/>
      <c r="X743" s="53"/>
      <c r="Y743"/>
      <c r="Z743" s="53"/>
    </row>
    <row r="744" spans="7:26" ht="30" customHeight="1" x14ac:dyDescent="0.3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21"/>
        <v>0</v>
      </c>
      <c r="W744"/>
      <c r="X744" s="53"/>
      <c r="Y744"/>
      <c r="Z744" s="53"/>
    </row>
    <row r="745" spans="7:26" ht="30" customHeight="1" x14ac:dyDescent="0.3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21"/>
        <v>0</v>
      </c>
      <c r="W745"/>
      <c r="X745" s="53"/>
      <c r="Y745"/>
      <c r="Z745" s="53"/>
    </row>
    <row r="746" spans="7:26" ht="30" customHeight="1" x14ac:dyDescent="0.3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21"/>
        <v>0</v>
      </c>
      <c r="W746"/>
      <c r="X746" s="53"/>
      <c r="Y746"/>
      <c r="Z746" s="53"/>
    </row>
    <row r="747" spans="7:26" ht="30" customHeight="1" x14ac:dyDescent="0.3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si="21"/>
        <v>0</v>
      </c>
      <c r="W747"/>
      <c r="X747" s="53"/>
      <c r="Y747"/>
      <c r="Z747" s="53"/>
    </row>
    <row r="748" spans="7:26" ht="30" customHeight="1" x14ac:dyDescent="0.3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21"/>
        <v>0</v>
      </c>
      <c r="W748"/>
      <c r="X748" s="53"/>
      <c r="Y748"/>
      <c r="Z748" s="53"/>
    </row>
    <row r="749" spans="7:26" ht="30" customHeight="1" x14ac:dyDescent="0.3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21"/>
        <v>0</v>
      </c>
      <c r="W749"/>
      <c r="X749" s="53"/>
      <c r="Y749"/>
      <c r="Z749" s="53"/>
    </row>
    <row r="750" spans="7:26" ht="30" customHeight="1" x14ac:dyDescent="0.3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21"/>
        <v>0</v>
      </c>
      <c r="W750"/>
      <c r="X750" s="53"/>
      <c r="Y750"/>
      <c r="Z750" s="53"/>
    </row>
    <row r="751" spans="7:26" ht="30" customHeight="1" x14ac:dyDescent="0.3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21"/>
        <v>0</v>
      </c>
      <c r="W751"/>
      <c r="X751" s="53"/>
      <c r="Y751"/>
      <c r="Z751" s="53"/>
    </row>
    <row r="752" spans="7:26" ht="30" customHeight="1" x14ac:dyDescent="0.3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21"/>
        <v>0</v>
      </c>
      <c r="W752"/>
      <c r="X752" s="53"/>
      <c r="Y752"/>
      <c r="Z752" s="53"/>
    </row>
    <row r="753" spans="7:26" ht="30" customHeight="1" x14ac:dyDescent="0.3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21"/>
        <v>0</v>
      </c>
      <c r="W753"/>
      <c r="X753" s="53"/>
      <c r="Y753"/>
      <c r="Z753" s="53"/>
    </row>
    <row r="754" spans="7:26" ht="30" customHeight="1" x14ac:dyDescent="0.3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si="21"/>
        <v>0</v>
      </c>
      <c r="W754"/>
      <c r="X754" s="53"/>
      <c r="Y754"/>
      <c r="Z754" s="53"/>
    </row>
    <row r="755" spans="7:26" ht="30" customHeight="1" x14ac:dyDescent="0.3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21"/>
        <v>0</v>
      </c>
      <c r="W755"/>
      <c r="X755" s="53"/>
      <c r="Y755"/>
      <c r="Z755" s="53"/>
    </row>
    <row r="756" spans="7:26" ht="30" customHeight="1" x14ac:dyDescent="0.3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21"/>
        <v>0</v>
      </c>
      <c r="W756"/>
      <c r="X756" s="53"/>
      <c r="Y756"/>
      <c r="Z756" s="53"/>
    </row>
    <row r="757" spans="7:26" ht="30" customHeight="1" x14ac:dyDescent="0.3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si="21"/>
        <v>0</v>
      </c>
      <c r="W757"/>
      <c r="X757" s="53"/>
      <c r="Y757"/>
      <c r="Z757" s="53"/>
    </row>
    <row r="758" spans="7:26" ht="30" customHeight="1" x14ac:dyDescent="0.3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21"/>
        <v>0</v>
      </c>
      <c r="W758"/>
      <c r="X758" s="53"/>
      <c r="Y758"/>
      <c r="Z758" s="53"/>
    </row>
    <row r="759" spans="7:26" ht="30" customHeight="1" x14ac:dyDescent="0.3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21"/>
        <v>0</v>
      </c>
      <c r="W759"/>
      <c r="X759" s="53"/>
      <c r="Y759"/>
      <c r="Z759" s="53"/>
    </row>
    <row r="760" spans="7:26" ht="30" customHeight="1" x14ac:dyDescent="0.3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21"/>
        <v>0</v>
      </c>
      <c r="W760"/>
      <c r="X760" s="53"/>
      <c r="Y760"/>
      <c r="Z760" s="53"/>
    </row>
    <row r="761" spans="7:26" ht="30" customHeight="1" x14ac:dyDescent="0.3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21"/>
        <v>0</v>
      </c>
      <c r="W761"/>
      <c r="X761" s="53"/>
      <c r="Y761"/>
      <c r="Z761" s="53"/>
    </row>
    <row r="762" spans="7:26" ht="30" customHeight="1" x14ac:dyDescent="0.3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21"/>
        <v>0</v>
      </c>
      <c r="W762"/>
      <c r="X762" s="53"/>
      <c r="Y762"/>
      <c r="Z762" s="53"/>
    </row>
    <row r="763" spans="7:26" ht="30" customHeight="1" x14ac:dyDescent="0.3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21"/>
        <v>0</v>
      </c>
      <c r="W763"/>
      <c r="X763" s="53"/>
      <c r="Y763"/>
      <c r="Z763" s="53"/>
    </row>
    <row r="764" spans="7:26" ht="30" customHeight="1" x14ac:dyDescent="0.3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21"/>
        <v>0</v>
      </c>
      <c r="W764"/>
      <c r="X764" s="53"/>
      <c r="Y764"/>
      <c r="Z764" s="53"/>
    </row>
    <row r="765" spans="7:26" ht="30" customHeight="1" x14ac:dyDescent="0.3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21"/>
        <v>0</v>
      </c>
      <c r="W765"/>
      <c r="X765" s="53"/>
      <c r="Y765"/>
      <c r="Z765" s="53"/>
    </row>
    <row r="766" spans="7:26" ht="30" customHeight="1" x14ac:dyDescent="0.3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21"/>
        <v>0</v>
      </c>
      <c r="W766"/>
      <c r="X766" s="53"/>
      <c r="Y766"/>
      <c r="Z766" s="53"/>
    </row>
    <row r="767" spans="7:26" ht="30" customHeight="1" x14ac:dyDescent="0.3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21"/>
        <v>0</v>
      </c>
      <c r="W767"/>
      <c r="X767" s="53"/>
      <c r="Y767"/>
      <c r="Z767" s="53"/>
    </row>
    <row r="768" spans="7:26" ht="30" customHeight="1" x14ac:dyDescent="0.3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21"/>
        <v>0</v>
      </c>
      <c r="W768"/>
      <c r="X768" s="53"/>
      <c r="Y768"/>
      <c r="Z768" s="53"/>
    </row>
    <row r="769" spans="7:26" ht="30" customHeight="1" x14ac:dyDescent="0.3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21"/>
        <v>0</v>
      </c>
      <c r="W769"/>
      <c r="X769" s="53"/>
      <c r="Y769"/>
      <c r="Z769" s="53"/>
    </row>
    <row r="770" spans="7:26" ht="30" customHeight="1" x14ac:dyDescent="0.3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21"/>
        <v>0</v>
      </c>
      <c r="W770"/>
      <c r="X770" s="53"/>
      <c r="Y770"/>
      <c r="Z770" s="53"/>
    </row>
    <row r="771" spans="7:26" ht="30" customHeight="1" x14ac:dyDescent="0.3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21"/>
        <v>0</v>
      </c>
      <c r="W771"/>
      <c r="X771" s="53"/>
      <c r="Y771"/>
      <c r="Z771" s="53"/>
    </row>
    <row r="772" spans="7:26" ht="30" customHeight="1" x14ac:dyDescent="0.3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21"/>
        <v>0</v>
      </c>
      <c r="W772"/>
      <c r="X772" s="53"/>
      <c r="Y772"/>
      <c r="Z772" s="53"/>
    </row>
    <row r="773" spans="7:26" ht="30" customHeight="1" x14ac:dyDescent="0.3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21"/>
        <v>0</v>
      </c>
      <c r="W773"/>
      <c r="X773" s="53"/>
      <c r="Y773"/>
      <c r="Z773" s="53"/>
    </row>
    <row r="774" spans="7:26" ht="30" customHeight="1" x14ac:dyDescent="0.3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21"/>
        <v>0</v>
      </c>
      <c r="W774"/>
      <c r="X774" s="53"/>
      <c r="Y774"/>
      <c r="Z774" s="53"/>
    </row>
    <row r="775" spans="7:26" ht="30" customHeight="1" x14ac:dyDescent="0.3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21"/>
        <v>0</v>
      </c>
      <c r="W775"/>
      <c r="X775" s="53"/>
      <c r="Y775"/>
      <c r="Z775" s="53"/>
    </row>
    <row r="776" spans="7:26" ht="30" customHeight="1" x14ac:dyDescent="0.3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21"/>
        <v>0</v>
      </c>
      <c r="W776"/>
      <c r="X776" s="53"/>
      <c r="Y776"/>
      <c r="Z776" s="53"/>
    </row>
    <row r="777" spans="7:26" ht="30" customHeight="1" x14ac:dyDescent="0.3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21"/>
        <v>0</v>
      </c>
      <c r="W777"/>
      <c r="X777" s="53"/>
      <c r="Y777"/>
      <c r="Z777" s="53"/>
    </row>
    <row r="778" spans="7:26" ht="30" customHeight="1" x14ac:dyDescent="0.3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21"/>
        <v>0</v>
      </c>
      <c r="W778"/>
      <c r="X778" s="53"/>
      <c r="Y778"/>
      <c r="Z778" s="53"/>
    </row>
    <row r="779" spans="7:26" ht="30" customHeight="1" x14ac:dyDescent="0.3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21"/>
        <v>0</v>
      </c>
      <c r="W779"/>
      <c r="X779" s="53"/>
      <c r="Y779"/>
      <c r="Z779" s="53"/>
    </row>
    <row r="780" spans="7:26" ht="30" customHeight="1" x14ac:dyDescent="0.3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21"/>
        <v>0</v>
      </c>
      <c r="W780"/>
      <c r="X780" s="53"/>
      <c r="Y780"/>
      <c r="Z780" s="53"/>
    </row>
    <row r="781" spans="7:26" ht="30" customHeight="1" x14ac:dyDescent="0.3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21"/>
        <v>0</v>
      </c>
      <c r="W781"/>
      <c r="X781" s="53"/>
      <c r="Y781"/>
      <c r="Z781" s="53"/>
    </row>
    <row r="782" spans="7:26" ht="30" customHeight="1" x14ac:dyDescent="0.3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21"/>
        <v>0</v>
      </c>
      <c r="W782"/>
      <c r="X782" s="53"/>
      <c r="Y782"/>
      <c r="Z782" s="53"/>
    </row>
    <row r="783" spans="7:26" ht="30" customHeight="1" x14ac:dyDescent="0.3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21"/>
        <v>0</v>
      </c>
      <c r="W783"/>
      <c r="X783" s="53"/>
      <c r="Y783"/>
      <c r="Z783" s="53"/>
    </row>
    <row r="784" spans="7:26" ht="30" customHeight="1" x14ac:dyDescent="0.3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21"/>
        <v>0</v>
      </c>
      <c r="W784"/>
      <c r="X784" s="53"/>
      <c r="Y784"/>
      <c r="Z784" s="53"/>
    </row>
    <row r="785" spans="7:26" ht="30" customHeight="1" x14ac:dyDescent="0.3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21"/>
        <v>0</v>
      </c>
      <c r="W785"/>
      <c r="X785" s="53"/>
      <c r="Y785"/>
      <c r="Z785" s="53"/>
    </row>
    <row r="786" spans="7:26" ht="30" customHeight="1" x14ac:dyDescent="0.3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21"/>
        <v>0</v>
      </c>
      <c r="W786"/>
      <c r="X786" s="53"/>
      <c r="Y786"/>
      <c r="Z786" s="53"/>
    </row>
    <row r="787" spans="7:26" ht="30" customHeight="1" x14ac:dyDescent="0.3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21"/>
        <v>0</v>
      </c>
      <c r="W787"/>
      <c r="X787" s="53"/>
      <c r="Y787"/>
      <c r="Z787" s="53"/>
    </row>
    <row r="788" spans="7:26" ht="30" customHeight="1" x14ac:dyDescent="0.3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21"/>
        <v>0</v>
      </c>
      <c r="W788"/>
      <c r="X788" s="53"/>
      <c r="Y788"/>
      <c r="Z788" s="53"/>
    </row>
    <row r="789" spans="7:26" ht="30" customHeight="1" x14ac:dyDescent="0.3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21"/>
        <v>0</v>
      </c>
      <c r="W789"/>
      <c r="X789" s="53"/>
      <c r="Y789"/>
      <c r="Z789" s="53"/>
    </row>
    <row r="790" spans="7:26" ht="30" customHeight="1" x14ac:dyDescent="0.3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21"/>
        <v>0</v>
      </c>
      <c r="W790"/>
      <c r="X790" s="53"/>
      <c r="Y790"/>
      <c r="Z790" s="53"/>
    </row>
    <row r="791" spans="7:26" ht="30" customHeight="1" x14ac:dyDescent="0.3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21"/>
        <v>0</v>
      </c>
      <c r="W791"/>
      <c r="X791" s="53"/>
      <c r="Y791"/>
      <c r="Z791" s="53"/>
    </row>
    <row r="792" spans="7:26" ht="30" customHeight="1" x14ac:dyDescent="0.3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21"/>
        <v>0</v>
      </c>
      <c r="W792"/>
      <c r="X792" s="53"/>
      <c r="Y792"/>
      <c r="Z792" s="53"/>
    </row>
    <row r="793" spans="7:26" ht="30" customHeight="1" x14ac:dyDescent="0.3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si="21"/>
        <v>0</v>
      </c>
      <c r="W793"/>
      <c r="X793" s="53"/>
      <c r="Y793"/>
      <c r="Z793" s="53"/>
    </row>
    <row r="794" spans="7:26" ht="30" customHeight="1" x14ac:dyDescent="0.3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si="21"/>
        <v>0</v>
      </c>
      <c r="W794"/>
      <c r="X794" s="53"/>
      <c r="Y794"/>
      <c r="Z794" s="53"/>
    </row>
    <row r="795" spans="7:26" ht="30" customHeight="1" x14ac:dyDescent="0.3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21"/>
        <v>0</v>
      </c>
      <c r="W795"/>
      <c r="X795" s="53"/>
      <c r="Y795"/>
      <c r="Z795" s="53"/>
    </row>
    <row r="796" spans="7:26" ht="30" customHeight="1" x14ac:dyDescent="0.3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21"/>
        <v>0</v>
      </c>
      <c r="W796"/>
      <c r="X796" s="53"/>
      <c r="Y796"/>
      <c r="Z796" s="53"/>
    </row>
    <row r="797" spans="7:26" ht="30" customHeight="1" x14ac:dyDescent="0.3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ref="U797:U860" si="22">E797+H797</f>
        <v>0</v>
      </c>
      <c r="W797"/>
      <c r="X797" s="53"/>
      <c r="Y797"/>
      <c r="Z797" s="53"/>
    </row>
    <row r="798" spans="7:26" ht="30" customHeight="1" x14ac:dyDescent="0.3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22"/>
        <v>0</v>
      </c>
      <c r="W798"/>
      <c r="X798" s="53"/>
      <c r="Y798"/>
      <c r="Z798" s="53"/>
    </row>
    <row r="799" spans="7:26" ht="30" customHeight="1" x14ac:dyDescent="0.3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22"/>
        <v>0</v>
      </c>
      <c r="W799"/>
      <c r="X799" s="53"/>
      <c r="Y799"/>
      <c r="Z799" s="53"/>
    </row>
    <row r="800" spans="7:26" ht="30" customHeight="1" x14ac:dyDescent="0.3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22"/>
        <v>0</v>
      </c>
      <c r="W800"/>
      <c r="X800" s="53"/>
      <c r="Y800"/>
      <c r="Z800" s="53"/>
    </row>
    <row r="801" spans="7:26" ht="30" customHeight="1" x14ac:dyDescent="0.3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22"/>
        <v>0</v>
      </c>
      <c r="W801"/>
      <c r="X801" s="53"/>
      <c r="Y801"/>
      <c r="Z801" s="53"/>
    </row>
    <row r="802" spans="7:26" ht="30" customHeight="1" x14ac:dyDescent="0.3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22"/>
        <v>0</v>
      </c>
      <c r="W802"/>
      <c r="X802" s="53"/>
      <c r="Y802"/>
      <c r="Z802" s="53"/>
    </row>
    <row r="803" spans="7:26" ht="30" customHeight="1" x14ac:dyDescent="0.3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22"/>
        <v>0</v>
      </c>
      <c r="W803"/>
      <c r="X803" s="53"/>
      <c r="Y803"/>
      <c r="Z803" s="53"/>
    </row>
    <row r="804" spans="7:26" ht="30" customHeight="1" x14ac:dyDescent="0.3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22"/>
        <v>0</v>
      </c>
      <c r="W804"/>
      <c r="X804" s="53"/>
      <c r="Y804"/>
      <c r="Z804" s="53"/>
    </row>
    <row r="805" spans="7:26" ht="30" customHeight="1" x14ac:dyDescent="0.3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22"/>
        <v>0</v>
      </c>
      <c r="W805"/>
      <c r="X805" s="53"/>
      <c r="Y805"/>
      <c r="Z805" s="53"/>
    </row>
    <row r="806" spans="7:26" ht="30" customHeight="1" x14ac:dyDescent="0.3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22"/>
        <v>0</v>
      </c>
      <c r="W806"/>
      <c r="X806" s="53"/>
      <c r="Y806"/>
      <c r="Z806" s="53"/>
    </row>
    <row r="807" spans="7:26" ht="30" customHeight="1" x14ac:dyDescent="0.3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22"/>
        <v>0</v>
      </c>
      <c r="W807"/>
      <c r="X807" s="53"/>
      <c r="Y807"/>
      <c r="Z807" s="53"/>
    </row>
    <row r="808" spans="7:26" ht="30" customHeight="1" x14ac:dyDescent="0.3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22"/>
        <v>0</v>
      </c>
      <c r="W808"/>
      <c r="X808" s="53"/>
      <c r="Y808"/>
      <c r="Z808" s="53"/>
    </row>
    <row r="809" spans="7:26" ht="30" customHeight="1" x14ac:dyDescent="0.3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22"/>
        <v>0</v>
      </c>
      <c r="W809"/>
      <c r="X809" s="53"/>
      <c r="Y809"/>
      <c r="Z809" s="53"/>
    </row>
    <row r="810" spans="7:26" ht="30" customHeight="1" x14ac:dyDescent="0.3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22"/>
        <v>0</v>
      </c>
      <c r="W810"/>
      <c r="X810" s="53"/>
      <c r="Y810"/>
      <c r="Z810" s="53"/>
    </row>
    <row r="811" spans="7:26" ht="30" customHeight="1" x14ac:dyDescent="0.3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si="22"/>
        <v>0</v>
      </c>
      <c r="W811"/>
      <c r="X811" s="53"/>
      <c r="Y811"/>
      <c r="Z811" s="53"/>
    </row>
    <row r="812" spans="7:26" ht="30" customHeight="1" x14ac:dyDescent="0.3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22"/>
        <v>0</v>
      </c>
      <c r="W812"/>
      <c r="X812" s="53"/>
      <c r="Y812"/>
      <c r="Z812" s="53"/>
    </row>
    <row r="813" spans="7:26" ht="30" customHeight="1" x14ac:dyDescent="0.3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22"/>
        <v>0</v>
      </c>
      <c r="W813"/>
      <c r="X813" s="53"/>
      <c r="Y813"/>
      <c r="Z813" s="53"/>
    </row>
    <row r="814" spans="7:26" ht="30" customHeight="1" x14ac:dyDescent="0.3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22"/>
        <v>0</v>
      </c>
      <c r="W814"/>
      <c r="X814" s="53"/>
      <c r="Y814"/>
      <c r="Z814" s="53"/>
    </row>
    <row r="815" spans="7:26" ht="30" customHeight="1" x14ac:dyDescent="0.3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22"/>
        <v>0</v>
      </c>
      <c r="W815"/>
      <c r="X815" s="53"/>
      <c r="Y815"/>
      <c r="Z815" s="53"/>
    </row>
    <row r="816" spans="7:26" ht="30" customHeight="1" x14ac:dyDescent="0.3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22"/>
        <v>0</v>
      </c>
      <c r="W816"/>
      <c r="X816" s="53"/>
      <c r="Y816"/>
      <c r="Z816" s="53"/>
    </row>
    <row r="817" spans="7:26" ht="30" customHeight="1" x14ac:dyDescent="0.3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22"/>
        <v>0</v>
      </c>
      <c r="W817"/>
      <c r="X817" s="53"/>
      <c r="Y817"/>
      <c r="Z817" s="53"/>
    </row>
    <row r="818" spans="7:26" ht="30" customHeight="1" x14ac:dyDescent="0.3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si="22"/>
        <v>0</v>
      </c>
      <c r="W818"/>
      <c r="X818" s="53"/>
      <c r="Y818"/>
      <c r="Z818" s="53"/>
    </row>
    <row r="819" spans="7:26" ht="30" customHeight="1" x14ac:dyDescent="0.3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22"/>
        <v>0</v>
      </c>
      <c r="W819"/>
      <c r="X819" s="53"/>
      <c r="Y819"/>
      <c r="Z819" s="53"/>
    </row>
    <row r="820" spans="7:26" ht="30" customHeight="1" x14ac:dyDescent="0.3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22"/>
        <v>0</v>
      </c>
      <c r="W820"/>
      <c r="X820" s="53"/>
      <c r="Y820"/>
      <c r="Z820" s="53"/>
    </row>
    <row r="821" spans="7:26" ht="30" customHeight="1" x14ac:dyDescent="0.3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si="22"/>
        <v>0</v>
      </c>
      <c r="W821"/>
      <c r="X821" s="53"/>
      <c r="Y821"/>
      <c r="Z821" s="53"/>
    </row>
    <row r="822" spans="7:26" ht="30" customHeight="1" x14ac:dyDescent="0.3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22"/>
        <v>0</v>
      </c>
      <c r="W822"/>
      <c r="X822" s="53"/>
      <c r="Y822"/>
      <c r="Z822" s="53"/>
    </row>
    <row r="823" spans="7:26" ht="30" customHeight="1" x14ac:dyDescent="0.3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22"/>
        <v>0</v>
      </c>
      <c r="W823"/>
      <c r="X823" s="53"/>
      <c r="Y823"/>
      <c r="Z823" s="53"/>
    </row>
    <row r="824" spans="7:26" ht="30" customHeight="1" x14ac:dyDescent="0.3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22"/>
        <v>0</v>
      </c>
      <c r="W824"/>
      <c r="X824" s="53"/>
      <c r="Y824"/>
      <c r="Z824" s="53"/>
    </row>
    <row r="825" spans="7:26" ht="30" customHeight="1" x14ac:dyDescent="0.3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22"/>
        <v>0</v>
      </c>
      <c r="W825"/>
      <c r="X825" s="53"/>
      <c r="Y825"/>
      <c r="Z825" s="53"/>
    </row>
    <row r="826" spans="7:26" ht="30" customHeight="1" x14ac:dyDescent="0.3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22"/>
        <v>0</v>
      </c>
      <c r="W826"/>
      <c r="X826" s="53"/>
      <c r="Y826"/>
      <c r="Z826" s="53"/>
    </row>
    <row r="827" spans="7:26" ht="30" customHeight="1" x14ac:dyDescent="0.3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22"/>
        <v>0</v>
      </c>
      <c r="W827"/>
      <c r="X827" s="53"/>
      <c r="Y827"/>
      <c r="Z827" s="53"/>
    </row>
    <row r="828" spans="7:26" ht="30" customHeight="1" x14ac:dyDescent="0.3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22"/>
        <v>0</v>
      </c>
      <c r="W828"/>
      <c r="X828" s="53"/>
      <c r="Y828"/>
      <c r="Z828" s="53"/>
    </row>
    <row r="829" spans="7:26" ht="30" customHeight="1" x14ac:dyDescent="0.3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22"/>
        <v>0</v>
      </c>
      <c r="W829"/>
      <c r="X829" s="53"/>
      <c r="Y829"/>
      <c r="Z829" s="53"/>
    </row>
    <row r="830" spans="7:26" ht="30" customHeight="1" x14ac:dyDescent="0.3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22"/>
        <v>0</v>
      </c>
      <c r="W830"/>
      <c r="X830" s="53"/>
      <c r="Y830"/>
      <c r="Z830" s="53"/>
    </row>
    <row r="831" spans="7:26" ht="30" customHeight="1" x14ac:dyDescent="0.3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22"/>
        <v>0</v>
      </c>
      <c r="W831"/>
      <c r="X831" s="53"/>
      <c r="Y831"/>
      <c r="Z831" s="53"/>
    </row>
    <row r="832" spans="7:26" ht="30" customHeight="1" x14ac:dyDescent="0.3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22"/>
        <v>0</v>
      </c>
      <c r="W832"/>
      <c r="X832" s="53"/>
      <c r="Y832"/>
      <c r="Z832" s="53"/>
    </row>
    <row r="833" spans="7:26" ht="30" customHeight="1" x14ac:dyDescent="0.3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22"/>
        <v>0</v>
      </c>
      <c r="W833"/>
      <c r="X833" s="53"/>
      <c r="Y833"/>
      <c r="Z833" s="53"/>
    </row>
    <row r="834" spans="7:26" ht="30" customHeight="1" x14ac:dyDescent="0.3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22"/>
        <v>0</v>
      </c>
      <c r="W834"/>
      <c r="X834" s="53"/>
      <c r="Y834"/>
      <c r="Z834" s="53"/>
    </row>
    <row r="835" spans="7:26" ht="30" customHeight="1" x14ac:dyDescent="0.3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22"/>
        <v>0</v>
      </c>
      <c r="W835"/>
      <c r="X835" s="53"/>
      <c r="Y835"/>
      <c r="Z835" s="53"/>
    </row>
    <row r="836" spans="7:26" ht="30" customHeight="1" x14ac:dyDescent="0.3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22"/>
        <v>0</v>
      </c>
      <c r="W836"/>
      <c r="X836" s="53"/>
      <c r="Y836"/>
      <c r="Z836" s="53"/>
    </row>
    <row r="837" spans="7:26" ht="30" customHeight="1" x14ac:dyDescent="0.3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22"/>
        <v>0</v>
      </c>
      <c r="W837"/>
      <c r="X837" s="53"/>
      <c r="Y837"/>
      <c r="Z837" s="53"/>
    </row>
    <row r="838" spans="7:26" ht="30" customHeight="1" x14ac:dyDescent="0.3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22"/>
        <v>0</v>
      </c>
      <c r="W838"/>
      <c r="X838" s="53"/>
      <c r="Y838"/>
      <c r="Z838" s="53"/>
    </row>
    <row r="839" spans="7:26" ht="30" customHeight="1" x14ac:dyDescent="0.3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22"/>
        <v>0</v>
      </c>
      <c r="W839"/>
      <c r="X839" s="53"/>
      <c r="Y839"/>
      <c r="Z839" s="53"/>
    </row>
    <row r="840" spans="7:26" ht="30" customHeight="1" x14ac:dyDescent="0.3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22"/>
        <v>0</v>
      </c>
      <c r="W840"/>
      <c r="X840" s="53"/>
      <c r="Y840"/>
      <c r="Z840" s="53"/>
    </row>
    <row r="841" spans="7:26" ht="30" customHeight="1" x14ac:dyDescent="0.3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22"/>
        <v>0</v>
      </c>
      <c r="W841"/>
      <c r="X841" s="53"/>
      <c r="Y841"/>
      <c r="Z841" s="53"/>
    </row>
    <row r="842" spans="7:26" ht="30" customHeight="1" x14ac:dyDescent="0.3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22"/>
        <v>0</v>
      </c>
      <c r="W842"/>
      <c r="X842" s="53"/>
      <c r="Y842"/>
      <c r="Z842" s="53"/>
    </row>
    <row r="843" spans="7:26" ht="30" customHeight="1" x14ac:dyDescent="0.3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22"/>
        <v>0</v>
      </c>
      <c r="W843"/>
      <c r="X843" s="53"/>
      <c r="Y843"/>
      <c r="Z843" s="53"/>
    </row>
    <row r="844" spans="7:26" ht="30" customHeight="1" x14ac:dyDescent="0.3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22"/>
        <v>0</v>
      </c>
      <c r="W844"/>
      <c r="X844" s="53"/>
      <c r="Y844"/>
      <c r="Z844" s="53"/>
    </row>
    <row r="845" spans="7:26" ht="30" customHeight="1" x14ac:dyDescent="0.3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22"/>
        <v>0</v>
      </c>
      <c r="W845"/>
      <c r="X845" s="53"/>
      <c r="Y845"/>
      <c r="Z845" s="53"/>
    </row>
    <row r="846" spans="7:26" ht="30" customHeight="1" x14ac:dyDescent="0.3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22"/>
        <v>0</v>
      </c>
      <c r="W846"/>
      <c r="X846" s="53"/>
      <c r="Y846"/>
      <c r="Z846" s="53"/>
    </row>
    <row r="847" spans="7:26" ht="30" customHeight="1" x14ac:dyDescent="0.3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22"/>
        <v>0</v>
      </c>
      <c r="W847"/>
      <c r="X847" s="53"/>
      <c r="Y847"/>
      <c r="Z847" s="53"/>
    </row>
    <row r="848" spans="7:26" ht="30" customHeight="1" x14ac:dyDescent="0.3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22"/>
        <v>0</v>
      </c>
      <c r="W848"/>
      <c r="X848" s="53"/>
      <c r="Y848"/>
      <c r="Z848" s="53"/>
    </row>
    <row r="849" spans="7:26" ht="30" customHeight="1" x14ac:dyDescent="0.3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22"/>
        <v>0</v>
      </c>
      <c r="W849"/>
      <c r="X849" s="53"/>
      <c r="Y849"/>
      <c r="Z849" s="53"/>
    </row>
    <row r="850" spans="7:26" ht="30" customHeight="1" x14ac:dyDescent="0.3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22"/>
        <v>0</v>
      </c>
      <c r="W850"/>
      <c r="X850" s="53"/>
      <c r="Y850"/>
      <c r="Z850" s="53"/>
    </row>
    <row r="851" spans="7:26" ht="30" customHeight="1" x14ac:dyDescent="0.3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22"/>
        <v>0</v>
      </c>
      <c r="W851"/>
      <c r="X851" s="53"/>
      <c r="Y851"/>
      <c r="Z851" s="53"/>
    </row>
    <row r="852" spans="7:26" ht="30" customHeight="1" x14ac:dyDescent="0.3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22"/>
        <v>0</v>
      </c>
      <c r="W852"/>
      <c r="X852" s="53"/>
      <c r="Y852"/>
      <c r="Z852" s="53"/>
    </row>
    <row r="853" spans="7:26" ht="30" customHeight="1" x14ac:dyDescent="0.3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22"/>
        <v>0</v>
      </c>
      <c r="W853"/>
      <c r="X853" s="53"/>
      <c r="Y853"/>
      <c r="Z853" s="53"/>
    </row>
    <row r="854" spans="7:26" ht="30" customHeight="1" x14ac:dyDescent="0.3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22"/>
        <v>0</v>
      </c>
      <c r="W854"/>
      <c r="X854" s="53"/>
      <c r="Y854"/>
      <c r="Z854" s="53"/>
    </row>
    <row r="855" spans="7:26" ht="30" customHeight="1" x14ac:dyDescent="0.3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22"/>
        <v>0</v>
      </c>
      <c r="W855"/>
      <c r="X855" s="53"/>
      <c r="Y855"/>
      <c r="Z855" s="53"/>
    </row>
    <row r="856" spans="7:26" ht="30" customHeight="1" x14ac:dyDescent="0.3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22"/>
        <v>0</v>
      </c>
      <c r="W856"/>
      <c r="X856" s="53"/>
      <c r="Y856"/>
      <c r="Z856" s="53"/>
    </row>
    <row r="857" spans="7:26" ht="30" customHeight="1" x14ac:dyDescent="0.3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si="22"/>
        <v>0</v>
      </c>
      <c r="W857"/>
      <c r="X857" s="53"/>
      <c r="Y857"/>
      <c r="Z857" s="53"/>
    </row>
    <row r="858" spans="7:26" ht="30" customHeight="1" x14ac:dyDescent="0.3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si="22"/>
        <v>0</v>
      </c>
      <c r="W858"/>
      <c r="X858" s="53"/>
      <c r="Y858"/>
      <c r="Z858" s="53"/>
    </row>
    <row r="859" spans="7:26" ht="30" customHeight="1" x14ac:dyDescent="0.3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22"/>
        <v>0</v>
      </c>
      <c r="W859"/>
      <c r="X859" s="53"/>
      <c r="Y859"/>
      <c r="Z859" s="53"/>
    </row>
    <row r="860" spans="7:26" ht="30" customHeight="1" x14ac:dyDescent="0.3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22"/>
        <v>0</v>
      </c>
      <c r="W860"/>
      <c r="X860" s="53"/>
      <c r="Y860"/>
      <c r="Z860" s="53"/>
    </row>
    <row r="861" spans="7:26" ht="30" customHeight="1" x14ac:dyDescent="0.3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ref="U861:U924" si="23">E861+H861</f>
        <v>0</v>
      </c>
      <c r="W861"/>
      <c r="X861" s="53"/>
      <c r="Y861"/>
      <c r="Z861" s="53"/>
    </row>
    <row r="862" spans="7:26" ht="30" customHeight="1" x14ac:dyDescent="0.3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23"/>
        <v>0</v>
      </c>
      <c r="W862"/>
      <c r="X862" s="53"/>
      <c r="Y862"/>
      <c r="Z862" s="53"/>
    </row>
    <row r="863" spans="7:26" ht="30" customHeight="1" x14ac:dyDescent="0.3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23"/>
        <v>0</v>
      </c>
      <c r="W863"/>
      <c r="X863" s="53"/>
      <c r="Y863"/>
      <c r="Z863" s="53"/>
    </row>
    <row r="864" spans="7:26" ht="30" customHeight="1" x14ac:dyDescent="0.3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23"/>
        <v>0</v>
      </c>
      <c r="W864"/>
      <c r="X864" s="53"/>
      <c r="Y864"/>
      <c r="Z864" s="53"/>
    </row>
    <row r="865" spans="7:26" ht="30" customHeight="1" x14ac:dyDescent="0.3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23"/>
        <v>0</v>
      </c>
      <c r="W865"/>
      <c r="X865" s="53"/>
      <c r="Y865"/>
      <c r="Z865" s="53"/>
    </row>
    <row r="866" spans="7:26" ht="30" customHeight="1" x14ac:dyDescent="0.3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23"/>
        <v>0</v>
      </c>
      <c r="W866"/>
      <c r="X866" s="53"/>
      <c r="Y866"/>
      <c r="Z866" s="53"/>
    </row>
    <row r="867" spans="7:26" ht="30" customHeight="1" x14ac:dyDescent="0.3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23"/>
        <v>0</v>
      </c>
      <c r="W867"/>
      <c r="X867" s="53"/>
      <c r="Y867"/>
      <c r="Z867" s="53"/>
    </row>
    <row r="868" spans="7:26" ht="30" customHeight="1" x14ac:dyDescent="0.3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23"/>
        <v>0</v>
      </c>
      <c r="W868"/>
      <c r="X868" s="53"/>
      <c r="Y868"/>
      <c r="Z868" s="53"/>
    </row>
    <row r="869" spans="7:26" ht="30" customHeight="1" x14ac:dyDescent="0.3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23"/>
        <v>0</v>
      </c>
      <c r="W869"/>
      <c r="X869" s="53"/>
      <c r="Y869"/>
      <c r="Z869" s="53"/>
    </row>
    <row r="870" spans="7:26" ht="30" customHeight="1" x14ac:dyDescent="0.3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23"/>
        <v>0</v>
      </c>
      <c r="W870"/>
      <c r="X870" s="53"/>
      <c r="Y870"/>
      <c r="Z870" s="53"/>
    </row>
    <row r="871" spans="7:26" ht="30" customHeight="1" x14ac:dyDescent="0.3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23"/>
        <v>0</v>
      </c>
      <c r="W871"/>
      <c r="X871" s="53"/>
      <c r="Y871"/>
      <c r="Z871" s="53"/>
    </row>
    <row r="872" spans="7:26" ht="30" customHeight="1" x14ac:dyDescent="0.3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23"/>
        <v>0</v>
      </c>
      <c r="W872"/>
      <c r="X872" s="53"/>
      <c r="Y872"/>
      <c r="Z872" s="53"/>
    </row>
    <row r="873" spans="7:26" ht="30" customHeight="1" x14ac:dyDescent="0.3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23"/>
        <v>0</v>
      </c>
      <c r="W873"/>
      <c r="X873" s="53"/>
      <c r="Y873"/>
      <c r="Z873" s="53"/>
    </row>
    <row r="874" spans="7:26" ht="30" customHeight="1" x14ac:dyDescent="0.3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23"/>
        <v>0</v>
      </c>
      <c r="W874"/>
      <c r="X874" s="53"/>
      <c r="Y874"/>
      <c r="Z874" s="53"/>
    </row>
    <row r="875" spans="7:26" ht="30" customHeight="1" x14ac:dyDescent="0.3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si="23"/>
        <v>0</v>
      </c>
      <c r="W875"/>
      <c r="X875" s="53"/>
      <c r="Y875"/>
      <c r="Z875" s="53"/>
    </row>
    <row r="876" spans="7:26" ht="30" customHeight="1" x14ac:dyDescent="0.3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23"/>
        <v>0</v>
      </c>
      <c r="W876"/>
      <c r="X876" s="53"/>
      <c r="Y876"/>
      <c r="Z876" s="53"/>
    </row>
    <row r="877" spans="7:26" ht="30" customHeight="1" x14ac:dyDescent="0.3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23"/>
        <v>0</v>
      </c>
      <c r="W877"/>
      <c r="X877" s="53"/>
      <c r="Y877"/>
      <c r="Z877" s="53"/>
    </row>
    <row r="878" spans="7:26" ht="30" customHeight="1" x14ac:dyDescent="0.3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23"/>
        <v>0</v>
      </c>
      <c r="W878"/>
      <c r="X878" s="53"/>
      <c r="Y878"/>
      <c r="Z878" s="53"/>
    </row>
    <row r="879" spans="7:26" ht="30" customHeight="1" x14ac:dyDescent="0.3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23"/>
        <v>0</v>
      </c>
      <c r="W879"/>
      <c r="X879" s="53"/>
      <c r="Y879"/>
      <c r="Z879" s="53"/>
    </row>
    <row r="880" spans="7:26" ht="30" customHeight="1" x14ac:dyDescent="0.3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23"/>
        <v>0</v>
      </c>
      <c r="W880"/>
      <c r="X880" s="53"/>
      <c r="Y880"/>
      <c r="Z880" s="53"/>
    </row>
    <row r="881" spans="7:26" ht="30" customHeight="1" x14ac:dyDescent="0.3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23"/>
        <v>0</v>
      </c>
      <c r="W881"/>
      <c r="X881" s="53"/>
      <c r="Y881"/>
      <c r="Z881" s="53"/>
    </row>
    <row r="882" spans="7:26" ht="30" customHeight="1" x14ac:dyDescent="0.3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si="23"/>
        <v>0</v>
      </c>
      <c r="W882"/>
      <c r="X882" s="53"/>
      <c r="Y882"/>
      <c r="Z882" s="53"/>
    </row>
    <row r="883" spans="7:26" ht="30" customHeight="1" x14ac:dyDescent="0.3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23"/>
        <v>0</v>
      </c>
      <c r="W883"/>
      <c r="X883" s="53"/>
      <c r="Y883"/>
      <c r="Z883" s="53"/>
    </row>
    <row r="884" spans="7:26" ht="30" customHeight="1" x14ac:dyDescent="0.3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23"/>
        <v>0</v>
      </c>
      <c r="W884"/>
      <c r="X884" s="53"/>
      <c r="Y884"/>
      <c r="Z884" s="53"/>
    </row>
    <row r="885" spans="7:26" ht="30" customHeight="1" x14ac:dyDescent="0.3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si="23"/>
        <v>0</v>
      </c>
      <c r="W885"/>
      <c r="X885" s="53"/>
      <c r="Y885"/>
      <c r="Z885" s="53"/>
    </row>
    <row r="886" spans="7:26" ht="30" customHeight="1" x14ac:dyDescent="0.3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23"/>
        <v>0</v>
      </c>
      <c r="W886"/>
      <c r="X886" s="53"/>
      <c r="Y886"/>
      <c r="Z886" s="53"/>
    </row>
    <row r="887" spans="7:26" ht="30" customHeight="1" x14ac:dyDescent="0.3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23"/>
        <v>0</v>
      </c>
      <c r="W887"/>
      <c r="X887" s="53"/>
      <c r="Y887"/>
      <c r="Z887" s="53"/>
    </row>
    <row r="888" spans="7:26" ht="30" customHeight="1" x14ac:dyDescent="0.3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23"/>
        <v>0</v>
      </c>
      <c r="W888"/>
      <c r="X888" s="53"/>
      <c r="Y888"/>
      <c r="Z888" s="53"/>
    </row>
    <row r="889" spans="7:26" ht="30" customHeight="1" x14ac:dyDescent="0.3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23"/>
        <v>0</v>
      </c>
      <c r="W889"/>
      <c r="X889" s="53"/>
      <c r="Y889"/>
      <c r="Z889" s="53"/>
    </row>
    <row r="890" spans="7:26" ht="30" customHeight="1" x14ac:dyDescent="0.3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23"/>
        <v>0</v>
      </c>
      <c r="W890"/>
      <c r="X890" s="53"/>
      <c r="Y890"/>
      <c r="Z890" s="53"/>
    </row>
    <row r="891" spans="7:26" ht="30" customHeight="1" x14ac:dyDescent="0.3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23"/>
        <v>0</v>
      </c>
      <c r="W891"/>
      <c r="X891" s="53"/>
      <c r="Y891"/>
      <c r="Z891" s="53"/>
    </row>
    <row r="892" spans="7:26" ht="30" customHeight="1" x14ac:dyDescent="0.3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23"/>
        <v>0</v>
      </c>
      <c r="W892"/>
      <c r="X892" s="53"/>
      <c r="Y892"/>
      <c r="Z892" s="53"/>
    </row>
    <row r="893" spans="7:26" ht="30" customHeight="1" x14ac:dyDescent="0.3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23"/>
        <v>0</v>
      </c>
      <c r="W893"/>
      <c r="X893" s="53"/>
      <c r="Y893"/>
      <c r="Z893" s="53"/>
    </row>
    <row r="894" spans="7:26" ht="30" customHeight="1" x14ac:dyDescent="0.3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23"/>
        <v>0</v>
      </c>
      <c r="W894"/>
      <c r="X894" s="53"/>
      <c r="Y894"/>
      <c r="Z894" s="53"/>
    </row>
    <row r="895" spans="7:26" ht="30" customHeight="1" x14ac:dyDescent="0.3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23"/>
        <v>0</v>
      </c>
      <c r="W895"/>
      <c r="X895" s="53"/>
      <c r="Y895"/>
      <c r="Z895" s="53"/>
    </row>
    <row r="896" spans="7:26" ht="30" customHeight="1" x14ac:dyDescent="0.3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23"/>
        <v>0</v>
      </c>
      <c r="W896"/>
      <c r="X896" s="53"/>
      <c r="Y896"/>
      <c r="Z896" s="53"/>
    </row>
    <row r="897" spans="7:26" ht="30" customHeight="1" x14ac:dyDescent="0.3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23"/>
        <v>0</v>
      </c>
      <c r="W897"/>
      <c r="X897" s="53"/>
      <c r="Y897"/>
      <c r="Z897" s="53"/>
    </row>
    <row r="898" spans="7:26" ht="30" customHeight="1" x14ac:dyDescent="0.3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23"/>
        <v>0</v>
      </c>
      <c r="W898"/>
      <c r="X898" s="53"/>
      <c r="Y898"/>
      <c r="Z898" s="53"/>
    </row>
    <row r="899" spans="7:26" ht="30" customHeight="1" x14ac:dyDescent="0.3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23"/>
        <v>0</v>
      </c>
      <c r="W899"/>
      <c r="X899" s="53"/>
      <c r="Y899"/>
      <c r="Z899" s="53"/>
    </row>
    <row r="900" spans="7:26" ht="30" customHeight="1" x14ac:dyDescent="0.3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23"/>
        <v>0</v>
      </c>
      <c r="W900"/>
      <c r="X900" s="53"/>
      <c r="Y900"/>
      <c r="Z900" s="53"/>
    </row>
    <row r="901" spans="7:26" ht="30" customHeight="1" x14ac:dyDescent="0.3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23"/>
        <v>0</v>
      </c>
      <c r="W901"/>
      <c r="X901" s="53"/>
      <c r="Y901"/>
      <c r="Z901" s="53"/>
    </row>
    <row r="902" spans="7:26" ht="30" customHeight="1" x14ac:dyDescent="0.3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23"/>
        <v>0</v>
      </c>
      <c r="W902"/>
      <c r="X902" s="53"/>
      <c r="Y902"/>
      <c r="Z902" s="53"/>
    </row>
    <row r="903" spans="7:26" ht="30" customHeight="1" x14ac:dyDescent="0.3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23"/>
        <v>0</v>
      </c>
      <c r="W903"/>
      <c r="X903" s="53"/>
      <c r="Y903"/>
      <c r="Z903" s="53"/>
    </row>
    <row r="904" spans="7:26" ht="30" customHeight="1" x14ac:dyDescent="0.3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23"/>
        <v>0</v>
      </c>
      <c r="W904"/>
      <c r="X904" s="53"/>
      <c r="Y904"/>
      <c r="Z904" s="53"/>
    </row>
    <row r="905" spans="7:26" ht="30" customHeight="1" x14ac:dyDescent="0.3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23"/>
        <v>0</v>
      </c>
      <c r="W905"/>
      <c r="X905" s="53"/>
      <c r="Y905"/>
      <c r="Z905" s="53"/>
    </row>
    <row r="906" spans="7:26" ht="30" customHeight="1" x14ac:dyDescent="0.3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23"/>
        <v>0</v>
      </c>
      <c r="W906"/>
      <c r="X906" s="53"/>
      <c r="Y906"/>
      <c r="Z906" s="53"/>
    </row>
    <row r="907" spans="7:26" ht="30" customHeight="1" x14ac:dyDescent="0.3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23"/>
        <v>0</v>
      </c>
      <c r="W907"/>
      <c r="X907" s="53"/>
      <c r="Y907"/>
      <c r="Z907" s="53"/>
    </row>
    <row r="908" spans="7:26" ht="30" customHeight="1" x14ac:dyDescent="0.3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23"/>
        <v>0</v>
      </c>
      <c r="W908"/>
      <c r="X908" s="53"/>
      <c r="Y908"/>
      <c r="Z908" s="53"/>
    </row>
    <row r="909" spans="7:26" ht="30" customHeight="1" x14ac:dyDescent="0.3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23"/>
        <v>0</v>
      </c>
      <c r="W909"/>
      <c r="X909" s="53"/>
      <c r="Y909"/>
      <c r="Z909" s="53"/>
    </row>
    <row r="910" spans="7:26" ht="30" customHeight="1" x14ac:dyDescent="0.3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23"/>
        <v>0</v>
      </c>
      <c r="W910"/>
      <c r="X910" s="53"/>
      <c r="Y910"/>
      <c r="Z910" s="53"/>
    </row>
    <row r="911" spans="7:26" ht="30" customHeight="1" x14ac:dyDescent="0.3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23"/>
        <v>0</v>
      </c>
      <c r="W911"/>
      <c r="X911" s="53"/>
      <c r="Y911"/>
      <c r="Z911" s="53"/>
    </row>
    <row r="912" spans="7:26" ht="30" customHeight="1" x14ac:dyDescent="0.3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23"/>
        <v>0</v>
      </c>
      <c r="W912"/>
      <c r="X912" s="53"/>
      <c r="Y912"/>
      <c r="Z912" s="53"/>
    </row>
    <row r="913" spans="7:26" ht="30" customHeight="1" x14ac:dyDescent="0.3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23"/>
        <v>0</v>
      </c>
      <c r="W913"/>
      <c r="X913" s="53"/>
      <c r="Y913"/>
      <c r="Z913" s="53"/>
    </row>
    <row r="914" spans="7:26" ht="30" customHeight="1" x14ac:dyDescent="0.3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23"/>
        <v>0</v>
      </c>
      <c r="W914"/>
      <c r="X914" s="53"/>
      <c r="Y914"/>
      <c r="Z914" s="53"/>
    </row>
    <row r="915" spans="7:26" ht="30" customHeight="1" x14ac:dyDescent="0.3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23"/>
        <v>0</v>
      </c>
      <c r="W915"/>
      <c r="X915" s="53"/>
      <c r="Y915"/>
      <c r="Z915" s="53"/>
    </row>
    <row r="916" spans="7:26" ht="30" customHeight="1" x14ac:dyDescent="0.3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23"/>
        <v>0</v>
      </c>
      <c r="W916"/>
      <c r="X916" s="53"/>
      <c r="Y916"/>
      <c r="Z916" s="53"/>
    </row>
    <row r="917" spans="7:26" ht="30" customHeight="1" x14ac:dyDescent="0.3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23"/>
        <v>0</v>
      </c>
      <c r="W917"/>
      <c r="X917" s="53"/>
      <c r="Y917"/>
      <c r="Z917" s="53"/>
    </row>
    <row r="918" spans="7:26" ht="30" customHeight="1" x14ac:dyDescent="0.3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23"/>
        <v>0</v>
      </c>
      <c r="W918"/>
      <c r="X918" s="53"/>
      <c r="Y918"/>
      <c r="Z918" s="53"/>
    </row>
    <row r="919" spans="7:26" ht="30" customHeight="1" x14ac:dyDescent="0.3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23"/>
        <v>0</v>
      </c>
      <c r="W919"/>
      <c r="X919" s="53"/>
      <c r="Y919"/>
      <c r="Z919" s="53"/>
    </row>
    <row r="920" spans="7:26" ht="30" customHeight="1" x14ac:dyDescent="0.3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23"/>
        <v>0</v>
      </c>
      <c r="W920"/>
      <c r="X920" s="53"/>
      <c r="Y920"/>
      <c r="Z920" s="53"/>
    </row>
    <row r="921" spans="7:26" ht="30" customHeight="1" x14ac:dyDescent="0.3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si="23"/>
        <v>0</v>
      </c>
      <c r="W921"/>
      <c r="X921" s="53"/>
      <c r="Y921"/>
      <c r="Z921" s="53"/>
    </row>
    <row r="922" spans="7:26" ht="30" customHeight="1" x14ac:dyDescent="0.3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si="23"/>
        <v>0</v>
      </c>
      <c r="W922"/>
      <c r="X922" s="53"/>
      <c r="Y922"/>
      <c r="Z922" s="53"/>
    </row>
    <row r="923" spans="7:26" ht="30" customHeight="1" x14ac:dyDescent="0.3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23"/>
        <v>0</v>
      </c>
      <c r="W923"/>
      <c r="X923" s="53"/>
      <c r="Y923"/>
      <c r="Z923" s="53"/>
    </row>
    <row r="924" spans="7:26" ht="30" customHeight="1" x14ac:dyDescent="0.3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23"/>
        <v>0</v>
      </c>
      <c r="W924"/>
      <c r="X924" s="53"/>
      <c r="Y924"/>
      <c r="Z924" s="53"/>
    </row>
    <row r="925" spans="7:26" ht="30" customHeight="1" x14ac:dyDescent="0.3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ref="U925:U988" si="24">E925+H925</f>
        <v>0</v>
      </c>
      <c r="W925"/>
      <c r="X925" s="53"/>
      <c r="Y925"/>
      <c r="Z925" s="53"/>
    </row>
    <row r="926" spans="7:26" ht="30" customHeight="1" x14ac:dyDescent="0.3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24"/>
        <v>0</v>
      </c>
      <c r="W926"/>
      <c r="X926" s="53"/>
      <c r="Y926"/>
      <c r="Z926" s="53"/>
    </row>
    <row r="927" spans="7:26" ht="30" customHeight="1" x14ac:dyDescent="0.3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24"/>
        <v>0</v>
      </c>
      <c r="W927"/>
      <c r="X927" s="53"/>
      <c r="Y927"/>
      <c r="Z927" s="53"/>
    </row>
    <row r="928" spans="7:26" ht="30" customHeight="1" x14ac:dyDescent="0.3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24"/>
        <v>0</v>
      </c>
      <c r="W928"/>
      <c r="X928" s="53"/>
      <c r="Y928"/>
      <c r="Z928" s="53"/>
    </row>
    <row r="929" spans="7:26" ht="30" customHeight="1" x14ac:dyDescent="0.3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24"/>
        <v>0</v>
      </c>
      <c r="W929"/>
      <c r="X929" s="53"/>
      <c r="Y929"/>
      <c r="Z929" s="53"/>
    </row>
    <row r="930" spans="7:26" ht="30" customHeight="1" x14ac:dyDescent="0.3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24"/>
        <v>0</v>
      </c>
      <c r="W930"/>
      <c r="X930" s="53"/>
      <c r="Y930"/>
      <c r="Z930" s="53"/>
    </row>
    <row r="931" spans="7:26" ht="30" customHeight="1" x14ac:dyDescent="0.3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24"/>
        <v>0</v>
      </c>
      <c r="W931"/>
      <c r="X931" s="53"/>
      <c r="Y931"/>
      <c r="Z931" s="53"/>
    </row>
    <row r="932" spans="7:26" ht="30" customHeight="1" x14ac:dyDescent="0.3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24"/>
        <v>0</v>
      </c>
      <c r="W932"/>
      <c r="X932" s="53"/>
      <c r="Y932"/>
      <c r="Z932" s="53"/>
    </row>
    <row r="933" spans="7:26" ht="30" customHeight="1" x14ac:dyDescent="0.3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24"/>
        <v>0</v>
      </c>
      <c r="W933"/>
      <c r="X933" s="53"/>
      <c r="Y933"/>
      <c r="Z933" s="53"/>
    </row>
    <row r="934" spans="7:26" ht="30" customHeight="1" x14ac:dyDescent="0.3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24"/>
        <v>0</v>
      </c>
      <c r="W934"/>
      <c r="X934" s="53"/>
      <c r="Y934"/>
      <c r="Z934" s="53"/>
    </row>
    <row r="935" spans="7:26" ht="30" customHeight="1" x14ac:dyDescent="0.3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24"/>
        <v>0</v>
      </c>
      <c r="W935"/>
      <c r="X935" s="53"/>
      <c r="Y935"/>
      <c r="Z935" s="53"/>
    </row>
    <row r="936" spans="7:26" ht="30" customHeight="1" x14ac:dyDescent="0.3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24"/>
        <v>0</v>
      </c>
      <c r="W936"/>
      <c r="X936" s="53"/>
      <c r="Y936"/>
      <c r="Z936" s="53"/>
    </row>
    <row r="937" spans="7:26" ht="30" customHeight="1" x14ac:dyDescent="0.3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24"/>
        <v>0</v>
      </c>
      <c r="W937"/>
      <c r="X937" s="53"/>
      <c r="Y937"/>
      <c r="Z937" s="53"/>
    </row>
    <row r="938" spans="7:26" ht="30" customHeight="1" x14ac:dyDescent="0.3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24"/>
        <v>0</v>
      </c>
      <c r="W938"/>
      <c r="X938" s="53"/>
      <c r="Y938"/>
      <c r="Z938" s="53"/>
    </row>
    <row r="939" spans="7:26" ht="30" customHeight="1" x14ac:dyDescent="0.3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si="24"/>
        <v>0</v>
      </c>
      <c r="W939"/>
      <c r="X939" s="53"/>
      <c r="Y939"/>
      <c r="Z939" s="53"/>
    </row>
    <row r="940" spans="7:26" ht="30" customHeight="1" x14ac:dyDescent="0.3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24"/>
        <v>0</v>
      </c>
      <c r="W940"/>
      <c r="X940" s="53"/>
      <c r="Y940"/>
      <c r="Z940" s="53"/>
    </row>
    <row r="941" spans="7:26" ht="30" customHeight="1" x14ac:dyDescent="0.3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24"/>
        <v>0</v>
      </c>
      <c r="W941"/>
      <c r="X941" s="53"/>
      <c r="Y941"/>
      <c r="Z941" s="53"/>
    </row>
    <row r="942" spans="7:26" ht="30" customHeight="1" x14ac:dyDescent="0.3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24"/>
        <v>0</v>
      </c>
      <c r="W942"/>
      <c r="X942" s="53"/>
      <c r="Y942"/>
      <c r="Z942" s="53"/>
    </row>
    <row r="943" spans="7:26" ht="30" customHeight="1" x14ac:dyDescent="0.3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24"/>
        <v>0</v>
      </c>
      <c r="W943"/>
      <c r="X943" s="53"/>
      <c r="Y943"/>
      <c r="Z943" s="53"/>
    </row>
    <row r="944" spans="7:26" ht="30" customHeight="1" x14ac:dyDescent="0.3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24"/>
        <v>0</v>
      </c>
      <c r="W944"/>
      <c r="X944" s="53"/>
      <c r="Y944"/>
      <c r="Z944" s="53"/>
    </row>
    <row r="945" spans="7:26" ht="30" customHeight="1" x14ac:dyDescent="0.3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24"/>
        <v>0</v>
      </c>
      <c r="W945"/>
      <c r="X945" s="53"/>
      <c r="Y945"/>
      <c r="Z945" s="53"/>
    </row>
    <row r="946" spans="7:26" ht="30" customHeight="1" x14ac:dyDescent="0.3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si="24"/>
        <v>0</v>
      </c>
      <c r="W946"/>
      <c r="X946" s="53"/>
      <c r="Y946"/>
      <c r="Z946" s="53"/>
    </row>
    <row r="947" spans="7:26" ht="30" customHeight="1" x14ac:dyDescent="0.3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24"/>
        <v>0</v>
      </c>
      <c r="W947"/>
      <c r="X947" s="53"/>
      <c r="Y947"/>
      <c r="Z947" s="53"/>
    </row>
    <row r="948" spans="7:26" ht="30" customHeight="1" x14ac:dyDescent="0.3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24"/>
        <v>0</v>
      </c>
      <c r="W948"/>
      <c r="X948" s="53"/>
      <c r="Y948"/>
      <c r="Z948" s="53"/>
    </row>
    <row r="949" spans="7:26" ht="30" customHeight="1" x14ac:dyDescent="0.3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si="24"/>
        <v>0</v>
      </c>
      <c r="W949"/>
      <c r="X949" s="53"/>
      <c r="Y949"/>
      <c r="Z949" s="53"/>
    </row>
    <row r="950" spans="7:26" ht="30" customHeight="1" x14ac:dyDescent="0.3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24"/>
        <v>0</v>
      </c>
      <c r="W950"/>
      <c r="X950" s="53"/>
      <c r="Y950"/>
      <c r="Z950" s="53"/>
    </row>
    <row r="951" spans="7:26" ht="30" customHeight="1" x14ac:dyDescent="0.3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24"/>
        <v>0</v>
      </c>
      <c r="W951"/>
      <c r="X951" s="53"/>
      <c r="Y951"/>
      <c r="Z951" s="53"/>
    </row>
    <row r="952" spans="7:26" ht="30" customHeight="1" x14ac:dyDescent="0.3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24"/>
        <v>0</v>
      </c>
      <c r="W952"/>
      <c r="X952" s="53"/>
      <c r="Y952"/>
      <c r="Z952" s="53"/>
    </row>
    <row r="953" spans="7:26" ht="30" customHeight="1" x14ac:dyDescent="0.3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24"/>
        <v>0</v>
      </c>
      <c r="W953"/>
      <c r="X953" s="53"/>
      <c r="Y953"/>
      <c r="Z953" s="53"/>
    </row>
    <row r="954" spans="7:26" ht="30" customHeight="1" x14ac:dyDescent="0.3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24"/>
        <v>0</v>
      </c>
      <c r="W954"/>
      <c r="X954" s="53"/>
      <c r="Y954"/>
      <c r="Z954" s="53"/>
    </row>
    <row r="955" spans="7:26" ht="30" customHeight="1" x14ac:dyDescent="0.3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24"/>
        <v>0</v>
      </c>
      <c r="W955"/>
      <c r="X955" s="53"/>
      <c r="Y955"/>
      <c r="Z955" s="53"/>
    </row>
    <row r="956" spans="7:26" ht="30" customHeight="1" x14ac:dyDescent="0.3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24"/>
        <v>0</v>
      </c>
      <c r="W956"/>
      <c r="X956" s="53"/>
      <c r="Y956"/>
      <c r="Z956" s="53"/>
    </row>
    <row r="957" spans="7:26" ht="30" customHeight="1" x14ac:dyDescent="0.3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24"/>
        <v>0</v>
      </c>
      <c r="W957"/>
      <c r="X957" s="53"/>
      <c r="Y957"/>
      <c r="Z957" s="53"/>
    </row>
    <row r="958" spans="7:26" ht="30" customHeight="1" x14ac:dyDescent="0.3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24"/>
        <v>0</v>
      </c>
      <c r="W958"/>
      <c r="X958" s="53"/>
      <c r="Y958"/>
      <c r="Z958" s="53"/>
    </row>
    <row r="959" spans="7:26" ht="30" customHeight="1" x14ac:dyDescent="0.3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24"/>
        <v>0</v>
      </c>
      <c r="W959"/>
      <c r="X959" s="53"/>
      <c r="Y959"/>
      <c r="Z959" s="53"/>
    </row>
    <row r="960" spans="7:26" ht="30" customHeight="1" x14ac:dyDescent="0.3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24"/>
        <v>0</v>
      </c>
      <c r="W960"/>
      <c r="X960" s="53"/>
      <c r="Y960"/>
      <c r="Z960" s="53"/>
    </row>
    <row r="961" spans="7:26" ht="30" customHeight="1" x14ac:dyDescent="0.3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24"/>
        <v>0</v>
      </c>
      <c r="W961"/>
      <c r="X961" s="53"/>
      <c r="Y961"/>
      <c r="Z961" s="53"/>
    </row>
    <row r="962" spans="7:26" ht="30" customHeight="1" x14ac:dyDescent="0.3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24"/>
        <v>0</v>
      </c>
      <c r="W962"/>
      <c r="X962" s="53"/>
      <c r="Y962"/>
      <c r="Z962" s="53"/>
    </row>
    <row r="963" spans="7:26" ht="30" customHeight="1" x14ac:dyDescent="0.3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24"/>
        <v>0</v>
      </c>
      <c r="W963"/>
      <c r="X963" s="53"/>
      <c r="Y963"/>
      <c r="Z963" s="53"/>
    </row>
    <row r="964" spans="7:26" ht="30" customHeight="1" x14ac:dyDescent="0.3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24"/>
        <v>0</v>
      </c>
      <c r="W964"/>
      <c r="X964" s="53"/>
      <c r="Y964"/>
      <c r="Z964" s="53"/>
    </row>
    <row r="965" spans="7:26" ht="30" customHeight="1" x14ac:dyDescent="0.3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24"/>
        <v>0</v>
      </c>
      <c r="W965"/>
      <c r="X965" s="53"/>
      <c r="Y965"/>
      <c r="Z965" s="53"/>
    </row>
    <row r="966" spans="7:26" ht="30" customHeight="1" x14ac:dyDescent="0.3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24"/>
        <v>0</v>
      </c>
      <c r="W966"/>
      <c r="X966" s="53"/>
      <c r="Y966"/>
      <c r="Z966" s="53"/>
    </row>
    <row r="967" spans="7:26" ht="30" customHeight="1" x14ac:dyDescent="0.3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24"/>
        <v>0</v>
      </c>
      <c r="W967"/>
      <c r="X967" s="53"/>
      <c r="Y967"/>
      <c r="Z967" s="53"/>
    </row>
    <row r="968" spans="7:26" ht="30" customHeight="1" x14ac:dyDescent="0.3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24"/>
        <v>0</v>
      </c>
      <c r="W968"/>
      <c r="X968" s="53"/>
      <c r="Y968"/>
      <c r="Z968" s="53"/>
    </row>
    <row r="969" spans="7:26" ht="30" customHeight="1" x14ac:dyDescent="0.3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24"/>
        <v>0</v>
      </c>
      <c r="W969"/>
      <c r="X969" s="53"/>
      <c r="Y969"/>
      <c r="Z969" s="53"/>
    </row>
    <row r="970" spans="7:26" ht="30" customHeight="1" x14ac:dyDescent="0.3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24"/>
        <v>0</v>
      </c>
      <c r="W970"/>
      <c r="X970" s="53"/>
      <c r="Y970"/>
      <c r="Z970" s="53"/>
    </row>
    <row r="971" spans="7:26" ht="30" customHeight="1" x14ac:dyDescent="0.3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24"/>
        <v>0</v>
      </c>
      <c r="W971"/>
      <c r="X971" s="53"/>
      <c r="Y971"/>
      <c r="Z971" s="53"/>
    </row>
    <row r="972" spans="7:26" ht="30" customHeight="1" x14ac:dyDescent="0.3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24"/>
        <v>0</v>
      </c>
      <c r="W972"/>
      <c r="X972" s="53"/>
      <c r="Y972"/>
      <c r="Z972" s="53"/>
    </row>
    <row r="973" spans="7:26" ht="30" customHeight="1" x14ac:dyDescent="0.3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24"/>
        <v>0</v>
      </c>
      <c r="W973"/>
      <c r="X973" s="53"/>
      <c r="Y973"/>
      <c r="Z973" s="53"/>
    </row>
    <row r="974" spans="7:26" ht="30" customHeight="1" x14ac:dyDescent="0.3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24"/>
        <v>0</v>
      </c>
      <c r="W974"/>
      <c r="X974" s="53"/>
      <c r="Y974"/>
      <c r="Z974" s="53"/>
    </row>
    <row r="975" spans="7:26" ht="30" customHeight="1" x14ac:dyDescent="0.3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24"/>
        <v>0</v>
      </c>
      <c r="W975"/>
      <c r="X975" s="53"/>
      <c r="Y975"/>
      <c r="Z975" s="53"/>
    </row>
    <row r="976" spans="7:26" ht="30" customHeight="1" x14ac:dyDescent="0.3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24"/>
        <v>0</v>
      </c>
      <c r="W976"/>
      <c r="X976" s="53"/>
      <c r="Y976"/>
      <c r="Z976" s="53"/>
    </row>
    <row r="977" spans="7:26" ht="30" customHeight="1" x14ac:dyDescent="0.3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24"/>
        <v>0</v>
      </c>
      <c r="W977"/>
      <c r="X977" s="53"/>
      <c r="Y977"/>
      <c r="Z977" s="53"/>
    </row>
    <row r="978" spans="7:26" ht="30" customHeight="1" x14ac:dyDescent="0.3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24"/>
        <v>0</v>
      </c>
      <c r="W978"/>
      <c r="X978" s="53"/>
      <c r="Y978"/>
      <c r="Z978" s="53"/>
    </row>
    <row r="979" spans="7:26" ht="30" customHeight="1" x14ac:dyDescent="0.3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24"/>
        <v>0</v>
      </c>
      <c r="W979"/>
      <c r="X979" s="53"/>
      <c r="Y979"/>
      <c r="Z979" s="53"/>
    </row>
    <row r="980" spans="7:26" ht="30" customHeight="1" x14ac:dyDescent="0.3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24"/>
        <v>0</v>
      </c>
      <c r="W980"/>
      <c r="X980" s="53"/>
      <c r="Y980"/>
      <c r="Z980" s="53"/>
    </row>
    <row r="981" spans="7:26" ht="30" customHeight="1" x14ac:dyDescent="0.3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24"/>
        <v>0</v>
      </c>
      <c r="W981"/>
      <c r="X981" s="53"/>
      <c r="Y981"/>
      <c r="Z981" s="53"/>
    </row>
    <row r="982" spans="7:26" ht="30" customHeight="1" x14ac:dyDescent="0.3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24"/>
        <v>0</v>
      </c>
      <c r="W982"/>
      <c r="X982" s="53"/>
      <c r="Y982"/>
      <c r="Z982" s="53"/>
    </row>
    <row r="983" spans="7:26" ht="30" customHeight="1" x14ac:dyDescent="0.3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24"/>
        <v>0</v>
      </c>
      <c r="W983"/>
      <c r="X983" s="53"/>
      <c r="Y983"/>
      <c r="Z983" s="53"/>
    </row>
    <row r="984" spans="7:26" ht="30" customHeight="1" x14ac:dyDescent="0.3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24"/>
        <v>0</v>
      </c>
      <c r="W984"/>
      <c r="X984" s="53"/>
      <c r="Y984"/>
      <c r="Z984" s="53"/>
    </row>
    <row r="985" spans="7:26" ht="30" customHeight="1" x14ac:dyDescent="0.3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si="24"/>
        <v>0</v>
      </c>
      <c r="W985"/>
      <c r="X985" s="53"/>
      <c r="Y985"/>
      <c r="Z985" s="53"/>
    </row>
    <row r="986" spans="7:26" ht="30" customHeight="1" x14ac:dyDescent="0.3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si="24"/>
        <v>0</v>
      </c>
      <c r="W986"/>
      <c r="X986" s="53"/>
      <c r="Y986"/>
      <c r="Z986" s="53"/>
    </row>
    <row r="987" spans="7:26" ht="30" customHeight="1" x14ac:dyDescent="0.3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24"/>
        <v>0</v>
      </c>
      <c r="W987"/>
      <c r="X987" s="53"/>
      <c r="Y987"/>
      <c r="Z987" s="53"/>
    </row>
    <row r="988" spans="7:26" ht="30" customHeight="1" x14ac:dyDescent="0.3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24"/>
        <v>0</v>
      </c>
      <c r="W988"/>
      <c r="X988" s="53"/>
      <c r="Y988"/>
      <c r="Z988" s="53"/>
    </row>
    <row r="989" spans="7:26" ht="30" customHeight="1" x14ac:dyDescent="0.3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ref="U989:U1052" si="25">E989+H989</f>
        <v>0</v>
      </c>
      <c r="W989"/>
      <c r="X989" s="53"/>
      <c r="Y989"/>
      <c r="Z989" s="53"/>
    </row>
    <row r="990" spans="7:26" ht="30" customHeight="1" x14ac:dyDescent="0.3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25"/>
        <v>0</v>
      </c>
      <c r="W990"/>
      <c r="X990" s="53"/>
      <c r="Y990"/>
      <c r="Z990" s="53"/>
    </row>
    <row r="991" spans="7:26" ht="30" customHeight="1" x14ac:dyDescent="0.3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25"/>
        <v>0</v>
      </c>
      <c r="W991"/>
      <c r="X991" s="53"/>
      <c r="Y991"/>
      <c r="Z991" s="53"/>
    </row>
    <row r="992" spans="7:26" ht="30" customHeight="1" x14ac:dyDescent="0.3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25"/>
        <v>0</v>
      </c>
      <c r="W992"/>
      <c r="X992" s="53"/>
      <c r="Y992"/>
      <c r="Z992" s="53"/>
    </row>
    <row r="993" spans="7:26" ht="30" customHeight="1" x14ac:dyDescent="0.3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25"/>
        <v>0</v>
      </c>
      <c r="W993"/>
      <c r="X993" s="53"/>
      <c r="Y993"/>
      <c r="Z993" s="53"/>
    </row>
    <row r="994" spans="7:26" ht="30" customHeight="1" x14ac:dyDescent="0.3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25"/>
        <v>0</v>
      </c>
      <c r="W994"/>
      <c r="X994" s="53"/>
      <c r="Y994"/>
      <c r="Z994" s="53"/>
    </row>
    <row r="995" spans="7:26" ht="30" customHeight="1" x14ac:dyDescent="0.3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25"/>
        <v>0</v>
      </c>
      <c r="W995"/>
      <c r="X995" s="53"/>
      <c r="Y995"/>
      <c r="Z995" s="53"/>
    </row>
    <row r="996" spans="7:26" ht="30" customHeight="1" x14ac:dyDescent="0.3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25"/>
        <v>0</v>
      </c>
      <c r="W996"/>
      <c r="X996" s="53"/>
      <c r="Y996"/>
      <c r="Z996" s="53"/>
    </row>
    <row r="997" spans="7:26" ht="30" customHeight="1" x14ac:dyDescent="0.3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25"/>
        <v>0</v>
      </c>
      <c r="W997"/>
      <c r="X997" s="53"/>
      <c r="Y997"/>
      <c r="Z997" s="53"/>
    </row>
    <row r="998" spans="7:26" ht="30" customHeight="1" x14ac:dyDescent="0.3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25"/>
        <v>0</v>
      </c>
      <c r="W998"/>
      <c r="X998" s="53"/>
      <c r="Y998"/>
      <c r="Z998" s="53"/>
    </row>
    <row r="999" spans="7:26" ht="30" customHeight="1" x14ac:dyDescent="0.3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25"/>
        <v>0</v>
      </c>
      <c r="W999"/>
      <c r="X999" s="53"/>
      <c r="Y999"/>
      <c r="Z999" s="53"/>
    </row>
    <row r="1000" spans="7:26" ht="30" customHeight="1" x14ac:dyDescent="0.3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25"/>
        <v>0</v>
      </c>
      <c r="W1000"/>
      <c r="X1000" s="53"/>
      <c r="Y1000"/>
      <c r="Z1000" s="53"/>
    </row>
    <row r="1001" spans="7:26" ht="30" customHeight="1" x14ac:dyDescent="0.3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25"/>
        <v>0</v>
      </c>
      <c r="W1001"/>
      <c r="X1001" s="53"/>
      <c r="Y1001"/>
      <c r="Z1001" s="53"/>
    </row>
    <row r="1002" spans="7:26" ht="30" customHeight="1" x14ac:dyDescent="0.3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25"/>
        <v>0</v>
      </c>
      <c r="W1002"/>
      <c r="X1002" s="53"/>
      <c r="Y1002"/>
      <c r="Z1002" s="53"/>
    </row>
    <row r="1003" spans="7:26" ht="30" customHeight="1" x14ac:dyDescent="0.3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si="25"/>
        <v>0</v>
      </c>
      <c r="W1003"/>
      <c r="X1003" s="53"/>
      <c r="Y1003"/>
      <c r="Z1003" s="53"/>
    </row>
    <row r="1004" spans="7:26" ht="30" customHeight="1" x14ac:dyDescent="0.3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25"/>
        <v>0</v>
      </c>
      <c r="W1004"/>
      <c r="X1004" s="53"/>
      <c r="Y1004"/>
      <c r="Z1004" s="53"/>
    </row>
    <row r="1005" spans="7:26" ht="30" customHeight="1" x14ac:dyDescent="0.3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25"/>
        <v>0</v>
      </c>
      <c r="W1005"/>
      <c r="X1005" s="53"/>
      <c r="Y1005"/>
      <c r="Z1005" s="53"/>
    </row>
    <row r="1006" spans="7:26" ht="30" customHeight="1" x14ac:dyDescent="0.3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25"/>
        <v>0</v>
      </c>
      <c r="W1006"/>
      <c r="X1006" s="53"/>
      <c r="Y1006"/>
      <c r="Z1006" s="53"/>
    </row>
    <row r="1007" spans="7:26" ht="30" customHeight="1" x14ac:dyDescent="0.3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25"/>
        <v>0</v>
      </c>
      <c r="W1007"/>
      <c r="X1007" s="53"/>
      <c r="Y1007"/>
      <c r="Z1007" s="53"/>
    </row>
    <row r="1008" spans="7:26" ht="30" customHeight="1" x14ac:dyDescent="0.3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25"/>
        <v>0</v>
      </c>
      <c r="W1008"/>
      <c r="X1008" s="53"/>
      <c r="Y1008"/>
      <c r="Z1008" s="53"/>
    </row>
    <row r="1009" spans="7:26" ht="30" customHeight="1" x14ac:dyDescent="0.3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25"/>
        <v>0</v>
      </c>
      <c r="W1009"/>
      <c r="X1009" s="53"/>
      <c r="Y1009"/>
      <c r="Z1009" s="53"/>
    </row>
    <row r="1010" spans="7:26" ht="30" customHeight="1" x14ac:dyDescent="0.3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si="25"/>
        <v>0</v>
      </c>
      <c r="W1010"/>
      <c r="X1010" s="53"/>
      <c r="Y1010"/>
      <c r="Z1010" s="53"/>
    </row>
    <row r="1011" spans="7:26" ht="30" customHeight="1" x14ac:dyDescent="0.3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25"/>
        <v>0</v>
      </c>
      <c r="W1011"/>
      <c r="X1011" s="53"/>
      <c r="Y1011"/>
      <c r="Z1011" s="53"/>
    </row>
    <row r="1012" spans="7:26" ht="30" customHeight="1" x14ac:dyDescent="0.3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25"/>
        <v>0</v>
      </c>
      <c r="W1012"/>
      <c r="X1012" s="53"/>
      <c r="Y1012"/>
      <c r="Z1012" s="53"/>
    </row>
    <row r="1013" spans="7:26" ht="30" customHeight="1" x14ac:dyDescent="0.3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si="25"/>
        <v>0</v>
      </c>
      <c r="W1013"/>
      <c r="X1013" s="53"/>
      <c r="Y1013"/>
      <c r="Z1013" s="53"/>
    </row>
    <row r="1014" spans="7:26" ht="30" customHeight="1" x14ac:dyDescent="0.3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25"/>
        <v>0</v>
      </c>
      <c r="W1014"/>
      <c r="X1014" s="53"/>
      <c r="Y1014"/>
      <c r="Z1014" s="53"/>
    </row>
    <row r="1015" spans="7:26" ht="30" customHeight="1" x14ac:dyDescent="0.3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25"/>
        <v>0</v>
      </c>
      <c r="W1015"/>
      <c r="X1015" s="53"/>
      <c r="Y1015"/>
      <c r="Z1015" s="53"/>
    </row>
    <row r="1016" spans="7:26" ht="30" customHeight="1" x14ac:dyDescent="0.3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25"/>
        <v>0</v>
      </c>
      <c r="W1016"/>
      <c r="X1016" s="53"/>
      <c r="Y1016"/>
      <c r="Z1016" s="53"/>
    </row>
    <row r="1017" spans="7:26" ht="30" customHeight="1" x14ac:dyDescent="0.3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25"/>
        <v>0</v>
      </c>
      <c r="W1017"/>
      <c r="X1017" s="53"/>
      <c r="Y1017"/>
      <c r="Z1017" s="53"/>
    </row>
    <row r="1018" spans="7:26" ht="30" customHeight="1" x14ac:dyDescent="0.3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25"/>
        <v>0</v>
      </c>
      <c r="W1018"/>
      <c r="X1018" s="53"/>
      <c r="Y1018"/>
      <c r="Z1018" s="53"/>
    </row>
    <row r="1019" spans="7:26" ht="30" customHeight="1" x14ac:dyDescent="0.3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25"/>
        <v>0</v>
      </c>
      <c r="W1019"/>
      <c r="X1019" s="53"/>
      <c r="Y1019"/>
      <c r="Z1019" s="53"/>
    </row>
    <row r="1020" spans="7:26" ht="30" customHeight="1" x14ac:dyDescent="0.3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25"/>
        <v>0</v>
      </c>
      <c r="W1020"/>
      <c r="X1020" s="53"/>
      <c r="Y1020"/>
      <c r="Z1020" s="53"/>
    </row>
    <row r="1021" spans="7:26" ht="30" customHeight="1" x14ac:dyDescent="0.3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25"/>
        <v>0</v>
      </c>
      <c r="W1021"/>
      <c r="X1021" s="53"/>
      <c r="Y1021"/>
      <c r="Z1021" s="53"/>
    </row>
    <row r="1022" spans="7:26" ht="30" customHeight="1" x14ac:dyDescent="0.3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25"/>
        <v>0</v>
      </c>
      <c r="W1022"/>
      <c r="X1022" s="53"/>
      <c r="Y1022"/>
      <c r="Z1022" s="53"/>
    </row>
    <row r="1023" spans="7:26" ht="30" customHeight="1" x14ac:dyDescent="0.3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25"/>
        <v>0</v>
      </c>
      <c r="W1023"/>
      <c r="X1023" s="53"/>
      <c r="Y1023"/>
      <c r="Z1023" s="53"/>
    </row>
    <row r="1024" spans="7:26" ht="30" customHeight="1" x14ac:dyDescent="0.3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25"/>
        <v>0</v>
      </c>
      <c r="W1024"/>
      <c r="X1024" s="53"/>
      <c r="Y1024"/>
      <c r="Z1024" s="53"/>
    </row>
    <row r="1025" spans="7:26" ht="30" customHeight="1" x14ac:dyDescent="0.3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25"/>
        <v>0</v>
      </c>
      <c r="W1025"/>
      <c r="X1025" s="53"/>
      <c r="Y1025"/>
      <c r="Z1025" s="53"/>
    </row>
    <row r="1026" spans="7:26" ht="30" customHeight="1" x14ac:dyDescent="0.3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25"/>
        <v>0</v>
      </c>
      <c r="W1026"/>
      <c r="X1026" s="53"/>
      <c r="Y1026"/>
      <c r="Z1026" s="53"/>
    </row>
    <row r="1027" spans="7:26" ht="30" customHeight="1" x14ac:dyDescent="0.3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25"/>
        <v>0</v>
      </c>
      <c r="W1027"/>
      <c r="X1027" s="53"/>
      <c r="Y1027"/>
      <c r="Z1027" s="53"/>
    </row>
    <row r="1028" spans="7:26" ht="30" customHeight="1" x14ac:dyDescent="0.3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25"/>
        <v>0</v>
      </c>
      <c r="W1028"/>
      <c r="X1028" s="53"/>
      <c r="Y1028"/>
      <c r="Z1028" s="53"/>
    </row>
    <row r="1029" spans="7:26" ht="30" customHeight="1" x14ac:dyDescent="0.3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25"/>
        <v>0</v>
      </c>
      <c r="W1029"/>
      <c r="X1029" s="53"/>
      <c r="Y1029"/>
      <c r="Z1029" s="53"/>
    </row>
    <row r="1030" spans="7:26" ht="30" customHeight="1" x14ac:dyDescent="0.3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25"/>
        <v>0</v>
      </c>
      <c r="W1030"/>
      <c r="X1030" s="53"/>
      <c r="Y1030"/>
      <c r="Z1030" s="53"/>
    </row>
    <row r="1031" spans="7:26" ht="30" customHeight="1" x14ac:dyDescent="0.3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25"/>
        <v>0</v>
      </c>
      <c r="W1031"/>
      <c r="X1031" s="53"/>
      <c r="Y1031"/>
      <c r="Z1031" s="53"/>
    </row>
    <row r="1032" spans="7:26" ht="30" customHeight="1" x14ac:dyDescent="0.3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25"/>
        <v>0</v>
      </c>
      <c r="W1032"/>
      <c r="X1032" s="53"/>
      <c r="Y1032"/>
      <c r="Z1032" s="53"/>
    </row>
    <row r="1033" spans="7:26" ht="30" customHeight="1" x14ac:dyDescent="0.3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25"/>
        <v>0</v>
      </c>
      <c r="W1033"/>
      <c r="X1033" s="53"/>
      <c r="Y1033"/>
      <c r="Z1033" s="53"/>
    </row>
    <row r="1034" spans="7:26" ht="30" customHeight="1" x14ac:dyDescent="0.3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25"/>
        <v>0</v>
      </c>
      <c r="W1034"/>
      <c r="X1034" s="53"/>
      <c r="Y1034"/>
      <c r="Z1034" s="53"/>
    </row>
    <row r="1035" spans="7:26" ht="30" customHeight="1" x14ac:dyDescent="0.3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25"/>
        <v>0</v>
      </c>
      <c r="W1035"/>
      <c r="X1035" s="53"/>
      <c r="Y1035"/>
      <c r="Z1035" s="53"/>
    </row>
    <row r="1036" spans="7:26" ht="30" customHeight="1" x14ac:dyDescent="0.3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25"/>
        <v>0</v>
      </c>
      <c r="W1036"/>
      <c r="X1036" s="53"/>
      <c r="Y1036"/>
      <c r="Z1036" s="53"/>
    </row>
    <row r="1037" spans="7:26" ht="30" customHeight="1" x14ac:dyDescent="0.3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25"/>
        <v>0</v>
      </c>
      <c r="W1037"/>
      <c r="X1037" s="53"/>
      <c r="Y1037"/>
      <c r="Z1037" s="53"/>
    </row>
    <row r="1038" spans="7:26" ht="30" customHeight="1" x14ac:dyDescent="0.3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25"/>
        <v>0</v>
      </c>
      <c r="W1038"/>
      <c r="X1038" s="53"/>
      <c r="Y1038"/>
      <c r="Z1038" s="53"/>
    </row>
    <row r="1039" spans="7:26" ht="30" customHeight="1" x14ac:dyDescent="0.3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25"/>
        <v>0</v>
      </c>
      <c r="W1039"/>
      <c r="X1039" s="53"/>
      <c r="Y1039"/>
      <c r="Z1039" s="53"/>
    </row>
    <row r="1040" spans="7:26" ht="30" customHeight="1" x14ac:dyDescent="0.3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25"/>
        <v>0</v>
      </c>
      <c r="W1040"/>
      <c r="X1040" s="53"/>
      <c r="Y1040"/>
      <c r="Z1040" s="53"/>
    </row>
    <row r="1041" spans="7:26" ht="30" customHeight="1" x14ac:dyDescent="0.3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25"/>
        <v>0</v>
      </c>
      <c r="W1041"/>
      <c r="X1041" s="53"/>
      <c r="Y1041"/>
      <c r="Z1041" s="53"/>
    </row>
    <row r="1042" spans="7:26" ht="30" customHeight="1" x14ac:dyDescent="0.3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25"/>
        <v>0</v>
      </c>
      <c r="W1042"/>
      <c r="X1042" s="53"/>
      <c r="Y1042"/>
      <c r="Z1042" s="53"/>
    </row>
    <row r="1043" spans="7:26" ht="30" customHeight="1" x14ac:dyDescent="0.3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25"/>
        <v>0</v>
      </c>
      <c r="W1043"/>
      <c r="X1043" s="53"/>
      <c r="Y1043"/>
      <c r="Z1043" s="53"/>
    </row>
    <row r="1044" spans="7:26" ht="30" customHeight="1" x14ac:dyDescent="0.3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25"/>
        <v>0</v>
      </c>
      <c r="W1044"/>
      <c r="X1044" s="53"/>
      <c r="Y1044"/>
      <c r="Z1044" s="53"/>
    </row>
    <row r="1045" spans="7:26" ht="30" customHeight="1" x14ac:dyDescent="0.3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25"/>
        <v>0</v>
      </c>
      <c r="W1045"/>
      <c r="X1045" s="53"/>
      <c r="Y1045"/>
      <c r="Z1045" s="53"/>
    </row>
    <row r="1046" spans="7:26" ht="30" customHeight="1" x14ac:dyDescent="0.3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25"/>
        <v>0</v>
      </c>
      <c r="W1046"/>
      <c r="X1046" s="53"/>
      <c r="Y1046"/>
      <c r="Z1046" s="53"/>
    </row>
    <row r="1047" spans="7:26" ht="30" customHeight="1" x14ac:dyDescent="0.3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25"/>
        <v>0</v>
      </c>
      <c r="W1047"/>
      <c r="X1047" s="53"/>
      <c r="Y1047"/>
      <c r="Z1047" s="53"/>
    </row>
    <row r="1048" spans="7:26" ht="30" customHeight="1" x14ac:dyDescent="0.3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25"/>
        <v>0</v>
      </c>
      <c r="W1048"/>
      <c r="X1048" s="53"/>
      <c r="Y1048"/>
      <c r="Z1048" s="53"/>
    </row>
    <row r="1049" spans="7:26" ht="30" customHeight="1" x14ac:dyDescent="0.3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si="25"/>
        <v>0</v>
      </c>
      <c r="W1049"/>
      <c r="X1049" s="53"/>
      <c r="Y1049"/>
      <c r="Z1049" s="53"/>
    </row>
    <row r="1050" spans="7:26" ht="30" customHeight="1" x14ac:dyDescent="0.3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si="25"/>
        <v>0</v>
      </c>
      <c r="W1050"/>
      <c r="X1050" s="53"/>
      <c r="Y1050"/>
      <c r="Z1050" s="53"/>
    </row>
    <row r="1051" spans="7:26" ht="30" customHeight="1" x14ac:dyDescent="0.3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25"/>
        <v>0</v>
      </c>
      <c r="W1051"/>
      <c r="X1051" s="53"/>
      <c r="Y1051"/>
      <c r="Z1051" s="53"/>
    </row>
    <row r="1052" spans="7:26" ht="30" customHeight="1" x14ac:dyDescent="0.3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25"/>
        <v>0</v>
      </c>
      <c r="W1052"/>
      <c r="X1052" s="53"/>
      <c r="Y1052"/>
      <c r="Z1052" s="53"/>
    </row>
    <row r="1053" spans="7:26" ht="30" customHeight="1" x14ac:dyDescent="0.3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ref="U1053:U1116" si="26">E1053+H1053</f>
        <v>0</v>
      </c>
      <c r="W1053"/>
      <c r="X1053" s="53"/>
      <c r="Y1053"/>
      <c r="Z1053" s="53"/>
    </row>
    <row r="1054" spans="7:26" ht="30" customHeight="1" x14ac:dyDescent="0.3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26"/>
        <v>0</v>
      </c>
      <c r="W1054"/>
      <c r="X1054" s="53"/>
      <c r="Y1054"/>
      <c r="Z1054" s="53"/>
    </row>
    <row r="1055" spans="7:26" ht="30" customHeight="1" x14ac:dyDescent="0.3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26"/>
        <v>0</v>
      </c>
      <c r="W1055"/>
      <c r="X1055" s="53"/>
      <c r="Y1055"/>
      <c r="Z1055" s="53"/>
    </row>
    <row r="1056" spans="7:26" ht="30" customHeight="1" x14ac:dyDescent="0.3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26"/>
        <v>0</v>
      </c>
      <c r="W1056"/>
      <c r="X1056" s="53"/>
      <c r="Y1056"/>
      <c r="Z1056" s="53"/>
    </row>
    <row r="1057" spans="7:26" ht="30" customHeight="1" x14ac:dyDescent="0.3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26"/>
        <v>0</v>
      </c>
      <c r="W1057"/>
      <c r="X1057" s="53"/>
      <c r="Y1057"/>
      <c r="Z1057" s="53"/>
    </row>
    <row r="1058" spans="7:26" ht="30" customHeight="1" x14ac:dyDescent="0.3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26"/>
        <v>0</v>
      </c>
      <c r="W1058"/>
      <c r="X1058" s="53"/>
      <c r="Y1058"/>
      <c r="Z1058" s="53"/>
    </row>
    <row r="1059" spans="7:26" ht="30" customHeight="1" x14ac:dyDescent="0.3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26"/>
        <v>0</v>
      </c>
      <c r="W1059"/>
      <c r="X1059" s="53"/>
      <c r="Y1059"/>
      <c r="Z1059" s="53"/>
    </row>
    <row r="1060" spans="7:26" ht="30" customHeight="1" x14ac:dyDescent="0.3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26"/>
        <v>0</v>
      </c>
      <c r="W1060"/>
      <c r="X1060" s="53"/>
      <c r="Y1060"/>
      <c r="Z1060" s="53"/>
    </row>
    <row r="1061" spans="7:26" ht="30" customHeight="1" x14ac:dyDescent="0.3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26"/>
        <v>0</v>
      </c>
      <c r="W1061"/>
      <c r="X1061" s="53"/>
      <c r="Y1061"/>
      <c r="Z1061" s="53"/>
    </row>
    <row r="1062" spans="7:26" ht="30" customHeight="1" x14ac:dyDescent="0.3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26"/>
        <v>0</v>
      </c>
      <c r="W1062"/>
      <c r="X1062" s="53"/>
      <c r="Y1062"/>
      <c r="Z1062" s="53"/>
    </row>
    <row r="1063" spans="7:26" ht="30" customHeight="1" x14ac:dyDescent="0.3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26"/>
        <v>0</v>
      </c>
      <c r="W1063"/>
      <c r="X1063" s="53"/>
      <c r="Y1063"/>
      <c r="Z1063" s="53"/>
    </row>
    <row r="1064" spans="7:26" ht="30" customHeight="1" x14ac:dyDescent="0.3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26"/>
        <v>0</v>
      </c>
      <c r="W1064"/>
      <c r="X1064" s="53"/>
      <c r="Y1064"/>
      <c r="Z1064" s="53"/>
    </row>
    <row r="1065" spans="7:26" ht="30" customHeight="1" x14ac:dyDescent="0.3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26"/>
        <v>0</v>
      </c>
      <c r="W1065"/>
      <c r="X1065" s="53"/>
      <c r="Y1065"/>
      <c r="Z1065" s="53"/>
    </row>
    <row r="1066" spans="7:26" ht="30" customHeight="1" x14ac:dyDescent="0.3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26"/>
        <v>0</v>
      </c>
      <c r="W1066"/>
      <c r="X1066" s="53"/>
      <c r="Y1066"/>
      <c r="Z1066" s="53"/>
    </row>
    <row r="1067" spans="7:26" ht="30" customHeight="1" x14ac:dyDescent="0.3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si="26"/>
        <v>0</v>
      </c>
      <c r="W1067"/>
      <c r="X1067" s="53"/>
      <c r="Y1067"/>
      <c r="Z1067" s="53"/>
    </row>
    <row r="1068" spans="7:26" ht="30" customHeight="1" x14ac:dyDescent="0.3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26"/>
        <v>0</v>
      </c>
      <c r="W1068"/>
      <c r="X1068" s="53"/>
      <c r="Y1068"/>
      <c r="Z1068" s="53"/>
    </row>
    <row r="1069" spans="7:26" ht="30" customHeight="1" x14ac:dyDescent="0.3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26"/>
        <v>0</v>
      </c>
      <c r="W1069"/>
      <c r="X1069" s="53"/>
      <c r="Y1069"/>
      <c r="Z1069" s="53"/>
    </row>
    <row r="1070" spans="7:26" ht="30" customHeight="1" x14ac:dyDescent="0.3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26"/>
        <v>0</v>
      </c>
      <c r="W1070"/>
      <c r="X1070" s="53"/>
      <c r="Y1070"/>
      <c r="Z1070" s="53"/>
    </row>
    <row r="1071" spans="7:26" ht="30" customHeight="1" x14ac:dyDescent="0.3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26"/>
        <v>0</v>
      </c>
      <c r="W1071"/>
      <c r="X1071" s="53"/>
      <c r="Y1071"/>
      <c r="Z1071" s="53"/>
    </row>
    <row r="1072" spans="7:26" ht="30" customHeight="1" x14ac:dyDescent="0.3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26"/>
        <v>0</v>
      </c>
      <c r="W1072"/>
      <c r="X1072" s="53"/>
      <c r="Y1072"/>
      <c r="Z1072" s="53"/>
    </row>
    <row r="1073" spans="7:26" ht="30" customHeight="1" x14ac:dyDescent="0.3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26"/>
        <v>0</v>
      </c>
      <c r="W1073"/>
      <c r="X1073" s="53"/>
      <c r="Y1073"/>
      <c r="Z1073" s="53"/>
    </row>
    <row r="1074" spans="7:26" ht="30" customHeight="1" x14ac:dyDescent="0.3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si="26"/>
        <v>0</v>
      </c>
      <c r="W1074"/>
      <c r="X1074" s="53"/>
      <c r="Y1074"/>
      <c r="Z1074" s="53"/>
    </row>
    <row r="1075" spans="7:26" ht="30" customHeight="1" x14ac:dyDescent="0.3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26"/>
        <v>0</v>
      </c>
      <c r="W1075"/>
      <c r="X1075" s="53"/>
      <c r="Y1075"/>
      <c r="Z1075" s="53"/>
    </row>
    <row r="1076" spans="7:26" ht="30" customHeight="1" x14ac:dyDescent="0.3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26"/>
        <v>0</v>
      </c>
      <c r="W1076"/>
      <c r="X1076" s="53"/>
      <c r="Y1076"/>
      <c r="Z1076" s="53"/>
    </row>
    <row r="1077" spans="7:26" ht="30" customHeight="1" x14ac:dyDescent="0.3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si="26"/>
        <v>0</v>
      </c>
      <c r="W1077"/>
      <c r="X1077" s="53"/>
      <c r="Y1077"/>
      <c r="Z1077" s="53"/>
    </row>
    <row r="1078" spans="7:26" ht="30" customHeight="1" x14ac:dyDescent="0.3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26"/>
        <v>0</v>
      </c>
      <c r="W1078"/>
      <c r="X1078" s="53"/>
      <c r="Y1078"/>
      <c r="Z1078" s="53"/>
    </row>
    <row r="1079" spans="7:26" ht="30" customHeight="1" x14ac:dyDescent="0.3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26"/>
        <v>0</v>
      </c>
      <c r="W1079"/>
      <c r="X1079" s="53"/>
      <c r="Y1079"/>
      <c r="Z1079" s="53"/>
    </row>
    <row r="1080" spans="7:26" ht="30" customHeight="1" x14ac:dyDescent="0.3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26"/>
        <v>0</v>
      </c>
      <c r="W1080"/>
      <c r="X1080" s="53"/>
      <c r="Y1080"/>
      <c r="Z1080" s="53"/>
    </row>
    <row r="1081" spans="7:26" ht="30" customHeight="1" x14ac:dyDescent="0.3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26"/>
        <v>0</v>
      </c>
      <c r="W1081"/>
      <c r="X1081" s="53"/>
      <c r="Y1081"/>
      <c r="Z1081" s="53"/>
    </row>
    <row r="1082" spans="7:26" ht="30" customHeight="1" x14ac:dyDescent="0.3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26"/>
        <v>0</v>
      </c>
      <c r="W1082"/>
      <c r="X1082" s="53"/>
      <c r="Y1082"/>
      <c r="Z1082" s="53"/>
    </row>
    <row r="1083" spans="7:26" ht="30" customHeight="1" x14ac:dyDescent="0.3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26"/>
        <v>0</v>
      </c>
      <c r="W1083"/>
      <c r="X1083" s="53"/>
      <c r="Y1083"/>
      <c r="Z1083" s="53"/>
    </row>
    <row r="1084" spans="7:26" ht="30" customHeight="1" x14ac:dyDescent="0.3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26"/>
        <v>0</v>
      </c>
      <c r="W1084"/>
      <c r="X1084" s="53"/>
      <c r="Y1084"/>
      <c r="Z1084" s="53"/>
    </row>
    <row r="1085" spans="7:26" ht="30" customHeight="1" x14ac:dyDescent="0.3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26"/>
        <v>0</v>
      </c>
      <c r="W1085"/>
      <c r="X1085" s="53"/>
      <c r="Y1085"/>
      <c r="Z1085" s="53"/>
    </row>
    <row r="1086" spans="7:26" ht="30" customHeight="1" x14ac:dyDescent="0.3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26"/>
        <v>0</v>
      </c>
      <c r="W1086"/>
      <c r="X1086" s="53"/>
      <c r="Y1086"/>
      <c r="Z1086" s="53"/>
    </row>
    <row r="1087" spans="7:26" ht="30" customHeight="1" x14ac:dyDescent="0.3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26"/>
        <v>0</v>
      </c>
      <c r="W1087"/>
      <c r="X1087" s="53"/>
      <c r="Y1087"/>
      <c r="Z1087" s="53"/>
    </row>
    <row r="1088" spans="7:26" ht="30" customHeight="1" x14ac:dyDescent="0.3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26"/>
        <v>0</v>
      </c>
      <c r="W1088"/>
      <c r="X1088" s="53"/>
      <c r="Y1088"/>
      <c r="Z1088" s="53"/>
    </row>
    <row r="1089" spans="7:26" ht="30" customHeight="1" x14ac:dyDescent="0.3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26"/>
        <v>0</v>
      </c>
      <c r="W1089"/>
      <c r="X1089" s="53"/>
      <c r="Y1089"/>
      <c r="Z1089" s="53"/>
    </row>
    <row r="1090" spans="7:26" ht="30" customHeight="1" x14ac:dyDescent="0.3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26"/>
        <v>0</v>
      </c>
      <c r="W1090"/>
      <c r="X1090" s="53"/>
      <c r="Y1090"/>
      <c r="Z1090" s="53"/>
    </row>
    <row r="1091" spans="7:26" ht="30" customHeight="1" x14ac:dyDescent="0.3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26"/>
        <v>0</v>
      </c>
      <c r="W1091"/>
      <c r="X1091" s="53"/>
      <c r="Y1091"/>
      <c r="Z1091" s="53"/>
    </row>
    <row r="1092" spans="7:26" ht="30" customHeight="1" x14ac:dyDescent="0.3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26"/>
        <v>0</v>
      </c>
      <c r="W1092"/>
      <c r="X1092" s="53"/>
      <c r="Y1092"/>
      <c r="Z1092" s="53"/>
    </row>
    <row r="1093" spans="7:26" ht="30" customHeight="1" x14ac:dyDescent="0.3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26"/>
        <v>0</v>
      </c>
      <c r="W1093"/>
      <c r="X1093" s="53"/>
      <c r="Y1093"/>
      <c r="Z1093" s="53"/>
    </row>
    <row r="1094" spans="7:26" ht="30" customHeight="1" x14ac:dyDescent="0.3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26"/>
        <v>0</v>
      </c>
      <c r="W1094"/>
      <c r="X1094" s="53"/>
      <c r="Y1094"/>
      <c r="Z1094" s="53"/>
    </row>
    <row r="1095" spans="7:26" ht="30" customHeight="1" x14ac:dyDescent="0.3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26"/>
        <v>0</v>
      </c>
      <c r="W1095"/>
      <c r="X1095" s="53"/>
      <c r="Y1095"/>
      <c r="Z1095" s="53"/>
    </row>
    <row r="1096" spans="7:26" ht="30" customHeight="1" x14ac:dyDescent="0.3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26"/>
        <v>0</v>
      </c>
      <c r="W1096"/>
      <c r="X1096" s="53"/>
      <c r="Y1096"/>
      <c r="Z1096" s="53"/>
    </row>
    <row r="1097" spans="7:26" ht="30" customHeight="1" x14ac:dyDescent="0.3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26"/>
        <v>0</v>
      </c>
      <c r="W1097"/>
      <c r="X1097" s="53"/>
      <c r="Y1097"/>
      <c r="Z1097" s="53"/>
    </row>
    <row r="1098" spans="7:26" ht="30" customHeight="1" x14ac:dyDescent="0.3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26"/>
        <v>0</v>
      </c>
      <c r="W1098"/>
      <c r="X1098" s="53"/>
      <c r="Y1098"/>
      <c r="Z1098" s="53"/>
    </row>
    <row r="1099" spans="7:26" ht="30" customHeight="1" x14ac:dyDescent="0.3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26"/>
        <v>0</v>
      </c>
      <c r="W1099"/>
      <c r="X1099" s="53"/>
      <c r="Y1099"/>
      <c r="Z1099" s="53"/>
    </row>
    <row r="1100" spans="7:26" ht="30" customHeight="1" x14ac:dyDescent="0.3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26"/>
        <v>0</v>
      </c>
      <c r="W1100"/>
      <c r="X1100" s="53"/>
      <c r="Y1100"/>
      <c r="Z1100" s="53"/>
    </row>
    <row r="1101" spans="7:26" ht="30" customHeight="1" x14ac:dyDescent="0.3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26"/>
        <v>0</v>
      </c>
      <c r="W1101"/>
      <c r="X1101" s="53"/>
      <c r="Y1101"/>
      <c r="Z1101" s="53"/>
    </row>
    <row r="1102" spans="7:26" ht="30" customHeight="1" x14ac:dyDescent="0.3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26"/>
        <v>0</v>
      </c>
      <c r="W1102"/>
      <c r="X1102" s="53"/>
      <c r="Y1102"/>
      <c r="Z1102" s="53"/>
    </row>
    <row r="1103" spans="7:26" ht="30" customHeight="1" x14ac:dyDescent="0.3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26"/>
        <v>0</v>
      </c>
      <c r="W1103"/>
      <c r="X1103" s="53"/>
      <c r="Y1103"/>
      <c r="Z1103" s="53"/>
    </row>
    <row r="1104" spans="7:26" ht="30" customHeight="1" x14ac:dyDescent="0.3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26"/>
        <v>0</v>
      </c>
      <c r="W1104"/>
      <c r="X1104" s="53"/>
      <c r="Y1104"/>
      <c r="Z1104" s="53"/>
    </row>
    <row r="1105" spans="7:26" ht="30" customHeight="1" x14ac:dyDescent="0.3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26"/>
        <v>0</v>
      </c>
      <c r="W1105"/>
      <c r="X1105" s="53"/>
      <c r="Y1105"/>
      <c r="Z1105" s="53"/>
    </row>
    <row r="1106" spans="7:26" ht="30" customHeight="1" x14ac:dyDescent="0.3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26"/>
        <v>0</v>
      </c>
      <c r="W1106"/>
      <c r="X1106" s="53"/>
      <c r="Y1106"/>
      <c r="Z1106" s="53"/>
    </row>
    <row r="1107" spans="7:26" ht="30" customHeight="1" x14ac:dyDescent="0.3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26"/>
        <v>0</v>
      </c>
      <c r="W1107"/>
      <c r="X1107" s="53"/>
      <c r="Y1107"/>
      <c r="Z1107" s="53"/>
    </row>
    <row r="1108" spans="7:26" ht="30" customHeight="1" x14ac:dyDescent="0.3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26"/>
        <v>0</v>
      </c>
      <c r="W1108"/>
      <c r="X1108" s="53"/>
      <c r="Y1108"/>
      <c r="Z1108" s="53"/>
    </row>
    <row r="1109" spans="7:26" ht="30" customHeight="1" x14ac:dyDescent="0.3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26"/>
        <v>0</v>
      </c>
      <c r="W1109"/>
      <c r="X1109" s="53"/>
      <c r="Y1109"/>
      <c r="Z1109" s="53"/>
    </row>
    <row r="1110" spans="7:26" ht="30" customHeight="1" x14ac:dyDescent="0.3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26"/>
        <v>0</v>
      </c>
      <c r="W1110"/>
      <c r="X1110" s="53"/>
      <c r="Y1110"/>
      <c r="Z1110" s="53"/>
    </row>
    <row r="1111" spans="7:26" ht="30" customHeight="1" x14ac:dyDescent="0.3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26"/>
        <v>0</v>
      </c>
      <c r="W1111"/>
      <c r="X1111" s="53"/>
      <c r="Y1111"/>
      <c r="Z1111" s="53"/>
    </row>
    <row r="1112" spans="7:26" ht="30" customHeight="1" x14ac:dyDescent="0.3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26"/>
        <v>0</v>
      </c>
      <c r="W1112"/>
      <c r="X1112" s="53"/>
      <c r="Y1112"/>
      <c r="Z1112" s="53"/>
    </row>
    <row r="1113" spans="7:26" ht="30" customHeight="1" x14ac:dyDescent="0.3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si="26"/>
        <v>0</v>
      </c>
      <c r="W1113"/>
      <c r="X1113" s="53"/>
      <c r="Y1113"/>
      <c r="Z1113" s="53"/>
    </row>
    <row r="1114" spans="7:26" ht="30" customHeight="1" x14ac:dyDescent="0.3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si="26"/>
        <v>0</v>
      </c>
      <c r="W1114"/>
      <c r="X1114" s="53"/>
      <c r="Y1114"/>
      <c r="Z1114" s="53"/>
    </row>
    <row r="1115" spans="7:26" ht="30" customHeight="1" x14ac:dyDescent="0.3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26"/>
        <v>0</v>
      </c>
      <c r="W1115"/>
      <c r="X1115" s="53"/>
      <c r="Y1115"/>
      <c r="Z1115" s="53"/>
    </row>
    <row r="1116" spans="7:26" ht="30" customHeight="1" x14ac:dyDescent="0.3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26"/>
        <v>0</v>
      </c>
      <c r="W1116"/>
      <c r="X1116" s="53"/>
      <c r="Y1116"/>
      <c r="Z1116" s="53"/>
    </row>
    <row r="1117" spans="7:26" ht="30" customHeight="1" x14ac:dyDescent="0.3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ref="U1117:U1144" si="27">E1117+H1117</f>
        <v>0</v>
      </c>
      <c r="W1117"/>
      <c r="X1117" s="53"/>
      <c r="Y1117"/>
      <c r="Z1117" s="53"/>
    </row>
    <row r="1118" spans="7:26" ht="30" customHeight="1" x14ac:dyDescent="0.3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27"/>
        <v>0</v>
      </c>
      <c r="W1118"/>
      <c r="X1118" s="53"/>
      <c r="Y1118"/>
      <c r="Z1118" s="53"/>
    </row>
    <row r="1119" spans="7:26" ht="30" customHeight="1" x14ac:dyDescent="0.3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27"/>
        <v>0</v>
      </c>
      <c r="W1119"/>
      <c r="X1119" s="53"/>
      <c r="Y1119"/>
      <c r="Z1119" s="53"/>
    </row>
    <row r="1120" spans="7:26" ht="30" customHeight="1" x14ac:dyDescent="0.3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27"/>
        <v>0</v>
      </c>
      <c r="W1120"/>
      <c r="X1120" s="53"/>
      <c r="Y1120"/>
      <c r="Z1120" s="53"/>
    </row>
    <row r="1121" spans="7:26" ht="30" customHeight="1" x14ac:dyDescent="0.3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27"/>
        <v>0</v>
      </c>
      <c r="W1121"/>
      <c r="X1121" s="53"/>
      <c r="Y1121"/>
      <c r="Z1121" s="53"/>
    </row>
    <row r="1122" spans="7:26" ht="30" customHeight="1" x14ac:dyDescent="0.3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27"/>
        <v>0</v>
      </c>
      <c r="W1122"/>
      <c r="X1122" s="53"/>
      <c r="Y1122"/>
      <c r="Z1122" s="53"/>
    </row>
    <row r="1123" spans="7:26" ht="30" customHeight="1" x14ac:dyDescent="0.3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27"/>
        <v>0</v>
      </c>
      <c r="W1123"/>
      <c r="X1123" s="53"/>
      <c r="Y1123"/>
      <c r="Z1123" s="53"/>
    </row>
    <row r="1124" spans="7:26" ht="30" customHeight="1" x14ac:dyDescent="0.3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27"/>
        <v>0</v>
      </c>
      <c r="W1124"/>
      <c r="X1124" s="53"/>
      <c r="Y1124"/>
      <c r="Z1124" s="53"/>
    </row>
    <row r="1125" spans="7:26" ht="30" customHeight="1" x14ac:dyDescent="0.3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27"/>
        <v>0</v>
      </c>
      <c r="W1125"/>
      <c r="X1125" s="53"/>
      <c r="Y1125"/>
      <c r="Z1125" s="53"/>
    </row>
    <row r="1126" spans="7:26" ht="30" customHeight="1" x14ac:dyDescent="0.3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27"/>
        <v>0</v>
      </c>
      <c r="W1126"/>
      <c r="X1126" s="53"/>
      <c r="Y1126"/>
      <c r="Z1126" s="53"/>
    </row>
    <row r="1127" spans="7:26" ht="30" customHeight="1" x14ac:dyDescent="0.3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27"/>
        <v>0</v>
      </c>
      <c r="W1127"/>
      <c r="X1127" s="53"/>
      <c r="Y1127"/>
      <c r="Z1127" s="53"/>
    </row>
    <row r="1128" spans="7:26" ht="30" customHeight="1" x14ac:dyDescent="0.3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27"/>
        <v>0</v>
      </c>
      <c r="W1128"/>
      <c r="X1128" s="53"/>
      <c r="Y1128"/>
      <c r="Z1128" s="53"/>
    </row>
    <row r="1129" spans="7:26" ht="30" customHeight="1" x14ac:dyDescent="0.3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27"/>
        <v>0</v>
      </c>
      <c r="W1129"/>
      <c r="X1129" s="53"/>
      <c r="Y1129"/>
      <c r="Z1129" s="53"/>
    </row>
    <row r="1130" spans="7:26" ht="30" customHeight="1" x14ac:dyDescent="0.3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27"/>
        <v>0</v>
      </c>
      <c r="W1130"/>
      <c r="X1130" s="53"/>
      <c r="Y1130"/>
      <c r="Z1130" s="53"/>
    </row>
    <row r="1131" spans="7:26" ht="30" customHeight="1" x14ac:dyDescent="0.3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si="27"/>
        <v>0</v>
      </c>
      <c r="W1131"/>
      <c r="X1131" s="53"/>
      <c r="Y1131"/>
      <c r="Z1131" s="53"/>
    </row>
    <row r="1132" spans="7:26" ht="30" customHeight="1" x14ac:dyDescent="0.3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27"/>
        <v>0</v>
      </c>
      <c r="W1132"/>
      <c r="X1132" s="53"/>
      <c r="Y1132"/>
      <c r="Z1132" s="53"/>
    </row>
    <row r="1133" spans="7:26" ht="30" customHeight="1" x14ac:dyDescent="0.3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27"/>
        <v>0</v>
      </c>
      <c r="W1133"/>
      <c r="X1133" s="53"/>
      <c r="Y1133"/>
      <c r="Z1133" s="53"/>
    </row>
    <row r="1134" spans="7:26" ht="30" customHeight="1" x14ac:dyDescent="0.3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27"/>
        <v>0</v>
      </c>
      <c r="W1134"/>
      <c r="X1134" s="53"/>
      <c r="Y1134"/>
      <c r="Z1134" s="53"/>
    </row>
    <row r="1135" spans="7:26" ht="30" customHeight="1" x14ac:dyDescent="0.3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27"/>
        <v>0</v>
      </c>
      <c r="W1135"/>
      <c r="X1135" s="53"/>
      <c r="Y1135"/>
      <c r="Z1135" s="53"/>
    </row>
    <row r="1136" spans="7:26" ht="30" customHeight="1" x14ac:dyDescent="0.3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27"/>
        <v>0</v>
      </c>
      <c r="W1136"/>
      <c r="X1136" s="53"/>
      <c r="Y1136"/>
      <c r="Z1136" s="53"/>
    </row>
    <row r="1137" spans="7:26" ht="30" customHeight="1" x14ac:dyDescent="0.3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27"/>
        <v>0</v>
      </c>
      <c r="W1137"/>
      <c r="X1137" s="53"/>
      <c r="Y1137"/>
      <c r="Z1137" s="53"/>
    </row>
    <row r="1138" spans="7:26" ht="30" customHeight="1" x14ac:dyDescent="0.3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si="27"/>
        <v>0</v>
      </c>
      <c r="W1138"/>
      <c r="X1138" s="53"/>
      <c r="Y1138"/>
      <c r="Z1138" s="53"/>
    </row>
    <row r="1139" spans="7:26" ht="30" customHeight="1" x14ac:dyDescent="0.3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27"/>
        <v>0</v>
      </c>
      <c r="W1139"/>
      <c r="X1139" s="53"/>
      <c r="Y1139"/>
      <c r="Z1139" s="53"/>
    </row>
    <row r="1140" spans="7:26" ht="30" customHeight="1" x14ac:dyDescent="0.3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27"/>
        <v>0</v>
      </c>
      <c r="W1140"/>
      <c r="X1140" s="53"/>
      <c r="Y1140"/>
      <c r="Z1140" s="53"/>
    </row>
    <row r="1141" spans="7:26" ht="30" customHeight="1" x14ac:dyDescent="0.3">
      <c r="G1141" s="3"/>
      <c r="I1141" s="3"/>
      <c r="J1141" s="3"/>
      <c r="K1141" s="24"/>
      <c r="L1141" s="24"/>
      <c r="M1141" s="24"/>
      <c r="N1141" s="24"/>
      <c r="O1141" s="24"/>
      <c r="P1141" s="31"/>
      <c r="Q1141" s="24"/>
      <c r="R1141" s="24"/>
      <c r="S1141" s="24"/>
      <c r="T1141" s="24"/>
      <c r="U1141" s="4">
        <f t="shared" si="27"/>
        <v>0</v>
      </c>
      <c r="W1141"/>
      <c r="X1141" s="53"/>
      <c r="Y1141"/>
      <c r="Z1141" s="53"/>
    </row>
    <row r="1142" spans="7:26" ht="30" customHeight="1" x14ac:dyDescent="0.3">
      <c r="G1142" s="3"/>
      <c r="I1142" s="3"/>
      <c r="J1142" s="3"/>
      <c r="K1142" s="24"/>
      <c r="L1142" s="24"/>
      <c r="M1142" s="24"/>
      <c r="N1142" s="24"/>
      <c r="O1142" s="24"/>
      <c r="P1142" s="31"/>
      <c r="Q1142" s="24"/>
      <c r="R1142" s="24"/>
      <c r="S1142" s="24"/>
      <c r="T1142" s="24"/>
      <c r="U1142" s="4">
        <f t="shared" si="27"/>
        <v>0</v>
      </c>
      <c r="W1142"/>
      <c r="X1142" s="53"/>
      <c r="Y1142"/>
      <c r="Z1142" s="53"/>
    </row>
    <row r="1143" spans="7:26" ht="30" customHeight="1" x14ac:dyDescent="0.3">
      <c r="G1143" s="3"/>
      <c r="I1143" s="3"/>
      <c r="J1143" s="3"/>
      <c r="K1143" s="24"/>
      <c r="L1143" s="24"/>
      <c r="M1143" s="24"/>
      <c r="N1143" s="24"/>
      <c r="O1143" s="24"/>
      <c r="P1143" s="31"/>
      <c r="Q1143" s="24"/>
      <c r="R1143" s="24"/>
      <c r="S1143" s="24"/>
      <c r="T1143" s="24"/>
      <c r="U1143" s="4">
        <f t="shared" si="27"/>
        <v>0</v>
      </c>
      <c r="W1143"/>
      <c r="X1143" s="53"/>
      <c r="Y1143"/>
      <c r="Z1143" s="53"/>
    </row>
    <row r="1144" spans="7:26" ht="30" customHeight="1" x14ac:dyDescent="0.3">
      <c r="G1144" s="3"/>
      <c r="I1144" s="3"/>
      <c r="J1144" s="3"/>
      <c r="K1144" s="24"/>
      <c r="L1144" s="24"/>
      <c r="M1144" s="24"/>
      <c r="N1144" s="24"/>
      <c r="O1144" s="24"/>
      <c r="P1144" s="31"/>
      <c r="Q1144" s="24"/>
      <c r="R1144" s="24"/>
      <c r="S1144" s="24"/>
      <c r="T1144" s="24"/>
      <c r="U1144" s="4">
        <f t="shared" si="27"/>
        <v>0</v>
      </c>
      <c r="W1144"/>
      <c r="X1144" s="53"/>
      <c r="Y1144"/>
      <c r="Z1144" s="53"/>
    </row>
  </sheetData>
  <autoFilter ref="A1:Z1144" xr:uid="{00000000-0009-0000-0000-000001000000}"/>
  <sortState xmlns:xlrd2="http://schemas.microsoft.com/office/spreadsheetml/2017/richdata2" ref="A7:H1000">
    <sortCondition descending="1" ref="A1:A1000"/>
  </sortState>
  <dataValidations count="3">
    <dataValidation type="list" allowBlank="1" showInputMessage="1" showErrorMessage="1" sqref="B48:B105" xr:uid="{00000000-0002-0000-0100-000000000000}">
      <formula1>"MARWOOD,POVAG,VERA"</formula1>
    </dataValidation>
    <dataValidation type="list" allowBlank="1" showInputMessage="1" showErrorMessage="1" sqref="E48:G105" xr:uid="{00000000-0002-0000-0100-000001000000}">
      <formula1>"MARWOOD,VERA"</formula1>
    </dataValidation>
    <dataValidation type="list" allowBlank="1" showInputMessage="1" showErrorMessage="1" sqref="C47:D47" xr:uid="{00000000-0002-0000-0100-000002000000}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5"/>
  <dimension ref="A1"/>
  <sheetViews>
    <sheetView workbookViewId="0">
      <selection activeCell="E14" sqref="E14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A1:F19"/>
  <sheetViews>
    <sheetView zoomScaleNormal="100" workbookViewId="0">
      <selection activeCell="B18" sqref="B18:F18"/>
    </sheetView>
  </sheetViews>
  <sheetFormatPr defaultColWidth="8.77734375" defaultRowHeight="14.4" x14ac:dyDescent="0.3"/>
  <cols>
    <col min="1" max="1" width="24.6640625" customWidth="1"/>
    <col min="2" max="2" width="17.44140625" customWidth="1"/>
    <col min="3" max="3" width="25.44140625" customWidth="1"/>
    <col min="4" max="4" width="14" customWidth="1"/>
    <col min="5" max="5" width="18.6640625" customWidth="1"/>
    <col min="6" max="6" width="22.6640625" customWidth="1"/>
  </cols>
  <sheetData>
    <row r="1" spans="1:6" x14ac:dyDescent="0.3">
      <c r="A1" s="83"/>
      <c r="B1" s="86" t="s">
        <v>17</v>
      </c>
      <c r="C1" s="87"/>
      <c r="D1" s="88"/>
      <c r="E1" s="9" t="s">
        <v>16</v>
      </c>
      <c r="F1" s="8">
        <v>45673</v>
      </c>
    </row>
    <row r="2" spans="1:6" x14ac:dyDescent="0.3">
      <c r="A2" s="84"/>
      <c r="B2" s="89"/>
      <c r="C2" s="90"/>
      <c r="D2" s="91"/>
      <c r="E2" s="7" t="s">
        <v>15</v>
      </c>
      <c r="F2" s="6">
        <v>0</v>
      </c>
    </row>
    <row r="3" spans="1:6" x14ac:dyDescent="0.3">
      <c r="A3" s="84"/>
      <c r="B3" s="89"/>
      <c r="C3" s="90"/>
      <c r="D3" s="91"/>
      <c r="E3" s="7" t="s">
        <v>14</v>
      </c>
      <c r="F3" s="6" t="s">
        <v>13</v>
      </c>
    </row>
    <row r="4" spans="1:6" x14ac:dyDescent="0.3">
      <c r="A4" s="84"/>
      <c r="B4" s="89"/>
      <c r="C4" s="90"/>
      <c r="D4" s="91"/>
      <c r="E4" s="7" t="s">
        <v>12</v>
      </c>
      <c r="F4" s="6">
        <v>1</v>
      </c>
    </row>
    <row r="5" spans="1:6" ht="15" thickBot="1" x14ac:dyDescent="0.35">
      <c r="A5" s="85"/>
      <c r="B5" s="89"/>
      <c r="C5" s="90"/>
      <c r="D5" s="91"/>
      <c r="E5" s="10" t="s">
        <v>11</v>
      </c>
      <c r="F5" s="11" t="s">
        <v>10</v>
      </c>
    </row>
    <row r="6" spans="1:6" ht="54" customHeight="1" x14ac:dyDescent="0.3">
      <c r="A6" s="12" t="s">
        <v>0</v>
      </c>
      <c r="B6" s="92"/>
      <c r="C6" s="93"/>
      <c r="D6" s="93"/>
      <c r="E6" s="93"/>
      <c r="F6" s="94"/>
    </row>
    <row r="7" spans="1:6" ht="57" customHeight="1" x14ac:dyDescent="0.3">
      <c r="A7" s="13" t="s">
        <v>6</v>
      </c>
      <c r="B7" s="95" t="s">
        <v>26</v>
      </c>
      <c r="C7" s="96"/>
      <c r="D7" s="96"/>
      <c r="E7" s="96"/>
      <c r="F7" s="97"/>
    </row>
    <row r="8" spans="1:6" ht="54.75" customHeight="1" x14ac:dyDescent="0.3">
      <c r="A8" s="13" t="s">
        <v>1</v>
      </c>
      <c r="B8" s="98"/>
      <c r="C8" s="99"/>
      <c r="D8" s="99"/>
      <c r="E8" s="99"/>
      <c r="F8" s="100"/>
    </row>
    <row r="9" spans="1:6" ht="54" customHeight="1" x14ac:dyDescent="0.3">
      <c r="A9" s="13" t="s">
        <v>20</v>
      </c>
      <c r="B9" s="95" t="s">
        <v>25</v>
      </c>
      <c r="C9" s="96"/>
      <c r="D9" s="96"/>
      <c r="E9" s="96"/>
      <c r="F9" s="97"/>
    </row>
    <row r="10" spans="1:6" ht="27.75" customHeight="1" x14ac:dyDescent="0.3">
      <c r="A10" s="16"/>
      <c r="B10" s="98" t="s">
        <v>21</v>
      </c>
      <c r="C10" s="112"/>
      <c r="D10" s="113" t="s">
        <v>22</v>
      </c>
      <c r="E10" s="99"/>
      <c r="F10" s="100"/>
    </row>
    <row r="11" spans="1:6" ht="59.25" customHeight="1" x14ac:dyDescent="0.3">
      <c r="A11" s="15" t="s">
        <v>19</v>
      </c>
      <c r="B11" s="117" t="s">
        <v>23</v>
      </c>
      <c r="C11" s="114"/>
      <c r="D11" s="114" t="s">
        <v>24</v>
      </c>
      <c r="E11" s="115"/>
      <c r="F11" s="116"/>
    </row>
    <row r="12" spans="1:6" ht="61.5" customHeight="1" x14ac:dyDescent="0.3">
      <c r="A12" s="13" t="s">
        <v>2</v>
      </c>
      <c r="B12" s="107"/>
      <c r="C12" s="108"/>
      <c r="D12" s="109"/>
      <c r="E12" s="110"/>
      <c r="F12" s="111"/>
    </row>
    <row r="13" spans="1:6" ht="61.5" customHeight="1" x14ac:dyDescent="0.3">
      <c r="A13" s="13" t="s">
        <v>3</v>
      </c>
      <c r="B13" s="107"/>
      <c r="C13" s="108"/>
      <c r="D13" s="109"/>
      <c r="E13" s="110"/>
      <c r="F13" s="111"/>
    </row>
    <row r="14" spans="1:6" ht="61.5" customHeight="1" x14ac:dyDescent="0.3">
      <c r="A14" s="13" t="s">
        <v>4</v>
      </c>
      <c r="B14" s="107"/>
      <c r="C14" s="108"/>
      <c r="D14" s="109"/>
      <c r="E14" s="110"/>
      <c r="F14" s="111"/>
    </row>
    <row r="15" spans="1:6" ht="61.5" customHeight="1" x14ac:dyDescent="0.3">
      <c r="A15" s="13" t="s">
        <v>5</v>
      </c>
      <c r="B15" s="107"/>
      <c r="C15" s="108"/>
      <c r="D15" s="109"/>
      <c r="E15" s="110"/>
      <c r="F15" s="111"/>
    </row>
    <row r="16" spans="1:6" ht="63.75" customHeight="1" x14ac:dyDescent="0.3">
      <c r="A16" s="13" t="s">
        <v>8</v>
      </c>
      <c r="B16" s="104"/>
      <c r="C16" s="105"/>
      <c r="D16" s="105"/>
      <c r="E16" s="105"/>
      <c r="F16" s="106"/>
    </row>
    <row r="17" spans="1:6" ht="54.75" customHeight="1" x14ac:dyDescent="0.3">
      <c r="A17" s="13" t="s">
        <v>7</v>
      </c>
      <c r="B17" s="104"/>
      <c r="C17" s="105"/>
      <c r="D17" s="105"/>
      <c r="E17" s="105"/>
      <c r="F17" s="106"/>
    </row>
    <row r="18" spans="1:6" ht="117" customHeight="1" x14ac:dyDescent="0.3">
      <c r="A18" s="15" t="s">
        <v>18</v>
      </c>
      <c r="B18" s="104"/>
      <c r="C18" s="105"/>
      <c r="D18" s="105"/>
      <c r="E18" s="105"/>
      <c r="F18" s="106"/>
    </row>
    <row r="19" spans="1:6" ht="51.75" customHeight="1" thickBot="1" x14ac:dyDescent="0.35">
      <c r="A19" s="14" t="s">
        <v>9</v>
      </c>
      <c r="B19" s="101" t="s">
        <v>27</v>
      </c>
      <c r="C19" s="102"/>
      <c r="D19" s="102"/>
      <c r="E19" s="102"/>
      <c r="F19" s="103"/>
    </row>
  </sheetData>
  <mergeCells count="22">
    <mergeCell ref="B10:C10"/>
    <mergeCell ref="D10:F10"/>
    <mergeCell ref="D11:F11"/>
    <mergeCell ref="B11:C11"/>
    <mergeCell ref="B12:C12"/>
    <mergeCell ref="D12:F12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A1:A5"/>
    <mergeCell ref="B1:D5"/>
    <mergeCell ref="B6:F6"/>
    <mergeCell ref="B7:F7"/>
    <mergeCell ref="B9:F9"/>
    <mergeCell ref="B8:F8"/>
  </mergeCells>
  <pageMargins left="0" right="0" top="0" bottom="0" header="0" footer="0"/>
  <pageSetup paperSize="9" scale="8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>
    <pageSetUpPr fitToPage="1"/>
  </sheetPr>
  <dimension ref="A1:G52"/>
  <sheetViews>
    <sheetView workbookViewId="0">
      <selection activeCell="J16" sqref="J16"/>
    </sheetView>
  </sheetViews>
  <sheetFormatPr defaultColWidth="8.77734375" defaultRowHeight="14.4" x14ac:dyDescent="0.3"/>
  <cols>
    <col min="1" max="1" width="11.109375" customWidth="1"/>
    <col min="4" max="4" width="15.6640625" customWidth="1"/>
    <col min="7" max="7" width="17.77734375" customWidth="1"/>
  </cols>
  <sheetData>
    <row r="1" spans="1:7" ht="18.600000000000001" thickBot="1" x14ac:dyDescent="0.4">
      <c r="A1" s="118" t="s">
        <v>116</v>
      </c>
      <c r="B1" s="119"/>
      <c r="C1" s="119"/>
      <c r="D1" s="119"/>
      <c r="E1" s="119"/>
      <c r="F1" s="119"/>
      <c r="G1" s="120"/>
    </row>
    <row r="2" spans="1:7" ht="15" thickBot="1" x14ac:dyDescent="0.35">
      <c r="A2" s="27" t="s">
        <v>89</v>
      </c>
      <c r="B2" s="121" t="s">
        <v>0</v>
      </c>
      <c r="C2" s="122"/>
      <c r="D2" s="123"/>
      <c r="E2" s="121" t="s">
        <v>90</v>
      </c>
      <c r="F2" s="122"/>
      <c r="G2" s="123"/>
    </row>
    <row r="3" spans="1:7" x14ac:dyDescent="0.3">
      <c r="A3" s="20">
        <v>1</v>
      </c>
      <c r="B3" s="124">
        <v>46085</v>
      </c>
      <c r="C3" s="125"/>
      <c r="D3" s="125"/>
      <c r="E3" s="126">
        <v>25</v>
      </c>
      <c r="F3" s="126"/>
      <c r="G3" s="126"/>
    </row>
    <row r="4" spans="1:7" x14ac:dyDescent="0.3">
      <c r="A4" s="22">
        <v>2</v>
      </c>
      <c r="B4" s="127">
        <v>46086</v>
      </c>
      <c r="C4" s="128"/>
      <c r="D4" s="128"/>
      <c r="E4" s="128">
        <v>50</v>
      </c>
      <c r="F4" s="128"/>
      <c r="G4" s="128"/>
    </row>
    <row r="5" spans="1:7" x14ac:dyDescent="0.3">
      <c r="A5" s="22">
        <v>3</v>
      </c>
      <c r="B5" s="127">
        <v>46087</v>
      </c>
      <c r="C5" s="128"/>
      <c r="D5" s="128"/>
      <c r="E5" s="128">
        <v>20</v>
      </c>
      <c r="F5" s="128"/>
      <c r="G5" s="128"/>
    </row>
    <row r="6" spans="1:7" x14ac:dyDescent="0.3">
      <c r="A6" s="22">
        <v>4</v>
      </c>
      <c r="B6" s="128"/>
      <c r="C6" s="128"/>
      <c r="D6" s="128"/>
      <c r="E6" s="128"/>
      <c r="F6" s="128"/>
      <c r="G6" s="128"/>
    </row>
    <row r="7" spans="1:7" x14ac:dyDescent="0.3">
      <c r="A7" s="22">
        <v>5</v>
      </c>
      <c r="B7" s="128"/>
      <c r="C7" s="128"/>
      <c r="D7" s="128"/>
      <c r="E7" s="128"/>
      <c r="F7" s="128"/>
      <c r="G7" s="128"/>
    </row>
    <row r="8" spans="1:7" x14ac:dyDescent="0.3">
      <c r="A8" s="22">
        <v>6</v>
      </c>
      <c r="B8" s="128"/>
      <c r="C8" s="128"/>
      <c r="D8" s="128"/>
      <c r="E8" s="128"/>
      <c r="F8" s="128"/>
      <c r="G8" s="128"/>
    </row>
    <row r="9" spans="1:7" x14ac:dyDescent="0.3">
      <c r="A9" s="22">
        <v>7</v>
      </c>
      <c r="B9" s="128"/>
      <c r="C9" s="128"/>
      <c r="D9" s="128"/>
      <c r="E9" s="128"/>
      <c r="F9" s="128"/>
      <c r="G9" s="128"/>
    </row>
    <row r="10" spans="1:7" x14ac:dyDescent="0.3">
      <c r="A10" s="22">
        <v>8</v>
      </c>
      <c r="B10" s="128"/>
      <c r="C10" s="128"/>
      <c r="D10" s="128"/>
      <c r="E10" s="128"/>
      <c r="F10" s="128"/>
      <c r="G10" s="128"/>
    </row>
    <row r="11" spans="1:7" x14ac:dyDescent="0.3">
      <c r="A11" s="22">
        <v>9</v>
      </c>
      <c r="B11" s="128"/>
      <c r="C11" s="128"/>
      <c r="D11" s="128"/>
      <c r="E11" s="128"/>
      <c r="F11" s="128"/>
      <c r="G11" s="128"/>
    </row>
    <row r="12" spans="1:7" x14ac:dyDescent="0.3">
      <c r="A12" s="22">
        <v>10</v>
      </c>
      <c r="B12" s="128"/>
      <c r="C12" s="128"/>
      <c r="D12" s="128"/>
      <c r="E12" s="128"/>
      <c r="F12" s="128"/>
      <c r="G12" s="128"/>
    </row>
    <row r="13" spans="1:7" x14ac:dyDescent="0.3">
      <c r="A13" s="22">
        <v>11</v>
      </c>
      <c r="B13" s="128"/>
      <c r="C13" s="128"/>
      <c r="D13" s="128"/>
      <c r="E13" s="128"/>
      <c r="F13" s="128"/>
      <c r="G13" s="128"/>
    </row>
    <row r="14" spans="1:7" x14ac:dyDescent="0.3">
      <c r="A14" s="22">
        <v>12</v>
      </c>
      <c r="B14" s="128"/>
      <c r="C14" s="128"/>
      <c r="D14" s="128"/>
      <c r="E14" s="128"/>
      <c r="F14" s="128"/>
      <c r="G14" s="128"/>
    </row>
    <row r="15" spans="1:7" x14ac:dyDescent="0.3">
      <c r="A15" s="22">
        <v>13</v>
      </c>
      <c r="B15" s="128"/>
      <c r="C15" s="128"/>
      <c r="D15" s="128"/>
      <c r="E15" s="128"/>
      <c r="F15" s="128"/>
      <c r="G15" s="128"/>
    </row>
    <row r="16" spans="1:7" x14ac:dyDescent="0.3">
      <c r="A16" s="22">
        <v>14</v>
      </c>
      <c r="B16" s="128"/>
      <c r="C16" s="128"/>
      <c r="D16" s="128"/>
      <c r="E16" s="128"/>
      <c r="F16" s="128"/>
      <c r="G16" s="128"/>
    </row>
    <row r="17" spans="1:7" x14ac:dyDescent="0.3">
      <c r="A17" s="22">
        <v>15</v>
      </c>
      <c r="B17" s="128"/>
      <c r="C17" s="128"/>
      <c r="D17" s="128"/>
      <c r="E17" s="128"/>
      <c r="F17" s="128"/>
      <c r="G17" s="128"/>
    </row>
    <row r="18" spans="1:7" x14ac:dyDescent="0.3">
      <c r="A18" s="22">
        <v>16</v>
      </c>
      <c r="B18" s="128"/>
      <c r="C18" s="128"/>
      <c r="D18" s="128"/>
      <c r="E18" s="128"/>
      <c r="F18" s="128"/>
      <c r="G18" s="128"/>
    </row>
    <row r="19" spans="1:7" x14ac:dyDescent="0.3">
      <c r="A19" s="22">
        <v>17</v>
      </c>
      <c r="B19" s="128"/>
      <c r="C19" s="128"/>
      <c r="D19" s="128"/>
      <c r="E19" s="128"/>
      <c r="F19" s="128"/>
      <c r="G19" s="128"/>
    </row>
    <row r="20" spans="1:7" x14ac:dyDescent="0.3">
      <c r="A20" s="22">
        <v>18</v>
      </c>
      <c r="B20" s="128"/>
      <c r="C20" s="128"/>
      <c r="D20" s="128"/>
      <c r="E20" s="128"/>
      <c r="F20" s="128"/>
      <c r="G20" s="128"/>
    </row>
    <row r="21" spans="1:7" x14ac:dyDescent="0.3">
      <c r="A21" s="22">
        <v>19</v>
      </c>
      <c r="B21" s="128"/>
      <c r="C21" s="128"/>
      <c r="D21" s="128"/>
      <c r="E21" s="128"/>
      <c r="F21" s="128"/>
      <c r="G21" s="128"/>
    </row>
    <row r="22" spans="1:7" x14ac:dyDescent="0.3">
      <c r="A22" s="22">
        <v>20</v>
      </c>
      <c r="B22" s="128"/>
      <c r="C22" s="128"/>
      <c r="D22" s="128"/>
      <c r="E22" s="128"/>
      <c r="F22" s="128"/>
      <c r="G22" s="128"/>
    </row>
    <row r="23" spans="1:7" x14ac:dyDescent="0.3">
      <c r="A23" s="22">
        <v>21</v>
      </c>
      <c r="B23" s="128"/>
      <c r="C23" s="128"/>
      <c r="D23" s="128"/>
      <c r="E23" s="128"/>
      <c r="F23" s="128"/>
      <c r="G23" s="128"/>
    </row>
    <row r="24" spans="1:7" x14ac:dyDescent="0.3">
      <c r="A24" s="22">
        <v>22</v>
      </c>
      <c r="B24" s="128"/>
      <c r="C24" s="128"/>
      <c r="D24" s="128"/>
      <c r="E24" s="128"/>
      <c r="F24" s="128"/>
      <c r="G24" s="128"/>
    </row>
    <row r="25" spans="1:7" x14ac:dyDescent="0.3">
      <c r="A25" s="22">
        <v>23</v>
      </c>
      <c r="B25" s="128"/>
      <c r="C25" s="128"/>
      <c r="D25" s="128"/>
      <c r="E25" s="128"/>
      <c r="F25" s="128"/>
      <c r="G25" s="128"/>
    </row>
    <row r="26" spans="1:7" x14ac:dyDescent="0.3">
      <c r="A26" s="22">
        <v>24</v>
      </c>
      <c r="B26" s="128"/>
      <c r="C26" s="128"/>
      <c r="D26" s="128"/>
      <c r="E26" s="128"/>
      <c r="F26" s="128"/>
      <c r="G26" s="128"/>
    </row>
    <row r="27" spans="1:7" x14ac:dyDescent="0.3">
      <c r="A27" s="22">
        <v>25</v>
      </c>
      <c r="B27" s="128"/>
      <c r="C27" s="128"/>
      <c r="D27" s="128"/>
      <c r="E27" s="128"/>
      <c r="F27" s="128"/>
      <c r="G27" s="128"/>
    </row>
    <row r="28" spans="1:7" x14ac:dyDescent="0.3">
      <c r="A28" s="22">
        <v>26</v>
      </c>
      <c r="B28" s="128"/>
      <c r="C28" s="128"/>
      <c r="D28" s="128"/>
      <c r="E28" s="128"/>
      <c r="F28" s="128"/>
      <c r="G28" s="128"/>
    </row>
    <row r="29" spans="1:7" x14ac:dyDescent="0.3">
      <c r="A29" s="22">
        <v>27</v>
      </c>
      <c r="B29" s="128"/>
      <c r="C29" s="128"/>
      <c r="D29" s="128"/>
      <c r="E29" s="128"/>
      <c r="F29" s="128"/>
      <c r="G29" s="128"/>
    </row>
    <row r="30" spans="1:7" x14ac:dyDescent="0.3">
      <c r="A30" s="22">
        <v>28</v>
      </c>
      <c r="B30" s="128"/>
      <c r="C30" s="128"/>
      <c r="D30" s="128"/>
      <c r="E30" s="128"/>
      <c r="F30" s="128"/>
      <c r="G30" s="128"/>
    </row>
    <row r="31" spans="1:7" x14ac:dyDescent="0.3">
      <c r="A31" s="22">
        <v>29</v>
      </c>
      <c r="B31" s="128"/>
      <c r="C31" s="128"/>
      <c r="D31" s="128"/>
      <c r="E31" s="128"/>
      <c r="F31" s="128"/>
      <c r="G31" s="128"/>
    </row>
    <row r="32" spans="1:7" x14ac:dyDescent="0.3">
      <c r="A32" s="22">
        <v>30</v>
      </c>
      <c r="B32" s="128"/>
      <c r="C32" s="128"/>
      <c r="D32" s="128"/>
      <c r="E32" s="128"/>
      <c r="F32" s="128"/>
      <c r="G32" s="128"/>
    </row>
    <row r="33" spans="1:7" x14ac:dyDescent="0.3">
      <c r="A33" s="22">
        <v>31</v>
      </c>
      <c r="B33" s="128"/>
      <c r="C33" s="128"/>
      <c r="D33" s="128"/>
      <c r="E33" s="128"/>
      <c r="F33" s="128"/>
      <c r="G33" s="128"/>
    </row>
    <row r="34" spans="1:7" x14ac:dyDescent="0.3">
      <c r="A34" s="22">
        <v>32</v>
      </c>
      <c r="B34" s="128"/>
      <c r="C34" s="128"/>
      <c r="D34" s="128"/>
      <c r="E34" s="128"/>
      <c r="F34" s="128"/>
      <c r="G34" s="128"/>
    </row>
    <row r="35" spans="1:7" x14ac:dyDescent="0.3">
      <c r="A35" s="22">
        <v>33</v>
      </c>
      <c r="B35" s="128"/>
      <c r="C35" s="128"/>
      <c r="D35" s="128"/>
      <c r="E35" s="128"/>
      <c r="F35" s="128"/>
      <c r="G35" s="128"/>
    </row>
    <row r="36" spans="1:7" x14ac:dyDescent="0.3">
      <c r="A36" s="22">
        <v>34</v>
      </c>
      <c r="B36" s="128"/>
      <c r="C36" s="128"/>
      <c r="D36" s="128"/>
      <c r="E36" s="128"/>
      <c r="F36" s="128"/>
      <c r="G36" s="128"/>
    </row>
    <row r="37" spans="1:7" x14ac:dyDescent="0.3">
      <c r="A37" s="22">
        <v>35</v>
      </c>
      <c r="B37" s="128"/>
      <c r="C37" s="128"/>
      <c r="D37" s="128"/>
      <c r="E37" s="128"/>
      <c r="F37" s="128"/>
      <c r="G37" s="128"/>
    </row>
    <row r="38" spans="1:7" x14ac:dyDescent="0.3">
      <c r="A38" s="22">
        <v>36</v>
      </c>
      <c r="B38" s="128"/>
      <c r="C38" s="128"/>
      <c r="D38" s="128"/>
      <c r="E38" s="128"/>
      <c r="F38" s="128"/>
      <c r="G38" s="128"/>
    </row>
    <row r="39" spans="1:7" x14ac:dyDescent="0.3">
      <c r="A39" s="22">
        <v>37</v>
      </c>
      <c r="B39" s="128"/>
      <c r="C39" s="128"/>
      <c r="D39" s="128"/>
      <c r="E39" s="128"/>
      <c r="F39" s="128"/>
      <c r="G39" s="128"/>
    </row>
    <row r="40" spans="1:7" x14ac:dyDescent="0.3">
      <c r="A40" s="22">
        <v>38</v>
      </c>
      <c r="B40" s="128"/>
      <c r="C40" s="128"/>
      <c r="D40" s="128"/>
      <c r="E40" s="128"/>
      <c r="F40" s="128"/>
      <c r="G40" s="128"/>
    </row>
    <row r="41" spans="1:7" x14ac:dyDescent="0.3">
      <c r="A41" s="22">
        <v>39</v>
      </c>
      <c r="B41" s="128"/>
      <c r="C41" s="128"/>
      <c r="D41" s="128"/>
      <c r="E41" s="128"/>
      <c r="F41" s="128"/>
      <c r="G41" s="128"/>
    </row>
    <row r="42" spans="1:7" x14ac:dyDescent="0.3">
      <c r="A42" s="22">
        <v>40</v>
      </c>
      <c r="B42" s="128"/>
      <c r="C42" s="128"/>
      <c r="D42" s="128"/>
      <c r="E42" s="128"/>
      <c r="F42" s="128"/>
      <c r="G42" s="128"/>
    </row>
    <row r="43" spans="1:7" x14ac:dyDescent="0.3">
      <c r="A43" s="22">
        <v>41</v>
      </c>
      <c r="B43" s="128"/>
      <c r="C43" s="128"/>
      <c r="D43" s="128"/>
      <c r="E43" s="128"/>
      <c r="F43" s="128"/>
      <c r="G43" s="128"/>
    </row>
    <row r="44" spans="1:7" x14ac:dyDescent="0.3">
      <c r="A44" s="22">
        <v>42</v>
      </c>
      <c r="B44" s="128"/>
      <c r="C44" s="128"/>
      <c r="D44" s="128"/>
      <c r="E44" s="128"/>
      <c r="F44" s="128"/>
      <c r="G44" s="128"/>
    </row>
    <row r="45" spans="1:7" x14ac:dyDescent="0.3">
      <c r="A45" s="22">
        <v>43</v>
      </c>
      <c r="B45" s="128"/>
      <c r="C45" s="128"/>
      <c r="D45" s="128"/>
      <c r="E45" s="128"/>
      <c r="F45" s="128"/>
      <c r="G45" s="128"/>
    </row>
    <row r="46" spans="1:7" x14ac:dyDescent="0.3">
      <c r="A46" s="22">
        <v>44</v>
      </c>
      <c r="B46" s="128"/>
      <c r="C46" s="128"/>
      <c r="D46" s="128"/>
      <c r="E46" s="128"/>
      <c r="F46" s="128"/>
      <c r="G46" s="128"/>
    </row>
    <row r="47" spans="1:7" x14ac:dyDescent="0.3">
      <c r="A47" s="22">
        <v>45</v>
      </c>
      <c r="B47" s="128"/>
      <c r="C47" s="128"/>
      <c r="D47" s="128"/>
      <c r="E47" s="128"/>
      <c r="F47" s="128"/>
      <c r="G47" s="128"/>
    </row>
    <row r="48" spans="1:7" x14ac:dyDescent="0.3">
      <c r="A48" s="22">
        <v>46</v>
      </c>
      <c r="B48" s="128"/>
      <c r="C48" s="128"/>
      <c r="D48" s="128"/>
      <c r="E48" s="128"/>
      <c r="F48" s="128"/>
      <c r="G48" s="128"/>
    </row>
    <row r="49" spans="1:7" x14ac:dyDescent="0.3">
      <c r="A49" s="22">
        <v>47</v>
      </c>
      <c r="B49" s="128"/>
      <c r="C49" s="128"/>
      <c r="D49" s="128"/>
      <c r="E49" s="128"/>
      <c r="F49" s="128"/>
      <c r="G49" s="128"/>
    </row>
    <row r="50" spans="1:7" x14ac:dyDescent="0.3">
      <c r="A50" s="22">
        <v>48</v>
      </c>
      <c r="B50" s="128"/>
      <c r="C50" s="128"/>
      <c r="D50" s="128"/>
      <c r="E50" s="128"/>
      <c r="F50" s="128"/>
      <c r="G50" s="128"/>
    </row>
    <row r="51" spans="1:7" x14ac:dyDescent="0.3">
      <c r="A51" s="22">
        <v>49</v>
      </c>
      <c r="B51" s="128"/>
      <c r="C51" s="128"/>
      <c r="D51" s="128"/>
      <c r="E51" s="128"/>
      <c r="F51" s="128"/>
      <c r="G51" s="128"/>
    </row>
    <row r="52" spans="1:7" x14ac:dyDescent="0.3">
      <c r="A52" s="22">
        <v>50</v>
      </c>
      <c r="B52" s="128"/>
      <c r="C52" s="128"/>
      <c r="D52" s="128"/>
      <c r="E52" s="128"/>
      <c r="F52" s="128"/>
      <c r="G52" s="128"/>
    </row>
  </sheetData>
  <mergeCells count="103"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A1:G1"/>
    <mergeCell ref="B2:D2"/>
    <mergeCell ref="E2:G2"/>
    <mergeCell ref="B3:D3"/>
    <mergeCell ref="E3:G3"/>
    <mergeCell ref="B4:D4"/>
    <mergeCell ref="E4:G4"/>
    <mergeCell ref="B8:D8"/>
    <mergeCell ref="E8:G8"/>
  </mergeCells>
  <pageMargins left="0.7" right="0.4" top="0.75" bottom="0.75" header="0.3" footer="0.3"/>
  <pageSetup paperSize="9" scale="96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>
    <pageSetUpPr fitToPage="1"/>
  </sheetPr>
  <dimension ref="A1:H52"/>
  <sheetViews>
    <sheetView workbookViewId="0">
      <selection activeCell="H3" sqref="H3"/>
    </sheetView>
  </sheetViews>
  <sheetFormatPr defaultColWidth="8.77734375" defaultRowHeight="14.4" x14ac:dyDescent="0.3"/>
  <cols>
    <col min="1" max="1" width="11.109375" customWidth="1"/>
    <col min="4" max="4" width="15.6640625" customWidth="1"/>
    <col min="5" max="5" width="8.77734375" customWidth="1"/>
    <col min="7" max="7" width="8.88671875" customWidth="1"/>
    <col min="8" max="8" width="33.33203125" customWidth="1"/>
  </cols>
  <sheetData>
    <row r="1" spans="1:8" ht="18.600000000000001" thickBot="1" x14ac:dyDescent="0.4">
      <c r="A1" s="118" t="s">
        <v>91</v>
      </c>
      <c r="B1" s="119"/>
      <c r="C1" s="119"/>
      <c r="D1" s="119"/>
      <c r="E1" s="119"/>
      <c r="F1" s="119"/>
      <c r="G1" s="119"/>
      <c r="H1" s="120"/>
    </row>
    <row r="2" spans="1:8" ht="15" thickBot="1" x14ac:dyDescent="0.35">
      <c r="A2" s="27" t="s">
        <v>89</v>
      </c>
      <c r="B2" s="129" t="s">
        <v>0</v>
      </c>
      <c r="C2" s="130"/>
      <c r="D2" s="131"/>
      <c r="E2" s="132" t="s">
        <v>90</v>
      </c>
      <c r="F2" s="133"/>
      <c r="G2" s="134"/>
      <c r="H2" s="57" t="s">
        <v>38</v>
      </c>
    </row>
    <row r="3" spans="1:8" x14ac:dyDescent="0.3">
      <c r="A3" s="20">
        <v>1</v>
      </c>
      <c r="B3" s="127">
        <v>46090</v>
      </c>
      <c r="C3" s="128"/>
      <c r="D3" s="128"/>
      <c r="E3" s="128">
        <v>364</v>
      </c>
      <c r="F3" s="128"/>
      <c r="G3" s="128"/>
      <c r="H3" s="24" t="s">
        <v>117</v>
      </c>
    </row>
    <row r="4" spans="1:8" x14ac:dyDescent="0.3">
      <c r="A4" s="22">
        <v>2</v>
      </c>
      <c r="B4" s="127"/>
      <c r="C4" s="128"/>
      <c r="D4" s="128"/>
      <c r="E4" s="128"/>
      <c r="F4" s="128"/>
      <c r="G4" s="128"/>
      <c r="H4" s="24"/>
    </row>
    <row r="5" spans="1:8" x14ac:dyDescent="0.3">
      <c r="A5" s="22">
        <v>3</v>
      </c>
      <c r="B5" s="127"/>
      <c r="C5" s="128"/>
      <c r="D5" s="128"/>
      <c r="E5" s="128"/>
      <c r="F5" s="128"/>
      <c r="G5" s="128"/>
      <c r="H5" s="24"/>
    </row>
    <row r="6" spans="1:8" x14ac:dyDescent="0.3">
      <c r="A6" s="22">
        <v>4</v>
      </c>
      <c r="B6" s="127"/>
      <c r="C6" s="128"/>
      <c r="D6" s="128"/>
      <c r="E6" s="128"/>
      <c r="F6" s="128"/>
      <c r="G6" s="128"/>
      <c r="H6" s="24"/>
    </row>
    <row r="7" spans="1:8" x14ac:dyDescent="0.3">
      <c r="A7" s="22">
        <v>5</v>
      </c>
      <c r="B7" s="128"/>
      <c r="C7" s="128"/>
      <c r="D7" s="128"/>
      <c r="E7" s="128"/>
      <c r="F7" s="128"/>
      <c r="G7" s="128"/>
      <c r="H7" s="24"/>
    </row>
    <row r="8" spans="1:8" x14ac:dyDescent="0.3">
      <c r="A8" s="22">
        <v>6</v>
      </c>
      <c r="B8" s="128"/>
      <c r="C8" s="128"/>
      <c r="D8" s="128"/>
      <c r="E8" s="128"/>
      <c r="F8" s="128"/>
      <c r="G8" s="128"/>
      <c r="H8" s="24"/>
    </row>
    <row r="9" spans="1:8" x14ac:dyDescent="0.3">
      <c r="A9" s="22">
        <v>7</v>
      </c>
      <c r="B9" s="128"/>
      <c r="C9" s="128"/>
      <c r="D9" s="128"/>
      <c r="E9" s="128"/>
      <c r="F9" s="128"/>
      <c r="G9" s="128"/>
      <c r="H9" s="24"/>
    </row>
    <row r="10" spans="1:8" x14ac:dyDescent="0.3">
      <c r="A10" s="22">
        <v>8</v>
      </c>
      <c r="B10" s="128"/>
      <c r="C10" s="128"/>
      <c r="D10" s="128"/>
      <c r="E10" s="128"/>
      <c r="F10" s="128"/>
      <c r="G10" s="128"/>
      <c r="H10" s="24"/>
    </row>
    <row r="11" spans="1:8" x14ac:dyDescent="0.3">
      <c r="A11" s="22">
        <v>9</v>
      </c>
      <c r="B11" s="128"/>
      <c r="C11" s="128"/>
      <c r="D11" s="128"/>
      <c r="E11" s="128"/>
      <c r="F11" s="128"/>
      <c r="G11" s="128"/>
      <c r="H11" s="24"/>
    </row>
    <row r="12" spans="1:8" x14ac:dyDescent="0.3">
      <c r="A12" s="22">
        <v>10</v>
      </c>
      <c r="B12" s="128"/>
      <c r="C12" s="128"/>
      <c r="D12" s="128"/>
      <c r="E12" s="128"/>
      <c r="F12" s="128"/>
      <c r="G12" s="128"/>
      <c r="H12" s="24"/>
    </row>
    <row r="13" spans="1:8" x14ac:dyDescent="0.3">
      <c r="A13" s="22">
        <v>11</v>
      </c>
      <c r="B13" s="128"/>
      <c r="C13" s="128"/>
      <c r="D13" s="128"/>
      <c r="E13" s="128"/>
      <c r="F13" s="128"/>
      <c r="G13" s="128"/>
      <c r="H13" s="24"/>
    </row>
    <row r="14" spans="1:8" x14ac:dyDescent="0.3">
      <c r="A14" s="22">
        <v>12</v>
      </c>
      <c r="B14" s="128"/>
      <c r="C14" s="128"/>
      <c r="D14" s="128"/>
      <c r="E14" s="128"/>
      <c r="F14" s="128"/>
      <c r="G14" s="128"/>
      <c r="H14" s="24"/>
    </row>
    <row r="15" spans="1:8" x14ac:dyDescent="0.3">
      <c r="A15" s="22">
        <v>13</v>
      </c>
      <c r="B15" s="128"/>
      <c r="C15" s="128"/>
      <c r="D15" s="128"/>
      <c r="E15" s="128"/>
      <c r="F15" s="128"/>
      <c r="G15" s="128"/>
      <c r="H15" s="24"/>
    </row>
    <row r="16" spans="1:8" x14ac:dyDescent="0.3">
      <c r="A16" s="22">
        <v>14</v>
      </c>
      <c r="B16" s="128"/>
      <c r="C16" s="128"/>
      <c r="D16" s="128"/>
      <c r="E16" s="128"/>
      <c r="F16" s="128"/>
      <c r="G16" s="128"/>
      <c r="H16" s="24"/>
    </row>
    <row r="17" spans="1:8" x14ac:dyDescent="0.3">
      <c r="A17" s="22">
        <v>15</v>
      </c>
      <c r="B17" s="128"/>
      <c r="C17" s="128"/>
      <c r="D17" s="128"/>
      <c r="E17" s="128"/>
      <c r="F17" s="128"/>
      <c r="G17" s="128"/>
      <c r="H17" s="24"/>
    </row>
    <row r="18" spans="1:8" x14ac:dyDescent="0.3">
      <c r="A18" s="22">
        <v>16</v>
      </c>
      <c r="B18" s="128"/>
      <c r="C18" s="128"/>
      <c r="D18" s="128"/>
      <c r="E18" s="128"/>
      <c r="F18" s="128"/>
      <c r="G18" s="128"/>
      <c r="H18" s="24"/>
    </row>
    <row r="19" spans="1:8" x14ac:dyDescent="0.3">
      <c r="A19" s="22">
        <v>17</v>
      </c>
      <c r="B19" s="128"/>
      <c r="C19" s="128"/>
      <c r="D19" s="128"/>
      <c r="E19" s="128"/>
      <c r="F19" s="128"/>
      <c r="G19" s="128"/>
      <c r="H19" s="24"/>
    </row>
    <row r="20" spans="1:8" x14ac:dyDescent="0.3">
      <c r="A20" s="22">
        <v>18</v>
      </c>
      <c r="B20" s="128"/>
      <c r="C20" s="128"/>
      <c r="D20" s="128"/>
      <c r="E20" s="128"/>
      <c r="F20" s="128"/>
      <c r="G20" s="128"/>
      <c r="H20" s="24"/>
    </row>
    <row r="21" spans="1:8" x14ac:dyDescent="0.3">
      <c r="A21" s="22">
        <v>19</v>
      </c>
      <c r="B21" s="128"/>
      <c r="C21" s="128"/>
      <c r="D21" s="128"/>
      <c r="E21" s="128"/>
      <c r="F21" s="128"/>
      <c r="G21" s="128"/>
      <c r="H21" s="24"/>
    </row>
    <row r="22" spans="1:8" x14ac:dyDescent="0.3">
      <c r="A22" s="22">
        <v>20</v>
      </c>
      <c r="B22" s="128"/>
      <c r="C22" s="128"/>
      <c r="D22" s="128"/>
      <c r="E22" s="128"/>
      <c r="F22" s="128"/>
      <c r="G22" s="128"/>
      <c r="H22" s="24"/>
    </row>
    <row r="23" spans="1:8" x14ac:dyDescent="0.3">
      <c r="A23" s="22">
        <v>21</v>
      </c>
      <c r="B23" s="128"/>
      <c r="C23" s="128"/>
      <c r="D23" s="128"/>
      <c r="E23" s="128"/>
      <c r="F23" s="128"/>
      <c r="G23" s="128"/>
      <c r="H23" s="24"/>
    </row>
    <row r="24" spans="1:8" x14ac:dyDescent="0.3">
      <c r="A24" s="22">
        <v>22</v>
      </c>
      <c r="B24" s="128"/>
      <c r="C24" s="128"/>
      <c r="D24" s="128"/>
      <c r="E24" s="128"/>
      <c r="F24" s="128"/>
      <c r="G24" s="128"/>
      <c r="H24" s="24"/>
    </row>
    <row r="25" spans="1:8" x14ac:dyDescent="0.3">
      <c r="A25" s="22">
        <v>23</v>
      </c>
      <c r="B25" s="128"/>
      <c r="C25" s="128"/>
      <c r="D25" s="128"/>
      <c r="E25" s="128"/>
      <c r="F25" s="128"/>
      <c r="G25" s="128"/>
      <c r="H25" s="24"/>
    </row>
    <row r="26" spans="1:8" x14ac:dyDescent="0.3">
      <c r="A26" s="22">
        <v>24</v>
      </c>
      <c r="B26" s="128"/>
      <c r="C26" s="128"/>
      <c r="D26" s="128"/>
      <c r="E26" s="128"/>
      <c r="F26" s="128"/>
      <c r="G26" s="128"/>
      <c r="H26" s="24"/>
    </row>
    <row r="27" spans="1:8" x14ac:dyDescent="0.3">
      <c r="A27" s="22">
        <v>25</v>
      </c>
      <c r="B27" s="128"/>
      <c r="C27" s="128"/>
      <c r="D27" s="128"/>
      <c r="E27" s="128"/>
      <c r="F27" s="128"/>
      <c r="G27" s="128"/>
      <c r="H27" s="24"/>
    </row>
    <row r="28" spans="1:8" x14ac:dyDescent="0.3">
      <c r="A28" s="22">
        <v>26</v>
      </c>
      <c r="B28" s="128"/>
      <c r="C28" s="128"/>
      <c r="D28" s="128"/>
      <c r="E28" s="128"/>
      <c r="F28" s="128"/>
      <c r="G28" s="128"/>
      <c r="H28" s="24"/>
    </row>
    <row r="29" spans="1:8" x14ac:dyDescent="0.3">
      <c r="A29" s="22">
        <v>27</v>
      </c>
      <c r="B29" s="128"/>
      <c r="C29" s="128"/>
      <c r="D29" s="128"/>
      <c r="E29" s="128"/>
      <c r="F29" s="128"/>
      <c r="G29" s="128"/>
      <c r="H29" s="24"/>
    </row>
    <row r="30" spans="1:8" x14ac:dyDescent="0.3">
      <c r="A30" s="22">
        <v>28</v>
      </c>
      <c r="B30" s="128"/>
      <c r="C30" s="128"/>
      <c r="D30" s="128"/>
      <c r="E30" s="128"/>
      <c r="F30" s="128"/>
      <c r="G30" s="128"/>
      <c r="H30" s="24"/>
    </row>
    <row r="31" spans="1:8" x14ac:dyDescent="0.3">
      <c r="A31" s="22">
        <v>29</v>
      </c>
      <c r="B31" s="128"/>
      <c r="C31" s="128"/>
      <c r="D31" s="128"/>
      <c r="E31" s="128"/>
      <c r="F31" s="128"/>
      <c r="G31" s="128"/>
      <c r="H31" s="24"/>
    </row>
    <row r="32" spans="1:8" x14ac:dyDescent="0.3">
      <c r="A32" s="22">
        <v>30</v>
      </c>
      <c r="B32" s="128"/>
      <c r="C32" s="128"/>
      <c r="D32" s="128"/>
      <c r="E32" s="128"/>
      <c r="F32" s="128"/>
      <c r="G32" s="128"/>
      <c r="H32" s="24"/>
    </row>
    <row r="33" spans="1:8" x14ac:dyDescent="0.3">
      <c r="A33" s="22">
        <v>31</v>
      </c>
      <c r="B33" s="128"/>
      <c r="C33" s="128"/>
      <c r="D33" s="128"/>
      <c r="E33" s="128"/>
      <c r="F33" s="128"/>
      <c r="G33" s="128"/>
      <c r="H33" s="24"/>
    </row>
    <row r="34" spans="1:8" x14ac:dyDescent="0.3">
      <c r="A34" s="22">
        <v>32</v>
      </c>
      <c r="B34" s="128"/>
      <c r="C34" s="128"/>
      <c r="D34" s="128"/>
      <c r="E34" s="128"/>
      <c r="F34" s="128"/>
      <c r="G34" s="128"/>
      <c r="H34" s="24"/>
    </row>
    <row r="35" spans="1:8" x14ac:dyDescent="0.3">
      <c r="A35" s="22">
        <v>33</v>
      </c>
      <c r="B35" s="128"/>
      <c r="C35" s="128"/>
      <c r="D35" s="128"/>
      <c r="E35" s="128"/>
      <c r="F35" s="128"/>
      <c r="G35" s="128"/>
      <c r="H35" s="24"/>
    </row>
    <row r="36" spans="1:8" x14ac:dyDescent="0.3">
      <c r="A36" s="22">
        <v>34</v>
      </c>
      <c r="B36" s="128"/>
      <c r="C36" s="128"/>
      <c r="D36" s="128"/>
      <c r="E36" s="128"/>
      <c r="F36" s="128"/>
      <c r="G36" s="128"/>
      <c r="H36" s="24"/>
    </row>
    <row r="37" spans="1:8" x14ac:dyDescent="0.3">
      <c r="A37" s="22">
        <v>35</v>
      </c>
      <c r="B37" s="128"/>
      <c r="C37" s="128"/>
      <c r="D37" s="128"/>
      <c r="E37" s="128"/>
      <c r="F37" s="128"/>
      <c r="G37" s="128"/>
      <c r="H37" s="24"/>
    </row>
    <row r="38" spans="1:8" x14ac:dyDescent="0.3">
      <c r="A38" s="22">
        <v>36</v>
      </c>
      <c r="B38" s="128"/>
      <c r="C38" s="128"/>
      <c r="D38" s="128"/>
      <c r="E38" s="128"/>
      <c r="F38" s="128"/>
      <c r="G38" s="128"/>
      <c r="H38" s="24"/>
    </row>
    <row r="39" spans="1:8" x14ac:dyDescent="0.3">
      <c r="A39" s="22">
        <v>37</v>
      </c>
      <c r="B39" s="128"/>
      <c r="C39" s="128"/>
      <c r="D39" s="128"/>
      <c r="E39" s="128"/>
      <c r="F39" s="128"/>
      <c r="G39" s="128"/>
      <c r="H39" s="24"/>
    </row>
    <row r="40" spans="1:8" x14ac:dyDescent="0.3">
      <c r="A40" s="22">
        <v>38</v>
      </c>
      <c r="B40" s="128"/>
      <c r="C40" s="128"/>
      <c r="D40" s="128"/>
      <c r="E40" s="128"/>
      <c r="F40" s="128"/>
      <c r="G40" s="128"/>
      <c r="H40" s="24"/>
    </row>
    <row r="41" spans="1:8" x14ac:dyDescent="0.3">
      <c r="A41" s="22">
        <v>39</v>
      </c>
      <c r="B41" s="128"/>
      <c r="C41" s="128"/>
      <c r="D41" s="128"/>
      <c r="E41" s="128"/>
      <c r="F41" s="128"/>
      <c r="G41" s="128"/>
      <c r="H41" s="24"/>
    </row>
    <row r="42" spans="1:8" x14ac:dyDescent="0.3">
      <c r="A42" s="22">
        <v>40</v>
      </c>
      <c r="B42" s="128"/>
      <c r="C42" s="128"/>
      <c r="D42" s="128"/>
      <c r="E42" s="128"/>
      <c r="F42" s="128"/>
      <c r="G42" s="128"/>
      <c r="H42" s="24"/>
    </row>
    <row r="43" spans="1:8" x14ac:dyDescent="0.3">
      <c r="A43" s="22">
        <v>41</v>
      </c>
      <c r="B43" s="128"/>
      <c r="C43" s="128"/>
      <c r="D43" s="128"/>
      <c r="E43" s="128"/>
      <c r="F43" s="128"/>
      <c r="G43" s="128"/>
      <c r="H43" s="24"/>
    </row>
    <row r="44" spans="1:8" x14ac:dyDescent="0.3">
      <c r="A44" s="22">
        <v>42</v>
      </c>
      <c r="B44" s="128"/>
      <c r="C44" s="128"/>
      <c r="D44" s="128"/>
      <c r="E44" s="128"/>
      <c r="F44" s="128"/>
      <c r="G44" s="128"/>
      <c r="H44" s="24"/>
    </row>
    <row r="45" spans="1:8" x14ac:dyDescent="0.3">
      <c r="A45" s="22">
        <v>43</v>
      </c>
      <c r="B45" s="128"/>
      <c r="C45" s="128"/>
      <c r="D45" s="128"/>
      <c r="E45" s="128"/>
      <c r="F45" s="128"/>
      <c r="G45" s="128"/>
      <c r="H45" s="24"/>
    </row>
    <row r="46" spans="1:8" x14ac:dyDescent="0.3">
      <c r="A46" s="22">
        <v>44</v>
      </c>
      <c r="B46" s="128"/>
      <c r="C46" s="128"/>
      <c r="D46" s="128"/>
      <c r="E46" s="128"/>
      <c r="F46" s="128"/>
      <c r="G46" s="128"/>
      <c r="H46" s="24"/>
    </row>
    <row r="47" spans="1:8" x14ac:dyDescent="0.3">
      <c r="A47" s="22">
        <v>45</v>
      </c>
      <c r="B47" s="128"/>
      <c r="C47" s="128"/>
      <c r="D47" s="128"/>
      <c r="E47" s="128"/>
      <c r="F47" s="128"/>
      <c r="G47" s="128"/>
      <c r="H47" s="24"/>
    </row>
    <row r="48" spans="1:8" x14ac:dyDescent="0.3">
      <c r="A48" s="22">
        <v>46</v>
      </c>
      <c r="B48" s="128"/>
      <c r="C48" s="128"/>
      <c r="D48" s="128"/>
      <c r="E48" s="128"/>
      <c r="F48" s="128"/>
      <c r="G48" s="128"/>
      <c r="H48" s="24"/>
    </row>
    <row r="49" spans="1:8" x14ac:dyDescent="0.3">
      <c r="A49" s="22">
        <v>47</v>
      </c>
      <c r="B49" s="128"/>
      <c r="C49" s="128"/>
      <c r="D49" s="128"/>
      <c r="E49" s="128"/>
      <c r="F49" s="128"/>
      <c r="G49" s="128"/>
      <c r="H49" s="24"/>
    </row>
    <row r="50" spans="1:8" x14ac:dyDescent="0.3">
      <c r="A50" s="22">
        <v>48</v>
      </c>
      <c r="B50" s="128"/>
      <c r="C50" s="128"/>
      <c r="D50" s="128"/>
      <c r="E50" s="128"/>
      <c r="F50" s="128"/>
      <c r="G50" s="128"/>
      <c r="H50" s="24"/>
    </row>
    <row r="51" spans="1:8" x14ac:dyDescent="0.3">
      <c r="A51" s="22">
        <v>49</v>
      </c>
      <c r="B51" s="128"/>
      <c r="C51" s="128"/>
      <c r="D51" s="128"/>
      <c r="E51" s="128"/>
      <c r="F51" s="128"/>
      <c r="G51" s="128"/>
      <c r="H51" s="24"/>
    </row>
    <row r="52" spans="1:8" x14ac:dyDescent="0.3">
      <c r="A52" s="22">
        <v>50</v>
      </c>
      <c r="B52" s="128"/>
      <c r="C52" s="128"/>
      <c r="D52" s="128"/>
      <c r="E52" s="128"/>
      <c r="F52" s="128"/>
      <c r="G52" s="128"/>
      <c r="H52" s="24"/>
    </row>
  </sheetData>
  <mergeCells count="103"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9:D9"/>
    <mergeCell ref="E9:G9"/>
    <mergeCell ref="B10:D10"/>
    <mergeCell ref="E10:G10"/>
    <mergeCell ref="B5:D5"/>
    <mergeCell ref="E5:G5"/>
    <mergeCell ref="B3:D3"/>
    <mergeCell ref="E3:G3"/>
    <mergeCell ref="B7:D7"/>
    <mergeCell ref="E7:G7"/>
    <mergeCell ref="B2:D2"/>
    <mergeCell ref="E2:G2"/>
    <mergeCell ref="B4:D4"/>
    <mergeCell ref="E4:G4"/>
    <mergeCell ref="A1:H1"/>
    <mergeCell ref="B8:D8"/>
    <mergeCell ref="E8:G8"/>
    <mergeCell ref="B6:D6"/>
    <mergeCell ref="E6:G6"/>
  </mergeCells>
  <pageMargins left="0.7" right="0.4" top="0.75" bottom="0.75" header="0.3" footer="0.3"/>
  <pageSetup paperSize="9" scale="96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4"/>
  <dimension ref="A1:O12"/>
  <sheetViews>
    <sheetView workbookViewId="0">
      <selection activeCell="Q9" sqref="Q9"/>
    </sheetView>
  </sheetViews>
  <sheetFormatPr defaultColWidth="8.77734375" defaultRowHeight="14.4" x14ac:dyDescent="0.3"/>
  <cols>
    <col min="1" max="1" width="23.33203125" customWidth="1"/>
  </cols>
  <sheetData>
    <row r="1" spans="1:15" x14ac:dyDescent="0.3">
      <c r="A1" t="s">
        <v>73</v>
      </c>
    </row>
    <row r="2" spans="1:15" x14ac:dyDescent="0.3">
      <c r="A2" t="s">
        <v>74</v>
      </c>
      <c r="D2" s="32"/>
    </row>
    <row r="3" spans="1:15" x14ac:dyDescent="0.3">
      <c r="A3" t="s">
        <v>75</v>
      </c>
    </row>
    <row r="4" spans="1:15" x14ac:dyDescent="0.3">
      <c r="A4" t="s">
        <v>76</v>
      </c>
    </row>
    <row r="5" spans="1:15" x14ac:dyDescent="0.3">
      <c r="A5" t="s">
        <v>77</v>
      </c>
    </row>
    <row r="6" spans="1:15" x14ac:dyDescent="0.3">
      <c r="A6" t="s">
        <v>78</v>
      </c>
    </row>
    <row r="7" spans="1:15" x14ac:dyDescent="0.3">
      <c r="A7" t="s">
        <v>79</v>
      </c>
      <c r="O7" s="35">
        <v>1.1000000000000001</v>
      </c>
    </row>
    <row r="8" spans="1:15" x14ac:dyDescent="0.3">
      <c r="A8" t="s">
        <v>80</v>
      </c>
      <c r="O8" s="35">
        <v>1.2</v>
      </c>
    </row>
    <row r="9" spans="1:15" x14ac:dyDescent="0.3">
      <c r="A9" t="s">
        <v>81</v>
      </c>
      <c r="O9" s="35">
        <v>1.3</v>
      </c>
    </row>
    <row r="10" spans="1:15" x14ac:dyDescent="0.3">
      <c r="A10" t="s">
        <v>82</v>
      </c>
      <c r="O10" s="35">
        <v>1.4</v>
      </c>
    </row>
    <row r="11" spans="1:15" x14ac:dyDescent="0.3">
      <c r="A11" t="s">
        <v>83</v>
      </c>
      <c r="O11" s="35">
        <v>1.5</v>
      </c>
    </row>
    <row r="12" spans="1:15" x14ac:dyDescent="0.3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VERİ GİRİŞİ</vt:lpstr>
      <vt:lpstr>VERİ KAYIT</vt:lpstr>
      <vt:lpstr>TANIMLAR</vt:lpstr>
      <vt:lpstr>BOYA VERİ KAYIT CIKTI</vt:lpstr>
      <vt:lpstr>ATIL Boya   Formu </vt:lpstr>
      <vt:lpstr>ATIL Boya  DEĞERLENDİRME FORM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2026-02-16T14:15:12Z</cp:lastPrinted>
  <dcterms:created xsi:type="dcterms:W3CDTF">2015-06-05T18:19:34Z</dcterms:created>
  <dcterms:modified xsi:type="dcterms:W3CDTF">2026-03-11T05:24:37Z</dcterms:modified>
</cp:coreProperties>
</file>