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4" r:id="rId1"/>
    <sheet name="VERİ KAYIT" sheetId="6" r:id="rId2"/>
    <sheet name="AYARLAR" sheetId="3" state="hidden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C43" i="3" l="1"/>
  <c r="C42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5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</calcChain>
</file>

<file path=xl/sharedStrings.xml><?xml version="1.0" encoding="utf-8"?>
<sst xmlns="http://schemas.openxmlformats.org/spreadsheetml/2006/main" count="156" uniqueCount="81">
  <si>
    <t>TARİH</t>
  </si>
  <si>
    <t>KİŞİ SAYISI</t>
  </si>
  <si>
    <t>PARÇA ADETİ</t>
  </si>
  <si>
    <t>ÇALIŞMA KOŞULU</t>
  </si>
  <si>
    <t>Silver Keson</t>
  </si>
  <si>
    <t>Ürün Adı</t>
  </si>
  <si>
    <t>GÜNLÜK KAPASİTE</t>
  </si>
  <si>
    <t>YAPILMASI GEREKEN SÜRE</t>
  </si>
  <si>
    <t>TOPLAM ADAM SAAT</t>
  </si>
  <si>
    <t>KALAN ADAM SAAT</t>
  </si>
  <si>
    <t>Keson Grupları</t>
  </si>
  <si>
    <t>Major</t>
  </si>
  <si>
    <t>Fly</t>
  </si>
  <si>
    <t>Eva</t>
  </si>
  <si>
    <t>Viyana</t>
  </si>
  <si>
    <t>Loft</t>
  </si>
  <si>
    <t>Regal</t>
  </si>
  <si>
    <t>Ottoman</t>
  </si>
  <si>
    <t>Atlas</t>
  </si>
  <si>
    <t>Zeta Keson</t>
  </si>
  <si>
    <t>Platin Keson</t>
  </si>
  <si>
    <t>Salva Keson</t>
  </si>
  <si>
    <t>Sydney Keson</t>
  </si>
  <si>
    <t>Safir Keson</t>
  </si>
  <si>
    <t>Tin Keson</t>
  </si>
  <si>
    <t>Tin Etejer</t>
  </si>
  <si>
    <t>Silver Etejer</t>
  </si>
  <si>
    <t>Miraç Keson</t>
  </si>
  <si>
    <t>Breze Keson</t>
  </si>
  <si>
    <t>Özel Keson</t>
  </si>
  <si>
    <t>Denizbank Konsol</t>
  </si>
  <si>
    <t>Ziraat Bank Konsol</t>
  </si>
  <si>
    <t>Kalınlaştırma</t>
  </si>
  <si>
    <t>Kapasite</t>
  </si>
  <si>
    <t>Çalışma Süresi</t>
  </si>
  <si>
    <t>Riva Banko</t>
  </si>
  <si>
    <t>Golf Banko</t>
  </si>
  <si>
    <t>Zeta Masa</t>
  </si>
  <si>
    <t>Planet Konsol</t>
  </si>
  <si>
    <t>Trio Perde</t>
  </si>
  <si>
    <t>Kayra Masa</t>
  </si>
  <si>
    <t>Pratik Etejer Tekli</t>
  </si>
  <si>
    <t>Trio Konsol Altı</t>
  </si>
  <si>
    <t>Kayra Konsol</t>
  </si>
  <si>
    <t>Work Konsol</t>
  </si>
  <si>
    <t>Geo Konsol</t>
  </si>
  <si>
    <t>Elit Masa</t>
  </si>
  <si>
    <t>Elit Etejer</t>
  </si>
  <si>
    <t>Elit Sehpa</t>
  </si>
  <si>
    <t>Majör Dolap Altı</t>
  </si>
  <si>
    <t>Profil Çerçeve Kapak</t>
  </si>
  <si>
    <t>Denis Toplantı</t>
  </si>
  <si>
    <t>Motto Çekmece</t>
  </si>
  <si>
    <t>İşlem Süresi(dk)</t>
  </si>
  <si>
    <t>TEZGAH VERİ GİRİŞİ</t>
  </si>
  <si>
    <t>TEZGAH ÜRÜNÜ</t>
  </si>
  <si>
    <t xml:space="preserve">KAYIP SÜRE NEDENİ </t>
  </si>
  <si>
    <t>KAYIP SÜRE  (DK)</t>
  </si>
  <si>
    <t>ELEKTRİK KESİLMESİ</t>
  </si>
  <si>
    <t>İŞ BEKLEME</t>
  </si>
  <si>
    <t>KOMPRASÖR ARIZASI</t>
  </si>
  <si>
    <t>TEMİZLİK</t>
  </si>
  <si>
    <t>PERSONEL BEKLEME</t>
  </si>
  <si>
    <t>HAMMADDE EKSİKLİĞİ</t>
  </si>
  <si>
    <t>HAZIRLIK</t>
  </si>
  <si>
    <t>DURAKLAMA</t>
  </si>
  <si>
    <t>İstasyondan İş Bek.</t>
  </si>
  <si>
    <t>KAYIP SÜRE NEDENİ</t>
  </si>
  <si>
    <t>KAYIP SÜRE (DK)</t>
  </si>
  <si>
    <t>PERFORMANS</t>
  </si>
  <si>
    <t>BUGÜN ÇALIŞAN TOPLAM KİŞİ SAYISI</t>
  </si>
  <si>
    <t xml:space="preserve">BUGÜN ÇALIŞAN TOPLAM KİŞİ SAYISI SADECE GÜNÜN İLK VERİSİ GİRİLİRKEN KULLANILMALIDIR </t>
  </si>
  <si>
    <t>HATALI PARÇA SAYISI</t>
  </si>
  <si>
    <t>KULLANILABİLİRLİK</t>
  </si>
  <si>
    <t>KALİTE</t>
  </si>
  <si>
    <t>OEE</t>
  </si>
  <si>
    <t>Space Masa Kesonu</t>
  </si>
  <si>
    <t>NORMAL MESAİ</t>
  </si>
  <si>
    <t>Space Masa Konsol</t>
  </si>
  <si>
    <t>09.04.2026</t>
  </si>
  <si>
    <t>14.04.2026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</si>
</sst>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F]d\ mmmm\ yyyy\ h:mm;@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charset val="162"/>
      <scheme val="minor"/>
    </font>
    <font>
      <sz val="20"/>
      <color rgb="FF000000"/>
      <name val="Aptos Narrow"/>
    </font>
    <font>
      <sz val="12"/>
      <color rgb="FF000000"/>
      <name val="Aptos Narrow"/>
    </font>
  </fonts>
  <fills count="9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23">
    <xf numFmtId="0" fontId="0" fillId="0" borderId="0" xfId="0"/>
    <xf numFmtId="0" fontId="1" fillId="2" borderId="2" xfId="0" applyFont="1" applyFill="1" applyBorder="1"/>
    <xf numFmtId="0" fontId="1" fillId="0" borderId="2" xfId="0" applyFont="1" applyBorder="1"/>
    <xf numFmtId="0" fontId="0" fillId="6" borderId="0" xfId="0" applyFill="1"/>
    <xf numFmtId="0" fontId="2" fillId="4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9" fontId="4" fillId="0" borderId="0" xfId="1" applyFont="1" applyAlignment="1">
      <alignment horizontal="center" vertical="center" wrapText="1"/>
    </xf>
    <xf numFmtId="9" fontId="0" fillId="0" borderId="0" xfId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0" fontId="8" fillId="0" borderId="0" xfId="0" applyNumberFormat="1" applyFont="1" applyAlignment="1">
      <alignment horizontal="center" vertical="center" wrapText="1"/>
    </xf>
    <xf numFmtId="10" fontId="8" fillId="0" borderId="0" xfId="1" applyNumberFormat="1" applyFont="1" applyAlignment="1">
      <alignment horizontal="center" vertical="center" wrapText="1"/>
    </xf>
    <xf numFmtId="14" fontId="8" fillId="0" borderId="0" xfId="0" applyNumberFormat="1" applyFont="1" applyAlignment="1">
      <alignment horizontal="center" vertical="center" wrapText="1"/>
    </xf>
    <xf numFmtId="9" fontId="8" fillId="0" borderId="0" xfId="1" applyFont="1" applyAlignment="1">
      <alignment horizontal="center" vertical="center" wrapText="1"/>
    </xf>
    <xf numFmtId="10" fontId="4" fillId="0" borderId="0" xfId="0" applyNumberFormat="1" applyFont="1" applyAlignment="1">
      <alignment horizontal="center" vertical="center" wrapText="1"/>
    </xf>
    <xf numFmtId="10" fontId="4" fillId="0" borderId="0" xfId="1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</cellXfs>
  <cellStyles count="2">
    <cellStyle name="Normal" xfId="0" builtinId="0"/>
    <cellStyle name="Yüzde" xfId="1" builtinId="5"/>
  </cellStyles>
  <dxfs count="19"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2076450</xdr:colOff>
          <xdr:row>12</xdr:row>
          <xdr:rowOff>285750</xdr:rowOff>
        </xdr:from>
        <xdr:to>
          <xdr:col>3</xdr:col>
          <xdr:colOff>209550</xdr:colOff>
          <xdr:row>13</xdr:row>
          <xdr:rowOff>400050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77724" rIns="100584" bIns="77724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Aptos Narrow"/>
                </a:rPr>
                <a:t>KAYDET</a:t>
              </a:r>
              <a:endParaRPr lang="tr-T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tr-T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o3" displayName="Tablo3" ref="A1:Q28" totalsRowShown="0" headerRowDxfId="18" dataDxfId="17">
  <autoFilter ref="A1:Q28"/>
  <tableColumns count="17">
    <tableColumn id="10" name="TARİH" dataDxfId="16"/>
    <tableColumn id="11" name="TEZGAH ÜRÜNÜ" dataDxfId="15"/>
    <tableColumn id="1" name="PARÇA ADETİ" dataDxfId="14"/>
    <tableColumn id="2" name="ÇALIŞMA KOŞULU" dataDxfId="13"/>
    <tableColumn id="3" name="KAYIP SÜRE NEDENİ" dataDxfId="12"/>
    <tableColumn id="4" name="KAYIP SÜRE (DK)" dataDxfId="11"/>
    <tableColumn id="5" name="GÜNLÜK KAPASİTE" dataDxfId="10"/>
    <tableColumn id="6" name="YAPILMASI GEREKEN SÜRE" dataDxfId="9"/>
    <tableColumn id="7" name="KİŞİ SAYISI" dataDxfId="8"/>
    <tableColumn id="8" name="TOPLAM ADAM SAAT" dataDxfId="7"/>
    <tableColumn id="9" name="KALAN ADAM SAAT" dataDxfId="6"/>
    <tableColumn id="12" name="HATALI PARÇA SAYISI" dataDxfId="5"/>
    <tableColumn id="13" name="BUGÜN ÇALIŞAN TOPLAM KİŞİ SAYISI" dataDxfId="4"/>
    <tableColumn id="14" name="PERFORMANS" dataDxfId="3"/>
    <tableColumn id="15" name="KULLANILABİLİRLİK" dataDxfId="2" dataCellStyle="Yüzde"/>
    <tableColumn id="16" name="KALİTE" dataDxfId="1"/>
    <tableColumn id="17" name="OEE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F10"/>
  <sheetViews>
    <sheetView zoomScale="90" zoomScaleNormal="90" workbookViewId="0">
      <selection activeCell="B9" sqref="B9"/>
    </sheetView>
  </sheetViews>
  <sheetFormatPr defaultColWidth="10.68359375" defaultRowHeight="34.15" customHeight="1"/>
  <cols>
    <col min="1" max="1" width="21.68359375" style="3" customWidth="1"/>
    <col min="2" max="2" width="39.68359375" style="3" customWidth="1"/>
    <col min="3" max="16384" width="10.68359375" style="3"/>
  </cols>
  <sheetData>
    <row r="1" spans="1:6" ht="34.15" customHeight="1">
      <c r="A1" s="6"/>
      <c r="B1" s="5" t="s">
        <v>54</v>
      </c>
    </row>
    <row r="2" spans="1:6" ht="34.15" customHeight="1">
      <c r="A2" s="4" t="s">
        <v>0</v>
      </c>
      <c r="B2" s="8">
        <f ca="1">TODAY()</f>
        <v>46126</v>
      </c>
    </row>
    <row r="3" spans="1:6" ht="34.15" customHeight="1">
      <c r="A3" s="4" t="s">
        <v>55</v>
      </c>
      <c r="B3" s="7"/>
    </row>
    <row r="4" spans="1:6" ht="34.15" customHeight="1">
      <c r="A4" s="4" t="s">
        <v>2</v>
      </c>
      <c r="B4" s="7"/>
    </row>
    <row r="5" spans="1:6" ht="34.15" customHeight="1">
      <c r="A5" s="4" t="s">
        <v>3</v>
      </c>
      <c r="B5" s="7"/>
    </row>
    <row r="6" spans="1:6" ht="34.15" customHeight="1">
      <c r="A6" s="4" t="s">
        <v>56</v>
      </c>
      <c r="B6" s="7"/>
    </row>
    <row r="7" spans="1:6" ht="34.15" customHeight="1">
      <c r="A7" s="4" t="s">
        <v>57</v>
      </c>
      <c r="B7" s="7"/>
    </row>
    <row r="8" spans="1:6" ht="34.15" customHeight="1">
      <c r="A8" s="4" t="s">
        <v>72</v>
      </c>
      <c r="B8" s="7"/>
    </row>
    <row r="9" spans="1:6" ht="34.15" customHeight="1">
      <c r="A9" s="4" t="s">
        <v>1</v>
      </c>
      <c r="B9" s="7"/>
      <c r="D9" s="22" t="s">
        <v>71</v>
      </c>
      <c r="E9" s="22"/>
      <c r="F9" s="22"/>
    </row>
    <row r="10" spans="1:6" ht="70.5" customHeight="1">
      <c r="A10" s="11" t="s">
        <v>70</v>
      </c>
      <c r="B10" s="7"/>
      <c r="D10" s="22"/>
      <c r="E10" s="22"/>
      <c r="F10" s="22"/>
    </row>
  </sheetData>
  <mergeCells count="1">
    <mergeCell ref="D9:F10"/>
  </mergeCells>
  <dataValidations count="1">
    <dataValidation type="list" allowBlank="1" showInputMessage="1" showErrorMessage="1" sqref="B5">
      <formula1>"NORMAL MESAİ,EK MESAİ"</formula1>
    </dataValidation>
  </dataValidations>
  <pageMargins left="0.7" right="0.7" top="0.75" bottom="0.75" header="0.3" footer="0.3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KaydetButonu">
                <anchor moveWithCells="1" sizeWithCells="1">
                  <from>
                    <xdr:col>1</xdr:col>
                    <xdr:colOff>2076450</xdr:colOff>
                    <xdr:row>12</xdr:row>
                    <xdr:rowOff>285750</xdr:rowOff>
                  </from>
                  <to>
                    <xdr:col>3</xdr:col>
                    <xdr:colOff>209550</xdr:colOff>
                    <xdr:row>13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AYARLAR!$L$2:$L$10</xm:f>
          </x14:formula1>
          <xm:sqref>B6</xm:sqref>
        </x14:dataValidation>
        <x14:dataValidation type="list" allowBlank="1" showInputMessage="1" showErrorMessage="1">
          <x14:formula1>
            <xm:f>AYARLAR!$A$3:$A$43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Q36"/>
  <sheetViews>
    <sheetView tabSelected="1" zoomScale="70" zoomScaleNormal="70" workbookViewId="0">
      <selection activeCell="K9" sqref="K9"/>
    </sheetView>
  </sheetViews>
  <sheetFormatPr defaultColWidth="32.41796875" defaultRowHeight="28.15" customHeight="1"/>
  <cols>
    <col min="1" max="12" width="32.41796875" style="9"/>
    <col min="13" max="13" width="49.41796875" style="9" customWidth="1"/>
    <col min="14" max="14" width="32.41796875" style="9"/>
    <col min="15" max="15" width="32.41796875" style="13"/>
    <col min="16" max="16384" width="32.41796875" style="9"/>
  </cols>
  <sheetData>
    <row r="1" spans="1:17" s="10" customFormat="1" ht="31.15" customHeight="1">
      <c r="A1" s="10" t="s">
        <v>0</v>
      </c>
      <c r="B1" s="10" t="s">
        <v>55</v>
      </c>
      <c r="C1" s="10" t="s">
        <v>2</v>
      </c>
      <c r="D1" s="10" t="s">
        <v>3</v>
      </c>
      <c r="E1" s="10" t="s">
        <v>67</v>
      </c>
      <c r="F1" s="10" t="s">
        <v>68</v>
      </c>
      <c r="G1" s="10" t="s">
        <v>6</v>
      </c>
      <c r="H1" s="10" t="s">
        <v>7</v>
      </c>
      <c r="I1" s="10" t="s">
        <v>1</v>
      </c>
      <c r="J1" s="10" t="s">
        <v>8</v>
      </c>
      <c r="K1" s="10" t="s">
        <v>9</v>
      </c>
      <c r="L1" s="10" t="s">
        <v>72</v>
      </c>
      <c r="M1" s="10" t="s">
        <v>70</v>
      </c>
      <c r="N1" s="10" t="s">
        <v>69</v>
      </c>
      <c r="O1" s="12" t="s">
        <v>73</v>
      </c>
      <c r="P1" s="10" t="s">
        <v>74</v>
      </c>
      <c r="Q1" s="10" t="s">
        <v>75</v>
      </c>
    </row>
    <row r="2" spans="1:17" s="10" customFormat="1" ht="31.15" customHeight="1">
      <c r="A2" s="10" t="s">
        <v>80</v>
      </c>
      <c r="B2" s="10" t="s">
        <v>12</v>
      </c>
      <c r="C2" s="10">
        <v>1</v>
      </c>
      <c r="D2" s="10" t="s">
        <v>77</v>
      </c>
      <c r="F2" s="10">
        <v>0</v>
      </c>
      <c r="G2" s="10">
        <v>10.199999999999999</v>
      </c>
      <c r="H2" s="10">
        <v>50</v>
      </c>
      <c r="I2" s="10">
        <v>3</v>
      </c>
      <c r="K2" s="10">
        <v>-1360</v>
      </c>
      <c r="L2" s="10">
        <v>0</v>
      </c>
      <c r="N2" s="19">
        <v>1.5333333333333334</v>
      </c>
      <c r="O2" s="20">
        <v>1</v>
      </c>
      <c r="P2" s="19">
        <v>1</v>
      </c>
      <c r="Q2" s="19">
        <v>1.5333333333333334</v>
      </c>
    </row>
    <row r="3" spans="1:17" s="10" customFormat="1" ht="31.15" customHeight="1">
      <c r="A3" s="10" t="s">
        <v>80</v>
      </c>
      <c r="B3" s="10" t="s">
        <v>52</v>
      </c>
      <c r="C3" s="10">
        <v>2</v>
      </c>
      <c r="D3" s="10" t="s">
        <v>77</v>
      </c>
      <c r="F3" s="10">
        <v>0</v>
      </c>
      <c r="G3" s="10">
        <v>25.5</v>
      </c>
      <c r="H3" s="10">
        <v>40</v>
      </c>
      <c r="I3" s="10">
        <v>3</v>
      </c>
      <c r="K3" s="10">
        <v>-1310</v>
      </c>
      <c r="L3" s="10">
        <v>0</v>
      </c>
      <c r="N3" s="19"/>
      <c r="O3" s="20"/>
      <c r="P3" s="19"/>
      <c r="Q3" s="19"/>
    </row>
    <row r="4" spans="1:17" s="10" customFormat="1" ht="31.15" customHeight="1">
      <c r="A4" s="10" t="s">
        <v>80</v>
      </c>
      <c r="B4" s="10" t="s">
        <v>27</v>
      </c>
      <c r="C4" s="10">
        <v>1</v>
      </c>
      <c r="D4" s="10" t="s">
        <v>77</v>
      </c>
      <c r="F4" s="10">
        <v>0</v>
      </c>
      <c r="G4" s="10">
        <v>12.75</v>
      </c>
      <c r="H4" s="10">
        <v>40</v>
      </c>
      <c r="I4" s="10">
        <v>3</v>
      </c>
      <c r="K4" s="10">
        <v>-1270</v>
      </c>
      <c r="L4" s="10">
        <v>0</v>
      </c>
      <c r="N4" s="19"/>
      <c r="O4" s="20"/>
      <c r="P4" s="19"/>
      <c r="Q4" s="19"/>
    </row>
    <row r="5" spans="1:17" s="10" customFormat="1" ht="31.15" customHeight="1">
      <c r="A5" s="10" t="s">
        <v>80</v>
      </c>
      <c r="B5" s="10" t="s">
        <v>76</v>
      </c>
      <c r="C5" s="10">
        <v>2</v>
      </c>
      <c r="D5" s="10" t="s">
        <v>77</v>
      </c>
      <c r="F5" s="10">
        <v>0</v>
      </c>
      <c r="G5" s="10">
        <v>8.5</v>
      </c>
      <c r="H5" s="10">
        <v>120</v>
      </c>
      <c r="I5" s="10">
        <v>3</v>
      </c>
      <c r="K5" s="10">
        <v>-1230</v>
      </c>
      <c r="L5" s="10">
        <v>0</v>
      </c>
      <c r="N5" s="19"/>
      <c r="O5" s="20"/>
      <c r="P5" s="19"/>
      <c r="Q5" s="19"/>
    </row>
    <row r="6" spans="1:17" s="10" customFormat="1" ht="31.15" customHeight="1">
      <c r="A6" s="10" t="s">
        <v>80</v>
      </c>
      <c r="B6" s="10" t="s">
        <v>25</v>
      </c>
      <c r="C6" s="10">
        <v>9</v>
      </c>
      <c r="D6" s="10" t="s">
        <v>77</v>
      </c>
      <c r="F6" s="10">
        <v>0</v>
      </c>
      <c r="G6" s="10">
        <v>17</v>
      </c>
      <c r="H6" s="10">
        <v>270</v>
      </c>
      <c r="I6" s="10">
        <v>3</v>
      </c>
      <c r="K6" s="10">
        <v>-1110</v>
      </c>
      <c r="L6" s="10">
        <v>0</v>
      </c>
      <c r="N6" s="19"/>
      <c r="O6" s="20"/>
      <c r="P6" s="19"/>
      <c r="Q6" s="19"/>
    </row>
    <row r="7" spans="1:17" s="10" customFormat="1" ht="31.15" customHeight="1">
      <c r="A7" s="10" t="s">
        <v>80</v>
      </c>
      <c r="B7" s="10" t="s">
        <v>4</v>
      </c>
      <c r="C7" s="10">
        <v>12</v>
      </c>
      <c r="D7" s="10" t="s">
        <v>77</v>
      </c>
      <c r="F7" s="10">
        <v>0</v>
      </c>
      <c r="G7" s="10">
        <v>12.75</v>
      </c>
      <c r="H7" s="10">
        <v>480</v>
      </c>
      <c r="I7" s="10">
        <v>3</v>
      </c>
      <c r="K7" s="10">
        <v>-840</v>
      </c>
      <c r="L7" s="10">
        <v>0</v>
      </c>
      <c r="N7" s="19"/>
      <c r="O7" s="20"/>
      <c r="P7" s="19"/>
      <c r="Q7" s="19"/>
    </row>
    <row r="8" spans="1:17" s="10" customFormat="1" ht="31.15" customHeight="1">
      <c r="A8" s="10" t="s">
        <v>80</v>
      </c>
      <c r="B8" s="10" t="s">
        <v>11</v>
      </c>
      <c r="C8" s="10">
        <v>4</v>
      </c>
      <c r="D8" s="10" t="s">
        <v>77</v>
      </c>
      <c r="F8" s="10">
        <v>0</v>
      </c>
      <c r="G8" s="10">
        <v>12.75</v>
      </c>
      <c r="H8" s="10">
        <v>160</v>
      </c>
      <c r="I8" s="10">
        <v>3</v>
      </c>
      <c r="K8" s="10">
        <v>-360</v>
      </c>
      <c r="L8" s="10">
        <v>0</v>
      </c>
      <c r="N8" s="19"/>
      <c r="O8" s="20"/>
      <c r="P8" s="19"/>
      <c r="Q8" s="19"/>
    </row>
    <row r="9" spans="1:17" s="10" customFormat="1" ht="31.15" customHeight="1">
      <c r="A9" s="10" t="s">
        <v>80</v>
      </c>
      <c r="B9" s="10" t="s">
        <v>50</v>
      </c>
      <c r="C9" s="10">
        <v>80</v>
      </c>
      <c r="D9" s="10" t="s">
        <v>77</v>
      </c>
      <c r="F9" s="10">
        <v>0</v>
      </c>
      <c r="G9" s="10">
        <v>17</v>
      </c>
      <c r="H9" s="10">
        <v>2400</v>
      </c>
      <c r="I9" s="10">
        <v>2</v>
      </c>
      <c r="K9" s="10">
        <v>-200</v>
      </c>
      <c r="L9" s="10">
        <v>0</v>
      </c>
      <c r="N9" s="19"/>
      <c r="O9" s="20"/>
      <c r="P9" s="19"/>
      <c r="Q9" s="19"/>
    </row>
    <row r="10" spans="1:17" s="10" customFormat="1" ht="31.15" customHeight="1">
      <c r="A10" s="10" t="s">
        <v>80</v>
      </c>
      <c r="B10" s="10" t="s">
        <v>44</v>
      </c>
      <c r="C10" s="10">
        <v>35</v>
      </c>
      <c r="D10" s="10" t="s">
        <v>77</v>
      </c>
      <c r="F10" s="10">
        <v>0</v>
      </c>
      <c r="G10" s="10">
        <v>51</v>
      </c>
      <c r="H10" s="10">
        <v>350</v>
      </c>
      <c r="I10" s="10">
        <v>2</v>
      </c>
      <c r="J10" s="10">
        <v>2550</v>
      </c>
      <c r="K10" s="10">
        <v>2200</v>
      </c>
      <c r="L10" s="10">
        <v>0</v>
      </c>
      <c r="M10" s="10">
        <v>5</v>
      </c>
      <c r="N10" s="19"/>
      <c r="O10" s="20"/>
      <c r="P10" s="19"/>
      <c r="Q10" s="19"/>
    </row>
    <row r="11" spans="1:17" s="10" customFormat="1" ht="31.15" customHeight="1">
      <c r="A11" s="21">
        <v>46094</v>
      </c>
      <c r="B11" s="10" t="s">
        <v>25</v>
      </c>
      <c r="C11" s="10">
        <v>9</v>
      </c>
      <c r="D11" s="10" t="s">
        <v>77</v>
      </c>
      <c r="F11" s="10">
        <v>0</v>
      </c>
      <c r="G11" s="10">
        <v>12.75</v>
      </c>
      <c r="H11" s="10">
        <v>360</v>
      </c>
      <c r="I11" s="10">
        <v>3</v>
      </c>
      <c r="K11" s="10">
        <v>-1060.0000000000002</v>
      </c>
      <c r="L11" s="10">
        <v>0</v>
      </c>
      <c r="N11" s="19">
        <v>1.34640522875817</v>
      </c>
      <c r="O11" s="20">
        <v>1</v>
      </c>
      <c r="P11" s="19">
        <v>1</v>
      </c>
      <c r="Q11" s="19">
        <v>1.34640522875817</v>
      </c>
    </row>
    <row r="12" spans="1:17" s="10" customFormat="1" ht="31.15" customHeight="1">
      <c r="A12" s="21">
        <v>46094</v>
      </c>
      <c r="B12" s="10" t="s">
        <v>19</v>
      </c>
      <c r="C12" s="10">
        <v>2</v>
      </c>
      <c r="D12" s="10" t="s">
        <v>77</v>
      </c>
      <c r="F12" s="10">
        <v>0</v>
      </c>
      <c r="G12" s="10">
        <v>10.199999999999999</v>
      </c>
      <c r="H12" s="10">
        <v>100</v>
      </c>
      <c r="I12" s="10">
        <v>3</v>
      </c>
      <c r="K12" s="10">
        <v>-700.00000000000023</v>
      </c>
      <c r="L12" s="10">
        <v>0</v>
      </c>
      <c r="N12" s="19"/>
      <c r="O12" s="20"/>
      <c r="P12" s="19"/>
      <c r="Q12" s="19"/>
    </row>
    <row r="13" spans="1:17" s="10" customFormat="1" ht="31.15" customHeight="1">
      <c r="A13" s="21">
        <v>46094</v>
      </c>
      <c r="B13" s="10" t="s">
        <v>38</v>
      </c>
      <c r="C13" s="10">
        <v>59</v>
      </c>
      <c r="D13" s="10" t="s">
        <v>77</v>
      </c>
      <c r="F13" s="10">
        <v>0</v>
      </c>
      <c r="G13" s="10">
        <v>25.5</v>
      </c>
      <c r="H13" s="10">
        <v>1180</v>
      </c>
      <c r="I13" s="10">
        <v>2</v>
      </c>
      <c r="K13" s="10">
        <v>-600.00000000000023</v>
      </c>
      <c r="L13" s="10">
        <v>0</v>
      </c>
      <c r="N13" s="19"/>
      <c r="O13" s="20"/>
      <c r="P13" s="19"/>
      <c r="Q13" s="19"/>
    </row>
    <row r="14" spans="1:17" s="10" customFormat="1" ht="31.15" customHeight="1">
      <c r="A14" s="21">
        <v>46094</v>
      </c>
      <c r="B14" s="10" t="s">
        <v>41</v>
      </c>
      <c r="C14" s="10">
        <v>35</v>
      </c>
      <c r="D14" s="10" t="s">
        <v>77</v>
      </c>
      <c r="F14" s="10">
        <v>0</v>
      </c>
      <c r="G14" s="10">
        <v>10.199999999999999</v>
      </c>
      <c r="H14" s="10">
        <v>1750.0000000000002</v>
      </c>
      <c r="I14" s="10">
        <v>3</v>
      </c>
      <c r="K14" s="10">
        <v>579.99999999999977</v>
      </c>
      <c r="L14" s="10">
        <v>0</v>
      </c>
      <c r="N14" s="19"/>
      <c r="O14" s="20"/>
      <c r="P14" s="19"/>
      <c r="Q14" s="19"/>
    </row>
    <row r="15" spans="1:17" s="10" customFormat="1" ht="31.15" customHeight="1">
      <c r="A15" s="21">
        <v>46094</v>
      </c>
      <c r="B15" s="10" t="s">
        <v>4</v>
      </c>
      <c r="C15" s="10">
        <v>8</v>
      </c>
      <c r="D15" s="10" t="s">
        <v>77</v>
      </c>
      <c r="F15" s="10">
        <v>0</v>
      </c>
      <c r="G15" s="10">
        <v>10.199999999999999</v>
      </c>
      <c r="H15" s="10">
        <v>400</v>
      </c>
      <c r="I15" s="10">
        <v>3</v>
      </c>
      <c r="K15" s="10">
        <v>2330</v>
      </c>
      <c r="L15" s="10">
        <v>0</v>
      </c>
      <c r="N15" s="19"/>
      <c r="O15" s="20"/>
      <c r="P15" s="19"/>
      <c r="Q15" s="19"/>
    </row>
    <row r="16" spans="1:17" s="10" customFormat="1" ht="31.15" customHeight="1">
      <c r="A16" s="21">
        <v>46094</v>
      </c>
      <c r="B16" s="10" t="s">
        <v>11</v>
      </c>
      <c r="C16" s="10">
        <v>1</v>
      </c>
      <c r="D16" s="10" t="s">
        <v>77</v>
      </c>
      <c r="F16" s="10">
        <v>0</v>
      </c>
      <c r="G16" s="10">
        <v>10.199999999999999</v>
      </c>
      <c r="H16" s="10">
        <v>50</v>
      </c>
      <c r="I16" s="10">
        <v>3</v>
      </c>
      <c r="K16" s="10">
        <v>2730</v>
      </c>
      <c r="L16" s="10">
        <v>0</v>
      </c>
      <c r="N16" s="19"/>
      <c r="O16" s="20"/>
      <c r="P16" s="19"/>
      <c r="Q16" s="19"/>
    </row>
    <row r="17" spans="1:17" s="10" customFormat="1" ht="31.15" customHeight="1">
      <c r="A17" s="21">
        <v>46094</v>
      </c>
      <c r="B17" s="10" t="s">
        <v>76</v>
      </c>
      <c r="C17" s="10">
        <v>4</v>
      </c>
      <c r="D17" s="10" t="s">
        <v>77</v>
      </c>
      <c r="F17" s="10">
        <v>0</v>
      </c>
      <c r="G17" s="10">
        <v>7.2857142857142856</v>
      </c>
      <c r="H17" s="10">
        <v>280</v>
      </c>
      <c r="I17" s="10">
        <v>3</v>
      </c>
      <c r="J17" s="10">
        <v>3060</v>
      </c>
      <c r="K17" s="10">
        <v>2780</v>
      </c>
      <c r="L17" s="10">
        <v>0</v>
      </c>
      <c r="M17" s="10">
        <v>6</v>
      </c>
      <c r="N17" s="19"/>
      <c r="O17" s="20"/>
      <c r="P17" s="19"/>
      <c r="Q17" s="19"/>
    </row>
    <row r="18" spans="1:17" s="10" customFormat="1" ht="31.15" customHeight="1">
      <c r="A18" s="21">
        <v>46122</v>
      </c>
      <c r="B18" s="10" t="s">
        <v>12</v>
      </c>
      <c r="C18" s="10">
        <v>0</v>
      </c>
      <c r="D18" s="10" t="s">
        <v>77</v>
      </c>
      <c r="E18" s="10" t="s">
        <v>64</v>
      </c>
      <c r="F18" s="10">
        <v>3060</v>
      </c>
      <c r="G18" s="10">
        <v>8.5</v>
      </c>
      <c r="H18" s="10">
        <v>3060</v>
      </c>
      <c r="I18" s="10">
        <v>6</v>
      </c>
      <c r="J18" s="10">
        <v>3060</v>
      </c>
      <c r="K18" s="10">
        <v>0</v>
      </c>
      <c r="L18" s="10">
        <v>0</v>
      </c>
      <c r="M18" s="10">
        <v>6</v>
      </c>
      <c r="N18" s="19">
        <v>1</v>
      </c>
      <c r="O18" s="20">
        <v>-4.666666666666667</v>
      </c>
      <c r="P18" s="19">
        <v>0</v>
      </c>
      <c r="Q18" s="19">
        <v>0</v>
      </c>
    </row>
    <row r="19" spans="1:17" s="14" customFormat="1" ht="31.15" customHeight="1">
      <c r="A19" s="14" t="s">
        <v>79</v>
      </c>
      <c r="B19" s="14" t="s">
        <v>12</v>
      </c>
      <c r="C19" s="14">
        <v>0</v>
      </c>
      <c r="D19" s="14" t="s">
        <v>77</v>
      </c>
      <c r="E19" s="14" t="s">
        <v>64</v>
      </c>
      <c r="F19" s="14">
        <v>540</v>
      </c>
      <c r="G19" s="14">
        <v>9</v>
      </c>
      <c r="H19" s="14">
        <v>540</v>
      </c>
      <c r="I19" s="14">
        <v>1</v>
      </c>
      <c r="K19" s="14">
        <v>933.33333333333348</v>
      </c>
      <c r="L19" s="14">
        <v>0</v>
      </c>
      <c r="N19" s="15"/>
      <c r="O19" s="16"/>
      <c r="P19" s="15"/>
      <c r="Q19" s="15"/>
    </row>
    <row r="20" spans="1:17" s="14" customFormat="1" ht="31.15" customHeight="1">
      <c r="A20" s="14" t="s">
        <v>79</v>
      </c>
      <c r="B20" s="14" t="s">
        <v>52</v>
      </c>
      <c r="C20" s="14">
        <v>6</v>
      </c>
      <c r="D20" s="14" t="s">
        <v>77</v>
      </c>
      <c r="F20" s="14">
        <v>0</v>
      </c>
      <c r="G20" s="14">
        <v>18</v>
      </c>
      <c r="H20" s="14">
        <v>170</v>
      </c>
      <c r="I20" s="14">
        <v>1</v>
      </c>
      <c r="K20" s="14">
        <v>1473.3333333333335</v>
      </c>
      <c r="L20" s="14">
        <v>0</v>
      </c>
      <c r="N20" s="15"/>
      <c r="O20" s="16"/>
      <c r="P20" s="15"/>
      <c r="Q20" s="15"/>
    </row>
    <row r="21" spans="1:17" s="14" customFormat="1" ht="31.15" customHeight="1">
      <c r="A21" s="14" t="s">
        <v>79</v>
      </c>
      <c r="B21" s="14" t="s">
        <v>26</v>
      </c>
      <c r="C21" s="14">
        <v>12</v>
      </c>
      <c r="D21" s="14" t="s">
        <v>77</v>
      </c>
      <c r="F21" s="14">
        <v>0</v>
      </c>
      <c r="G21" s="14">
        <v>27</v>
      </c>
      <c r="H21" s="14">
        <v>226.66666666666666</v>
      </c>
      <c r="I21" s="14">
        <v>2</v>
      </c>
      <c r="K21" s="14">
        <v>1643.3333333333335</v>
      </c>
      <c r="L21" s="14">
        <v>0</v>
      </c>
      <c r="N21" s="15"/>
      <c r="O21" s="16"/>
      <c r="P21" s="15"/>
      <c r="Q21" s="15"/>
    </row>
    <row r="22" spans="1:17" s="14" customFormat="1" ht="31.15" customHeight="1">
      <c r="A22" s="14" t="s">
        <v>79</v>
      </c>
      <c r="B22" s="14" t="s">
        <v>25</v>
      </c>
      <c r="C22" s="14">
        <v>3</v>
      </c>
      <c r="D22" s="14" t="s">
        <v>77</v>
      </c>
      <c r="F22" s="14">
        <v>0</v>
      </c>
      <c r="G22" s="14">
        <v>13.5</v>
      </c>
      <c r="H22" s="14">
        <v>113.33333333333333</v>
      </c>
      <c r="I22" s="14">
        <v>2</v>
      </c>
      <c r="K22" s="14">
        <v>1870.0000000000002</v>
      </c>
      <c r="L22" s="14">
        <v>0</v>
      </c>
      <c r="N22" s="15"/>
      <c r="O22" s="16"/>
      <c r="P22" s="15"/>
      <c r="Q22" s="15"/>
    </row>
    <row r="23" spans="1:17" s="14" customFormat="1" ht="31.15" customHeight="1">
      <c r="A23" s="14" t="s">
        <v>79</v>
      </c>
      <c r="B23" s="14" t="s">
        <v>27</v>
      </c>
      <c r="C23" s="14">
        <v>10</v>
      </c>
      <c r="D23" s="14" t="s">
        <v>77</v>
      </c>
      <c r="F23" s="14">
        <v>0</v>
      </c>
      <c r="G23" s="14">
        <v>10.8</v>
      </c>
      <c r="H23" s="14">
        <v>472.22222222222217</v>
      </c>
      <c r="I23" s="14">
        <v>2</v>
      </c>
      <c r="K23" s="14">
        <v>1983.3333333333335</v>
      </c>
      <c r="L23" s="14">
        <v>0</v>
      </c>
      <c r="N23" s="15"/>
      <c r="O23" s="16"/>
      <c r="P23" s="15"/>
      <c r="Q23" s="15"/>
    </row>
    <row r="24" spans="1:17" s="14" customFormat="1" ht="31.15" customHeight="1">
      <c r="A24" s="14" t="s">
        <v>79</v>
      </c>
      <c r="B24" s="14" t="s">
        <v>37</v>
      </c>
      <c r="C24" s="14">
        <v>2</v>
      </c>
      <c r="D24" s="14" t="s">
        <v>77</v>
      </c>
      <c r="F24" s="14">
        <v>0</v>
      </c>
      <c r="G24" s="14">
        <v>10.8</v>
      </c>
      <c r="H24" s="14">
        <v>94.444444444444443</v>
      </c>
      <c r="I24" s="14">
        <v>2</v>
      </c>
      <c r="K24" s="14">
        <v>2455.5555555555557</v>
      </c>
      <c r="L24" s="14">
        <v>0</v>
      </c>
      <c r="N24" s="15"/>
      <c r="O24" s="16"/>
      <c r="P24" s="15"/>
      <c r="Q24" s="15"/>
    </row>
    <row r="25" spans="1:17" s="14" customFormat="1" ht="31.15" customHeight="1">
      <c r="A25" s="14" t="s">
        <v>79</v>
      </c>
      <c r="B25" s="14" t="s">
        <v>31</v>
      </c>
      <c r="C25" s="14">
        <v>27</v>
      </c>
      <c r="D25" s="14" t="s">
        <v>77</v>
      </c>
      <c r="F25" s="14">
        <v>0</v>
      </c>
      <c r="G25" s="14">
        <v>6.75</v>
      </c>
      <c r="H25" s="14">
        <v>2040</v>
      </c>
      <c r="I25" s="14">
        <v>3</v>
      </c>
      <c r="J25" s="14">
        <v>4590</v>
      </c>
      <c r="K25" s="14">
        <v>2550</v>
      </c>
      <c r="L25" s="14">
        <v>0</v>
      </c>
      <c r="M25" s="14">
        <v>9</v>
      </c>
      <c r="N25" s="15"/>
      <c r="O25" s="16"/>
      <c r="P25" s="15"/>
      <c r="Q25" s="15"/>
    </row>
    <row r="26" spans="1:17" s="14" customFormat="1" ht="31.15" customHeight="1">
      <c r="A26" s="17">
        <v>46120</v>
      </c>
      <c r="B26" s="14" t="s">
        <v>31</v>
      </c>
      <c r="C26" s="14">
        <v>15</v>
      </c>
      <c r="D26" s="14" t="s">
        <v>77</v>
      </c>
      <c r="F26" s="14">
        <v>0</v>
      </c>
      <c r="G26" s="14">
        <v>10.8</v>
      </c>
      <c r="H26" s="14">
        <v>708.33333330000005</v>
      </c>
      <c r="I26" s="14">
        <v>3</v>
      </c>
      <c r="K26" s="14">
        <v>2521.666667</v>
      </c>
      <c r="L26" s="14">
        <v>0</v>
      </c>
      <c r="N26" s="15">
        <v>0.38190000000000002</v>
      </c>
      <c r="O26" s="16">
        <v>1</v>
      </c>
      <c r="P26" s="15">
        <v>1</v>
      </c>
      <c r="Q26" s="15">
        <v>0.38190000000000002</v>
      </c>
    </row>
    <row r="27" spans="1:17" s="14" customFormat="1" ht="31.15" customHeight="1">
      <c r="A27" s="17">
        <v>46120</v>
      </c>
      <c r="B27" s="14" t="s">
        <v>27</v>
      </c>
      <c r="C27" s="14">
        <v>20</v>
      </c>
      <c r="D27" s="14" t="s">
        <v>77</v>
      </c>
      <c r="F27" s="14">
        <v>0</v>
      </c>
      <c r="G27" s="14">
        <v>18</v>
      </c>
      <c r="H27" s="14">
        <v>566.66666669999995</v>
      </c>
      <c r="I27" s="14">
        <v>2</v>
      </c>
      <c r="K27" s="14">
        <v>3230</v>
      </c>
      <c r="L27" s="14">
        <v>0</v>
      </c>
      <c r="O27" s="18"/>
    </row>
    <row r="28" spans="1:17" s="14" customFormat="1" ht="31.15" customHeight="1">
      <c r="A28" s="17">
        <v>46120</v>
      </c>
      <c r="B28" s="14" t="s">
        <v>78</v>
      </c>
      <c r="C28" s="14">
        <v>6</v>
      </c>
      <c r="D28" s="14" t="s">
        <v>77</v>
      </c>
      <c r="F28" s="14">
        <v>0</v>
      </c>
      <c r="G28" s="14">
        <v>10.8</v>
      </c>
      <c r="H28" s="14">
        <v>283.33333329999999</v>
      </c>
      <c r="I28" s="14">
        <v>2</v>
      </c>
      <c r="J28" s="14">
        <v>4080</v>
      </c>
      <c r="K28" s="14">
        <v>3796.666667</v>
      </c>
      <c r="L28" s="14">
        <v>0</v>
      </c>
      <c r="M28" s="14">
        <v>8</v>
      </c>
      <c r="O28" s="18"/>
    </row>
    <row r="29" spans="1:17" s="10" customFormat="1" ht="31.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O29" s="12"/>
    </row>
    <row r="30" spans="1:17" s="10" customFormat="1" ht="31.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O30" s="12"/>
    </row>
    <row r="31" spans="1:17" s="10" customFormat="1" ht="31.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O31" s="12"/>
    </row>
    <row r="32" spans="1:17" s="10" customFormat="1" ht="31.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O32" s="12"/>
    </row>
    <row r="33" spans="1:17" s="10" customFormat="1" ht="31.15" customHeight="1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13"/>
      <c r="P33" s="9"/>
      <c r="Q33" s="9"/>
    </row>
    <row r="34" spans="1:17" s="10" customFormat="1" ht="31.15" customHeight="1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13"/>
      <c r="P34" s="9"/>
      <c r="Q34" s="9"/>
    </row>
    <row r="35" spans="1:17" s="10" customFormat="1" ht="31.15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13"/>
      <c r="P35" s="9"/>
      <c r="Q35" s="9"/>
    </row>
    <row r="36" spans="1:17" s="10" customFormat="1" ht="28.15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13"/>
      <c r="P36" s="9"/>
      <c r="Q36" s="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L45"/>
  <sheetViews>
    <sheetView topLeftCell="A29" zoomScale="157" workbookViewId="0">
      <selection activeCell="B44" sqref="B44"/>
    </sheetView>
  </sheetViews>
  <sheetFormatPr defaultColWidth="8.68359375" defaultRowHeight="14.4"/>
  <cols>
    <col min="1" max="1" width="19.41796875" bestFit="1" customWidth="1"/>
    <col min="2" max="2" width="15.41796875" bestFit="1" customWidth="1"/>
    <col min="3" max="3" width="11.41796875" customWidth="1"/>
    <col min="4" max="4" width="13.68359375" bestFit="1" customWidth="1"/>
  </cols>
  <sheetData>
    <row r="1" spans="1:12">
      <c r="A1" t="s">
        <v>5</v>
      </c>
      <c r="B1" t="s">
        <v>53</v>
      </c>
      <c r="C1" t="s">
        <v>33</v>
      </c>
      <c r="D1" t="s">
        <v>34</v>
      </c>
    </row>
    <row r="2" spans="1:12">
      <c r="A2" s="1" t="s">
        <v>10</v>
      </c>
      <c r="L2" t="s">
        <v>58</v>
      </c>
    </row>
    <row r="3" spans="1:12">
      <c r="A3" s="2" t="s">
        <v>11</v>
      </c>
      <c r="B3">
        <v>40</v>
      </c>
      <c r="C3">
        <f t="shared" ref="C3:C45" si="0">D3/B3</f>
        <v>12.75</v>
      </c>
      <c r="D3">
        <v>510</v>
      </c>
      <c r="L3" t="s">
        <v>59</v>
      </c>
    </row>
    <row r="4" spans="1:12">
      <c r="A4" s="2" t="s">
        <v>12</v>
      </c>
      <c r="B4">
        <v>50</v>
      </c>
      <c r="C4">
        <f t="shared" si="0"/>
        <v>10.199999999999999</v>
      </c>
      <c r="D4">
        <v>510</v>
      </c>
      <c r="L4" t="s">
        <v>60</v>
      </c>
    </row>
    <row r="5" spans="1:12">
      <c r="A5" s="2" t="s">
        <v>13</v>
      </c>
      <c r="B5">
        <v>50</v>
      </c>
      <c r="C5">
        <f t="shared" si="0"/>
        <v>10.199999999999999</v>
      </c>
      <c r="D5">
        <v>510</v>
      </c>
      <c r="L5" t="s">
        <v>61</v>
      </c>
    </row>
    <row r="6" spans="1:12">
      <c r="A6" s="2" t="s">
        <v>14</v>
      </c>
      <c r="B6">
        <v>50</v>
      </c>
      <c r="C6">
        <f t="shared" si="0"/>
        <v>10.199999999999999</v>
      </c>
      <c r="D6">
        <v>510</v>
      </c>
      <c r="L6" t="s">
        <v>62</v>
      </c>
    </row>
    <row r="7" spans="1:12">
      <c r="A7" s="2" t="s">
        <v>15</v>
      </c>
      <c r="B7">
        <v>30</v>
      </c>
      <c r="C7">
        <f t="shared" si="0"/>
        <v>17</v>
      </c>
      <c r="D7">
        <v>510</v>
      </c>
      <c r="L7" t="s">
        <v>63</v>
      </c>
    </row>
    <row r="8" spans="1:12">
      <c r="A8" s="2" t="s">
        <v>16</v>
      </c>
      <c r="B8">
        <v>60</v>
      </c>
      <c r="C8">
        <f t="shared" si="0"/>
        <v>8.5</v>
      </c>
      <c r="D8">
        <v>510</v>
      </c>
      <c r="L8" t="s">
        <v>64</v>
      </c>
    </row>
    <row r="9" spans="1:12">
      <c r="A9" s="2" t="s">
        <v>17</v>
      </c>
      <c r="B9">
        <v>60</v>
      </c>
      <c r="C9">
        <f t="shared" si="0"/>
        <v>8.5</v>
      </c>
      <c r="D9">
        <v>510</v>
      </c>
      <c r="L9" t="s">
        <v>65</v>
      </c>
    </row>
    <row r="10" spans="1:12">
      <c r="A10" s="2" t="s">
        <v>18</v>
      </c>
      <c r="B10">
        <v>60</v>
      </c>
      <c r="C10">
        <f t="shared" si="0"/>
        <v>8.5</v>
      </c>
      <c r="D10">
        <v>510</v>
      </c>
      <c r="L10" t="s">
        <v>66</v>
      </c>
    </row>
    <row r="11" spans="1:12">
      <c r="A11" s="2" t="s">
        <v>19</v>
      </c>
      <c r="B11">
        <v>40</v>
      </c>
      <c r="C11">
        <f t="shared" si="0"/>
        <v>12.75</v>
      </c>
      <c r="D11">
        <v>510</v>
      </c>
    </row>
    <row r="12" spans="1:12">
      <c r="A12" s="2" t="s">
        <v>76</v>
      </c>
      <c r="B12">
        <v>60</v>
      </c>
      <c r="C12">
        <f t="shared" si="0"/>
        <v>8.5</v>
      </c>
      <c r="D12">
        <v>510</v>
      </c>
    </row>
    <row r="13" spans="1:12">
      <c r="A13" s="2" t="s">
        <v>41</v>
      </c>
      <c r="B13">
        <v>40</v>
      </c>
      <c r="C13">
        <f t="shared" si="0"/>
        <v>12.75</v>
      </c>
      <c r="D13">
        <v>510</v>
      </c>
    </row>
    <row r="14" spans="1:12">
      <c r="A14" s="2" t="s">
        <v>4</v>
      </c>
      <c r="B14">
        <v>40</v>
      </c>
      <c r="C14">
        <f t="shared" si="0"/>
        <v>12.75</v>
      </c>
      <c r="D14">
        <v>510</v>
      </c>
    </row>
    <row r="15" spans="1:12">
      <c r="A15" s="2" t="s">
        <v>20</v>
      </c>
      <c r="B15">
        <v>40</v>
      </c>
      <c r="C15">
        <f t="shared" si="0"/>
        <v>12.75</v>
      </c>
      <c r="D15">
        <v>510</v>
      </c>
    </row>
    <row r="16" spans="1:12">
      <c r="A16" s="2" t="s">
        <v>21</v>
      </c>
      <c r="B16">
        <v>20</v>
      </c>
      <c r="C16">
        <f t="shared" si="0"/>
        <v>25.5</v>
      </c>
      <c r="D16">
        <v>510</v>
      </c>
    </row>
    <row r="17" spans="1:4">
      <c r="A17" s="2" t="s">
        <v>22</v>
      </c>
      <c r="B17">
        <v>20</v>
      </c>
      <c r="C17">
        <f t="shared" si="0"/>
        <v>25.5</v>
      </c>
      <c r="D17">
        <v>510</v>
      </c>
    </row>
    <row r="18" spans="1:4">
      <c r="A18" s="2" t="s">
        <v>23</v>
      </c>
      <c r="B18">
        <v>60</v>
      </c>
      <c r="C18">
        <f t="shared" si="0"/>
        <v>8.5</v>
      </c>
      <c r="D18">
        <v>510</v>
      </c>
    </row>
    <row r="19" spans="1:4">
      <c r="A19" s="2" t="s">
        <v>24</v>
      </c>
      <c r="B19">
        <v>70</v>
      </c>
      <c r="C19">
        <f t="shared" si="0"/>
        <v>7.2857142857142856</v>
      </c>
      <c r="D19">
        <v>510</v>
      </c>
    </row>
    <row r="20" spans="1:4">
      <c r="A20" s="2" t="s">
        <v>25</v>
      </c>
      <c r="B20">
        <v>30</v>
      </c>
      <c r="C20">
        <f t="shared" si="0"/>
        <v>17</v>
      </c>
      <c r="D20">
        <v>510</v>
      </c>
    </row>
    <row r="21" spans="1:4">
      <c r="A21" s="2" t="s">
        <v>26</v>
      </c>
      <c r="B21">
        <v>10</v>
      </c>
      <c r="C21">
        <f t="shared" si="0"/>
        <v>51</v>
      </c>
      <c r="D21">
        <v>510</v>
      </c>
    </row>
    <row r="22" spans="1:4">
      <c r="A22" s="2" t="s">
        <v>27</v>
      </c>
      <c r="B22">
        <v>40</v>
      </c>
      <c r="C22">
        <f t="shared" si="0"/>
        <v>12.75</v>
      </c>
      <c r="D22">
        <v>510</v>
      </c>
    </row>
    <row r="23" spans="1:4">
      <c r="A23" s="2" t="s">
        <v>28</v>
      </c>
      <c r="B23">
        <v>60</v>
      </c>
      <c r="C23">
        <f t="shared" si="0"/>
        <v>8.5</v>
      </c>
      <c r="D23">
        <v>510</v>
      </c>
    </row>
    <row r="24" spans="1:4">
      <c r="A24" s="2" t="s">
        <v>29</v>
      </c>
      <c r="B24">
        <v>60</v>
      </c>
      <c r="C24">
        <f t="shared" si="0"/>
        <v>8.5</v>
      </c>
      <c r="D24">
        <v>510</v>
      </c>
    </row>
    <row r="25" spans="1:4">
      <c r="A25" s="2" t="s">
        <v>30</v>
      </c>
      <c r="B25">
        <v>70</v>
      </c>
      <c r="C25">
        <f t="shared" si="0"/>
        <v>7.2857142857142856</v>
      </c>
      <c r="D25">
        <v>510</v>
      </c>
    </row>
    <row r="26" spans="1:4">
      <c r="A26" s="2" t="s">
        <v>31</v>
      </c>
      <c r="B26">
        <v>70</v>
      </c>
      <c r="C26">
        <f t="shared" si="0"/>
        <v>7.2857142857142856</v>
      </c>
      <c r="D26">
        <v>510</v>
      </c>
    </row>
    <row r="27" spans="1:4">
      <c r="A27" s="2" t="s">
        <v>35</v>
      </c>
      <c r="B27">
        <v>30</v>
      </c>
      <c r="C27">
        <f t="shared" si="0"/>
        <v>17</v>
      </c>
      <c r="D27">
        <v>510</v>
      </c>
    </row>
    <row r="28" spans="1:4">
      <c r="A28" s="2" t="s">
        <v>36</v>
      </c>
      <c r="B28">
        <v>30</v>
      </c>
      <c r="C28">
        <f t="shared" si="0"/>
        <v>17</v>
      </c>
      <c r="D28">
        <v>510</v>
      </c>
    </row>
    <row r="29" spans="1:4">
      <c r="A29" s="2" t="s">
        <v>37</v>
      </c>
      <c r="B29">
        <v>40</v>
      </c>
      <c r="C29">
        <f t="shared" si="0"/>
        <v>12.75</v>
      </c>
      <c r="D29">
        <v>510</v>
      </c>
    </row>
    <row r="30" spans="1:4">
      <c r="A30" s="2" t="s">
        <v>38</v>
      </c>
      <c r="B30">
        <v>10</v>
      </c>
      <c r="C30">
        <f t="shared" si="0"/>
        <v>51</v>
      </c>
      <c r="D30">
        <v>510</v>
      </c>
    </row>
    <row r="31" spans="1:4">
      <c r="A31" s="2" t="s">
        <v>39</v>
      </c>
      <c r="B31">
        <v>20</v>
      </c>
      <c r="C31">
        <f t="shared" si="0"/>
        <v>25.5</v>
      </c>
      <c r="D31">
        <v>510</v>
      </c>
    </row>
    <row r="32" spans="1:4">
      <c r="A32" s="2" t="s">
        <v>42</v>
      </c>
      <c r="B32">
        <v>20</v>
      </c>
      <c r="C32">
        <f t="shared" si="0"/>
        <v>25.5</v>
      </c>
      <c r="D32">
        <v>510</v>
      </c>
    </row>
    <row r="33" spans="1:4">
      <c r="A33" s="2" t="s">
        <v>40</v>
      </c>
      <c r="B33">
        <v>30</v>
      </c>
      <c r="C33">
        <f t="shared" si="0"/>
        <v>17</v>
      </c>
      <c r="D33">
        <v>510</v>
      </c>
    </row>
    <row r="34" spans="1:4">
      <c r="A34" s="2" t="s">
        <v>43</v>
      </c>
      <c r="B34">
        <v>30</v>
      </c>
      <c r="C34">
        <f t="shared" si="0"/>
        <v>17</v>
      </c>
      <c r="D34">
        <v>510</v>
      </c>
    </row>
    <row r="35" spans="1:4">
      <c r="A35" s="2" t="s">
        <v>44</v>
      </c>
      <c r="B35">
        <v>10</v>
      </c>
      <c r="C35">
        <f t="shared" si="0"/>
        <v>51</v>
      </c>
      <c r="D35">
        <v>510</v>
      </c>
    </row>
    <row r="36" spans="1:4">
      <c r="A36" s="2" t="s">
        <v>45</v>
      </c>
      <c r="B36">
        <v>10</v>
      </c>
      <c r="C36">
        <f t="shared" si="0"/>
        <v>51</v>
      </c>
      <c r="D36">
        <v>510</v>
      </c>
    </row>
    <row r="37" spans="1:4">
      <c r="A37" s="2" t="s">
        <v>46</v>
      </c>
      <c r="B37">
        <v>50</v>
      </c>
      <c r="C37">
        <f t="shared" si="0"/>
        <v>10.199999999999999</v>
      </c>
      <c r="D37">
        <v>510</v>
      </c>
    </row>
    <row r="38" spans="1:4">
      <c r="A38" s="2" t="s">
        <v>47</v>
      </c>
      <c r="B38">
        <v>50</v>
      </c>
      <c r="C38">
        <f t="shared" si="0"/>
        <v>10.199999999999999</v>
      </c>
      <c r="D38">
        <v>510</v>
      </c>
    </row>
    <row r="39" spans="1:4">
      <c r="A39" s="2" t="s">
        <v>48</v>
      </c>
      <c r="B39">
        <v>50</v>
      </c>
      <c r="C39">
        <f t="shared" si="0"/>
        <v>10.199999999999999</v>
      </c>
      <c r="D39">
        <v>510</v>
      </c>
    </row>
    <row r="40" spans="1:4">
      <c r="A40" s="2" t="s">
        <v>49</v>
      </c>
      <c r="B40">
        <v>20</v>
      </c>
      <c r="C40">
        <f t="shared" si="0"/>
        <v>25.5</v>
      </c>
      <c r="D40">
        <v>510</v>
      </c>
    </row>
    <row r="41" spans="1:4">
      <c r="A41" s="2" t="s">
        <v>50</v>
      </c>
      <c r="B41">
        <v>30</v>
      </c>
      <c r="C41">
        <f t="shared" si="0"/>
        <v>17</v>
      </c>
      <c r="D41">
        <v>510</v>
      </c>
    </row>
    <row r="42" spans="1:4">
      <c r="A42" s="2" t="s">
        <v>51</v>
      </c>
      <c r="B42">
        <v>20</v>
      </c>
      <c r="C42">
        <f t="shared" si="0"/>
        <v>25.5</v>
      </c>
      <c r="D42">
        <v>510</v>
      </c>
    </row>
    <row r="43" spans="1:4">
      <c r="A43" s="2" t="s">
        <v>52</v>
      </c>
      <c r="B43">
        <v>20</v>
      </c>
      <c r="C43">
        <f t="shared" si="0"/>
        <v>25.5</v>
      </c>
      <c r="D43">
        <v>510</v>
      </c>
    </row>
    <row r="44" spans="1:4">
      <c r="A44" s="2"/>
    </row>
    <row r="45" spans="1:4">
      <c r="A45" s="1" t="s">
        <v>32</v>
      </c>
      <c r="C45" t="e">
        <f t="shared" si="0"/>
        <v>#DIV/0!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VERİ KAYIT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Can Şahan</dc:creator>
  <cp:lastModifiedBy>ISTASYON SUMEN</cp:lastModifiedBy>
  <cp:lastPrinted>2026-03-24T12:58:56Z</cp:lastPrinted>
  <dcterms:created xsi:type="dcterms:W3CDTF">2015-06-05T18:19:34Z</dcterms:created>
  <dcterms:modified xsi:type="dcterms:W3CDTF">2026-04-14T15:09:21Z</dcterms:modified>
</cp:coreProperties>
</file>